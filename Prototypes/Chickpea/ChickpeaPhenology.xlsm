
<file path=[Content_Types].xml><?xml version="1.0" encoding="utf-8"?>
<Types xmlns="http://schemas.openxmlformats.org/package/2006/content-types">
  <Override PartName="/xl/charts/chart6.xml" ContentType="application/vnd.openxmlformats-officedocument.drawingml.chart+xml"/>
  <Override PartName="/xl/charts/chart20.xml" ContentType="application/vnd.openxmlformats-officedocument.drawingml.char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drawings/drawing6.xml" ContentType="application/vnd.openxmlformats-officedocument.drawing+xml"/>
  <Override PartName="/xl/drawings/drawing8.xml" ContentType="application/vnd.openxmlformats-officedocument.drawing+xml"/>
  <Override PartName="/xl/comments8.xml" ContentType="application/vnd.openxmlformats-officedocument.spreadsheetml.comments+xml"/>
  <Override PartName="/xl/worksheets/sheet7.xml" ContentType="application/vnd.openxmlformats-officedocument.spreadsheetml.worksheet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omments6.xml" ContentType="application/vnd.openxmlformats-officedocument.spreadsheetml.comments+xml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comments4.xml" ContentType="application/vnd.openxmlformats-officedocument.spreadsheetml.comments+xml"/>
  <Override PartName="/xl/charts/chart29.xml" ContentType="application/vnd.openxmlformats-officedocument.drawingml.chart+xml"/>
  <Override PartName="/xl/worksheets/sheet3.xml" ContentType="application/vnd.openxmlformats-officedocument.spreadsheetml.worksheet+xml"/>
  <Override PartName="/xl/comments2.xml" ContentType="application/vnd.openxmlformats-officedocument.spreadsheetml.comments+xml"/>
  <Override PartName="/xl/charts/chart18.xml" ContentType="application/vnd.openxmlformats-officedocument.drawingml.chart+xml"/>
  <Override PartName="/xl/charts/chart27.xml" ContentType="application/vnd.openxmlformats-officedocument.drawingml.chart+xml"/>
  <Override PartName="/xl/charts/chart36.xml" ContentType="application/vnd.openxmlformats-officedocument.drawingml.chart+xml"/>
  <Override PartName="/xl/charts/chart38.xml" ContentType="application/vnd.openxmlformats-officedocument.drawingml.chart+xml"/>
  <Override PartName="/xl/worksheets/sheet1.xml" ContentType="application/vnd.openxmlformats-officedocument.spreadsheetml.worksheet+xml"/>
  <Override PartName="/xl/charts/chart16.xml" ContentType="application/vnd.openxmlformats-officedocument.drawingml.chart+xml"/>
  <Override PartName="/xl/charts/chart25.xml" ContentType="application/vnd.openxmlformats-officedocument.drawingml.chart+xml"/>
  <Override PartName="/xl/charts/chart34.xml" ContentType="application/vnd.openxmlformats-officedocument.drawingml.chart+xml"/>
  <Override PartName="/xl/charts/chart45.xml" ContentType="application/vnd.openxmlformats-officedocument.drawingml.chart+xml"/>
  <Override PartName="/xl/sharedStrings.xml" ContentType="application/vnd.openxmlformats-officedocument.spreadsheetml.sharedStrings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docProps/core.xml" ContentType="application/vnd.openxmlformats-package.core-properties+xml"/>
  <Override PartName="/xl/charts/chart7.xml" ContentType="application/vnd.openxmlformats-officedocument.drawingml.chart+xml"/>
  <Override PartName="/xl/charts/chart10.xml" ContentType="application/vnd.openxmlformats-officedocument.drawingml.chart+xml"/>
  <Default Extension="bin" ContentType="application/vnd.ms-office.vbaProject"/>
  <Override PartName="/xl/charts/chart5.xml" ContentType="application/vnd.openxmlformats-officedocument.drawingml.chart+xml"/>
  <Override PartName="/xl/drawings/drawing7.xml" ContentType="application/vnd.openxmlformats-officedocument.drawing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comments7.xml" ContentType="application/vnd.openxmlformats-officedocument.spreadsheetml.comments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omments5.xml" ContentType="application/vnd.openxmlformats-officedocument.spreadsheetml.comments+xml"/>
  <Override PartName="/xl/charts/chart39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comments3.xml" ContentType="application/vnd.openxmlformats-officedocument.spreadsheetml.comments+xml"/>
  <Override PartName="/xl/charts/chart19.xml" ContentType="application/vnd.openxmlformats-officedocument.drawingml.chart+xml"/>
  <Override PartName="/xl/charts/chart28.xml" ContentType="application/vnd.openxmlformats-officedocument.drawingml.chart+xml"/>
  <Override PartName="/xl/charts/chart37.xml" ContentType="application/vnd.openxmlformats-officedocument.drawingml.chart+xml"/>
  <Default Extension="vml" ContentType="application/vnd.openxmlformats-officedocument.vmlDrawing"/>
  <Override PartName="/xl/comments1.xml" ContentType="application/vnd.openxmlformats-officedocument.spreadsheetml.comments+xml"/>
  <Override PartName="/xl/charts/chart17.xml" ContentType="application/vnd.openxmlformats-officedocument.drawingml.chart+xml"/>
  <Override PartName="/xl/charts/chart26.xml" ContentType="application/vnd.openxmlformats-officedocument.drawingml.chart+xml"/>
  <Override PartName="/xl/charts/chart35.xml" ContentType="application/vnd.openxmlformats-officedocument.drawingml.chart+xml"/>
  <Override PartName="/xl/charts/chart44.xml" ContentType="application/vnd.openxmlformats-officedocument.drawingml.chart+xml"/>
  <Override PartName="/xl/calcChain.xml" ContentType="application/vnd.openxmlformats-officedocument.spreadsheetml.calcChai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20" yWindow="120" windowWidth="12192" windowHeight="5772"/>
  </bookViews>
  <sheets>
    <sheet name="Fitting" sheetId="4" r:id="rId1"/>
    <sheet name="Herm8889" sheetId="1" r:id="rId2"/>
    <sheet name="Tamworth" sheetId="5" r:id="rId3"/>
    <sheet name="Ayr" sheetId="6" r:id="rId4"/>
    <sheet name="Kununurra" sheetId="7" r:id="rId5"/>
    <sheet name="Beverley" sheetId="8" r:id="rId6"/>
    <sheet name="Biloela" sheetId="9" r:id="rId7"/>
    <sheet name="Emerald" sheetId="11" r:id="rId8"/>
  </sheets>
  <functionGroups/>
  <definedNames>
    <definedName name="solver_adj" localSheetId="0" hidden="1">Fitting!$B$7</definedName>
    <definedName name="solver_cvg" localSheetId="0" hidden="1">0.0001</definedName>
    <definedName name="solver_drv" localSheetId="0" hidden="1">1</definedName>
    <definedName name="solver_est" localSheetId="0" hidden="1">1</definedName>
    <definedName name="solver_itr" localSheetId="0" hidden="1">100</definedName>
    <definedName name="solver_lin" localSheetId="0" hidden="1">2</definedName>
    <definedName name="solver_neg" localSheetId="0" hidden="1">2</definedName>
    <definedName name="solver_num" localSheetId="0" hidden="1">0</definedName>
    <definedName name="solver_nwt" localSheetId="0" hidden="1">1</definedName>
    <definedName name="solver_opt" localSheetId="0" hidden="1">Fitting!$J$15</definedName>
    <definedName name="solver_pre" localSheetId="0" hidden="1">0.000001</definedName>
    <definedName name="solver_scl" localSheetId="0" hidden="1">2</definedName>
    <definedName name="solver_sho" localSheetId="0" hidden="1">2</definedName>
    <definedName name="solver_tim" localSheetId="0" hidden="1">100</definedName>
    <definedName name="solver_tol" localSheetId="0" hidden="1">0.05</definedName>
    <definedName name="solver_typ" localSheetId="0" hidden="1">2</definedName>
    <definedName name="solver_val" localSheetId="0" hidden="1">0</definedName>
  </definedNames>
  <calcPr calcId="125725"/>
</workbook>
</file>

<file path=xl/calcChain.xml><?xml version="1.0" encoding="utf-8"?>
<calcChain xmlns="http://schemas.openxmlformats.org/spreadsheetml/2006/main">
  <c r="C2" i="4"/>
  <c r="D2" s="1"/>
  <c r="B11"/>
  <c r="B12"/>
  <c r="B13"/>
  <c r="B14"/>
  <c r="B15"/>
  <c r="B16"/>
  <c r="B17"/>
  <c r="B10"/>
  <c r="A4" i="11"/>
  <c r="A5" l="1"/>
  <c r="D4"/>
  <c r="A6" l="1"/>
  <c r="D5"/>
  <c r="E5"/>
  <c r="F5" s="1"/>
  <c r="C5"/>
  <c r="C4"/>
  <c r="A7" l="1"/>
  <c r="D6"/>
  <c r="E6"/>
  <c r="F6" s="1"/>
  <c r="C6"/>
  <c r="A8" l="1"/>
  <c r="D7"/>
  <c r="E7"/>
  <c r="F7" s="1"/>
  <c r="C7"/>
  <c r="A9" l="1"/>
  <c r="D8"/>
  <c r="E8"/>
  <c r="F8" s="1"/>
  <c r="C8"/>
  <c r="A10" l="1"/>
  <c r="D9"/>
  <c r="E9"/>
  <c r="F9" s="1"/>
  <c r="C9"/>
  <c r="A11" l="1"/>
  <c r="D10"/>
  <c r="E10"/>
  <c r="F10" s="1"/>
  <c r="C10"/>
  <c r="A12" l="1"/>
  <c r="D11"/>
  <c r="E11"/>
  <c r="F11" s="1"/>
  <c r="C11"/>
  <c r="A13" l="1"/>
  <c r="D12"/>
  <c r="E12"/>
  <c r="F12" s="1"/>
  <c r="C12"/>
  <c r="A14" l="1"/>
  <c r="D13"/>
  <c r="E13"/>
  <c r="F13" s="1"/>
  <c r="C13"/>
  <c r="A15" l="1"/>
  <c r="D14"/>
  <c r="E14"/>
  <c r="F14" s="1"/>
  <c r="C14"/>
  <c r="A16" l="1"/>
  <c r="D15"/>
  <c r="E15"/>
  <c r="F15" s="1"/>
  <c r="C15"/>
  <c r="A17" l="1"/>
  <c r="D16"/>
  <c r="E16"/>
  <c r="F16" s="1"/>
  <c r="C16"/>
  <c r="A18" l="1"/>
  <c r="D17"/>
  <c r="E17"/>
  <c r="F17" s="1"/>
  <c r="C17"/>
  <c r="A19" l="1"/>
  <c r="D18"/>
  <c r="E18"/>
  <c r="F18" s="1"/>
  <c r="C18"/>
  <c r="A20" l="1"/>
  <c r="D19"/>
  <c r="E19"/>
  <c r="F19" s="1"/>
  <c r="C19"/>
  <c r="A21" l="1"/>
  <c r="D20"/>
  <c r="E20"/>
  <c r="F20" s="1"/>
  <c r="C20"/>
  <c r="A22" l="1"/>
  <c r="D21"/>
  <c r="E21"/>
  <c r="F21" s="1"/>
  <c r="C21"/>
  <c r="A23" l="1"/>
  <c r="D22"/>
  <c r="E22"/>
  <c r="F22" s="1"/>
  <c r="C22"/>
  <c r="A24" l="1"/>
  <c r="D23"/>
  <c r="E23"/>
  <c r="F23" s="1"/>
  <c r="C23"/>
  <c r="A25" l="1"/>
  <c r="D24"/>
  <c r="E24"/>
  <c r="F24" s="1"/>
  <c r="C24"/>
  <c r="A26" l="1"/>
  <c r="D25"/>
  <c r="E25"/>
  <c r="F25" s="1"/>
  <c r="C25"/>
  <c r="A27" l="1"/>
  <c r="D26"/>
  <c r="E26"/>
  <c r="F26" s="1"/>
  <c r="C26"/>
  <c r="A28" l="1"/>
  <c r="D27"/>
  <c r="E27"/>
  <c r="F27" s="1"/>
  <c r="C27"/>
  <c r="A29" l="1"/>
  <c r="D28"/>
  <c r="E28"/>
  <c r="F28" s="1"/>
  <c r="C28"/>
  <c r="A30" l="1"/>
  <c r="D29"/>
  <c r="E29"/>
  <c r="F29" s="1"/>
  <c r="C29"/>
  <c r="A31" l="1"/>
  <c r="D30"/>
  <c r="E30"/>
  <c r="F30" s="1"/>
  <c r="C30"/>
  <c r="A32" l="1"/>
  <c r="D31"/>
  <c r="E31"/>
  <c r="F31" s="1"/>
  <c r="C31"/>
  <c r="A33" l="1"/>
  <c r="D32"/>
  <c r="E32"/>
  <c r="F32" s="1"/>
  <c r="C32"/>
  <c r="A34" l="1"/>
  <c r="D33"/>
  <c r="E33"/>
  <c r="F33" s="1"/>
  <c r="C33"/>
  <c r="A35" l="1"/>
  <c r="D34"/>
  <c r="E34"/>
  <c r="F34" s="1"/>
  <c r="C34"/>
  <c r="A36" l="1"/>
  <c r="D35"/>
  <c r="E35"/>
  <c r="F35" s="1"/>
  <c r="C35"/>
  <c r="A37" l="1"/>
  <c r="D36"/>
  <c r="E36"/>
  <c r="F36" s="1"/>
  <c r="C36"/>
  <c r="A38" l="1"/>
  <c r="D37"/>
  <c r="E37"/>
  <c r="F37" s="1"/>
  <c r="C37"/>
  <c r="A39" l="1"/>
  <c r="D38"/>
  <c r="E38"/>
  <c r="F38" s="1"/>
  <c r="C38"/>
  <c r="A40" l="1"/>
  <c r="D39"/>
  <c r="E39"/>
  <c r="F39" s="1"/>
  <c r="C39"/>
  <c r="A41" l="1"/>
  <c r="D40"/>
  <c r="E40"/>
  <c r="F40" s="1"/>
  <c r="C40"/>
  <c r="A42" l="1"/>
  <c r="D41"/>
  <c r="E41"/>
  <c r="F41" s="1"/>
  <c r="C41"/>
  <c r="A43" l="1"/>
  <c r="D42"/>
  <c r="E42"/>
  <c r="F42" s="1"/>
  <c r="C42"/>
  <c r="A44" l="1"/>
  <c r="D43"/>
  <c r="E43"/>
  <c r="F43" s="1"/>
  <c r="C43"/>
  <c r="A45" l="1"/>
  <c r="D44"/>
  <c r="E44"/>
  <c r="F44" s="1"/>
  <c r="C44"/>
  <c r="A46" l="1"/>
  <c r="D45"/>
  <c r="E45"/>
  <c r="F45" s="1"/>
  <c r="C45"/>
  <c r="A47" l="1"/>
  <c r="D46"/>
  <c r="E46"/>
  <c r="F46" s="1"/>
  <c r="C46"/>
  <c r="A48" l="1"/>
  <c r="D47"/>
  <c r="E47"/>
  <c r="F47" s="1"/>
  <c r="C47"/>
  <c r="A49" l="1"/>
  <c r="D48"/>
  <c r="E48"/>
  <c r="F48" s="1"/>
  <c r="C48"/>
  <c r="A50" l="1"/>
  <c r="D49"/>
  <c r="E49"/>
  <c r="F49" s="1"/>
  <c r="C49"/>
  <c r="A51" l="1"/>
  <c r="D50"/>
  <c r="E50"/>
  <c r="F50" s="1"/>
  <c r="C50"/>
  <c r="A52" l="1"/>
  <c r="D51"/>
  <c r="E51"/>
  <c r="F51" s="1"/>
  <c r="C51"/>
  <c r="A53" l="1"/>
  <c r="D52"/>
  <c r="E52"/>
  <c r="F52" s="1"/>
  <c r="C52"/>
  <c r="A54" l="1"/>
  <c r="D53"/>
  <c r="E53"/>
  <c r="F53" s="1"/>
  <c r="C53"/>
  <c r="A55" l="1"/>
  <c r="D54"/>
  <c r="E54"/>
  <c r="F54" s="1"/>
  <c r="C54"/>
  <c r="A56" l="1"/>
  <c r="D55"/>
  <c r="E55"/>
  <c r="F55" s="1"/>
  <c r="C55"/>
  <c r="A57" l="1"/>
  <c r="D56"/>
  <c r="E56"/>
  <c r="F56" s="1"/>
  <c r="C56"/>
  <c r="A58" l="1"/>
  <c r="D57"/>
  <c r="E57"/>
  <c r="F57" s="1"/>
  <c r="C57"/>
  <c r="A59" l="1"/>
  <c r="D58"/>
  <c r="E58"/>
  <c r="F58" s="1"/>
  <c r="C58"/>
  <c r="A60" l="1"/>
  <c r="D59"/>
  <c r="E59"/>
  <c r="F59" s="1"/>
  <c r="C59"/>
  <c r="C4" i="9"/>
  <c r="A61" i="11" l="1"/>
  <c r="D60"/>
  <c r="E60"/>
  <c r="F60" s="1"/>
  <c r="A4" i="9"/>
  <c r="C60" i="11"/>
  <c r="C4" i="8"/>
  <c r="A62" i="11" l="1"/>
  <c r="D61"/>
  <c r="E61"/>
  <c r="F61" s="1"/>
  <c r="A5" i="9"/>
  <c r="D4"/>
  <c r="A4" i="8"/>
  <c r="C4" i="7"/>
  <c r="C61" i="11"/>
  <c r="A63" l="1"/>
  <c r="D62"/>
  <c r="E62"/>
  <c r="F62" s="1"/>
  <c r="A6" i="9"/>
  <c r="D5"/>
  <c r="E5"/>
  <c r="F5" s="1"/>
  <c r="A5" i="8"/>
  <c r="D4"/>
  <c r="A4" i="7"/>
  <c r="C5" i="9"/>
  <c r="C4" i="6"/>
  <c r="C62" i="11"/>
  <c r="A64" l="1"/>
  <c r="D63"/>
  <c r="E63"/>
  <c r="F63" s="1"/>
  <c r="A7" i="9"/>
  <c r="D6"/>
  <c r="E6"/>
  <c r="F6" s="1"/>
  <c r="A6" i="8"/>
  <c r="D5"/>
  <c r="E5"/>
  <c r="F5" s="1"/>
  <c r="A5" i="7"/>
  <c r="D4"/>
  <c r="A4" i="6"/>
  <c r="C4" i="5"/>
  <c r="C5" i="8"/>
  <c r="C6" i="9"/>
  <c r="C63" i="11"/>
  <c r="A65" l="1"/>
  <c r="D64"/>
  <c r="E64"/>
  <c r="F64" s="1"/>
  <c r="A8" i="9"/>
  <c r="D7"/>
  <c r="E7"/>
  <c r="F7" s="1"/>
  <c r="A7" i="8"/>
  <c r="D6"/>
  <c r="E6"/>
  <c r="F6" s="1"/>
  <c r="A6" i="7"/>
  <c r="D5"/>
  <c r="E5"/>
  <c r="F5" s="1"/>
  <c r="A5" i="6"/>
  <c r="D4"/>
  <c r="A4" i="5"/>
  <c r="A66" i="11" l="1"/>
  <c r="D65"/>
  <c r="E65"/>
  <c r="F65" s="1"/>
  <c r="A9" i="9"/>
  <c r="D8"/>
  <c r="E8"/>
  <c r="F8" s="1"/>
  <c r="A8" i="8"/>
  <c r="D7"/>
  <c r="E7"/>
  <c r="F7" s="1"/>
  <c r="A7" i="7"/>
  <c r="D6"/>
  <c r="E6"/>
  <c r="F6" s="1"/>
  <c r="A6" i="6"/>
  <c r="D5"/>
  <c r="E5"/>
  <c r="F5" s="1"/>
  <c r="A5" i="5"/>
  <c r="D4"/>
  <c r="C7" i="8"/>
  <c r="C5" i="6"/>
  <c r="C65" i="11"/>
  <c r="C7" i="9"/>
  <c r="C8"/>
  <c r="C6" i="8"/>
  <c r="C64" i="11"/>
  <c r="C5" i="7"/>
  <c r="C6"/>
  <c r="A67" i="11" l="1"/>
  <c r="D66"/>
  <c r="E66"/>
  <c r="F66" s="1"/>
  <c r="A10" i="9"/>
  <c r="D9"/>
  <c r="E9"/>
  <c r="F9" s="1"/>
  <c r="A9" i="8"/>
  <c r="D8"/>
  <c r="E8"/>
  <c r="F8" s="1"/>
  <c r="A8" i="7"/>
  <c r="D7"/>
  <c r="E7"/>
  <c r="F7" s="1"/>
  <c r="A7" i="6"/>
  <c r="E6"/>
  <c r="F6" s="1"/>
  <c r="D6"/>
  <c r="A6" i="5"/>
  <c r="D5"/>
  <c r="E5"/>
  <c r="F5" s="1"/>
  <c r="C40" i="4"/>
  <c r="C41"/>
  <c r="C42"/>
  <c r="C45"/>
  <c r="C46"/>
  <c r="C47"/>
  <c r="C48"/>
  <c r="C49"/>
  <c r="C50"/>
  <c r="C51"/>
  <c r="C52"/>
  <c r="C53"/>
  <c r="C54"/>
  <c r="C55"/>
  <c r="C56"/>
  <c r="C57"/>
  <c r="C58"/>
  <c r="C59"/>
  <c r="C60"/>
  <c r="C61"/>
  <c r="C62"/>
  <c r="C63"/>
  <c r="C64"/>
  <c r="C65"/>
  <c r="C66"/>
  <c r="C67"/>
  <c r="C68"/>
  <c r="C69"/>
  <c r="C70"/>
  <c r="C71"/>
  <c r="C72"/>
  <c r="C73"/>
  <c r="C74"/>
  <c r="C75"/>
  <c r="C76"/>
  <c r="C39"/>
  <c r="C36"/>
  <c r="C37"/>
  <c r="C35"/>
  <c r="C7" i="7"/>
  <c r="C9" i="9"/>
  <c r="C6" i="6"/>
  <c r="C66" i="11"/>
  <c r="C5" i="5"/>
  <c r="C8" i="8"/>
  <c r="A68" i="11" l="1"/>
  <c r="D67"/>
  <c r="E67"/>
  <c r="F67" s="1"/>
  <c r="A11" i="9"/>
  <c r="D10"/>
  <c r="E10"/>
  <c r="F10" s="1"/>
  <c r="A10" i="8"/>
  <c r="D9"/>
  <c r="E9"/>
  <c r="F9" s="1"/>
  <c r="A9" i="7"/>
  <c r="D8"/>
  <c r="E8"/>
  <c r="F8" s="1"/>
  <c r="A8" i="6"/>
  <c r="D7"/>
  <c r="E7"/>
  <c r="F7" s="1"/>
  <c r="A7" i="5"/>
  <c r="D6"/>
  <c r="E6"/>
  <c r="F6" s="1"/>
  <c r="A4" i="1"/>
  <c r="A5" s="1"/>
  <c r="C4"/>
  <c r="C8" i="7"/>
  <c r="C67" i="11"/>
  <c r="C10" i="9"/>
  <c r="C7" i="6"/>
  <c r="C9" i="8"/>
  <c r="C6" i="5"/>
  <c r="I4" i="8" l="1"/>
  <c r="I4" i="1"/>
  <c r="I4" i="9"/>
  <c r="I4" i="5"/>
  <c r="I4" i="11"/>
  <c r="I4" i="6"/>
  <c r="I4" i="7"/>
  <c r="A6" i="1"/>
  <c r="E5"/>
  <c r="F5" s="1"/>
  <c r="A69" i="11"/>
  <c r="D68"/>
  <c r="E68"/>
  <c r="F68" s="1"/>
  <c r="A12" i="9"/>
  <c r="D11"/>
  <c r="E11"/>
  <c r="F11" s="1"/>
  <c r="A11" i="8"/>
  <c r="D10"/>
  <c r="E10"/>
  <c r="F10" s="1"/>
  <c r="A10" i="7"/>
  <c r="D9"/>
  <c r="E9"/>
  <c r="F9" s="1"/>
  <c r="A9" i="6"/>
  <c r="E8"/>
  <c r="F8" s="1"/>
  <c r="D8"/>
  <c r="A8" i="5"/>
  <c r="D7"/>
  <c r="E7"/>
  <c r="F7" s="1"/>
  <c r="D4" i="1"/>
  <c r="C10" i="8"/>
  <c r="C5" i="1"/>
  <c r="J4" i="5"/>
  <c r="C8" i="6"/>
  <c r="J4" i="9"/>
  <c r="C68" i="11"/>
  <c r="J4" i="6"/>
  <c r="C9" i="7"/>
  <c r="J4"/>
  <c r="C7" i="5"/>
  <c r="C11" i="9"/>
  <c r="J4" i="1"/>
  <c r="J4" i="8"/>
  <c r="J4" i="11"/>
  <c r="I5" i="7" l="1"/>
  <c r="I5" i="11"/>
  <c r="I5" i="6"/>
  <c r="I5" i="5"/>
  <c r="I5" i="9"/>
  <c r="I5" i="8"/>
  <c r="I5" i="1"/>
  <c r="B4" i="5"/>
  <c r="B4" i="9"/>
  <c r="B4" i="6"/>
  <c r="B4" i="11"/>
  <c r="B4" i="8"/>
  <c r="B4" i="7"/>
  <c r="A7" i="1"/>
  <c r="E6"/>
  <c r="F6" s="1"/>
  <c r="A70" i="11"/>
  <c r="D69"/>
  <c r="E69"/>
  <c r="F69" s="1"/>
  <c r="A13" i="9"/>
  <c r="D12"/>
  <c r="E12"/>
  <c r="F12" s="1"/>
  <c r="A12" i="8"/>
  <c r="D11"/>
  <c r="E11"/>
  <c r="F11" s="1"/>
  <c r="A11" i="7"/>
  <c r="D10"/>
  <c r="E10"/>
  <c r="F10" s="1"/>
  <c r="A10" i="6"/>
  <c r="E9"/>
  <c r="F9" s="1"/>
  <c r="D9"/>
  <c r="A9" i="5"/>
  <c r="D8"/>
  <c r="E8"/>
  <c r="F8" s="1"/>
  <c r="B4" i="1"/>
  <c r="D6"/>
  <c r="D5"/>
  <c r="J5" i="9"/>
  <c r="C10" i="7"/>
  <c r="J5" i="6"/>
  <c r="J5" i="7"/>
  <c r="C11" i="8"/>
  <c r="C12" i="9"/>
  <c r="C6" i="1"/>
  <c r="C9" i="6"/>
  <c r="J5" i="1"/>
  <c r="J5" i="8"/>
  <c r="C8" i="5"/>
  <c r="C69" i="11"/>
  <c r="J5"/>
  <c r="J5" i="5"/>
  <c r="I6" i="8" l="1"/>
  <c r="I6" i="7"/>
  <c r="I6" i="6"/>
  <c r="I6" i="11"/>
  <c r="I6" i="9"/>
  <c r="I6" i="5"/>
  <c r="I6" i="1"/>
  <c r="B5" i="6"/>
  <c r="B5" i="5"/>
  <c r="B5" i="9"/>
  <c r="B5" i="11"/>
  <c r="B5" i="8"/>
  <c r="B5" i="7"/>
  <c r="B5" i="1"/>
  <c r="A8"/>
  <c r="E7"/>
  <c r="F7" s="1"/>
  <c r="A71" i="11"/>
  <c r="D70"/>
  <c r="E70"/>
  <c r="F70" s="1"/>
  <c r="A14" i="9"/>
  <c r="D13"/>
  <c r="E13"/>
  <c r="F13" s="1"/>
  <c r="A13" i="8"/>
  <c r="D12"/>
  <c r="E12"/>
  <c r="F12" s="1"/>
  <c r="A12" i="7"/>
  <c r="D11"/>
  <c r="E11"/>
  <c r="F11" s="1"/>
  <c r="A11" i="6"/>
  <c r="D10"/>
  <c r="E10"/>
  <c r="F10" s="1"/>
  <c r="A10" i="5"/>
  <c r="D9"/>
  <c r="E9"/>
  <c r="F9" s="1"/>
  <c r="D7" i="1"/>
  <c r="J6" i="9"/>
  <c r="J6" i="6"/>
  <c r="C10"/>
  <c r="C70" i="11"/>
  <c r="J6" i="1"/>
  <c r="C12" i="8"/>
  <c r="J6" i="11"/>
  <c r="J6" i="5"/>
  <c r="C11" i="7"/>
  <c r="C13" i="9"/>
  <c r="J6" i="7"/>
  <c r="C7" i="1"/>
  <c r="C9" i="5"/>
  <c r="J6" i="8"/>
  <c r="I7" i="9" l="1"/>
  <c r="I7" i="8"/>
  <c r="I7" i="6"/>
  <c r="I7" i="5"/>
  <c r="I7" i="11"/>
  <c r="I7" i="7"/>
  <c r="I7" i="1"/>
  <c r="B6" i="11"/>
  <c r="B6" i="9"/>
  <c r="B6" i="8"/>
  <c r="B6" i="6"/>
  <c r="B6" i="7"/>
  <c r="B6" i="5"/>
  <c r="B6" i="1"/>
  <c r="A9"/>
  <c r="E8"/>
  <c r="F8" s="1"/>
  <c r="A72" i="11"/>
  <c r="D71"/>
  <c r="E71"/>
  <c r="F71" s="1"/>
  <c r="A15" i="9"/>
  <c r="D14"/>
  <c r="E14"/>
  <c r="F14" s="1"/>
  <c r="A14" i="8"/>
  <c r="D13"/>
  <c r="E13"/>
  <c r="F13" s="1"/>
  <c r="A13" i="7"/>
  <c r="D12"/>
  <c r="E12"/>
  <c r="F12" s="1"/>
  <c r="A12" i="6"/>
  <c r="E11"/>
  <c r="F11" s="1"/>
  <c r="D11"/>
  <c r="A11" i="5"/>
  <c r="D10"/>
  <c r="E10"/>
  <c r="F10" s="1"/>
  <c r="D8" i="1"/>
  <c r="J7" i="8"/>
  <c r="C10" i="5"/>
  <c r="C8" i="1"/>
  <c r="J7"/>
  <c r="C71" i="11"/>
  <c r="J7" i="9"/>
  <c r="J7" i="7"/>
  <c r="C13" i="8"/>
  <c r="C11" i="6"/>
  <c r="J7"/>
  <c r="C12" i="7"/>
  <c r="C14" i="9"/>
  <c r="J7" i="11"/>
  <c r="J7" i="5"/>
  <c r="I8" i="11" l="1"/>
  <c r="I8" i="6"/>
  <c r="I8" i="9"/>
  <c r="I8" i="8"/>
  <c r="I8" i="5"/>
  <c r="I8" i="7"/>
  <c r="I8" i="1"/>
  <c r="B7" i="9"/>
  <c r="B7" i="6"/>
  <c r="B7" i="5"/>
  <c r="B7" i="8"/>
  <c r="B7" i="7"/>
  <c r="B7" i="11"/>
  <c r="B7" i="1"/>
  <c r="A10"/>
  <c r="E9"/>
  <c r="F9" s="1"/>
  <c r="A73" i="11"/>
  <c r="D72"/>
  <c r="E72"/>
  <c r="F72" s="1"/>
  <c r="A16" i="9"/>
  <c r="D15"/>
  <c r="E15"/>
  <c r="F15" s="1"/>
  <c r="A15" i="8"/>
  <c r="D14"/>
  <c r="E14"/>
  <c r="F14" s="1"/>
  <c r="A14" i="7"/>
  <c r="D13"/>
  <c r="E13"/>
  <c r="F13" s="1"/>
  <c r="A13" i="6"/>
  <c r="D12"/>
  <c r="E12"/>
  <c r="F12" s="1"/>
  <c r="A12" i="5"/>
  <c r="D11"/>
  <c r="E11"/>
  <c r="F11" s="1"/>
  <c r="D9" i="1"/>
  <c r="J8" i="6"/>
  <c r="C15" i="9"/>
  <c r="C11" i="5"/>
  <c r="J8" i="9"/>
  <c r="J8" i="1"/>
  <c r="C12" i="6"/>
  <c r="J8" i="11"/>
  <c r="J8" i="7"/>
  <c r="C14" i="8"/>
  <c r="C13" i="7"/>
  <c r="J8" i="8"/>
  <c r="C9" i="1"/>
  <c r="C72" i="11"/>
  <c r="J8" i="5"/>
  <c r="I9" i="7" l="1"/>
  <c r="I9" i="11"/>
  <c r="I9" i="6"/>
  <c r="I9" i="5"/>
  <c r="I9" i="9"/>
  <c r="I9" i="8"/>
  <c r="I9" i="1"/>
  <c r="B8" i="6"/>
  <c r="B8" i="8"/>
  <c r="B8" i="11"/>
  <c r="B8" i="5"/>
  <c r="B8" i="7"/>
  <c r="B8" i="9"/>
  <c r="B8" i="1"/>
  <c r="A11"/>
  <c r="E10"/>
  <c r="F10" s="1"/>
  <c r="A74" i="11"/>
  <c r="D73"/>
  <c r="E73"/>
  <c r="F73" s="1"/>
  <c r="A17" i="9"/>
  <c r="D16"/>
  <c r="E16"/>
  <c r="F16" s="1"/>
  <c r="A16" i="8"/>
  <c r="D15"/>
  <c r="E15"/>
  <c r="F15" s="1"/>
  <c r="A15" i="7"/>
  <c r="D14"/>
  <c r="E14"/>
  <c r="F14" s="1"/>
  <c r="A14" i="6"/>
  <c r="D13"/>
  <c r="E13"/>
  <c r="F13" s="1"/>
  <c r="A13" i="5"/>
  <c r="D12"/>
  <c r="E12"/>
  <c r="F12" s="1"/>
  <c r="D10" i="1"/>
  <c r="C10"/>
  <c r="J9" i="7"/>
  <c r="C12" i="5"/>
  <c r="C15" i="8"/>
  <c r="C73" i="11"/>
  <c r="C16" i="9"/>
  <c r="J9" i="5"/>
  <c r="C13" i="6"/>
  <c r="C14" i="7"/>
  <c r="J9" i="9"/>
  <c r="J9" i="1"/>
  <c r="J9" i="11"/>
  <c r="J9" i="6"/>
  <c r="J9" i="8"/>
  <c r="I10" l="1"/>
  <c r="I10" i="7"/>
  <c r="I10" i="6"/>
  <c r="I10" i="5"/>
  <c r="I10" i="11"/>
  <c r="I10" i="9"/>
  <c r="I10" i="1"/>
  <c r="B9" i="8"/>
  <c r="B9" i="11"/>
  <c r="B9" i="5"/>
  <c r="B9" i="9"/>
  <c r="B9" i="7"/>
  <c r="B9" i="6"/>
  <c r="B9" i="1"/>
  <c r="A12"/>
  <c r="E11"/>
  <c r="F11" s="1"/>
  <c r="A75" i="11"/>
  <c r="D74"/>
  <c r="E74"/>
  <c r="F74" s="1"/>
  <c r="A18" i="9"/>
  <c r="D17"/>
  <c r="E17"/>
  <c r="F17" s="1"/>
  <c r="A17" i="8"/>
  <c r="D16"/>
  <c r="E16"/>
  <c r="F16" s="1"/>
  <c r="A16" i="7"/>
  <c r="D15"/>
  <c r="E15"/>
  <c r="F15" s="1"/>
  <c r="A15" i="6"/>
  <c r="E14"/>
  <c r="F14" s="1"/>
  <c r="D14"/>
  <c r="A14" i="5"/>
  <c r="D13"/>
  <c r="E13"/>
  <c r="F13" s="1"/>
  <c r="D11" i="1"/>
  <c r="C15" i="7"/>
  <c r="C13" i="5"/>
  <c r="C11" i="1"/>
  <c r="J10" i="9"/>
  <c r="J10" i="1"/>
  <c r="C74" i="11"/>
  <c r="J10" i="7"/>
  <c r="J10" i="6"/>
  <c r="C16" i="8"/>
  <c r="C14" i="6"/>
  <c r="J10" i="8"/>
  <c r="J10" i="11"/>
  <c r="C17" i="9"/>
  <c r="J10" i="5"/>
  <c r="I11" i="9" l="1"/>
  <c r="I11" i="8"/>
  <c r="I11" i="11"/>
  <c r="I11" i="7"/>
  <c r="I11" i="5"/>
  <c r="I11" i="6"/>
  <c r="I11" i="1"/>
  <c r="B10" i="6"/>
  <c r="B10" i="9"/>
  <c r="B10" i="11"/>
  <c r="B10" i="5"/>
  <c r="B10" i="7"/>
  <c r="B10" i="8"/>
  <c r="B10" i="1"/>
  <c r="A13"/>
  <c r="E12"/>
  <c r="F12" s="1"/>
  <c r="A76" i="11"/>
  <c r="D75"/>
  <c r="E75"/>
  <c r="F75" s="1"/>
  <c r="A19" i="9"/>
  <c r="D18"/>
  <c r="E18"/>
  <c r="F18" s="1"/>
  <c r="A18" i="8"/>
  <c r="D17"/>
  <c r="E17"/>
  <c r="F17" s="1"/>
  <c r="A17" i="7"/>
  <c r="D16"/>
  <c r="E16"/>
  <c r="F16" s="1"/>
  <c r="A16" i="6"/>
  <c r="D15"/>
  <c r="E15"/>
  <c r="F15" s="1"/>
  <c r="A15" i="5"/>
  <c r="D14"/>
  <c r="E14"/>
  <c r="F14" s="1"/>
  <c r="D12" i="1"/>
  <c r="J11" i="8"/>
  <c r="C12" i="1"/>
  <c r="C17" i="8"/>
  <c r="J11" i="1"/>
  <c r="C18" i="9"/>
  <c r="J11" i="11"/>
  <c r="C16" i="7"/>
  <c r="C75" i="11"/>
  <c r="J11" i="6"/>
  <c r="C15"/>
  <c r="C14" i="5"/>
  <c r="J11" i="7"/>
  <c r="J11" i="9"/>
  <c r="J11" i="5"/>
  <c r="I12" i="11" l="1"/>
  <c r="I12" i="6"/>
  <c r="I12" i="9"/>
  <c r="I12" i="7"/>
  <c r="I12" i="5"/>
  <c r="I12" i="8"/>
  <c r="I12" i="1"/>
  <c r="B11" i="9"/>
  <c r="B11" i="5"/>
  <c r="B11" i="8"/>
  <c r="B11" i="11"/>
  <c r="B11" i="7"/>
  <c r="B11" i="6"/>
  <c r="B11" i="1"/>
  <c r="E13"/>
  <c r="F13" s="1"/>
  <c r="A14"/>
  <c r="A77" i="11"/>
  <c r="D76"/>
  <c r="E76"/>
  <c r="F76" s="1"/>
  <c r="A20" i="9"/>
  <c r="D19"/>
  <c r="E19"/>
  <c r="F19" s="1"/>
  <c r="A19" i="8"/>
  <c r="D18"/>
  <c r="E18"/>
  <c r="F18" s="1"/>
  <c r="A18" i="7"/>
  <c r="D17"/>
  <c r="E17"/>
  <c r="F17" s="1"/>
  <c r="A17" i="6"/>
  <c r="E16"/>
  <c r="F16" s="1"/>
  <c r="D16"/>
  <c r="A16" i="5"/>
  <c r="D15"/>
  <c r="E15"/>
  <c r="F15" s="1"/>
  <c r="D13" i="1"/>
  <c r="C13"/>
  <c r="J12" i="9"/>
  <c r="C17" i="7"/>
  <c r="C76" i="11"/>
  <c r="J12"/>
  <c r="C16" i="6"/>
  <c r="J12" i="5"/>
  <c r="C18" i="8"/>
  <c r="C15" i="5"/>
  <c r="J12" i="1"/>
  <c r="C19" i="9"/>
  <c r="J12" i="8"/>
  <c r="J12" i="7"/>
  <c r="J12" i="6"/>
  <c r="I13" i="7" l="1"/>
  <c r="I13" i="11"/>
  <c r="I13" i="6"/>
  <c r="I13" i="5"/>
  <c r="I13" i="9"/>
  <c r="I13" i="8"/>
  <c r="I13" i="1"/>
  <c r="B12" i="5"/>
  <c r="B12" i="8"/>
  <c r="B12" i="11"/>
  <c r="B12" i="6"/>
  <c r="B12" i="7"/>
  <c r="B12" i="9"/>
  <c r="B12" i="1"/>
  <c r="E14"/>
  <c r="F14" s="1"/>
  <c r="A15"/>
  <c r="A78" i="11"/>
  <c r="D77"/>
  <c r="E77"/>
  <c r="F77" s="1"/>
  <c r="A21" i="9"/>
  <c r="D20"/>
  <c r="E20"/>
  <c r="F20" s="1"/>
  <c r="A20" i="8"/>
  <c r="D19"/>
  <c r="E19"/>
  <c r="F19" s="1"/>
  <c r="A19" i="7"/>
  <c r="D18"/>
  <c r="E18"/>
  <c r="F18" s="1"/>
  <c r="A18" i="6"/>
  <c r="D17"/>
  <c r="E17"/>
  <c r="F17" s="1"/>
  <c r="A17" i="5"/>
  <c r="D16"/>
  <c r="E16"/>
  <c r="F16" s="1"/>
  <c r="D14" i="1"/>
  <c r="C19" i="8"/>
  <c r="C14" i="1"/>
  <c r="J13"/>
  <c r="C16" i="5"/>
  <c r="J13" i="11"/>
  <c r="J13" i="7"/>
  <c r="C18"/>
  <c r="C77" i="11"/>
  <c r="J13" i="8"/>
  <c r="J13" i="6"/>
  <c r="C17"/>
  <c r="C20" i="9"/>
  <c r="J13"/>
  <c r="J13" i="5"/>
  <c r="I14" i="8" l="1"/>
  <c r="I14" i="7"/>
  <c r="I14" i="11"/>
  <c r="I14" i="9"/>
  <c r="I14" i="5"/>
  <c r="I14" i="6"/>
  <c r="I14" i="1"/>
  <c r="B13" i="8"/>
  <c r="B13" i="11"/>
  <c r="B13" i="6"/>
  <c r="B13" i="9"/>
  <c r="B13" i="7"/>
  <c r="B13" i="5"/>
  <c r="B13" i="1"/>
  <c r="E15"/>
  <c r="F15" s="1"/>
  <c r="A16"/>
  <c r="A79" i="11"/>
  <c r="D78"/>
  <c r="E78"/>
  <c r="F78" s="1"/>
  <c r="A22" i="9"/>
  <c r="D21"/>
  <c r="E21"/>
  <c r="F21" s="1"/>
  <c r="A21" i="8"/>
  <c r="D20"/>
  <c r="E20"/>
  <c r="F20" s="1"/>
  <c r="A20" i="7"/>
  <c r="D19"/>
  <c r="E19"/>
  <c r="F19" s="1"/>
  <c r="A19" i="6"/>
  <c r="D18"/>
  <c r="E18"/>
  <c r="F18" s="1"/>
  <c r="A18" i="5"/>
  <c r="D17"/>
  <c r="E17"/>
  <c r="F17" s="1"/>
  <c r="D15" i="1"/>
  <c r="J14" i="7"/>
  <c r="C19"/>
  <c r="C78" i="11"/>
  <c r="J14" i="8"/>
  <c r="J14" i="5"/>
  <c r="C18" i="6"/>
  <c r="C15" i="1"/>
  <c r="J14" i="9"/>
  <c r="C20" i="8"/>
  <c r="C17" i="5"/>
  <c r="J14" i="1"/>
  <c r="C21" i="9"/>
  <c r="J14" i="11"/>
  <c r="J14" i="6"/>
  <c r="I15" i="9" l="1"/>
  <c r="I15" i="8"/>
  <c r="I15" i="6"/>
  <c r="I15" i="11"/>
  <c r="I15" i="5"/>
  <c r="I15" i="7"/>
  <c r="I15" i="1"/>
  <c r="B14" i="5"/>
  <c r="B14" i="9"/>
  <c r="B14" i="11"/>
  <c r="B14" i="6"/>
  <c r="B14" i="7"/>
  <c r="B14" i="8"/>
  <c r="B14" i="1"/>
  <c r="A17"/>
  <c r="E16"/>
  <c r="F16" s="1"/>
  <c r="A80" i="11"/>
  <c r="D79"/>
  <c r="E79"/>
  <c r="F79" s="1"/>
  <c r="A23" i="9"/>
  <c r="D22"/>
  <c r="E22"/>
  <c r="F22" s="1"/>
  <c r="A22" i="8"/>
  <c r="D21"/>
  <c r="E21"/>
  <c r="F21" s="1"/>
  <c r="A21" i="7"/>
  <c r="D20"/>
  <c r="E20"/>
  <c r="F20" s="1"/>
  <c r="A20" i="6"/>
  <c r="E19"/>
  <c r="F19" s="1"/>
  <c r="D19"/>
  <c r="A19" i="5"/>
  <c r="D18"/>
  <c r="E18"/>
  <c r="F18" s="1"/>
  <c r="D16" i="1"/>
  <c r="C16"/>
  <c r="C20" i="7"/>
  <c r="C79" i="11"/>
  <c r="J15"/>
  <c r="C19" i="6"/>
  <c r="C18" i="5"/>
  <c r="J15"/>
  <c r="C21" i="8"/>
  <c r="J15" i="9"/>
  <c r="J15" i="1"/>
  <c r="C22" i="9"/>
  <c r="J15" i="6"/>
  <c r="J15" i="8"/>
  <c r="J15" i="7"/>
  <c r="I16" i="11" l="1"/>
  <c r="I16" i="6"/>
  <c r="I16" i="9"/>
  <c r="I16" i="8"/>
  <c r="I16" i="7"/>
  <c r="I16" i="5"/>
  <c r="I16" i="1"/>
  <c r="B15" i="8"/>
  <c r="B15" i="6"/>
  <c r="B15" i="9"/>
  <c r="B15" i="11"/>
  <c r="B15" i="7"/>
  <c r="B15" i="5"/>
  <c r="B15" i="1"/>
  <c r="E17"/>
  <c r="F17" s="1"/>
  <c r="A18"/>
  <c r="A81" i="11"/>
  <c r="D80"/>
  <c r="E80"/>
  <c r="F80" s="1"/>
  <c r="A24" i="9"/>
  <c r="D23"/>
  <c r="E23"/>
  <c r="F23" s="1"/>
  <c r="A23" i="8"/>
  <c r="D22"/>
  <c r="E22"/>
  <c r="F22" s="1"/>
  <c r="A22" i="7"/>
  <c r="D21"/>
  <c r="E21"/>
  <c r="F21" s="1"/>
  <c r="A21" i="6"/>
  <c r="D20"/>
  <c r="E20"/>
  <c r="F20" s="1"/>
  <c r="A20" i="5"/>
  <c r="E19"/>
  <c r="F19" s="1"/>
  <c r="D19"/>
  <c r="D17" i="1"/>
  <c r="J16" i="7"/>
  <c r="C21"/>
  <c r="C80" i="11"/>
  <c r="J16" i="8"/>
  <c r="C20" i="6"/>
  <c r="C23" i="9"/>
  <c r="J16" i="11"/>
  <c r="C22" i="8"/>
  <c r="C17" i="1"/>
  <c r="J16"/>
  <c r="C19" i="5"/>
  <c r="J16" i="9"/>
  <c r="J16" i="6"/>
  <c r="J16" i="5"/>
  <c r="I17" i="7" l="1"/>
  <c r="I17" i="11"/>
  <c r="I17" i="6"/>
  <c r="I17" i="5"/>
  <c r="I17" i="8"/>
  <c r="I17" i="9"/>
  <c r="I17" i="1"/>
  <c r="B16" i="5"/>
  <c r="B16" i="11"/>
  <c r="B16" i="6"/>
  <c r="B16" i="9"/>
  <c r="B16" i="7"/>
  <c r="B16" i="8"/>
  <c r="B16" i="1"/>
  <c r="A19"/>
  <c r="E18"/>
  <c r="F18" s="1"/>
  <c r="A82" i="11"/>
  <c r="D81"/>
  <c r="E81"/>
  <c r="F81" s="1"/>
  <c r="A25" i="9"/>
  <c r="D24"/>
  <c r="E24"/>
  <c r="F24" s="1"/>
  <c r="A24" i="8"/>
  <c r="D23"/>
  <c r="E23"/>
  <c r="F23" s="1"/>
  <c r="A23" i="7"/>
  <c r="D22"/>
  <c r="E22"/>
  <c r="F22" s="1"/>
  <c r="A22" i="6"/>
  <c r="E21"/>
  <c r="F21" s="1"/>
  <c r="D21"/>
  <c r="A21" i="5"/>
  <c r="D20"/>
  <c r="E20"/>
  <c r="F20" s="1"/>
  <c r="D18" i="1"/>
  <c r="C20" i="5"/>
  <c r="C21" i="6"/>
  <c r="C23" i="8"/>
  <c r="J17" i="9"/>
  <c r="J17" i="1"/>
  <c r="C22" i="7"/>
  <c r="J17" i="6"/>
  <c r="J17" i="7"/>
  <c r="C81" i="11"/>
  <c r="C18" i="1"/>
  <c r="J17" i="8"/>
  <c r="J17" i="11"/>
  <c r="C24" i="9"/>
  <c r="J17" i="5"/>
  <c r="I18" i="8" l="1"/>
  <c r="I18" i="7"/>
  <c r="I18" i="11"/>
  <c r="I18" i="9"/>
  <c r="I18" i="5"/>
  <c r="I18" i="6"/>
  <c r="I18" i="1"/>
  <c r="B17" i="11"/>
  <c r="B17" i="6"/>
  <c r="B17" i="9"/>
  <c r="B17" i="8"/>
  <c r="B17" i="7"/>
  <c r="B17" i="5"/>
  <c r="B17" i="1"/>
  <c r="E19"/>
  <c r="F19" s="1"/>
  <c r="A20"/>
  <c r="A83" i="11"/>
  <c r="D82"/>
  <c r="E82"/>
  <c r="F82" s="1"/>
  <c r="A26" i="9"/>
  <c r="D25"/>
  <c r="E25"/>
  <c r="F25" s="1"/>
  <c r="A25" i="8"/>
  <c r="D24"/>
  <c r="E24"/>
  <c r="F24" s="1"/>
  <c r="A24" i="7"/>
  <c r="D23"/>
  <c r="E23"/>
  <c r="F23" s="1"/>
  <c r="A23" i="6"/>
  <c r="D22"/>
  <c r="E22"/>
  <c r="F22" s="1"/>
  <c r="A22" i="5"/>
  <c r="D21"/>
  <c r="E21"/>
  <c r="F21" s="1"/>
  <c r="D19" i="1"/>
  <c r="J18" i="8"/>
  <c r="C22" i="6"/>
  <c r="C19" i="1"/>
  <c r="J18"/>
  <c r="C24" i="8"/>
  <c r="J18" i="6"/>
  <c r="J18" i="7"/>
  <c r="C82" i="11"/>
  <c r="C21" i="5"/>
  <c r="J18" i="11"/>
  <c r="C25" i="9"/>
  <c r="C23" i="7"/>
  <c r="J18" i="5"/>
  <c r="J18" i="9"/>
  <c r="I19" l="1"/>
  <c r="I19" i="8"/>
  <c r="I19" i="11"/>
  <c r="I19" i="7"/>
  <c r="I19" i="5"/>
  <c r="I19" i="6"/>
  <c r="I19" i="1"/>
  <c r="B18" i="6"/>
  <c r="B18" i="9"/>
  <c r="B18" i="8"/>
  <c r="B18" i="5"/>
  <c r="B18" i="7"/>
  <c r="B18" i="11"/>
  <c r="B18" i="1"/>
  <c r="E20"/>
  <c r="F20" s="1"/>
  <c r="A21"/>
  <c r="A84" i="11"/>
  <c r="D83"/>
  <c r="E83"/>
  <c r="F83" s="1"/>
  <c r="A27" i="9"/>
  <c r="D26"/>
  <c r="E26"/>
  <c r="F26" s="1"/>
  <c r="A26" i="8"/>
  <c r="D25"/>
  <c r="E25"/>
  <c r="F25" s="1"/>
  <c r="A25" i="7"/>
  <c r="D24"/>
  <c r="E24"/>
  <c r="F24" s="1"/>
  <c r="A24" i="6"/>
  <c r="D23"/>
  <c r="E23"/>
  <c r="F23" s="1"/>
  <c r="A23" i="5"/>
  <c r="D22"/>
  <c r="E22"/>
  <c r="F22" s="1"/>
  <c r="D20" i="1"/>
  <c r="C25" i="8"/>
  <c r="C23" i="6"/>
  <c r="C24" i="7"/>
  <c r="J19" i="1"/>
  <c r="C20"/>
  <c r="J19" i="11"/>
  <c r="J19" i="6"/>
  <c r="C83" i="11"/>
  <c r="C22" i="5"/>
  <c r="J19" i="8"/>
  <c r="J19" i="5"/>
  <c r="C26" i="9"/>
  <c r="J19"/>
  <c r="J19" i="7"/>
  <c r="I20" i="11" l="1"/>
  <c r="I20" i="6"/>
  <c r="I20" i="9"/>
  <c r="I20" i="7"/>
  <c r="I20" i="5"/>
  <c r="I20" i="8"/>
  <c r="I20" i="1"/>
  <c r="B19" i="9"/>
  <c r="B19" i="5"/>
  <c r="B19" i="11"/>
  <c r="B19" i="8"/>
  <c r="B19" i="7"/>
  <c r="B19" i="6"/>
  <c r="B19" i="1"/>
  <c r="E21"/>
  <c r="F21" s="1"/>
  <c r="A22"/>
  <c r="A85" i="11"/>
  <c r="D84"/>
  <c r="E84"/>
  <c r="F84" s="1"/>
  <c r="A28" i="9"/>
  <c r="D27"/>
  <c r="E27"/>
  <c r="F27" s="1"/>
  <c r="A27" i="8"/>
  <c r="D26"/>
  <c r="E26"/>
  <c r="F26" s="1"/>
  <c r="A26" i="7"/>
  <c r="D25"/>
  <c r="E25"/>
  <c r="F25" s="1"/>
  <c r="A25" i="6"/>
  <c r="D24"/>
  <c r="E24"/>
  <c r="F24" s="1"/>
  <c r="A24" i="5"/>
  <c r="D23"/>
  <c r="E23"/>
  <c r="F23" s="1"/>
  <c r="D21" i="1"/>
  <c r="C21"/>
  <c r="J20" i="9"/>
  <c r="C26" i="8"/>
  <c r="C25" i="7"/>
  <c r="J20" i="1"/>
  <c r="C23" i="5"/>
  <c r="J20" i="11"/>
  <c r="J20" i="6"/>
  <c r="C24"/>
  <c r="C27" i="9"/>
  <c r="J20" i="8"/>
  <c r="J20" i="5"/>
  <c r="C84" i="11"/>
  <c r="J20" i="7"/>
  <c r="I21" l="1"/>
  <c r="I21" i="11"/>
  <c r="I21" i="6"/>
  <c r="I21" i="5"/>
  <c r="I21" i="9"/>
  <c r="I21" i="8"/>
  <c r="I21" i="1"/>
  <c r="B20" i="6"/>
  <c r="B20" i="8"/>
  <c r="B20" i="5"/>
  <c r="B20" i="11"/>
  <c r="B20" i="7"/>
  <c r="B20" i="9"/>
  <c r="B20" i="1"/>
  <c r="E22"/>
  <c r="F22" s="1"/>
  <c r="A23"/>
  <c r="A86" i="11"/>
  <c r="D85"/>
  <c r="E85"/>
  <c r="F85" s="1"/>
  <c r="A29" i="9"/>
  <c r="D28"/>
  <c r="E28"/>
  <c r="F28" s="1"/>
  <c r="A28" i="8"/>
  <c r="D27"/>
  <c r="E27"/>
  <c r="F27" s="1"/>
  <c r="A27" i="7"/>
  <c r="D26"/>
  <c r="E26"/>
  <c r="F26" s="1"/>
  <c r="A26" i="6"/>
  <c r="E25"/>
  <c r="F25" s="1"/>
  <c r="D25"/>
  <c r="A25" i="5"/>
  <c r="D24"/>
  <c r="E24"/>
  <c r="F24" s="1"/>
  <c r="D22" i="1"/>
  <c r="C24" i="5"/>
  <c r="C27" i="8"/>
  <c r="C22" i="1"/>
  <c r="J21"/>
  <c r="C28" i="9"/>
  <c r="J21" i="6"/>
  <c r="J21" i="11"/>
  <c r="C26" i="7"/>
  <c r="C25" i="6"/>
  <c r="J21" i="8"/>
  <c r="J21" i="5"/>
  <c r="C85" i="11"/>
  <c r="J21" i="7"/>
  <c r="J21" i="9"/>
  <c r="I22" i="8" l="1"/>
  <c r="I22" i="7"/>
  <c r="I22" i="6"/>
  <c r="I22" i="11"/>
  <c r="I22" i="9"/>
  <c r="I22" i="5"/>
  <c r="I22" i="1"/>
  <c r="B21" i="9"/>
  <c r="B21" i="5"/>
  <c r="B21" i="11"/>
  <c r="B21" i="8"/>
  <c r="B21" i="7"/>
  <c r="B21" i="6"/>
  <c r="B21" i="1"/>
  <c r="E23"/>
  <c r="F23" s="1"/>
  <c r="A24"/>
  <c r="A87" i="11"/>
  <c r="D86"/>
  <c r="E86"/>
  <c r="F86" s="1"/>
  <c r="A30" i="9"/>
  <c r="D29"/>
  <c r="E29"/>
  <c r="F29" s="1"/>
  <c r="A29" i="8"/>
  <c r="D28"/>
  <c r="E28"/>
  <c r="F28" s="1"/>
  <c r="A28" i="7"/>
  <c r="D27"/>
  <c r="E27"/>
  <c r="F27" s="1"/>
  <c r="A27" i="6"/>
  <c r="D26"/>
  <c r="E26"/>
  <c r="F26" s="1"/>
  <c r="A26" i="5"/>
  <c r="D25"/>
  <c r="E25"/>
  <c r="F25" s="1"/>
  <c r="D23" i="1"/>
  <c r="C26" i="6"/>
  <c r="C27" i="7"/>
  <c r="J22" i="1"/>
  <c r="C23"/>
  <c r="J22" i="6"/>
  <c r="J22" i="7"/>
  <c r="C86" i="11"/>
  <c r="C25" i="5"/>
  <c r="J22" i="8"/>
  <c r="C29" i="9"/>
  <c r="C28" i="8"/>
  <c r="J22" i="9"/>
  <c r="J22" i="11"/>
  <c r="J22" i="5"/>
  <c r="I23" i="9" l="1"/>
  <c r="I23" i="8"/>
  <c r="I23" i="6"/>
  <c r="I23" i="5"/>
  <c r="I23" i="11"/>
  <c r="I23" i="7"/>
  <c r="I23" i="1"/>
  <c r="B22" i="5"/>
  <c r="B22" i="8"/>
  <c r="B22" i="6"/>
  <c r="B22" i="11"/>
  <c r="B22" i="7"/>
  <c r="B22" i="9"/>
  <c r="B22" i="1"/>
  <c r="E24"/>
  <c r="F24" s="1"/>
  <c r="A25"/>
  <c r="A88" i="11"/>
  <c r="D87"/>
  <c r="E87"/>
  <c r="F87" s="1"/>
  <c r="A31" i="9"/>
  <c r="D30"/>
  <c r="E30"/>
  <c r="F30" s="1"/>
  <c r="A30" i="8"/>
  <c r="D29"/>
  <c r="E29"/>
  <c r="F29" s="1"/>
  <c r="A29" i="7"/>
  <c r="D28"/>
  <c r="E28"/>
  <c r="F28" s="1"/>
  <c r="A28" i="6"/>
  <c r="D27"/>
  <c r="E27"/>
  <c r="F27" s="1"/>
  <c r="A27" i="5"/>
  <c r="D26"/>
  <c r="E26"/>
  <c r="F26" s="1"/>
  <c r="D24" i="1"/>
  <c r="C30" i="9"/>
  <c r="C26" i="5"/>
  <c r="J23" i="1"/>
  <c r="J23" i="11"/>
  <c r="C29" i="8"/>
  <c r="C27" i="6"/>
  <c r="C28" i="7"/>
  <c r="J23" i="5"/>
  <c r="C24" i="1"/>
  <c r="J23" i="9"/>
  <c r="C87" i="11"/>
  <c r="J23" i="8"/>
  <c r="J23" i="6"/>
  <c r="J23" i="7"/>
  <c r="I24" i="11" l="1"/>
  <c r="I24" i="9"/>
  <c r="I24" i="8"/>
  <c r="I24" i="5"/>
  <c r="I24" i="6"/>
  <c r="I24" i="7"/>
  <c r="I24" i="1"/>
  <c r="B23" i="8"/>
  <c r="B23" i="11"/>
  <c r="B23" i="9"/>
  <c r="B23" i="6"/>
  <c r="B23" i="7"/>
  <c r="B23" i="5"/>
  <c r="B23" i="1"/>
  <c r="E25"/>
  <c r="F25" s="1"/>
  <c r="A26"/>
  <c r="A89" i="11"/>
  <c r="D88"/>
  <c r="E88"/>
  <c r="F88" s="1"/>
  <c r="A32" i="9"/>
  <c r="D31"/>
  <c r="E31"/>
  <c r="F31" s="1"/>
  <c r="A31" i="8"/>
  <c r="D30"/>
  <c r="E30"/>
  <c r="F30" s="1"/>
  <c r="A30" i="7"/>
  <c r="D29"/>
  <c r="E29"/>
  <c r="F29" s="1"/>
  <c r="A29" i="6"/>
  <c r="D28"/>
  <c r="E28"/>
  <c r="F28" s="1"/>
  <c r="A28" i="5"/>
  <c r="D27"/>
  <c r="E27"/>
  <c r="F27" s="1"/>
  <c r="D25" i="1"/>
  <c r="C25"/>
  <c r="J24" i="9"/>
  <c r="J24" i="11"/>
  <c r="C30" i="8"/>
  <c r="C28" i="6"/>
  <c r="J24"/>
  <c r="C29" i="7"/>
  <c r="C31" i="9"/>
  <c r="J24" i="5"/>
  <c r="C27"/>
  <c r="J24" i="1"/>
  <c r="C88" i="11"/>
  <c r="J24" i="8"/>
  <c r="J24" i="7"/>
  <c r="I25" l="1"/>
  <c r="I25" i="11"/>
  <c r="I25" i="6"/>
  <c r="I25" i="5"/>
  <c r="I25" i="9"/>
  <c r="I25" i="8"/>
  <c r="I25" i="1"/>
  <c r="B24" i="11"/>
  <c r="B24" i="6"/>
  <c r="B24" i="5"/>
  <c r="B24" i="9"/>
  <c r="B24" i="7"/>
  <c r="B24" i="8"/>
  <c r="B24" i="1"/>
  <c r="A27"/>
  <c r="E26"/>
  <c r="F26" s="1"/>
  <c r="A90" i="11"/>
  <c r="D89"/>
  <c r="E89"/>
  <c r="F89" s="1"/>
  <c r="A33" i="9"/>
  <c r="D32"/>
  <c r="E32"/>
  <c r="F32" s="1"/>
  <c r="A32" i="8"/>
  <c r="D31"/>
  <c r="E31"/>
  <c r="F31" s="1"/>
  <c r="A31" i="7"/>
  <c r="D30"/>
  <c r="E30"/>
  <c r="F30" s="1"/>
  <c r="A30" i="6"/>
  <c r="D29"/>
  <c r="E29"/>
  <c r="F29" s="1"/>
  <c r="A29" i="5"/>
  <c r="D28"/>
  <c r="E28"/>
  <c r="F28" s="1"/>
  <c r="D26" i="1"/>
  <c r="C30" i="7"/>
  <c r="C31" i="8"/>
  <c r="C28" i="5"/>
  <c r="J25" i="7"/>
  <c r="C26" i="1"/>
  <c r="C29" i="6"/>
  <c r="J25" i="5"/>
  <c r="C32" i="9"/>
  <c r="J25"/>
  <c r="J25" i="1"/>
  <c r="C89" i="11"/>
  <c r="J25" i="6"/>
  <c r="J25" i="11"/>
  <c r="J25" i="8"/>
  <c r="I26" l="1"/>
  <c r="I26" i="7"/>
  <c r="I26" i="5"/>
  <c r="I26" i="11"/>
  <c r="I26" i="9"/>
  <c r="I26" i="6"/>
  <c r="I26" i="1"/>
  <c r="B25" i="8"/>
  <c r="B25" i="9"/>
  <c r="B25" i="6"/>
  <c r="B25" i="5"/>
  <c r="B25" i="7"/>
  <c r="B25" i="11"/>
  <c r="B25" i="1"/>
  <c r="E27"/>
  <c r="F27" s="1"/>
  <c r="A28"/>
  <c r="A91" i="11"/>
  <c r="D90"/>
  <c r="E90"/>
  <c r="F90" s="1"/>
  <c r="A34" i="9"/>
  <c r="D33"/>
  <c r="E33"/>
  <c r="F33" s="1"/>
  <c r="A33" i="8"/>
  <c r="D32"/>
  <c r="E32"/>
  <c r="F32" s="1"/>
  <c r="A32" i="7"/>
  <c r="D31"/>
  <c r="E31"/>
  <c r="F31" s="1"/>
  <c r="A31" i="6"/>
  <c r="D30"/>
  <c r="E30"/>
  <c r="F30" s="1"/>
  <c r="A30" i="5"/>
  <c r="D29"/>
  <c r="E29"/>
  <c r="F29" s="1"/>
  <c r="D27" i="1"/>
  <c r="J26" i="5"/>
  <c r="J26" i="9"/>
  <c r="J26" i="1"/>
  <c r="C33" i="9"/>
  <c r="C32" i="8"/>
  <c r="J26"/>
  <c r="C27" i="1"/>
  <c r="C31" i="7"/>
  <c r="C90" i="11"/>
  <c r="C29" i="5"/>
  <c r="C30" i="6"/>
  <c r="J26" i="11"/>
  <c r="J26" i="7"/>
  <c r="J26" i="6"/>
  <c r="I27" i="9" l="1"/>
  <c r="I27" i="8"/>
  <c r="I27" i="11"/>
  <c r="I27" i="7"/>
  <c r="I27" i="6"/>
  <c r="I27" i="5"/>
  <c r="I27" i="1"/>
  <c r="B26" i="9"/>
  <c r="B26" i="6"/>
  <c r="B26" i="5"/>
  <c r="B26" i="11"/>
  <c r="B26" i="7"/>
  <c r="B26" i="8"/>
  <c r="B26" i="1"/>
  <c r="E28"/>
  <c r="F28" s="1"/>
  <c r="A29"/>
  <c r="A92" i="11"/>
  <c r="D91"/>
  <c r="E91"/>
  <c r="F91" s="1"/>
  <c r="A35" i="9"/>
  <c r="D34"/>
  <c r="E34"/>
  <c r="F34" s="1"/>
  <c r="A34" i="8"/>
  <c r="D33"/>
  <c r="E33"/>
  <c r="F33" s="1"/>
  <c r="A33" i="7"/>
  <c r="D32"/>
  <c r="E32"/>
  <c r="F32" s="1"/>
  <c r="A32" i="6"/>
  <c r="E31"/>
  <c r="F31" s="1"/>
  <c r="D31"/>
  <c r="A31" i="5"/>
  <c r="D30"/>
  <c r="E30"/>
  <c r="F30" s="1"/>
  <c r="D28" i="1"/>
  <c r="C34" i="9"/>
  <c r="C91" i="11"/>
  <c r="J27" i="9"/>
  <c r="C31" i="6"/>
  <c r="C30" i="5"/>
  <c r="J27" i="6"/>
  <c r="C28" i="1"/>
  <c r="J27" i="11"/>
  <c r="C33" i="8"/>
  <c r="J27" i="5"/>
  <c r="J27" i="1"/>
  <c r="C32" i="7"/>
  <c r="J27" i="8"/>
  <c r="J27" i="7"/>
  <c r="I28" i="11" l="1"/>
  <c r="I28" i="9"/>
  <c r="I28" i="6"/>
  <c r="I28" i="5"/>
  <c r="I28" i="7"/>
  <c r="I28" i="8"/>
  <c r="I28" i="1"/>
  <c r="B27" i="6"/>
  <c r="B27" i="11"/>
  <c r="B27" i="8"/>
  <c r="B27" i="5"/>
  <c r="B27" i="7"/>
  <c r="B27" i="9"/>
  <c r="B27" i="1"/>
  <c r="E29"/>
  <c r="F29" s="1"/>
  <c r="A30"/>
  <c r="A93" i="11"/>
  <c r="D92"/>
  <c r="E92"/>
  <c r="F92" s="1"/>
  <c r="A36" i="9"/>
  <c r="D35"/>
  <c r="E35"/>
  <c r="F35" s="1"/>
  <c r="A35" i="8"/>
  <c r="D34"/>
  <c r="E34"/>
  <c r="F34" s="1"/>
  <c r="A34" i="7"/>
  <c r="D33"/>
  <c r="E33"/>
  <c r="F33" s="1"/>
  <c r="A33" i="6"/>
  <c r="D32"/>
  <c r="E32"/>
  <c r="F32" s="1"/>
  <c r="A32" i="5"/>
  <c r="D31"/>
  <c r="E31"/>
  <c r="F31" s="1"/>
  <c r="D29" i="1"/>
  <c r="C34" i="8"/>
  <c r="C35" i="9"/>
  <c r="C33" i="7"/>
  <c r="J28"/>
  <c r="C29" i="1"/>
  <c r="C31" i="5"/>
  <c r="J28" i="11"/>
  <c r="C92"/>
  <c r="J28" i="5"/>
  <c r="J28" i="1"/>
  <c r="C32" i="6"/>
  <c r="J28" i="9"/>
  <c r="J28" i="6"/>
  <c r="J28" i="8"/>
  <c r="I29" i="7" l="1"/>
  <c r="I29" i="11"/>
  <c r="I29" i="6"/>
  <c r="I29" i="5"/>
  <c r="I29" i="9"/>
  <c r="I29" i="8"/>
  <c r="I29" i="1"/>
  <c r="B28" i="8"/>
  <c r="B28" i="5"/>
  <c r="B28" i="7"/>
  <c r="B28" i="6"/>
  <c r="B28" i="9"/>
  <c r="B28" i="11"/>
  <c r="B28" i="1"/>
  <c r="E30"/>
  <c r="F30" s="1"/>
  <c r="A31"/>
  <c r="A94" i="11"/>
  <c r="D93"/>
  <c r="E93"/>
  <c r="F93" s="1"/>
  <c r="A37" i="9"/>
  <c r="D36"/>
  <c r="E36"/>
  <c r="F36" s="1"/>
  <c r="A36" i="8"/>
  <c r="D35"/>
  <c r="E35"/>
  <c r="F35" s="1"/>
  <c r="A35" i="7"/>
  <c r="D34"/>
  <c r="E34"/>
  <c r="F34" s="1"/>
  <c r="A34" i="6"/>
  <c r="E33"/>
  <c r="F33" s="1"/>
  <c r="D33"/>
  <c r="A33" i="5"/>
  <c r="D32"/>
  <c r="E32"/>
  <c r="F32" s="1"/>
  <c r="D30" i="1"/>
  <c r="J29" i="6"/>
  <c r="C93" i="11"/>
  <c r="C30" i="1"/>
  <c r="J29" i="11"/>
  <c r="J29" i="1"/>
  <c r="C34" i="7"/>
  <c r="J29" i="5"/>
  <c r="J29" i="8"/>
  <c r="C32" i="5"/>
  <c r="C35" i="8"/>
  <c r="J29" i="9"/>
  <c r="J29" i="7"/>
  <c r="C36" i="9"/>
  <c r="C33" i="6"/>
  <c r="I30" i="8" l="1"/>
  <c r="I30" i="7"/>
  <c r="I30" i="11"/>
  <c r="I30" i="9"/>
  <c r="I30" i="6"/>
  <c r="I30" i="5"/>
  <c r="I30" i="1"/>
  <c r="B29" i="9"/>
  <c r="B29" i="8"/>
  <c r="B29" i="11"/>
  <c r="B29" i="5"/>
  <c r="B29" i="7"/>
  <c r="B29" i="6"/>
  <c r="B29" i="1"/>
  <c r="A32"/>
  <c r="E31"/>
  <c r="F31" s="1"/>
  <c r="A95" i="11"/>
  <c r="D94"/>
  <c r="E94"/>
  <c r="F94" s="1"/>
  <c r="A38" i="9"/>
  <c r="D37"/>
  <c r="E37"/>
  <c r="F37" s="1"/>
  <c r="A37" i="8"/>
  <c r="D36"/>
  <c r="E36"/>
  <c r="F36" s="1"/>
  <c r="A36" i="7"/>
  <c r="D35"/>
  <c r="E35"/>
  <c r="F35" s="1"/>
  <c r="A35" i="6"/>
  <c r="D34"/>
  <c r="E34"/>
  <c r="F34" s="1"/>
  <c r="A34" i="5"/>
  <c r="D33"/>
  <c r="E33"/>
  <c r="F33" s="1"/>
  <c r="D31" i="1"/>
  <c r="J30" i="6"/>
  <c r="J30" i="5"/>
  <c r="C34" i="6"/>
  <c r="C31" i="1"/>
  <c r="J30" i="8"/>
  <c r="C36"/>
  <c r="C33" i="5"/>
  <c r="J30" i="11"/>
  <c r="C94"/>
  <c r="C35" i="7"/>
  <c r="J30" i="1"/>
  <c r="C37" i="9"/>
  <c r="J30"/>
  <c r="J30" i="7"/>
  <c r="I31" i="9" l="1"/>
  <c r="I31" i="8"/>
  <c r="I31" i="5"/>
  <c r="I31" i="11"/>
  <c r="I31" i="7"/>
  <c r="I31" i="6"/>
  <c r="I31" i="1"/>
  <c r="B30" i="6"/>
  <c r="B30" i="8"/>
  <c r="B30" i="11"/>
  <c r="B30" i="5"/>
  <c r="B30" i="7"/>
  <c r="B30" i="9"/>
  <c r="B30" i="1"/>
  <c r="A33"/>
  <c r="E32"/>
  <c r="F32" s="1"/>
  <c r="A96" i="11"/>
  <c r="D95"/>
  <c r="E95"/>
  <c r="F95" s="1"/>
  <c r="A39" i="9"/>
  <c r="D38"/>
  <c r="E38"/>
  <c r="F38" s="1"/>
  <c r="A38" i="8"/>
  <c r="D37"/>
  <c r="E37"/>
  <c r="F37" s="1"/>
  <c r="A37" i="7"/>
  <c r="D36"/>
  <c r="E36"/>
  <c r="F36" s="1"/>
  <c r="A36" i="6"/>
  <c r="E35"/>
  <c r="F35" s="1"/>
  <c r="D35"/>
  <c r="A35" i="5"/>
  <c r="D34"/>
  <c r="E34"/>
  <c r="F34" s="1"/>
  <c r="D32" i="1"/>
  <c r="J31" i="8"/>
  <c r="C37"/>
  <c r="C95" i="11"/>
  <c r="J31" i="5"/>
  <c r="J31" i="1"/>
  <c r="C36" i="7"/>
  <c r="J31" i="9"/>
  <c r="J31" i="7"/>
  <c r="C35" i="6"/>
  <c r="C34" i="5"/>
  <c r="J31" i="6"/>
  <c r="C32" i="1"/>
  <c r="C38" i="9"/>
  <c r="J31" i="11"/>
  <c r="I32" l="1"/>
  <c r="I32" i="9"/>
  <c r="I32" i="8"/>
  <c r="I32" i="7"/>
  <c r="I32" i="6"/>
  <c r="I32" i="5"/>
  <c r="I32" i="1"/>
  <c r="B31" i="9"/>
  <c r="B31" i="8"/>
  <c r="B31" i="11"/>
  <c r="B31" i="5"/>
  <c r="B31" i="7"/>
  <c r="B31" i="6"/>
  <c r="B31" i="1"/>
  <c r="A34"/>
  <c r="E33"/>
  <c r="F33" s="1"/>
  <c r="A97" i="11"/>
  <c r="D96"/>
  <c r="E96"/>
  <c r="F96" s="1"/>
  <c r="A40" i="9"/>
  <c r="D39"/>
  <c r="E39"/>
  <c r="F39" s="1"/>
  <c r="A39" i="8"/>
  <c r="D38"/>
  <c r="E38"/>
  <c r="F38" s="1"/>
  <c r="A38" i="7"/>
  <c r="D37"/>
  <c r="E37"/>
  <c r="F37" s="1"/>
  <c r="A37" i="6"/>
  <c r="D36"/>
  <c r="E36"/>
  <c r="F36" s="1"/>
  <c r="A36" i="5"/>
  <c r="D35"/>
  <c r="E35"/>
  <c r="F35" s="1"/>
  <c r="D33" i="1"/>
  <c r="J32" i="5"/>
  <c r="C36" i="6"/>
  <c r="C37" i="7"/>
  <c r="J32" i="6"/>
  <c r="C39" i="9"/>
  <c r="C38" i="8"/>
  <c r="J32" i="11"/>
  <c r="C35" i="5"/>
  <c r="C33" i="1"/>
  <c r="J32"/>
  <c r="C96" i="11"/>
  <c r="J32" i="7"/>
  <c r="J32" i="8"/>
  <c r="J32" i="9"/>
  <c r="I33" i="7" l="1"/>
  <c r="I33" i="11"/>
  <c r="I33" i="6"/>
  <c r="I33" i="5"/>
  <c r="I33" i="8"/>
  <c r="I33" i="9"/>
  <c r="I33" i="1"/>
  <c r="B32" i="6"/>
  <c r="B32" i="8"/>
  <c r="B32" i="11"/>
  <c r="B32" i="5"/>
  <c r="B32" i="7"/>
  <c r="B32" i="9"/>
  <c r="B32" i="1"/>
  <c r="A35"/>
  <c r="E34"/>
  <c r="F34" s="1"/>
  <c r="A98" i="11"/>
  <c r="D97"/>
  <c r="E97"/>
  <c r="F97" s="1"/>
  <c r="A41" i="9"/>
  <c r="D40"/>
  <c r="E40"/>
  <c r="F40" s="1"/>
  <c r="A40" i="8"/>
  <c r="D39"/>
  <c r="E39"/>
  <c r="F39" s="1"/>
  <c r="A39" i="7"/>
  <c r="D38"/>
  <c r="E38"/>
  <c r="F38" s="1"/>
  <c r="A38" i="6"/>
  <c r="E37"/>
  <c r="F37" s="1"/>
  <c r="D37"/>
  <c r="A37" i="5"/>
  <c r="D36"/>
  <c r="E36"/>
  <c r="F36" s="1"/>
  <c r="D34" i="1"/>
  <c r="J33"/>
  <c r="J33" i="7"/>
  <c r="C37" i="6"/>
  <c r="C39" i="8"/>
  <c r="J33"/>
  <c r="C36" i="5"/>
  <c r="C97" i="11"/>
  <c r="C34" i="1"/>
  <c r="C40" i="9"/>
  <c r="J33" i="5"/>
  <c r="C38" i="7"/>
  <c r="J33" i="6"/>
  <c r="J33" i="11"/>
  <c r="J33" i="9"/>
  <c r="I34" i="8" l="1"/>
  <c r="I34" i="7"/>
  <c r="I34" i="6"/>
  <c r="I34" i="9"/>
  <c r="I34" i="11"/>
  <c r="I34" i="5"/>
  <c r="I34" i="1"/>
  <c r="B33" i="9"/>
  <c r="B33" i="8"/>
  <c r="B33" i="11"/>
  <c r="B33" i="5"/>
  <c r="B33" i="7"/>
  <c r="B33" i="6"/>
  <c r="B33" i="1"/>
  <c r="A36"/>
  <c r="E35"/>
  <c r="F35" s="1"/>
  <c r="A99" i="11"/>
  <c r="D98"/>
  <c r="E98"/>
  <c r="F98" s="1"/>
  <c r="A42" i="9"/>
  <c r="D41"/>
  <c r="E41"/>
  <c r="F41" s="1"/>
  <c r="A41" i="8"/>
  <c r="D40"/>
  <c r="E40"/>
  <c r="F40" s="1"/>
  <c r="A40" i="7"/>
  <c r="D39"/>
  <c r="E39"/>
  <c r="F39" s="1"/>
  <c r="A39" i="6"/>
  <c r="D38"/>
  <c r="E38"/>
  <c r="F38" s="1"/>
  <c r="A38" i="5"/>
  <c r="D37"/>
  <c r="E37"/>
  <c r="F37" s="1"/>
  <c r="D35" i="1"/>
  <c r="C41" i="9"/>
  <c r="C37" i="5"/>
  <c r="C35" i="1"/>
  <c r="J34" i="8"/>
  <c r="C40"/>
  <c r="C38" i="6"/>
  <c r="J34" i="11"/>
  <c r="C98"/>
  <c r="J34" i="5"/>
  <c r="J34" i="1"/>
  <c r="C39" i="7"/>
  <c r="J34" i="9"/>
  <c r="J34" i="6"/>
  <c r="J34" i="7"/>
  <c r="I35" i="9" l="1"/>
  <c r="I35" i="8"/>
  <c r="I35" i="11"/>
  <c r="I35" i="7"/>
  <c r="I35" i="5"/>
  <c r="I35" i="6"/>
  <c r="I35" i="1"/>
  <c r="B34" i="6"/>
  <c r="B34" i="8"/>
  <c r="B34" i="11"/>
  <c r="B34" i="5"/>
  <c r="B34" i="7"/>
  <c r="B34" i="9"/>
  <c r="B34" i="1"/>
  <c r="A37"/>
  <c r="E36"/>
  <c r="F36" s="1"/>
  <c r="A100" i="11"/>
  <c r="D99"/>
  <c r="E99"/>
  <c r="F99" s="1"/>
  <c r="A43" i="9"/>
  <c r="D42"/>
  <c r="E42"/>
  <c r="F42" s="1"/>
  <c r="A42" i="8"/>
  <c r="D41"/>
  <c r="E41"/>
  <c r="F41" s="1"/>
  <c r="A41" i="7"/>
  <c r="D40"/>
  <c r="E40"/>
  <c r="F40" s="1"/>
  <c r="A40" i="6"/>
  <c r="D39"/>
  <c r="E39"/>
  <c r="F39" s="1"/>
  <c r="A39" i="5"/>
  <c r="D38"/>
  <c r="E38"/>
  <c r="F38" s="1"/>
  <c r="D36" i="1"/>
  <c r="C39" i="6"/>
  <c r="J35" i="5"/>
  <c r="J35" i="9"/>
  <c r="C41" i="8"/>
  <c r="C40" i="7"/>
  <c r="C42" i="9"/>
  <c r="C99" i="11"/>
  <c r="J35"/>
  <c r="C38" i="5"/>
  <c r="J35" i="1"/>
  <c r="C36"/>
  <c r="J35" i="7"/>
  <c r="J35" i="8"/>
  <c r="J35" i="6"/>
  <c r="I36" i="11" l="1"/>
  <c r="I36" i="9"/>
  <c r="I36" i="7"/>
  <c r="I36" i="5"/>
  <c r="I36" i="8"/>
  <c r="I36" i="6"/>
  <c r="I36" i="1"/>
  <c r="B35" i="6"/>
  <c r="B35" i="9"/>
  <c r="B35" i="8"/>
  <c r="B35" i="11"/>
  <c r="B35" i="5"/>
  <c r="B35" i="7"/>
  <c r="B35" i="1"/>
  <c r="A38"/>
  <c r="E37"/>
  <c r="F37" s="1"/>
  <c r="A101" i="11"/>
  <c r="D100"/>
  <c r="E100"/>
  <c r="F100" s="1"/>
  <c r="A44" i="9"/>
  <c r="D43"/>
  <c r="E43"/>
  <c r="F43" s="1"/>
  <c r="A43" i="8"/>
  <c r="D42"/>
  <c r="E42"/>
  <c r="F42" s="1"/>
  <c r="A42" i="7"/>
  <c r="D41"/>
  <c r="E41"/>
  <c r="F41" s="1"/>
  <c r="A41" i="6"/>
  <c r="E40"/>
  <c r="F40" s="1"/>
  <c r="D40"/>
  <c r="A40" i="5"/>
  <c r="D39"/>
  <c r="E39"/>
  <c r="F39" s="1"/>
  <c r="D37" i="1"/>
  <c r="J36" i="6"/>
  <c r="C37" i="1"/>
  <c r="C43" i="9"/>
  <c r="J36" i="1"/>
  <c r="C40" i="6"/>
  <c r="J36" i="9"/>
  <c r="J36" i="7"/>
  <c r="C100" i="11"/>
  <c r="C42" i="8"/>
  <c r="J36"/>
  <c r="C39" i="5"/>
  <c r="C41" i="7"/>
  <c r="J36" i="5"/>
  <c r="J36" i="11"/>
  <c r="I37" i="7" l="1"/>
  <c r="I37" i="11"/>
  <c r="I37" i="6"/>
  <c r="I37" i="9"/>
  <c r="I37" i="8"/>
  <c r="I37" i="5"/>
  <c r="I37" i="1"/>
  <c r="B36" i="5"/>
  <c r="B36" i="6"/>
  <c r="B36" i="7"/>
  <c r="B36" i="9"/>
  <c r="B36" i="8"/>
  <c r="B36" i="11"/>
  <c r="B36" i="1"/>
  <c r="A39"/>
  <c r="E38"/>
  <c r="F38" s="1"/>
  <c r="A102" i="11"/>
  <c r="D101"/>
  <c r="E101"/>
  <c r="F101" s="1"/>
  <c r="A45" i="9"/>
  <c r="D44"/>
  <c r="E44"/>
  <c r="F44" s="1"/>
  <c r="A44" i="8"/>
  <c r="D43"/>
  <c r="E43"/>
  <c r="F43" s="1"/>
  <c r="A43" i="7"/>
  <c r="D42"/>
  <c r="E42"/>
  <c r="F42" s="1"/>
  <c r="A42" i="6"/>
  <c r="D41"/>
  <c r="E41"/>
  <c r="F41" s="1"/>
  <c r="A41" i="5"/>
  <c r="D40"/>
  <c r="E40"/>
  <c r="F40" s="1"/>
  <c r="D38" i="1"/>
  <c r="C40" i="5"/>
  <c r="J37" i="7"/>
  <c r="J37" i="1"/>
  <c r="C101" i="11"/>
  <c r="C42" i="7"/>
  <c r="J37" i="8"/>
  <c r="C44" i="9"/>
  <c r="C43" i="8"/>
  <c r="J37" i="9"/>
  <c r="C38" i="1"/>
  <c r="C41" i="6"/>
  <c r="J37"/>
  <c r="J37" i="11"/>
  <c r="J37" i="5"/>
  <c r="I38" i="8" l="1"/>
  <c r="I38" i="7"/>
  <c r="I38" i="5"/>
  <c r="I38" i="11"/>
  <c r="I38" i="9"/>
  <c r="I38" i="6"/>
  <c r="I38" i="1"/>
  <c r="B37" i="11"/>
  <c r="B37" i="7"/>
  <c r="B37" i="9"/>
  <c r="B37" i="6"/>
  <c r="B37" i="8"/>
  <c r="B37" i="5"/>
  <c r="B37" i="1"/>
  <c r="A40"/>
  <c r="E39"/>
  <c r="F39" s="1"/>
  <c r="A103" i="11"/>
  <c r="D102"/>
  <c r="E102"/>
  <c r="F102" s="1"/>
  <c r="A46" i="9"/>
  <c r="D45"/>
  <c r="E45"/>
  <c r="F45" s="1"/>
  <c r="A45" i="8"/>
  <c r="D44"/>
  <c r="E44"/>
  <c r="F44" s="1"/>
  <c r="A44" i="7"/>
  <c r="D43"/>
  <c r="E43"/>
  <c r="F43" s="1"/>
  <c r="A43" i="6"/>
  <c r="E42"/>
  <c r="F42" s="1"/>
  <c r="D42"/>
  <c r="A42" i="5"/>
  <c r="D41"/>
  <c r="E41"/>
  <c r="F41" s="1"/>
  <c r="D39" i="1"/>
  <c r="C102" i="11"/>
  <c r="C41" i="5"/>
  <c r="C42" i="6"/>
  <c r="C39" i="1"/>
  <c r="J38" i="8"/>
  <c r="J38" i="11"/>
  <c r="C44" i="8"/>
  <c r="J38" i="5"/>
  <c r="C45" i="9"/>
  <c r="J38"/>
  <c r="J38" i="1"/>
  <c r="C43" i="7"/>
  <c r="J38"/>
  <c r="J38" i="6"/>
  <c r="I39" i="9" l="1"/>
  <c r="I39" i="8"/>
  <c r="I39" i="6"/>
  <c r="I39" i="5"/>
  <c r="I39" i="11"/>
  <c r="I39" i="7"/>
  <c r="I39" i="1"/>
  <c r="B38" i="7"/>
  <c r="B38" i="9"/>
  <c r="B38" i="6"/>
  <c r="B38" i="5"/>
  <c r="B38" i="8"/>
  <c r="B38" i="11"/>
  <c r="B38" i="1"/>
  <c r="A41"/>
  <c r="E40"/>
  <c r="F40" s="1"/>
  <c r="A104" i="11"/>
  <c r="D103"/>
  <c r="E103"/>
  <c r="F103" s="1"/>
  <c r="A47" i="9"/>
  <c r="D46"/>
  <c r="E46"/>
  <c r="F46" s="1"/>
  <c r="A46" i="8"/>
  <c r="D45"/>
  <c r="E45"/>
  <c r="F45" s="1"/>
  <c r="A45" i="7"/>
  <c r="D44"/>
  <c r="E44"/>
  <c r="F44" s="1"/>
  <c r="A44" i="6"/>
  <c r="E43"/>
  <c r="F43" s="1"/>
  <c r="D43"/>
  <c r="A43" i="5"/>
  <c r="D42"/>
  <c r="E42"/>
  <c r="F42" s="1"/>
  <c r="D40" i="1"/>
  <c r="J39"/>
  <c r="C43" i="6"/>
  <c r="C46" i="9"/>
  <c r="J39" i="11"/>
  <c r="C42" i="5"/>
  <c r="C103" i="11"/>
  <c r="J39" i="5"/>
  <c r="C40" i="1"/>
  <c r="C45" i="8"/>
  <c r="J39" i="9"/>
  <c r="C44" i="7"/>
  <c r="J39"/>
  <c r="J39" i="6"/>
  <c r="J39" i="8"/>
  <c r="I40" i="11" l="1"/>
  <c r="I40" i="9"/>
  <c r="I40" i="8"/>
  <c r="I40" i="6"/>
  <c r="I40" i="5"/>
  <c r="I40" i="7"/>
  <c r="I40" i="1"/>
  <c r="B39" i="11"/>
  <c r="B39" i="5"/>
  <c r="B39" i="9"/>
  <c r="B39" i="6"/>
  <c r="B39" i="8"/>
  <c r="B39" i="7"/>
  <c r="B39" i="1"/>
  <c r="A42"/>
  <c r="E41"/>
  <c r="F41" s="1"/>
  <c r="A105" i="11"/>
  <c r="D104"/>
  <c r="E104"/>
  <c r="F104" s="1"/>
  <c r="A48" i="9"/>
  <c r="D47"/>
  <c r="E47"/>
  <c r="F47" s="1"/>
  <c r="A47" i="8"/>
  <c r="D46"/>
  <c r="E46"/>
  <c r="F46" s="1"/>
  <c r="A46" i="7"/>
  <c r="D45"/>
  <c r="E45"/>
  <c r="F45" s="1"/>
  <c r="A45" i="6"/>
  <c r="D44"/>
  <c r="E44"/>
  <c r="F44" s="1"/>
  <c r="A44" i="5"/>
  <c r="D43"/>
  <c r="E43"/>
  <c r="F43" s="1"/>
  <c r="D41" i="1"/>
  <c r="J40" i="6"/>
  <c r="C41" i="1"/>
  <c r="C44" i="6"/>
  <c r="C43" i="5"/>
  <c r="C104" i="11"/>
  <c r="J40" i="9"/>
  <c r="J40" i="1"/>
  <c r="C45" i="7"/>
  <c r="J40" i="11"/>
  <c r="J40" i="7"/>
  <c r="C46" i="8"/>
  <c r="C47" i="9"/>
  <c r="J40" i="8"/>
  <c r="J40" i="5"/>
  <c r="I41" i="7" l="1"/>
  <c r="I41" i="11"/>
  <c r="I41" i="6"/>
  <c r="I41" i="9"/>
  <c r="I41" i="8"/>
  <c r="I41" i="5"/>
  <c r="I41" i="1"/>
  <c r="B40" i="5"/>
  <c r="B40" i="6"/>
  <c r="B40" i="7"/>
  <c r="B40" i="9"/>
  <c r="B40" i="8"/>
  <c r="B40" i="11"/>
  <c r="B40" i="1"/>
  <c r="E42"/>
  <c r="F42" s="1"/>
  <c r="A43"/>
  <c r="A106" i="11"/>
  <c r="D105"/>
  <c r="E105"/>
  <c r="F105" s="1"/>
  <c r="A49" i="9"/>
  <c r="D48"/>
  <c r="E48"/>
  <c r="F48" s="1"/>
  <c r="A48" i="8"/>
  <c r="D47"/>
  <c r="E47"/>
  <c r="F47" s="1"/>
  <c r="A47" i="7"/>
  <c r="D46"/>
  <c r="E46"/>
  <c r="F46" s="1"/>
  <c r="A46" i="6"/>
  <c r="E45"/>
  <c r="F45" s="1"/>
  <c r="D45"/>
  <c r="A45" i="5"/>
  <c r="D44"/>
  <c r="E44"/>
  <c r="F44" s="1"/>
  <c r="D42" i="1"/>
  <c r="J41" i="5"/>
  <c r="J41" i="7"/>
  <c r="C47" i="8"/>
  <c r="C42" i="1"/>
  <c r="J41" i="8"/>
  <c r="C46" i="7"/>
  <c r="C45" i="6"/>
  <c r="C44" i="5"/>
  <c r="C48" i="9"/>
  <c r="J41" i="1"/>
  <c r="C105" i="11"/>
  <c r="J41" i="6"/>
  <c r="J41" i="11"/>
  <c r="J41" i="9"/>
  <c r="I42" i="8" l="1"/>
  <c r="I42" i="7"/>
  <c r="I42" i="11"/>
  <c r="I42" i="9"/>
  <c r="I42" i="5"/>
  <c r="I42" i="6"/>
  <c r="I42" i="1"/>
  <c r="B41" i="6"/>
  <c r="B41" i="9"/>
  <c r="B41" i="11"/>
  <c r="B41" i="7"/>
  <c r="B41" i="8"/>
  <c r="B41" i="5"/>
  <c r="B41" i="1"/>
  <c r="A44"/>
  <c r="E43"/>
  <c r="F43" s="1"/>
  <c r="A107" i="11"/>
  <c r="D106"/>
  <c r="E106"/>
  <c r="F106" s="1"/>
  <c r="A50" i="9"/>
  <c r="D49"/>
  <c r="E49"/>
  <c r="F49" s="1"/>
  <c r="A49" i="8"/>
  <c r="D48"/>
  <c r="E48"/>
  <c r="F48" s="1"/>
  <c r="A48" i="7"/>
  <c r="D47"/>
  <c r="E47"/>
  <c r="F47" s="1"/>
  <c r="A47" i="6"/>
  <c r="E46"/>
  <c r="F46" s="1"/>
  <c r="D46"/>
  <c r="A46" i="5"/>
  <c r="D45"/>
  <c r="E45"/>
  <c r="F45" s="1"/>
  <c r="D43" i="1"/>
  <c r="J42"/>
  <c r="C47" i="7"/>
  <c r="C48" i="8"/>
  <c r="J42"/>
  <c r="C106" i="11"/>
  <c r="C45" i="5"/>
  <c r="J42"/>
  <c r="C43" i="1"/>
  <c r="C49" i="9"/>
  <c r="J42"/>
  <c r="C46" i="6"/>
  <c r="J42"/>
  <c r="J42" i="11"/>
  <c r="J42" i="7"/>
  <c r="I43" i="9" l="1"/>
  <c r="I43" i="8"/>
  <c r="I43" i="11"/>
  <c r="I43" i="7"/>
  <c r="I43" i="5"/>
  <c r="I43" i="6"/>
  <c r="I43" i="1"/>
  <c r="B42" i="9"/>
  <c r="B42" i="11"/>
  <c r="B42" i="7"/>
  <c r="B42" i="5"/>
  <c r="B42" i="8"/>
  <c r="B42" i="6"/>
  <c r="B42" i="1"/>
  <c r="E44"/>
  <c r="F44" s="1"/>
  <c r="A45"/>
  <c r="A108" i="11"/>
  <c r="D107"/>
  <c r="E107"/>
  <c r="F107" s="1"/>
  <c r="A51" i="9"/>
  <c r="D50"/>
  <c r="E50"/>
  <c r="F50" s="1"/>
  <c r="A50" i="8"/>
  <c r="D49"/>
  <c r="E49"/>
  <c r="F49" s="1"/>
  <c r="A49" i="7"/>
  <c r="D48"/>
  <c r="E48"/>
  <c r="F48" s="1"/>
  <c r="A48" i="6"/>
  <c r="D47"/>
  <c r="E47"/>
  <c r="F47" s="1"/>
  <c r="A47" i="5"/>
  <c r="D46"/>
  <c r="E46"/>
  <c r="F46" s="1"/>
  <c r="D44" i="1"/>
  <c r="J43" i="8"/>
  <c r="C48" i="7"/>
  <c r="C47" i="6"/>
  <c r="J43" i="1"/>
  <c r="J43" i="11"/>
  <c r="C46" i="5"/>
  <c r="C50" i="9"/>
  <c r="C49" i="8"/>
  <c r="C44" i="1"/>
  <c r="J43" i="7"/>
  <c r="C107" i="11"/>
  <c r="J43" i="6"/>
  <c r="J43" i="9"/>
  <c r="J43" i="5"/>
  <c r="I44" i="11" l="1"/>
  <c r="I44" i="9"/>
  <c r="I44" i="6"/>
  <c r="I44" i="7"/>
  <c r="I44" i="5"/>
  <c r="I44" i="8"/>
  <c r="I44" i="1"/>
  <c r="B43" i="6"/>
  <c r="B43" i="5"/>
  <c r="B43" i="11"/>
  <c r="B43" i="7"/>
  <c r="B43" i="8"/>
  <c r="B43" i="9"/>
  <c r="B43" i="1"/>
  <c r="A46"/>
  <c r="E45"/>
  <c r="F45" s="1"/>
  <c r="A109" i="11"/>
  <c r="D108"/>
  <c r="E108"/>
  <c r="F108" s="1"/>
  <c r="A52" i="9"/>
  <c r="D51"/>
  <c r="E51"/>
  <c r="F51" s="1"/>
  <c r="A51" i="8"/>
  <c r="D50"/>
  <c r="E50"/>
  <c r="F50" s="1"/>
  <c r="A50" i="7"/>
  <c r="D49"/>
  <c r="E49"/>
  <c r="F49" s="1"/>
  <c r="A49" i="6"/>
  <c r="D48"/>
  <c r="E48"/>
  <c r="F48" s="1"/>
  <c r="A48" i="5"/>
  <c r="D47"/>
  <c r="E47"/>
  <c r="F47" s="1"/>
  <c r="D45" i="1"/>
  <c r="J44" i="8"/>
  <c r="J44" i="5"/>
  <c r="C45" i="1"/>
  <c r="C50" i="8"/>
  <c r="C47" i="5"/>
  <c r="C51" i="9"/>
  <c r="J44" i="7"/>
  <c r="J44" i="1"/>
  <c r="C49" i="7"/>
  <c r="J44" i="11"/>
  <c r="J44" i="6"/>
  <c r="C108" i="11"/>
  <c r="C48" i="6"/>
  <c r="J44" i="9"/>
  <c r="I45" i="7" l="1"/>
  <c r="I45" i="11"/>
  <c r="I45" i="6"/>
  <c r="I45" i="9"/>
  <c r="I45" i="8"/>
  <c r="I45" i="5"/>
  <c r="I45" i="1"/>
  <c r="B44" i="9"/>
  <c r="B44" i="7"/>
  <c r="B44" i="5"/>
  <c r="B44" i="11"/>
  <c r="B44" i="8"/>
  <c r="B44" i="6"/>
  <c r="B44" i="1"/>
  <c r="A47"/>
  <c r="E46"/>
  <c r="F46" s="1"/>
  <c r="A110" i="11"/>
  <c r="D109"/>
  <c r="E109"/>
  <c r="F109" s="1"/>
  <c r="A53" i="9"/>
  <c r="D52"/>
  <c r="E52"/>
  <c r="F52" s="1"/>
  <c r="A52" i="8"/>
  <c r="D51"/>
  <c r="E51"/>
  <c r="F51" s="1"/>
  <c r="A51" i="7"/>
  <c r="D50"/>
  <c r="E50"/>
  <c r="F50" s="1"/>
  <c r="A50" i="6"/>
  <c r="D49"/>
  <c r="E49"/>
  <c r="F49" s="1"/>
  <c r="A49" i="5"/>
  <c r="D48"/>
  <c r="E48"/>
  <c r="F48" s="1"/>
  <c r="D46" i="1"/>
  <c r="J45" i="6"/>
  <c r="C109" i="11"/>
  <c r="C52" i="9"/>
  <c r="J45" i="7"/>
  <c r="C49" i="6"/>
  <c r="C48" i="5"/>
  <c r="C46" i="1"/>
  <c r="J45" i="9"/>
  <c r="J45" i="1"/>
  <c r="C50" i="7"/>
  <c r="J45" i="11"/>
  <c r="C51" i="8"/>
  <c r="J45" i="5"/>
  <c r="J45" i="8"/>
  <c r="I46" l="1"/>
  <c r="I46" i="7"/>
  <c r="I46" i="5"/>
  <c r="I46" i="11"/>
  <c r="I46" i="9"/>
  <c r="I46" i="6"/>
  <c r="I46" i="1"/>
  <c r="B45" i="7"/>
  <c r="B45" i="11"/>
  <c r="B45" i="6"/>
  <c r="B45" i="5"/>
  <c r="B45" i="8"/>
  <c r="B45" i="9"/>
  <c r="B45" i="1"/>
  <c r="A48"/>
  <c r="E47"/>
  <c r="F47" s="1"/>
  <c r="A111" i="11"/>
  <c r="D110"/>
  <c r="E110"/>
  <c r="F110" s="1"/>
  <c r="A54" i="9"/>
  <c r="D53"/>
  <c r="E53"/>
  <c r="F53" s="1"/>
  <c r="A53" i="8"/>
  <c r="D52"/>
  <c r="E52"/>
  <c r="F52" s="1"/>
  <c r="A52" i="7"/>
  <c r="D51"/>
  <c r="E51"/>
  <c r="F51" s="1"/>
  <c r="A51" i="6"/>
  <c r="E50"/>
  <c r="F50" s="1"/>
  <c r="D50"/>
  <c r="A50" i="5"/>
  <c r="D49"/>
  <c r="E49"/>
  <c r="F49" s="1"/>
  <c r="D47" i="1"/>
  <c r="J46" i="8"/>
  <c r="J46" i="11"/>
  <c r="C50" i="6"/>
  <c r="C52" i="8"/>
  <c r="J46" i="5"/>
  <c r="C47" i="1"/>
  <c r="C53" i="9"/>
  <c r="J46" i="1"/>
  <c r="C49" i="5"/>
  <c r="J46" i="7"/>
  <c r="J46" i="6"/>
  <c r="C51" i="7"/>
  <c r="C110" i="11"/>
  <c r="J46" i="9"/>
  <c r="I47" l="1"/>
  <c r="I47" i="8"/>
  <c r="I47" i="5"/>
  <c r="I47" i="11"/>
  <c r="I47" i="6"/>
  <c r="I47" i="7"/>
  <c r="I47" i="1"/>
  <c r="B46" i="9"/>
  <c r="B46" i="5"/>
  <c r="B46" i="11"/>
  <c r="B46" i="6"/>
  <c r="B46" i="8"/>
  <c r="B46" i="7"/>
  <c r="B46" i="1"/>
  <c r="A49"/>
  <c r="E48"/>
  <c r="F48" s="1"/>
  <c r="A112" i="11"/>
  <c r="D111"/>
  <c r="E111"/>
  <c r="F111" s="1"/>
  <c r="A55" i="9"/>
  <c r="D54"/>
  <c r="E54"/>
  <c r="F54" s="1"/>
  <c r="A54" i="8"/>
  <c r="D53"/>
  <c r="E53"/>
  <c r="F53" s="1"/>
  <c r="A53" i="7"/>
  <c r="D52"/>
  <c r="E52"/>
  <c r="F52" s="1"/>
  <c r="A52" i="6"/>
  <c r="E51"/>
  <c r="F51" s="1"/>
  <c r="D51"/>
  <c r="A51" i="5"/>
  <c r="D50"/>
  <c r="E50"/>
  <c r="F50" s="1"/>
  <c r="D48" i="1"/>
  <c r="J47" i="11"/>
  <c r="J47" i="9"/>
  <c r="C53" i="8"/>
  <c r="C52" i="7"/>
  <c r="J47" i="6"/>
  <c r="C54" i="9"/>
  <c r="C48" i="1"/>
  <c r="C50" i="5"/>
  <c r="C51" i="6"/>
  <c r="J47" i="5"/>
  <c r="J47" i="1"/>
  <c r="C111" i="11"/>
  <c r="J47" i="8"/>
  <c r="J47" i="7"/>
  <c r="I48" i="11" l="1"/>
  <c r="I48" i="9"/>
  <c r="I48" i="8"/>
  <c r="I48" i="7"/>
  <c r="I48" i="5"/>
  <c r="I48" i="6"/>
  <c r="I48" i="1"/>
  <c r="B47" i="5"/>
  <c r="B47" i="6"/>
  <c r="B47" i="7"/>
  <c r="B47" i="11"/>
  <c r="B47" i="8"/>
  <c r="B47" i="9"/>
  <c r="B47" i="1"/>
  <c r="A50"/>
  <c r="E49"/>
  <c r="F49" s="1"/>
  <c r="A113" i="11"/>
  <c r="D112"/>
  <c r="E112"/>
  <c r="F112" s="1"/>
  <c r="A56" i="9"/>
  <c r="D55"/>
  <c r="E55"/>
  <c r="F55" s="1"/>
  <c r="A55" i="8"/>
  <c r="D54"/>
  <c r="E54"/>
  <c r="F54" s="1"/>
  <c r="A54" i="7"/>
  <c r="D53"/>
  <c r="E53"/>
  <c r="F53" s="1"/>
  <c r="A53" i="6"/>
  <c r="D52"/>
  <c r="E52"/>
  <c r="F52" s="1"/>
  <c r="A52" i="5"/>
  <c r="D51"/>
  <c r="E51"/>
  <c r="F51" s="1"/>
  <c r="D49" i="1"/>
  <c r="J48" i="9"/>
  <c r="C51" i="5"/>
  <c r="C54" i="8"/>
  <c r="J48" i="11"/>
  <c r="C112"/>
  <c r="C49" i="1"/>
  <c r="J48" i="5"/>
  <c r="C53" i="7"/>
  <c r="C55" i="9"/>
  <c r="J48" i="1"/>
  <c r="C52" i="6"/>
  <c r="J48" i="7"/>
  <c r="J48" i="8"/>
  <c r="J48" i="6"/>
  <c r="I49" i="7" l="1"/>
  <c r="I49" i="11"/>
  <c r="I49" i="6"/>
  <c r="I49" i="8"/>
  <c r="I49" i="9"/>
  <c r="I49" i="5"/>
  <c r="I49" i="1"/>
  <c r="B48" i="6"/>
  <c r="B48" i="7"/>
  <c r="B48" i="11"/>
  <c r="B48" i="9"/>
  <c r="B48" i="8"/>
  <c r="B48" i="5"/>
  <c r="B48" i="1"/>
  <c r="A51"/>
  <c r="E50"/>
  <c r="F50" s="1"/>
  <c r="A114" i="11"/>
  <c r="D113"/>
  <c r="E113"/>
  <c r="F113" s="1"/>
  <c r="A57" i="9"/>
  <c r="D56"/>
  <c r="E56"/>
  <c r="F56" s="1"/>
  <c r="A56" i="8"/>
  <c r="D55"/>
  <c r="E55"/>
  <c r="F55" s="1"/>
  <c r="A55" i="7"/>
  <c r="D54"/>
  <c r="E54"/>
  <c r="F54" s="1"/>
  <c r="A54" i="6"/>
  <c r="D53"/>
  <c r="E53"/>
  <c r="F53" s="1"/>
  <c r="A53" i="5"/>
  <c r="D52"/>
  <c r="E52"/>
  <c r="F52" s="1"/>
  <c r="D50" i="1"/>
  <c r="C54" i="7"/>
  <c r="J49"/>
  <c r="C50" i="1"/>
  <c r="C52" i="5"/>
  <c r="J49" i="8"/>
  <c r="C113" i="11"/>
  <c r="C55" i="8"/>
  <c r="J49" i="9"/>
  <c r="C56"/>
  <c r="J49" i="1"/>
  <c r="C53" i="6"/>
  <c r="J49"/>
  <c r="J49" i="11"/>
  <c r="J49" i="5"/>
  <c r="I50" i="8" l="1"/>
  <c r="I50" i="7"/>
  <c r="I50" i="6"/>
  <c r="I50" i="9"/>
  <c r="I50" i="11"/>
  <c r="I50" i="5"/>
  <c r="I50" i="1"/>
  <c r="B49" i="5"/>
  <c r="B49" i="9"/>
  <c r="B49" i="7"/>
  <c r="B49" i="11"/>
  <c r="B49" i="8"/>
  <c r="B49" i="6"/>
  <c r="B49" i="1"/>
  <c r="E51"/>
  <c r="F51" s="1"/>
  <c r="A52"/>
  <c r="A115" i="11"/>
  <c r="D114"/>
  <c r="E114"/>
  <c r="F114" s="1"/>
  <c r="A58" i="9"/>
  <c r="D57"/>
  <c r="E57"/>
  <c r="F57" s="1"/>
  <c r="A57" i="8"/>
  <c r="D56"/>
  <c r="E56"/>
  <c r="F56" s="1"/>
  <c r="A56" i="7"/>
  <c r="D55"/>
  <c r="E55"/>
  <c r="F55" s="1"/>
  <c r="A55" i="6"/>
  <c r="D54"/>
  <c r="E54"/>
  <c r="F54" s="1"/>
  <c r="A54" i="5"/>
  <c r="D53"/>
  <c r="E53"/>
  <c r="F53" s="1"/>
  <c r="D51" i="1"/>
  <c r="C55" i="7"/>
  <c r="C114" i="11"/>
  <c r="J50" i="7"/>
  <c r="J50" i="1"/>
  <c r="J50" i="11"/>
  <c r="C54" i="6"/>
  <c r="C57" i="9"/>
  <c r="J50"/>
  <c r="C56" i="8"/>
  <c r="C53" i="5"/>
  <c r="C51" i="1"/>
  <c r="J50" i="6"/>
  <c r="J50" i="5"/>
  <c r="J50" i="8"/>
  <c r="I51" i="9" l="1"/>
  <c r="I51" i="8"/>
  <c r="I51" i="11"/>
  <c r="I51" i="7"/>
  <c r="I51" i="5"/>
  <c r="I51" i="6"/>
  <c r="I51" i="1"/>
  <c r="B50" i="6"/>
  <c r="B50" i="11"/>
  <c r="B50" i="9"/>
  <c r="B50" i="7"/>
  <c r="B50" i="8"/>
  <c r="B50" i="5"/>
  <c r="B50" i="1"/>
  <c r="A53"/>
  <c r="E52"/>
  <c r="F52" s="1"/>
  <c r="A116" i="11"/>
  <c r="D115"/>
  <c r="E115"/>
  <c r="F115" s="1"/>
  <c r="A59" i="9"/>
  <c r="D58"/>
  <c r="E58"/>
  <c r="F58" s="1"/>
  <c r="A58" i="8"/>
  <c r="D57"/>
  <c r="E57"/>
  <c r="F57" s="1"/>
  <c r="A57" i="7"/>
  <c r="D56"/>
  <c r="E56"/>
  <c r="F56" s="1"/>
  <c r="A56" i="6"/>
  <c r="D55"/>
  <c r="E55"/>
  <c r="F55" s="1"/>
  <c r="A55" i="5"/>
  <c r="D54"/>
  <c r="E54"/>
  <c r="F54" s="1"/>
  <c r="D52" i="1"/>
  <c r="J51" i="8"/>
  <c r="J51" i="5"/>
  <c r="C54"/>
  <c r="C56" i="7"/>
  <c r="C115" i="11"/>
  <c r="C52" i="1"/>
  <c r="C57" i="8"/>
  <c r="J51" i="7"/>
  <c r="J51" i="1"/>
  <c r="C55" i="6"/>
  <c r="J51" i="11"/>
  <c r="J51" i="6"/>
  <c r="C58" i="9"/>
  <c r="J51"/>
  <c r="I52" i="11" l="1"/>
  <c r="I52" i="9"/>
  <c r="I52" i="7"/>
  <c r="I52" i="5"/>
  <c r="I52" i="6"/>
  <c r="I52" i="8"/>
  <c r="I52" i="1"/>
  <c r="B51" i="5"/>
  <c r="B51" i="7"/>
  <c r="B51" i="11"/>
  <c r="B51" i="9"/>
  <c r="B51" i="8"/>
  <c r="B51" i="6"/>
  <c r="B51" i="1"/>
  <c r="A54"/>
  <c r="E53"/>
  <c r="F53" s="1"/>
  <c r="A117" i="11"/>
  <c r="D116"/>
  <c r="E116"/>
  <c r="F116" s="1"/>
  <c r="A60" i="9"/>
  <c r="D59"/>
  <c r="E59"/>
  <c r="F59" s="1"/>
  <c r="A59" i="8"/>
  <c r="D58"/>
  <c r="E58"/>
  <c r="F58" s="1"/>
  <c r="A58" i="7"/>
  <c r="D57"/>
  <c r="E57"/>
  <c r="F57" s="1"/>
  <c r="A57" i="6"/>
  <c r="D56"/>
  <c r="E56"/>
  <c r="F56" s="1"/>
  <c r="A56" i="5"/>
  <c r="D55"/>
  <c r="E55"/>
  <c r="F55" s="1"/>
  <c r="D53" i="1"/>
  <c r="J52" i="8"/>
  <c r="J52" i="5"/>
  <c r="C56" i="6"/>
  <c r="C53" i="1"/>
  <c r="J52" i="11"/>
  <c r="C59" i="9"/>
  <c r="C57" i="7"/>
  <c r="J52"/>
  <c r="J52" i="1"/>
  <c r="C116" i="11"/>
  <c r="J52" i="6"/>
  <c r="C58" i="8"/>
  <c r="C55" i="5"/>
  <c r="J52" i="9"/>
  <c r="I53" i="7" l="1"/>
  <c r="I53" i="11"/>
  <c r="I53" i="6"/>
  <c r="I53" i="9"/>
  <c r="I53" i="8"/>
  <c r="I53" i="5"/>
  <c r="I53" i="1"/>
  <c r="B52" i="6"/>
  <c r="B52" i="11"/>
  <c r="B52" i="9"/>
  <c r="B52" i="7"/>
  <c r="B52" i="8"/>
  <c r="B52" i="5"/>
  <c r="B52" i="1"/>
  <c r="E54"/>
  <c r="F54" s="1"/>
  <c r="A55"/>
  <c r="A118" i="11"/>
  <c r="D117"/>
  <c r="E117"/>
  <c r="F117" s="1"/>
  <c r="A61" i="9"/>
  <c r="D60"/>
  <c r="E60"/>
  <c r="F60" s="1"/>
  <c r="A60" i="8"/>
  <c r="D59"/>
  <c r="E59"/>
  <c r="F59" s="1"/>
  <c r="A59" i="7"/>
  <c r="D58"/>
  <c r="E58"/>
  <c r="F58" s="1"/>
  <c r="A58" i="6"/>
  <c r="D57"/>
  <c r="E57"/>
  <c r="F57" s="1"/>
  <c r="A57" i="5"/>
  <c r="D56"/>
  <c r="E56"/>
  <c r="F56" s="1"/>
  <c r="D54" i="1"/>
  <c r="C59" i="8"/>
  <c r="C60" i="9"/>
  <c r="J53" i="1"/>
  <c r="C57" i="6"/>
  <c r="J53" i="11"/>
  <c r="J53" i="6"/>
  <c r="C56" i="5"/>
  <c r="C117" i="11"/>
  <c r="J53" i="8"/>
  <c r="J53" i="5"/>
  <c r="C58" i="7"/>
  <c r="C54" i="1"/>
  <c r="J53" i="9"/>
  <c r="J53" i="7"/>
  <c r="I54" i="8" l="1"/>
  <c r="I54" i="7"/>
  <c r="I54" i="6"/>
  <c r="I54" i="5"/>
  <c r="I54" i="11"/>
  <c r="I54" i="9"/>
  <c r="I54" i="1"/>
  <c r="B53" i="5"/>
  <c r="B53" i="7"/>
  <c r="B53" i="11"/>
  <c r="B53" i="9"/>
  <c r="B53" i="8"/>
  <c r="B53" i="6"/>
  <c r="B53" i="1"/>
  <c r="A56"/>
  <c r="E55"/>
  <c r="F55" s="1"/>
  <c r="A119" i="11"/>
  <c r="D118"/>
  <c r="E118"/>
  <c r="F118" s="1"/>
  <c r="A62" i="9"/>
  <c r="D61"/>
  <c r="E61"/>
  <c r="F61" s="1"/>
  <c r="A61" i="8"/>
  <c r="D60"/>
  <c r="E60"/>
  <c r="F60" s="1"/>
  <c r="A60" i="7"/>
  <c r="D59"/>
  <c r="E59"/>
  <c r="F59" s="1"/>
  <c r="A59" i="6"/>
  <c r="E58"/>
  <c r="F58" s="1"/>
  <c r="D58"/>
  <c r="A58" i="5"/>
  <c r="D57"/>
  <c r="E57"/>
  <c r="F57" s="1"/>
  <c r="D55" i="1"/>
  <c r="C118" i="11"/>
  <c r="J54" i="1"/>
  <c r="C61" i="9"/>
  <c r="C59" i="7"/>
  <c r="J54" i="8"/>
  <c r="J54" i="11"/>
  <c r="C57" i="5"/>
  <c r="J54"/>
  <c r="C55" i="1"/>
  <c r="C60" i="8"/>
  <c r="J54" i="9"/>
  <c r="C58" i="6"/>
  <c r="J54" i="7"/>
  <c r="J54" i="6"/>
  <c r="I55" i="9" l="1"/>
  <c r="I55" i="8"/>
  <c r="I55" i="6"/>
  <c r="I55" i="11"/>
  <c r="I55" i="5"/>
  <c r="I55" i="7"/>
  <c r="I55" i="1"/>
  <c r="B54" i="7"/>
  <c r="B54" i="11"/>
  <c r="B54" i="9"/>
  <c r="B54" i="6"/>
  <c r="B54" i="8"/>
  <c r="B54" i="5"/>
  <c r="B54" i="1"/>
  <c r="A57"/>
  <c r="E56"/>
  <c r="F56" s="1"/>
  <c r="A120" i="11"/>
  <c r="D119"/>
  <c r="E119"/>
  <c r="F119" s="1"/>
  <c r="A63" i="9"/>
  <c r="D62"/>
  <c r="E62"/>
  <c r="F62" s="1"/>
  <c r="A62" i="8"/>
  <c r="D61"/>
  <c r="E61"/>
  <c r="F61" s="1"/>
  <c r="A61" i="7"/>
  <c r="D60"/>
  <c r="E60"/>
  <c r="F60" s="1"/>
  <c r="A60" i="6"/>
  <c r="D59"/>
  <c r="E59"/>
  <c r="F59" s="1"/>
  <c r="A59" i="5"/>
  <c r="D58"/>
  <c r="E58"/>
  <c r="F58" s="1"/>
  <c r="D56" i="1"/>
  <c r="C119" i="11"/>
  <c r="J55" i="5"/>
  <c r="C56" i="1"/>
  <c r="C59" i="6"/>
  <c r="J55" i="9"/>
  <c r="C58" i="5"/>
  <c r="C61" i="8"/>
  <c r="J55" i="11"/>
  <c r="C60" i="7"/>
  <c r="C62" i="9"/>
  <c r="J55" i="1"/>
  <c r="J55" i="7"/>
  <c r="J55" i="6"/>
  <c r="J55" i="8"/>
  <c r="I56" i="11" l="1"/>
  <c r="I56" i="9"/>
  <c r="I56" i="8"/>
  <c r="I56" i="6"/>
  <c r="I56" i="5"/>
  <c r="I56" i="7"/>
  <c r="I56" i="1"/>
  <c r="B55" i="9"/>
  <c r="B55" i="6"/>
  <c r="B55" i="8"/>
  <c r="B55" i="7"/>
  <c r="B55" i="5"/>
  <c r="B55" i="11"/>
  <c r="B55" i="1"/>
  <c r="A58"/>
  <c r="E57"/>
  <c r="F57" s="1"/>
  <c r="A121" i="11"/>
  <c r="D120"/>
  <c r="E120"/>
  <c r="F120" s="1"/>
  <c r="A64" i="9"/>
  <c r="D63"/>
  <c r="E63"/>
  <c r="F63" s="1"/>
  <c r="A63" i="8"/>
  <c r="D62"/>
  <c r="E62"/>
  <c r="F62" s="1"/>
  <c r="A62" i="7"/>
  <c r="D61"/>
  <c r="E61"/>
  <c r="F61" s="1"/>
  <c r="A61" i="6"/>
  <c r="D60"/>
  <c r="E60"/>
  <c r="F60" s="1"/>
  <c r="A60" i="5"/>
  <c r="D59"/>
  <c r="E59"/>
  <c r="F59" s="1"/>
  <c r="D57" i="1"/>
  <c r="C59" i="5"/>
  <c r="C61" i="7"/>
  <c r="C120" i="11"/>
  <c r="J56" i="9"/>
  <c r="J56" i="1"/>
  <c r="C62" i="8"/>
  <c r="J56" i="11"/>
  <c r="J56" i="7"/>
  <c r="C57" i="1"/>
  <c r="C60" i="6"/>
  <c r="J56" i="8"/>
  <c r="J56" i="6"/>
  <c r="C63" i="9"/>
  <c r="J56" i="5"/>
  <c r="I57" i="7" l="1"/>
  <c r="I57" i="11"/>
  <c r="I57" i="6"/>
  <c r="I57" i="9"/>
  <c r="I57" i="8"/>
  <c r="I57" i="5"/>
  <c r="I57" i="1"/>
  <c r="B56" i="6"/>
  <c r="B56" i="7"/>
  <c r="B56" i="11"/>
  <c r="B56" i="8"/>
  <c r="B56" i="5"/>
  <c r="B56" i="9"/>
  <c r="B56" i="1"/>
  <c r="E58"/>
  <c r="F58" s="1"/>
  <c r="A59"/>
  <c r="A122" i="11"/>
  <c r="D121"/>
  <c r="E121"/>
  <c r="F121" s="1"/>
  <c r="A65" i="9"/>
  <c r="D64"/>
  <c r="E64"/>
  <c r="F64" s="1"/>
  <c r="A64" i="8"/>
  <c r="D63"/>
  <c r="E63"/>
  <c r="F63" s="1"/>
  <c r="A63" i="7"/>
  <c r="D62"/>
  <c r="E62"/>
  <c r="F62" s="1"/>
  <c r="A62" i="6"/>
  <c r="E61"/>
  <c r="F61" s="1"/>
  <c r="D61"/>
  <c r="A61" i="5"/>
  <c r="D60"/>
  <c r="E60"/>
  <c r="F60" s="1"/>
  <c r="D58" i="1"/>
  <c r="J57" i="6"/>
  <c r="C121" i="11"/>
  <c r="C64" i="9"/>
  <c r="J57" i="5"/>
  <c r="J57" i="1"/>
  <c r="C61" i="6"/>
  <c r="J57" i="7"/>
  <c r="C60" i="5"/>
  <c r="C62" i="7"/>
  <c r="J57" i="8"/>
  <c r="C63"/>
  <c r="C58" i="1"/>
  <c r="J57" i="9"/>
  <c r="J57" i="11"/>
  <c r="I58" i="8" l="1"/>
  <c r="I58" i="7"/>
  <c r="I58" i="11"/>
  <c r="I58" i="9"/>
  <c r="I58" i="5"/>
  <c r="I58" i="6"/>
  <c r="I58" i="1"/>
  <c r="B57" i="7"/>
  <c r="B57" i="8"/>
  <c r="B57" i="9"/>
  <c r="B57" i="11"/>
  <c r="B57" i="5"/>
  <c r="B57" i="6"/>
  <c r="B57" i="1"/>
  <c r="A60"/>
  <c r="E59"/>
  <c r="F59" s="1"/>
  <c r="A123" i="11"/>
  <c r="D122"/>
  <c r="E122"/>
  <c r="F122" s="1"/>
  <c r="A66" i="9"/>
  <c r="D65"/>
  <c r="E65"/>
  <c r="F65" s="1"/>
  <c r="A65" i="8"/>
  <c r="D64"/>
  <c r="E64"/>
  <c r="F64" s="1"/>
  <c r="A64" i="7"/>
  <c r="D63"/>
  <c r="E63"/>
  <c r="F63" s="1"/>
  <c r="A63" i="6"/>
  <c r="D62"/>
  <c r="E62"/>
  <c r="F62" s="1"/>
  <c r="A62" i="5"/>
  <c r="D61"/>
  <c r="E61"/>
  <c r="F61" s="1"/>
  <c r="D59" i="1"/>
  <c r="C63" i="7"/>
  <c r="C64" i="8"/>
  <c r="J58" i="1"/>
  <c r="C65" i="9"/>
  <c r="J58" i="11"/>
  <c r="J58" i="7"/>
  <c r="C122" i="11"/>
  <c r="C59" i="1"/>
  <c r="J58" i="8"/>
  <c r="J58" i="6"/>
  <c r="C61" i="5"/>
  <c r="C62" i="6"/>
  <c r="J58" i="9"/>
  <c r="J58" i="5"/>
  <c r="I59" i="9" l="1"/>
  <c r="I59" i="8"/>
  <c r="I59" i="11"/>
  <c r="I59" i="7"/>
  <c r="I59" i="5"/>
  <c r="I59" i="6"/>
  <c r="I59" i="1"/>
  <c r="B58" i="8"/>
  <c r="B58" i="11"/>
  <c r="B58" i="6"/>
  <c r="B58" i="9"/>
  <c r="B58" i="5"/>
  <c r="B58" i="7"/>
  <c r="B58" i="1"/>
  <c r="E60"/>
  <c r="F60" s="1"/>
  <c r="A61"/>
  <c r="A124" i="11"/>
  <c r="D123"/>
  <c r="E123"/>
  <c r="F123" s="1"/>
  <c r="A67" i="9"/>
  <c r="D66"/>
  <c r="E66"/>
  <c r="F66" s="1"/>
  <c r="A66" i="8"/>
  <c r="D65"/>
  <c r="E65"/>
  <c r="F65" s="1"/>
  <c r="A65" i="7"/>
  <c r="D64"/>
  <c r="E64"/>
  <c r="F64" s="1"/>
  <c r="A64" i="6"/>
  <c r="D63"/>
  <c r="E63"/>
  <c r="F63" s="1"/>
  <c r="A63" i="5"/>
  <c r="D62"/>
  <c r="E62"/>
  <c r="F62" s="1"/>
  <c r="D60" i="1"/>
  <c r="J59" i="9"/>
  <c r="C60" i="1"/>
  <c r="C62" i="5"/>
  <c r="C66" i="9"/>
  <c r="C123" i="11"/>
  <c r="J59" i="5"/>
  <c r="C65" i="8"/>
  <c r="C63" i="6"/>
  <c r="J59" i="1"/>
  <c r="C64" i="7"/>
  <c r="J59"/>
  <c r="J59" i="11"/>
  <c r="J59" i="8"/>
  <c r="J59" i="6"/>
  <c r="I60" i="11" l="1"/>
  <c r="I60" i="9"/>
  <c r="I60" i="6"/>
  <c r="I60" i="7"/>
  <c r="I60" i="5"/>
  <c r="I60" i="8"/>
  <c r="I60" i="1"/>
  <c r="B59" i="7"/>
  <c r="B59" i="9"/>
  <c r="B59" i="11"/>
  <c r="B59" i="6"/>
  <c r="B59" i="5"/>
  <c r="B59" i="8"/>
  <c r="B59" i="1"/>
  <c r="A62"/>
  <c r="E61"/>
  <c r="F61" s="1"/>
  <c r="A125" i="11"/>
  <c r="D124"/>
  <c r="E124"/>
  <c r="F124" s="1"/>
  <c r="A68" i="9"/>
  <c r="D67"/>
  <c r="E67"/>
  <c r="F67" s="1"/>
  <c r="A67" i="8"/>
  <c r="D66"/>
  <c r="E66"/>
  <c r="F66" s="1"/>
  <c r="A66" i="7"/>
  <c r="D65"/>
  <c r="E65"/>
  <c r="F65" s="1"/>
  <c r="A65" i="6"/>
  <c r="E64"/>
  <c r="F64" s="1"/>
  <c r="D64"/>
  <c r="A64" i="5"/>
  <c r="D63"/>
  <c r="E63"/>
  <c r="F63" s="1"/>
  <c r="D61" i="1"/>
  <c r="C67" i="9"/>
  <c r="C65" i="7"/>
  <c r="C124" i="11"/>
  <c r="J60" i="1"/>
  <c r="C66" i="8"/>
  <c r="J60" i="6"/>
  <c r="J60" i="11"/>
  <c r="C61" i="1"/>
  <c r="C64" i="6"/>
  <c r="J60" i="8"/>
  <c r="J60" i="5"/>
  <c r="C63"/>
  <c r="J60" i="7"/>
  <c r="J60" i="9"/>
  <c r="I61" i="7" l="1"/>
  <c r="I61" i="11"/>
  <c r="I61" i="6"/>
  <c r="I61" i="9"/>
  <c r="I61" i="8"/>
  <c r="I61" i="5"/>
  <c r="I61" i="1"/>
  <c r="B60" i="8"/>
  <c r="B60" i="11"/>
  <c r="B60" i="6"/>
  <c r="B60" i="9"/>
  <c r="B60" i="5"/>
  <c r="B60" i="7"/>
  <c r="B60" i="1"/>
  <c r="A63"/>
  <c r="E62"/>
  <c r="F62" s="1"/>
  <c r="A126" i="11"/>
  <c r="D125"/>
  <c r="E125"/>
  <c r="F125" s="1"/>
  <c r="A69" i="9"/>
  <c r="D68"/>
  <c r="E68"/>
  <c r="F68" s="1"/>
  <c r="A68" i="8"/>
  <c r="D67"/>
  <c r="E67"/>
  <c r="F67" s="1"/>
  <c r="A67" i="7"/>
  <c r="D66"/>
  <c r="E66"/>
  <c r="F66" s="1"/>
  <c r="A66" i="6"/>
  <c r="D65"/>
  <c r="E65"/>
  <c r="F65" s="1"/>
  <c r="A65" i="5"/>
  <c r="D64"/>
  <c r="E64"/>
  <c r="F64" s="1"/>
  <c r="D62" i="1"/>
  <c r="C62"/>
  <c r="C68" i="9"/>
  <c r="C125" i="11"/>
  <c r="J61" i="8"/>
  <c r="C65" i="6"/>
  <c r="C64" i="5"/>
  <c r="J61" i="9"/>
  <c r="C66" i="7"/>
  <c r="C67" i="8"/>
  <c r="J61" i="7"/>
  <c r="J61" i="1"/>
  <c r="J61" i="6"/>
  <c r="J61" i="11"/>
  <c r="J61" i="5"/>
  <c r="I62" i="8" l="1"/>
  <c r="I62" i="7"/>
  <c r="I62" i="5"/>
  <c r="I62" i="11"/>
  <c r="I62" i="9"/>
  <c r="I62" i="6"/>
  <c r="I62" i="1"/>
  <c r="E35" i="4"/>
  <c r="B61" i="6"/>
  <c r="B61" i="9"/>
  <c r="B61" i="7"/>
  <c r="B61" i="11"/>
  <c r="B61" i="5"/>
  <c r="B61" i="8"/>
  <c r="B61" i="1"/>
  <c r="A64"/>
  <c r="E63"/>
  <c r="F63" s="1"/>
  <c r="A127" i="11"/>
  <c r="D126"/>
  <c r="E126"/>
  <c r="F126" s="1"/>
  <c r="A70" i="9"/>
  <c r="D69"/>
  <c r="E69"/>
  <c r="F69" s="1"/>
  <c r="A69" i="8"/>
  <c r="D68"/>
  <c r="E68"/>
  <c r="F68" s="1"/>
  <c r="A68" i="7"/>
  <c r="D67"/>
  <c r="E67"/>
  <c r="F67" s="1"/>
  <c r="A67" i="6"/>
  <c r="D66"/>
  <c r="E66"/>
  <c r="F66" s="1"/>
  <c r="A66" i="5"/>
  <c r="D65"/>
  <c r="E65"/>
  <c r="F65" s="1"/>
  <c r="D63" i="1"/>
  <c r="C126" i="11"/>
  <c r="J62" i="6"/>
  <c r="J62" i="8"/>
  <c r="C65" i="5"/>
  <c r="C69" i="9"/>
  <c r="J62"/>
  <c r="C67" i="7"/>
  <c r="J62" i="1"/>
  <c r="C63"/>
  <c r="J62" i="11"/>
  <c r="C68" i="8"/>
  <c r="C66" i="6"/>
  <c r="J62" i="7"/>
  <c r="J62" i="5"/>
  <c r="I63" i="9" l="1"/>
  <c r="I63" i="8"/>
  <c r="I63" i="5"/>
  <c r="I63" i="11"/>
  <c r="I63" i="7"/>
  <c r="I63" i="6"/>
  <c r="I63" i="1"/>
  <c r="B62" i="8"/>
  <c r="B62" i="11"/>
  <c r="B62" i="9"/>
  <c r="B62" i="7"/>
  <c r="B62" i="5"/>
  <c r="B62" i="6"/>
  <c r="B62" i="1"/>
  <c r="E36" i="4"/>
  <c r="A65" i="1"/>
  <c r="E64"/>
  <c r="F64" s="1"/>
  <c r="A128" i="11"/>
  <c r="D127"/>
  <c r="E127"/>
  <c r="F127" s="1"/>
  <c r="A71" i="9"/>
  <c r="D70"/>
  <c r="E70"/>
  <c r="F70" s="1"/>
  <c r="A70" i="8"/>
  <c r="D69"/>
  <c r="E69"/>
  <c r="F69" s="1"/>
  <c r="A69" i="7"/>
  <c r="D68"/>
  <c r="E68"/>
  <c r="F68" s="1"/>
  <c r="A68" i="6"/>
  <c r="D67"/>
  <c r="E67"/>
  <c r="F67" s="1"/>
  <c r="A67" i="5"/>
  <c r="D66"/>
  <c r="E66"/>
  <c r="F66" s="1"/>
  <c r="D64" i="1"/>
  <c r="J63" i="11"/>
  <c r="C70" i="9"/>
  <c r="C66" i="5"/>
  <c r="C67" i="6"/>
  <c r="J63"/>
  <c r="C69" i="8"/>
  <c r="J63" i="5"/>
  <c r="J63" i="1"/>
  <c r="C68" i="7"/>
  <c r="C64" i="1"/>
  <c r="J63" i="8"/>
  <c r="C127" i="11"/>
  <c r="J63" i="7"/>
  <c r="J63" i="9"/>
  <c r="I64" i="11" l="1"/>
  <c r="I64" i="9"/>
  <c r="I64" i="8"/>
  <c r="I64" i="7"/>
  <c r="I64" i="6"/>
  <c r="I64" i="5"/>
  <c r="I64" i="1"/>
  <c r="E37" i="4"/>
  <c r="B63" i="6"/>
  <c r="B63" i="11"/>
  <c r="B63" i="9"/>
  <c r="B63" i="7"/>
  <c r="B63" i="5"/>
  <c r="B63" i="8"/>
  <c r="B63" i="1"/>
  <c r="E65"/>
  <c r="F65" s="1"/>
  <c r="A66"/>
  <c r="A129" i="11"/>
  <c r="D128"/>
  <c r="E128"/>
  <c r="F128" s="1"/>
  <c r="A72" i="9"/>
  <c r="D71"/>
  <c r="E71"/>
  <c r="F71" s="1"/>
  <c r="A71" i="8"/>
  <c r="D70"/>
  <c r="E70"/>
  <c r="F70" s="1"/>
  <c r="A70" i="7"/>
  <c r="D69"/>
  <c r="E69"/>
  <c r="F69" s="1"/>
  <c r="A69" i="6"/>
  <c r="E68"/>
  <c r="F68" s="1"/>
  <c r="D68"/>
  <c r="A68" i="5"/>
  <c r="D67"/>
  <c r="E67"/>
  <c r="F67" s="1"/>
  <c r="D65" i="1"/>
  <c r="C70" i="8"/>
  <c r="J64" i="9"/>
  <c r="C67" i="5"/>
  <c r="J64" i="6"/>
  <c r="C69" i="7"/>
  <c r="C128" i="11"/>
  <c r="J64"/>
  <c r="C65" i="1"/>
  <c r="J64"/>
  <c r="C68" i="6"/>
  <c r="J64" i="7"/>
  <c r="C71" i="9"/>
  <c r="J64" i="5"/>
  <c r="J64" i="8"/>
  <c r="I65" i="7" l="1"/>
  <c r="I65" i="11"/>
  <c r="I65" i="6"/>
  <c r="I65" i="8"/>
  <c r="I65" i="9"/>
  <c r="I65" i="5"/>
  <c r="I65" i="1"/>
  <c r="B64" i="8"/>
  <c r="B64" i="11"/>
  <c r="B64" i="9"/>
  <c r="B64" i="7"/>
  <c r="B64" i="5"/>
  <c r="B64" i="6"/>
  <c r="B64" i="1"/>
  <c r="A67"/>
  <c r="E66"/>
  <c r="F66" s="1"/>
  <c r="A130" i="11"/>
  <c r="D129"/>
  <c r="E129"/>
  <c r="F129" s="1"/>
  <c r="A73" i="9"/>
  <c r="D72"/>
  <c r="E72"/>
  <c r="F72" s="1"/>
  <c r="A72" i="8"/>
  <c r="D71"/>
  <c r="E71"/>
  <c r="F71" s="1"/>
  <c r="A71" i="7"/>
  <c r="D70"/>
  <c r="E70"/>
  <c r="F70" s="1"/>
  <c r="A70" i="6"/>
  <c r="D69"/>
  <c r="E69"/>
  <c r="F69" s="1"/>
  <c r="A69" i="5"/>
  <c r="D68"/>
  <c r="E68"/>
  <c r="F68" s="1"/>
  <c r="D66" i="1"/>
  <c r="C69" i="6"/>
  <c r="C70" i="7"/>
  <c r="C68" i="5"/>
  <c r="J65" i="1"/>
  <c r="C129" i="11"/>
  <c r="J65"/>
  <c r="J65" i="7"/>
  <c r="C66" i="1"/>
  <c r="C72" i="9"/>
  <c r="J65" i="8"/>
  <c r="J65" i="6"/>
  <c r="C71" i="8"/>
  <c r="J65" i="5"/>
  <c r="J65" i="9"/>
  <c r="I66" i="8" l="1"/>
  <c r="I66" i="7"/>
  <c r="I66" i="6"/>
  <c r="I66" i="9"/>
  <c r="I66" i="11"/>
  <c r="I66" i="5"/>
  <c r="I66" i="1"/>
  <c r="B65" i="11"/>
  <c r="B65" i="7"/>
  <c r="B65" i="6"/>
  <c r="B65" i="9"/>
  <c r="B65" i="5"/>
  <c r="B65" i="8"/>
  <c r="B65" i="1"/>
  <c r="A68"/>
  <c r="E67"/>
  <c r="F67" s="1"/>
  <c r="A131" i="11"/>
  <c r="D130"/>
  <c r="E130"/>
  <c r="F130" s="1"/>
  <c r="A74" i="9"/>
  <c r="D73"/>
  <c r="E73"/>
  <c r="F73" s="1"/>
  <c r="A73" i="8"/>
  <c r="D72"/>
  <c r="E72"/>
  <c r="F72" s="1"/>
  <c r="A72" i="7"/>
  <c r="D71"/>
  <c r="E71"/>
  <c r="F71" s="1"/>
  <c r="A71" i="6"/>
  <c r="D70"/>
  <c r="E70"/>
  <c r="F70" s="1"/>
  <c r="A70" i="5"/>
  <c r="D69"/>
  <c r="E69"/>
  <c r="F69" s="1"/>
  <c r="D67" i="1"/>
  <c r="C72" i="8"/>
  <c r="C69" i="5"/>
  <c r="J66" i="1"/>
  <c r="C70" i="6"/>
  <c r="J66" i="11"/>
  <c r="J66" i="7"/>
  <c r="C67" i="1"/>
  <c r="C71" i="7"/>
  <c r="J66" i="8"/>
  <c r="J66" i="6"/>
  <c r="C73" i="9"/>
  <c r="C130" i="11"/>
  <c r="J66" i="9"/>
  <c r="J66" i="5"/>
  <c r="I67" i="9" l="1"/>
  <c r="I67" i="8"/>
  <c r="I67" i="11"/>
  <c r="I67" i="7"/>
  <c r="I67" i="6"/>
  <c r="I67" i="5"/>
  <c r="I67" i="1"/>
  <c r="B66" i="7"/>
  <c r="B66" i="6"/>
  <c r="B66" i="9"/>
  <c r="B66" i="8"/>
  <c r="B66" i="5"/>
  <c r="B66" i="11"/>
  <c r="B66" i="1"/>
  <c r="A69"/>
  <c r="E68"/>
  <c r="F68" s="1"/>
  <c r="A132" i="11"/>
  <c r="D131"/>
  <c r="E131"/>
  <c r="F131" s="1"/>
  <c r="A75" i="9"/>
  <c r="D74"/>
  <c r="E74"/>
  <c r="F74" s="1"/>
  <c r="A74" i="8"/>
  <c r="D73"/>
  <c r="E73"/>
  <c r="F73" s="1"/>
  <c r="A73" i="7"/>
  <c r="D72"/>
  <c r="E72"/>
  <c r="F72" s="1"/>
  <c r="A72" i="6"/>
  <c r="D71"/>
  <c r="E71"/>
  <c r="F71" s="1"/>
  <c r="A71" i="5"/>
  <c r="D70"/>
  <c r="E70"/>
  <c r="F70" s="1"/>
  <c r="D68" i="1"/>
  <c r="C131" i="11"/>
  <c r="J67" i="1"/>
  <c r="C68"/>
  <c r="C73" i="8"/>
  <c r="J67" i="6"/>
  <c r="C70" i="5"/>
  <c r="C72" i="7"/>
  <c r="C74" i="9"/>
  <c r="J67"/>
  <c r="C71" i="6"/>
  <c r="J67" i="7"/>
  <c r="J67" i="11"/>
  <c r="J67" i="8"/>
  <c r="J67" i="5"/>
  <c r="I68" i="11" l="1"/>
  <c r="I68" i="9"/>
  <c r="I68" i="7"/>
  <c r="I68" i="5"/>
  <c r="I68" i="8"/>
  <c r="I68" i="6"/>
  <c r="I68" i="1"/>
  <c r="B67" i="6"/>
  <c r="B67" i="8"/>
  <c r="B67" i="11"/>
  <c r="B67" i="9"/>
  <c r="B67" i="5"/>
  <c r="B67" i="7"/>
  <c r="B67" i="1"/>
  <c r="A70"/>
  <c r="E69"/>
  <c r="F69" s="1"/>
  <c r="A133" i="11"/>
  <c r="D132"/>
  <c r="E132"/>
  <c r="F132" s="1"/>
  <c r="A76" i="9"/>
  <c r="D75"/>
  <c r="E75"/>
  <c r="F75" s="1"/>
  <c r="A75" i="8"/>
  <c r="D74"/>
  <c r="E74"/>
  <c r="F74" s="1"/>
  <c r="A74" i="7"/>
  <c r="D73"/>
  <c r="E73"/>
  <c r="F73" s="1"/>
  <c r="A73" i="6"/>
  <c r="D72"/>
  <c r="E72"/>
  <c r="F72" s="1"/>
  <c r="A72" i="5"/>
  <c r="D71"/>
  <c r="E71"/>
  <c r="F71" s="1"/>
  <c r="D69" i="1"/>
  <c r="C73" i="7"/>
  <c r="C75" i="9"/>
  <c r="J68" i="1"/>
  <c r="C132" i="11"/>
  <c r="J68" i="9"/>
  <c r="J68" i="7"/>
  <c r="C74" i="8"/>
  <c r="C71" i="5"/>
  <c r="J68" i="8"/>
  <c r="J68" i="6"/>
  <c r="C69" i="1"/>
  <c r="C72" i="6"/>
  <c r="J68" i="11"/>
  <c r="J68" i="5"/>
  <c r="I69" i="7" l="1"/>
  <c r="I69" i="11"/>
  <c r="I69" i="6"/>
  <c r="I69" i="9"/>
  <c r="I69" i="8"/>
  <c r="I69" i="5"/>
  <c r="I69" i="1"/>
  <c r="B68" i="11"/>
  <c r="B68" i="7"/>
  <c r="B68" i="8"/>
  <c r="B68" i="9"/>
  <c r="B68" i="5"/>
  <c r="B68" i="6"/>
  <c r="B68" i="1"/>
  <c r="A71"/>
  <c r="E70"/>
  <c r="F70" s="1"/>
  <c r="A134" i="11"/>
  <c r="D133"/>
  <c r="E133"/>
  <c r="F133" s="1"/>
  <c r="A77" i="9"/>
  <c r="D76"/>
  <c r="E76"/>
  <c r="F76" s="1"/>
  <c r="A76" i="8"/>
  <c r="D75"/>
  <c r="E75"/>
  <c r="F75" s="1"/>
  <c r="A75" i="7"/>
  <c r="D74"/>
  <c r="E74"/>
  <c r="F74" s="1"/>
  <c r="A74" i="6"/>
  <c r="E73"/>
  <c r="F73" s="1"/>
  <c r="D73"/>
  <c r="A73" i="5"/>
  <c r="D72"/>
  <c r="E72"/>
  <c r="F72" s="1"/>
  <c r="D70" i="1"/>
  <c r="J69" i="6"/>
  <c r="C133" i="11"/>
  <c r="C72" i="5"/>
  <c r="C70" i="1"/>
  <c r="C76" i="9"/>
  <c r="J69" i="5"/>
  <c r="J69" i="1"/>
  <c r="C75" i="8"/>
  <c r="J69" i="9"/>
  <c r="J69" i="7"/>
  <c r="C73" i="6"/>
  <c r="C74" i="7"/>
  <c r="J69" i="8"/>
  <c r="J69" i="11"/>
  <c r="I70" i="8" l="1"/>
  <c r="I70" i="7"/>
  <c r="I70" i="5"/>
  <c r="I70" i="11"/>
  <c r="I70" i="9"/>
  <c r="I70" i="6"/>
  <c r="I70" i="1"/>
  <c r="B69" i="6"/>
  <c r="B69" i="7"/>
  <c r="B69" i="5"/>
  <c r="B69" i="8"/>
  <c r="B69" i="9"/>
  <c r="B69" i="11"/>
  <c r="B69" i="1"/>
  <c r="A72"/>
  <c r="E71"/>
  <c r="F71" s="1"/>
  <c r="A135" i="11"/>
  <c r="D134"/>
  <c r="E134"/>
  <c r="F134" s="1"/>
  <c r="A78" i="9"/>
  <c r="D77"/>
  <c r="E77"/>
  <c r="F77" s="1"/>
  <c r="A77" i="8"/>
  <c r="D76"/>
  <c r="E76"/>
  <c r="F76" s="1"/>
  <c r="A76" i="7"/>
  <c r="D75"/>
  <c r="E75"/>
  <c r="F75" s="1"/>
  <c r="A75" i="6"/>
  <c r="D74"/>
  <c r="E74"/>
  <c r="F74" s="1"/>
  <c r="A74" i="5"/>
  <c r="D73"/>
  <c r="E73"/>
  <c r="F73" s="1"/>
  <c r="D71" i="1"/>
  <c r="C77" i="9"/>
  <c r="J70" i="11"/>
  <c r="C74" i="6"/>
  <c r="J70" i="8"/>
  <c r="C71" i="1"/>
  <c r="C134" i="11"/>
  <c r="J70" i="9"/>
  <c r="C73" i="5"/>
  <c r="C75" i="7"/>
  <c r="C76" i="8"/>
  <c r="J70" i="1"/>
  <c r="J70" i="7"/>
  <c r="J70" i="5"/>
  <c r="J70" i="6"/>
  <c r="I71" i="9" l="1"/>
  <c r="I71" i="8"/>
  <c r="I71" i="6"/>
  <c r="I71" i="5"/>
  <c r="I71" i="11"/>
  <c r="I71" i="7"/>
  <c r="I71" i="1"/>
  <c r="B70" i="8"/>
  <c r="B70" i="9"/>
  <c r="B70" i="6"/>
  <c r="B70" i="5"/>
  <c r="B70" i="11"/>
  <c r="B70" i="7"/>
  <c r="B70" i="1"/>
  <c r="A73"/>
  <c r="E72"/>
  <c r="F72" s="1"/>
  <c r="A136" i="11"/>
  <c r="D135"/>
  <c r="E135"/>
  <c r="F135" s="1"/>
  <c r="A79" i="9"/>
  <c r="D78"/>
  <c r="E78"/>
  <c r="F78" s="1"/>
  <c r="A78" i="8"/>
  <c r="D77"/>
  <c r="E77"/>
  <c r="F77" s="1"/>
  <c r="A77" i="7"/>
  <c r="D76"/>
  <c r="E76"/>
  <c r="F76" s="1"/>
  <c r="A76" i="6"/>
  <c r="E75"/>
  <c r="F75" s="1"/>
  <c r="D75"/>
  <c r="A75" i="5"/>
  <c r="D74"/>
  <c r="E74"/>
  <c r="F74" s="1"/>
  <c r="D72" i="1"/>
  <c r="C135" i="11"/>
  <c r="C72" i="1"/>
  <c r="C77" i="8"/>
  <c r="J71" i="11"/>
  <c r="C75" i="6"/>
  <c r="C74" i="5"/>
  <c r="J71"/>
  <c r="C76" i="7"/>
  <c r="J71" i="9"/>
  <c r="J71" i="1"/>
  <c r="C78" i="9"/>
  <c r="J71" i="6"/>
  <c r="J71" i="8"/>
  <c r="J71" i="7"/>
  <c r="I72" i="11" l="1"/>
  <c r="I72" i="9"/>
  <c r="I72" i="8"/>
  <c r="I72" i="6"/>
  <c r="I72" i="5"/>
  <c r="I72" i="7"/>
  <c r="I72" i="1"/>
  <c r="B71" i="9"/>
  <c r="B71" i="6"/>
  <c r="B71" i="5"/>
  <c r="B71" i="7"/>
  <c r="B71" i="11"/>
  <c r="B71" i="8"/>
  <c r="B71" i="1"/>
  <c r="A74"/>
  <c r="E73"/>
  <c r="F73" s="1"/>
  <c r="A137" i="11"/>
  <c r="D136"/>
  <c r="E136"/>
  <c r="F136" s="1"/>
  <c r="A80" i="9"/>
  <c r="D79"/>
  <c r="E79"/>
  <c r="F79" s="1"/>
  <c r="A79" i="8"/>
  <c r="D78"/>
  <c r="E78"/>
  <c r="F78" s="1"/>
  <c r="A78" i="7"/>
  <c r="E77"/>
  <c r="F77" s="1"/>
  <c r="D77"/>
  <c r="A77" i="6"/>
  <c r="D76"/>
  <c r="E76"/>
  <c r="F76" s="1"/>
  <c r="A76" i="5"/>
  <c r="D75"/>
  <c r="E75"/>
  <c r="F75" s="1"/>
  <c r="D73" i="1"/>
  <c r="C75" i="5"/>
  <c r="J72"/>
  <c r="C79" i="9"/>
  <c r="C77" i="7"/>
  <c r="J72" i="6"/>
  <c r="C76"/>
  <c r="C78" i="8"/>
  <c r="J72" i="11"/>
  <c r="C136"/>
  <c r="J72" i="1"/>
  <c r="C73"/>
  <c r="J72" i="7"/>
  <c r="J72" i="8"/>
  <c r="J72" i="9"/>
  <c r="I73" i="7" l="1"/>
  <c r="I73" i="11"/>
  <c r="I73" i="6"/>
  <c r="I73" i="9"/>
  <c r="I73" i="8"/>
  <c r="I73" i="5"/>
  <c r="I73" i="1"/>
  <c r="B72" i="6"/>
  <c r="B72" i="7"/>
  <c r="B72" i="8"/>
  <c r="B72" i="5"/>
  <c r="B72" i="11"/>
  <c r="B72" i="9"/>
  <c r="B72" i="1"/>
  <c r="A75"/>
  <c r="E74"/>
  <c r="F74" s="1"/>
  <c r="A138" i="11"/>
  <c r="D137"/>
  <c r="E137"/>
  <c r="F137" s="1"/>
  <c r="A81" i="9"/>
  <c r="D80"/>
  <c r="E80"/>
  <c r="F80" s="1"/>
  <c r="A80" i="8"/>
  <c r="D79"/>
  <c r="E79"/>
  <c r="F79" s="1"/>
  <c r="A79" i="7"/>
  <c r="D78"/>
  <c r="E78"/>
  <c r="F78" s="1"/>
  <c r="A78" i="6"/>
  <c r="D77"/>
  <c r="E77"/>
  <c r="F77" s="1"/>
  <c r="A77" i="5"/>
  <c r="D76"/>
  <c r="E76"/>
  <c r="F76" s="1"/>
  <c r="D74" i="1"/>
  <c r="J73" i="6"/>
  <c r="C80" i="9"/>
  <c r="C79" i="8"/>
  <c r="J73" i="1"/>
  <c r="C76" i="5"/>
  <c r="J73" i="11"/>
  <c r="J73" i="7"/>
  <c r="C137" i="11"/>
  <c r="C78" i="7"/>
  <c r="J73" i="8"/>
  <c r="C74" i="1"/>
  <c r="C77" i="6"/>
  <c r="J73" i="9"/>
  <c r="J73" i="5"/>
  <c r="I74" i="8" l="1"/>
  <c r="I74" i="7"/>
  <c r="I74" i="11"/>
  <c r="I74" i="9"/>
  <c r="I74" i="5"/>
  <c r="I74" i="6"/>
  <c r="I74" i="1"/>
  <c r="B73" i="7"/>
  <c r="B73" i="5"/>
  <c r="B73" i="9"/>
  <c r="B73" i="8"/>
  <c r="B73" i="11"/>
  <c r="B73" i="6"/>
  <c r="B73" i="1"/>
  <c r="A76"/>
  <c r="E75"/>
  <c r="F75" s="1"/>
  <c r="A139" i="11"/>
  <c r="D138"/>
  <c r="E138"/>
  <c r="F138" s="1"/>
  <c r="A82" i="9"/>
  <c r="D81"/>
  <c r="E81"/>
  <c r="F81" s="1"/>
  <c r="A81" i="8"/>
  <c r="D80"/>
  <c r="E80"/>
  <c r="F80" s="1"/>
  <c r="A80" i="7"/>
  <c r="D79"/>
  <c r="E79"/>
  <c r="F79" s="1"/>
  <c r="A79" i="6"/>
  <c r="D78"/>
  <c r="E78"/>
  <c r="F78" s="1"/>
  <c r="A78" i="5"/>
  <c r="D77"/>
  <c r="E77"/>
  <c r="F77" s="1"/>
  <c r="D75" i="1"/>
  <c r="J74" i="8"/>
  <c r="C79" i="7"/>
  <c r="C78" i="6"/>
  <c r="J74" i="7"/>
  <c r="J74" i="1"/>
  <c r="C80" i="8"/>
  <c r="J74" i="11"/>
  <c r="J74" i="6"/>
  <c r="C81" i="9"/>
  <c r="C77" i="5"/>
  <c r="J74"/>
  <c r="C75" i="1"/>
  <c r="C138" i="11"/>
  <c r="J74" i="9"/>
  <c r="I75" l="1"/>
  <c r="I75" i="8"/>
  <c r="I75" i="11"/>
  <c r="I75" i="7"/>
  <c r="I75" i="6"/>
  <c r="I75" i="5"/>
  <c r="I75" i="1"/>
  <c r="E50" i="4"/>
  <c r="B74" i="6"/>
  <c r="B74" i="8"/>
  <c r="B74" i="5"/>
  <c r="B74" i="9"/>
  <c r="B74" i="11"/>
  <c r="B74" i="7"/>
  <c r="B74" i="1"/>
  <c r="A77"/>
  <c r="E76"/>
  <c r="F76" s="1"/>
  <c r="A140" i="11"/>
  <c r="D139"/>
  <c r="E139"/>
  <c r="F139" s="1"/>
  <c r="A83" i="9"/>
  <c r="D82"/>
  <c r="E82"/>
  <c r="F82" s="1"/>
  <c r="A82" i="8"/>
  <c r="D81"/>
  <c r="E81"/>
  <c r="F81" s="1"/>
  <c r="A81" i="7"/>
  <c r="D80"/>
  <c r="E80"/>
  <c r="F80" s="1"/>
  <c r="A80" i="6"/>
  <c r="D79"/>
  <c r="E79"/>
  <c r="F79" s="1"/>
  <c r="A79" i="5"/>
  <c r="D78"/>
  <c r="E78"/>
  <c r="F78" s="1"/>
  <c r="D76" i="1"/>
  <c r="J75"/>
  <c r="C82" i="9"/>
  <c r="C139" i="11"/>
  <c r="C76" i="1"/>
  <c r="J75" i="8"/>
  <c r="J75" i="11"/>
  <c r="C80" i="7"/>
  <c r="C78" i="5"/>
  <c r="J75"/>
  <c r="C81" i="8"/>
  <c r="C79" i="6"/>
  <c r="J75" i="7"/>
  <c r="J75" i="9"/>
  <c r="J75" i="6"/>
  <c r="I76" i="11" l="1"/>
  <c r="I76" i="9"/>
  <c r="I76" i="6"/>
  <c r="I76" i="7"/>
  <c r="I76" i="5"/>
  <c r="I76" i="8"/>
  <c r="I76" i="1"/>
  <c r="E51" i="4"/>
  <c r="B75" i="8"/>
  <c r="B75" i="5"/>
  <c r="B75" i="9"/>
  <c r="B75" i="7"/>
  <c r="B75" i="11"/>
  <c r="B75" i="6"/>
  <c r="B75" i="1"/>
  <c r="E77"/>
  <c r="F77" s="1"/>
  <c r="A78"/>
  <c r="A141" i="11"/>
  <c r="D140"/>
  <c r="E140"/>
  <c r="F140" s="1"/>
  <c r="A84" i="9"/>
  <c r="D83"/>
  <c r="E83"/>
  <c r="F83" s="1"/>
  <c r="A83" i="8"/>
  <c r="D82"/>
  <c r="E82"/>
  <c r="F82" s="1"/>
  <c r="A82" i="7"/>
  <c r="D81"/>
  <c r="E81"/>
  <c r="F81" s="1"/>
  <c r="A81" i="6"/>
  <c r="E80"/>
  <c r="F80" s="1"/>
  <c r="D80"/>
  <c r="A80" i="5"/>
  <c r="D79"/>
  <c r="E79"/>
  <c r="F79" s="1"/>
  <c r="D77" i="1"/>
  <c r="C81" i="7"/>
  <c r="J76" i="1"/>
  <c r="C80" i="6"/>
  <c r="J76"/>
  <c r="C79" i="5"/>
  <c r="C77" i="1"/>
  <c r="J76" i="8"/>
  <c r="J76" i="5"/>
  <c r="C82" i="8"/>
  <c r="C83" i="9"/>
  <c r="J76"/>
  <c r="C140" i="11"/>
  <c r="J76"/>
  <c r="J76" i="7"/>
  <c r="I77" l="1"/>
  <c r="I77" i="11"/>
  <c r="I77" i="6"/>
  <c r="I77" i="9"/>
  <c r="I77" i="8"/>
  <c r="I77" i="5"/>
  <c r="I77" i="1"/>
  <c r="E52" i="4"/>
  <c r="B76" i="6"/>
  <c r="B76" i="9"/>
  <c r="B76" i="7"/>
  <c r="B76" i="5"/>
  <c r="B76" i="11"/>
  <c r="B76" i="8"/>
  <c r="B76" i="1"/>
  <c r="A79"/>
  <c r="E78"/>
  <c r="F78" s="1"/>
  <c r="A142" i="11"/>
  <c r="D141"/>
  <c r="E141"/>
  <c r="F141" s="1"/>
  <c r="A85" i="9"/>
  <c r="D84"/>
  <c r="E84"/>
  <c r="F84" s="1"/>
  <c r="A84" i="8"/>
  <c r="D83"/>
  <c r="E83"/>
  <c r="F83" s="1"/>
  <c r="A83" i="7"/>
  <c r="D82"/>
  <c r="E82"/>
  <c r="F82" s="1"/>
  <c r="A82" i="6"/>
  <c r="D81"/>
  <c r="E81"/>
  <c r="F81" s="1"/>
  <c r="A81" i="5"/>
  <c r="D80"/>
  <c r="E80"/>
  <c r="F80" s="1"/>
  <c r="D78" i="1"/>
  <c r="J77" i="5"/>
  <c r="J77" i="1"/>
  <c r="C82" i="7"/>
  <c r="J77" i="6"/>
  <c r="C78" i="1"/>
  <c r="C80" i="5"/>
  <c r="J77" i="8"/>
  <c r="J77" i="11"/>
  <c r="C81" i="6"/>
  <c r="C141" i="11"/>
  <c r="C84" i="9"/>
  <c r="C83" i="8"/>
  <c r="J77" i="7"/>
  <c r="J77" i="9"/>
  <c r="I78" i="8" l="1"/>
  <c r="I78" i="7"/>
  <c r="I78" i="11"/>
  <c r="I78" i="9"/>
  <c r="I78" i="6"/>
  <c r="I78" i="5"/>
  <c r="I78" i="1"/>
  <c r="E53" i="4"/>
  <c r="B77" i="8"/>
  <c r="B77" i="5"/>
  <c r="B77" i="9"/>
  <c r="B77" i="7"/>
  <c r="B77" i="11"/>
  <c r="B77" i="6"/>
  <c r="B77" i="1"/>
  <c r="A80"/>
  <c r="E79"/>
  <c r="F79" s="1"/>
  <c r="A143" i="11"/>
  <c r="D142"/>
  <c r="E142"/>
  <c r="F142" s="1"/>
  <c r="A86" i="9"/>
  <c r="D85"/>
  <c r="E85"/>
  <c r="F85" s="1"/>
  <c r="A85" i="8"/>
  <c r="D84"/>
  <c r="E84"/>
  <c r="F84" s="1"/>
  <c r="A84" i="7"/>
  <c r="D83"/>
  <c r="E83"/>
  <c r="F83" s="1"/>
  <c r="A83" i="6"/>
  <c r="D82"/>
  <c r="E82"/>
  <c r="F82" s="1"/>
  <c r="A82" i="5"/>
  <c r="D81"/>
  <c r="E81"/>
  <c r="F81" s="1"/>
  <c r="D79" i="1"/>
  <c r="J78" i="9"/>
  <c r="J78" i="1"/>
  <c r="C79"/>
  <c r="J78" i="11"/>
  <c r="C83" i="7"/>
  <c r="C81" i="5"/>
  <c r="J78" i="8"/>
  <c r="J78" i="5"/>
  <c r="C82" i="6"/>
  <c r="C85" i="9"/>
  <c r="C142" i="11"/>
  <c r="C84" i="8"/>
  <c r="J78" i="7"/>
  <c r="J78" i="6"/>
  <c r="I79" i="9" l="1"/>
  <c r="I79" i="8"/>
  <c r="I79" i="5"/>
  <c r="I79" i="11"/>
  <c r="I79" i="7"/>
  <c r="I79" i="6"/>
  <c r="I79" i="1"/>
  <c r="B78" i="6"/>
  <c r="B78" i="7"/>
  <c r="B78" i="5"/>
  <c r="B78" i="9"/>
  <c r="B78" i="11"/>
  <c r="B78" i="8"/>
  <c r="B78" i="1"/>
  <c r="E80"/>
  <c r="F80" s="1"/>
  <c r="A81"/>
  <c r="A144" i="11"/>
  <c r="D143"/>
  <c r="E143"/>
  <c r="F143" s="1"/>
  <c r="A87" i="9"/>
  <c r="D86"/>
  <c r="E86"/>
  <c r="F86" s="1"/>
  <c r="A86" i="8"/>
  <c r="D85"/>
  <c r="E85"/>
  <c r="F85" s="1"/>
  <c r="A85" i="7"/>
  <c r="D84"/>
  <c r="E84"/>
  <c r="F84" s="1"/>
  <c r="A84" i="6"/>
  <c r="D83"/>
  <c r="E83"/>
  <c r="F83" s="1"/>
  <c r="A83" i="5"/>
  <c r="D82"/>
  <c r="E82"/>
  <c r="F82" s="1"/>
  <c r="D80" i="1"/>
  <c r="J79" i="7"/>
  <c r="C85" i="8"/>
  <c r="C80" i="1"/>
  <c r="C143" i="11"/>
  <c r="C83" i="6"/>
  <c r="J79" i="9"/>
  <c r="C82" i="5"/>
  <c r="C84" i="7"/>
  <c r="J79" i="1"/>
  <c r="C86" i="9"/>
  <c r="J79" i="11"/>
  <c r="J79" i="5"/>
  <c r="J79" i="8"/>
  <c r="J79" i="6"/>
  <c r="I80" i="11" l="1"/>
  <c r="I80" i="9"/>
  <c r="I80" i="8"/>
  <c r="I80" i="7"/>
  <c r="I80" i="5"/>
  <c r="I80" i="6"/>
  <c r="I80" i="1"/>
  <c r="B79" i="8"/>
  <c r="B79" i="5"/>
  <c r="B79" i="9"/>
  <c r="B79" i="7"/>
  <c r="B79" i="11"/>
  <c r="B79" i="6"/>
  <c r="B79" i="1"/>
  <c r="E81"/>
  <c r="F81" s="1"/>
  <c r="A82"/>
  <c r="A145" i="11"/>
  <c r="D144"/>
  <c r="E144"/>
  <c r="F144" s="1"/>
  <c r="A88" i="9"/>
  <c r="D87"/>
  <c r="E87"/>
  <c r="F87" s="1"/>
  <c r="A87" i="8"/>
  <c r="D86"/>
  <c r="E86"/>
  <c r="F86" s="1"/>
  <c r="A86" i="7"/>
  <c r="D85"/>
  <c r="E85"/>
  <c r="F85" s="1"/>
  <c r="A85" i="6"/>
  <c r="D84"/>
  <c r="E84"/>
  <c r="F84" s="1"/>
  <c r="A84" i="5"/>
  <c r="D83"/>
  <c r="E83"/>
  <c r="F83" s="1"/>
  <c r="D81" i="1"/>
  <c r="J80" i="6"/>
  <c r="C81" i="1"/>
  <c r="C85" i="7"/>
  <c r="J80" i="9"/>
  <c r="J80" i="1"/>
  <c r="C84" i="6"/>
  <c r="J80" i="11"/>
  <c r="J80" i="7"/>
  <c r="C86" i="8"/>
  <c r="C83" i="5"/>
  <c r="J80" i="8"/>
  <c r="C87" i="9"/>
  <c r="C144" i="11"/>
  <c r="J80" i="5"/>
  <c r="I81" i="7" l="1"/>
  <c r="I81" i="11"/>
  <c r="I81" i="6"/>
  <c r="I81" i="8"/>
  <c r="I81" i="9"/>
  <c r="I81" i="5"/>
  <c r="I81" i="1"/>
  <c r="E55" i="4"/>
  <c r="B80" i="6"/>
  <c r="B80" i="5"/>
  <c r="B80" i="7"/>
  <c r="B80" i="9"/>
  <c r="B80" i="11"/>
  <c r="B80" i="8"/>
  <c r="B80" i="1"/>
  <c r="E82"/>
  <c r="F82" s="1"/>
  <c r="A83"/>
  <c r="A146" i="11"/>
  <c r="D145"/>
  <c r="E145"/>
  <c r="F145" s="1"/>
  <c r="A89" i="9"/>
  <c r="D88"/>
  <c r="E88"/>
  <c r="F88" s="1"/>
  <c r="A88" i="8"/>
  <c r="D87"/>
  <c r="E87"/>
  <c r="F87" s="1"/>
  <c r="A87" i="7"/>
  <c r="D86"/>
  <c r="E86"/>
  <c r="F86" s="1"/>
  <c r="A86" i="6"/>
  <c r="E85"/>
  <c r="F85" s="1"/>
  <c r="D85"/>
  <c r="A85" i="5"/>
  <c r="D84"/>
  <c r="E84"/>
  <c r="F84" s="1"/>
  <c r="D82" i="1"/>
  <c r="J81"/>
  <c r="J81" i="7"/>
  <c r="C86"/>
  <c r="C88" i="9"/>
  <c r="C87" i="8"/>
  <c r="C82" i="1"/>
  <c r="C145" i="11"/>
  <c r="C85" i="6"/>
  <c r="J81" i="9"/>
  <c r="C84" i="5"/>
  <c r="J81" i="8"/>
  <c r="J81" i="6"/>
  <c r="J81" i="11"/>
  <c r="J81" i="5"/>
  <c r="I82" i="8" l="1"/>
  <c r="I82" i="7"/>
  <c r="I82" i="6"/>
  <c r="I82" i="9"/>
  <c r="I82" i="5"/>
  <c r="I82" i="11"/>
  <c r="I82" i="1"/>
  <c r="E56" i="4"/>
  <c r="B81" i="8"/>
  <c r="B81" i="5"/>
  <c r="B81" i="9"/>
  <c r="B81" i="7"/>
  <c r="G50" i="4" s="1"/>
  <c r="B81" i="11"/>
  <c r="B81" i="6"/>
  <c r="B81" i="1"/>
  <c r="E83"/>
  <c r="F83" s="1"/>
  <c r="A84"/>
  <c r="A147" i="11"/>
  <c r="D146"/>
  <c r="E146"/>
  <c r="F146" s="1"/>
  <c r="A90" i="9"/>
  <c r="D89"/>
  <c r="E89"/>
  <c r="F89" s="1"/>
  <c r="A89" i="8"/>
  <c r="D88"/>
  <c r="E88"/>
  <c r="F88" s="1"/>
  <c r="A88" i="7"/>
  <c r="D87"/>
  <c r="E87"/>
  <c r="F87" s="1"/>
  <c r="A87" i="6"/>
  <c r="D86"/>
  <c r="E86"/>
  <c r="F86" s="1"/>
  <c r="A86" i="5"/>
  <c r="D85"/>
  <c r="E85"/>
  <c r="F85" s="1"/>
  <c r="D83" i="1"/>
  <c r="J82" i="11"/>
  <c r="C89" i="9"/>
  <c r="C85" i="5"/>
  <c r="J82" i="1"/>
  <c r="C146" i="11"/>
  <c r="J82" i="7"/>
  <c r="C86" i="6"/>
  <c r="C87" i="7"/>
  <c r="J82" i="8"/>
  <c r="J82" i="6"/>
  <c r="C83" i="1"/>
  <c r="C88" i="8"/>
  <c r="J82" i="5"/>
  <c r="J82" i="9"/>
  <c r="I83" l="1"/>
  <c r="I83" i="8"/>
  <c r="I83" i="11"/>
  <c r="I83" i="7"/>
  <c r="I83" i="6"/>
  <c r="I83" i="5"/>
  <c r="I83" i="1"/>
  <c r="E57" i="4"/>
  <c r="B82" i="6"/>
  <c r="B82" i="5"/>
  <c r="B82" i="9"/>
  <c r="B82" i="7"/>
  <c r="B82" i="11"/>
  <c r="B82" i="8"/>
  <c r="B82" i="1"/>
  <c r="A85"/>
  <c r="E84"/>
  <c r="F84" s="1"/>
  <c r="A148" i="11"/>
  <c r="D147"/>
  <c r="E147"/>
  <c r="F147" s="1"/>
  <c r="A91" i="9"/>
  <c r="D90"/>
  <c r="E90"/>
  <c r="F90" s="1"/>
  <c r="A90" i="8"/>
  <c r="D89"/>
  <c r="E89"/>
  <c r="F89" s="1"/>
  <c r="A89" i="7"/>
  <c r="D88"/>
  <c r="E88"/>
  <c r="F88" s="1"/>
  <c r="A88" i="6"/>
  <c r="D87"/>
  <c r="E87"/>
  <c r="F87" s="1"/>
  <c r="A87" i="5"/>
  <c r="D86"/>
  <c r="E86"/>
  <c r="F86" s="1"/>
  <c r="D84" i="1"/>
  <c r="C89" i="8"/>
  <c r="J83"/>
  <c r="C87" i="6"/>
  <c r="C86" i="5"/>
  <c r="C84" i="1"/>
  <c r="J83" i="9"/>
  <c r="C147" i="11"/>
  <c r="J83" i="6"/>
  <c r="J83" i="1"/>
  <c r="C90" i="9"/>
  <c r="J83" i="11"/>
  <c r="C88" i="7"/>
  <c r="J83" i="5"/>
  <c r="J83" i="7"/>
  <c r="I84" i="11" l="1"/>
  <c r="I84" i="9"/>
  <c r="I84" i="7"/>
  <c r="I84" i="5"/>
  <c r="I84" i="8"/>
  <c r="I84" i="6"/>
  <c r="I84" i="1"/>
  <c r="B83" i="9"/>
  <c r="B83" i="7"/>
  <c r="B83" i="11"/>
  <c r="B83" i="6"/>
  <c r="B83" i="8"/>
  <c r="B83" i="5"/>
  <c r="B83" i="1"/>
  <c r="E85"/>
  <c r="F85" s="1"/>
  <c r="A86"/>
  <c r="A149" i="11"/>
  <c r="D148"/>
  <c r="E148"/>
  <c r="F148" s="1"/>
  <c r="A92" i="9"/>
  <c r="D91"/>
  <c r="E91"/>
  <c r="F91" s="1"/>
  <c r="A91" i="8"/>
  <c r="D90"/>
  <c r="E90"/>
  <c r="F90" s="1"/>
  <c r="A90" i="7"/>
  <c r="D89"/>
  <c r="E89"/>
  <c r="F89" s="1"/>
  <c r="A89" i="6"/>
  <c r="E88"/>
  <c r="F88" s="1"/>
  <c r="D88"/>
  <c r="A88" i="5"/>
  <c r="D87"/>
  <c r="E87"/>
  <c r="F87" s="1"/>
  <c r="D85" i="1"/>
  <c r="J84" i="7"/>
  <c r="C88" i="6"/>
  <c r="C90" i="8"/>
  <c r="J84" i="1"/>
  <c r="C85"/>
  <c r="J84" i="8"/>
  <c r="J84" i="6"/>
  <c r="C89" i="7"/>
  <c r="C87" i="5"/>
  <c r="J84"/>
  <c r="C91" i="9"/>
  <c r="C148" i="11"/>
  <c r="J84"/>
  <c r="J84" i="9"/>
  <c r="I85" i="7" l="1"/>
  <c r="I85" i="11"/>
  <c r="I85" i="6"/>
  <c r="I85" i="9"/>
  <c r="I85" i="8"/>
  <c r="I85" i="5"/>
  <c r="I85" i="1"/>
  <c r="B84" i="6"/>
  <c r="B84" i="8"/>
  <c r="B84" i="9"/>
  <c r="B84" i="11"/>
  <c r="B84" i="5"/>
  <c r="B84" i="7"/>
  <c r="B84" i="1"/>
  <c r="E86"/>
  <c r="F86" s="1"/>
  <c r="A87"/>
  <c r="A150" i="11"/>
  <c r="D149"/>
  <c r="E149"/>
  <c r="F149" s="1"/>
  <c r="A93" i="9"/>
  <c r="D92"/>
  <c r="E92"/>
  <c r="F92" s="1"/>
  <c r="A92" i="8"/>
  <c r="D91"/>
  <c r="E91"/>
  <c r="F91" s="1"/>
  <c r="A91" i="7"/>
  <c r="D90"/>
  <c r="E90"/>
  <c r="F90" s="1"/>
  <c r="A90" i="6"/>
  <c r="D89"/>
  <c r="E89"/>
  <c r="F89" s="1"/>
  <c r="A89" i="5"/>
  <c r="D88"/>
  <c r="E88"/>
  <c r="F88" s="1"/>
  <c r="D86" i="1"/>
  <c r="C86"/>
  <c r="J85" i="7"/>
  <c r="C90"/>
  <c r="C88" i="5"/>
  <c r="C92" i="9"/>
  <c r="J85" i="8"/>
  <c r="C149" i="11"/>
  <c r="C91" i="8"/>
  <c r="J85" i="9"/>
  <c r="C89" i="6"/>
  <c r="J85" i="1"/>
  <c r="J85" i="6"/>
  <c r="J85" i="11"/>
  <c r="J85" i="5"/>
  <c r="I86" i="8" l="1"/>
  <c r="I86" i="7"/>
  <c r="I86" i="6"/>
  <c r="I86" i="11"/>
  <c r="I86" i="9"/>
  <c r="I86" i="5"/>
  <c r="I86" i="1"/>
  <c r="B85" i="8"/>
  <c r="B85" i="9"/>
  <c r="B85" i="11"/>
  <c r="B85" i="7"/>
  <c r="B85" i="5"/>
  <c r="B85" i="6"/>
  <c r="B85" i="1"/>
  <c r="E87"/>
  <c r="F87" s="1"/>
  <c r="A88"/>
  <c r="A151" i="11"/>
  <c r="D150"/>
  <c r="E150"/>
  <c r="F150" s="1"/>
  <c r="A94" i="9"/>
  <c r="D93"/>
  <c r="E93"/>
  <c r="F93" s="1"/>
  <c r="A93" i="8"/>
  <c r="D92"/>
  <c r="E92"/>
  <c r="F92" s="1"/>
  <c r="A92" i="7"/>
  <c r="D91"/>
  <c r="E91"/>
  <c r="F91" s="1"/>
  <c r="A91" i="6"/>
  <c r="E90"/>
  <c r="F90" s="1"/>
  <c r="D90"/>
  <c r="A90" i="5"/>
  <c r="D89"/>
  <c r="E89"/>
  <c r="F89" s="1"/>
  <c r="D87" i="1"/>
  <c r="J86" i="11"/>
  <c r="C90" i="6"/>
  <c r="C150" i="11"/>
  <c r="C92" i="8"/>
  <c r="C93" i="9"/>
  <c r="J86" i="1"/>
  <c r="C87"/>
  <c r="J86" i="6"/>
  <c r="J86" i="7"/>
  <c r="C91"/>
  <c r="C89" i="5"/>
  <c r="J86" i="8"/>
  <c r="J86" i="5"/>
  <c r="J86" i="9"/>
  <c r="I87" l="1"/>
  <c r="I87" i="8"/>
  <c r="I87" i="6"/>
  <c r="I87" i="5"/>
  <c r="I87" i="11"/>
  <c r="I87" i="7"/>
  <c r="I87" i="1"/>
  <c r="B86" i="9"/>
  <c r="B86" i="11"/>
  <c r="B86" i="7"/>
  <c r="B86" i="6"/>
  <c r="B86" i="5"/>
  <c r="B86" i="8"/>
  <c r="B86" i="1"/>
  <c r="E88"/>
  <c r="F88" s="1"/>
  <c r="A89"/>
  <c r="A152" i="11"/>
  <c r="D151"/>
  <c r="E151"/>
  <c r="F151" s="1"/>
  <c r="A95" i="9"/>
  <c r="D94"/>
  <c r="E94"/>
  <c r="F94" s="1"/>
  <c r="A94" i="8"/>
  <c r="D93"/>
  <c r="E93"/>
  <c r="F93" s="1"/>
  <c r="A93" i="7"/>
  <c r="D92"/>
  <c r="E92"/>
  <c r="F92" s="1"/>
  <c r="A92" i="6"/>
  <c r="D91"/>
  <c r="E91"/>
  <c r="F91" s="1"/>
  <c r="A91" i="5"/>
  <c r="D90"/>
  <c r="E90"/>
  <c r="F90" s="1"/>
  <c r="D88" i="1"/>
  <c r="J87" i="11"/>
  <c r="C91" i="6"/>
  <c r="C93" i="8"/>
  <c r="J87" i="5"/>
  <c r="C88" i="1"/>
  <c r="C94" i="9"/>
  <c r="J87"/>
  <c r="C151" i="11"/>
  <c r="C90" i="5"/>
  <c r="J87" i="7"/>
  <c r="J87" i="1"/>
  <c r="C92" i="7"/>
  <c r="J87" i="6"/>
  <c r="J87" i="8"/>
  <c r="I88" i="11" l="1"/>
  <c r="I88" i="9"/>
  <c r="I88" i="8"/>
  <c r="I88" i="6"/>
  <c r="I88" i="5"/>
  <c r="I88" i="7"/>
  <c r="I88" i="1"/>
  <c r="B87" i="8"/>
  <c r="B87" i="7"/>
  <c r="B87" i="6"/>
  <c r="B87" i="11"/>
  <c r="B87" i="5"/>
  <c r="B87" i="9"/>
  <c r="B87" i="1"/>
  <c r="E89"/>
  <c r="F89" s="1"/>
  <c r="A90"/>
  <c r="A153" i="11"/>
  <c r="D152"/>
  <c r="E152"/>
  <c r="F152" s="1"/>
  <c r="A96" i="9"/>
  <c r="D95"/>
  <c r="E95"/>
  <c r="F95" s="1"/>
  <c r="A95" i="8"/>
  <c r="D94"/>
  <c r="E94"/>
  <c r="F94" s="1"/>
  <c r="A94" i="7"/>
  <c r="D93"/>
  <c r="E93"/>
  <c r="F93" s="1"/>
  <c r="A93" i="6"/>
  <c r="D92"/>
  <c r="E92"/>
  <c r="F92" s="1"/>
  <c r="A92" i="5"/>
  <c r="D91"/>
  <c r="E91"/>
  <c r="F91" s="1"/>
  <c r="D89" i="1"/>
  <c r="C92" i="6"/>
  <c r="J88" i="11"/>
  <c r="C152"/>
  <c r="C89" i="1"/>
  <c r="J88" i="5"/>
  <c r="C93" i="7"/>
  <c r="C95" i="9"/>
  <c r="C94" i="8"/>
  <c r="J88" i="7"/>
  <c r="J88" i="1"/>
  <c r="C91" i="5"/>
  <c r="J88" i="6"/>
  <c r="J88" i="8"/>
  <c r="J88" i="9"/>
  <c r="I89" i="7" l="1"/>
  <c r="I89" i="11"/>
  <c r="I89" i="6"/>
  <c r="I89" i="9"/>
  <c r="I89" i="8"/>
  <c r="I89" i="5"/>
  <c r="I89" i="1"/>
  <c r="B88" i="9"/>
  <c r="B88" i="11"/>
  <c r="B88" i="7"/>
  <c r="B88" i="6"/>
  <c r="B88" i="5"/>
  <c r="B88" i="8"/>
  <c r="B88" i="1"/>
  <c r="A91"/>
  <c r="E90"/>
  <c r="F90" s="1"/>
  <c r="A154" i="11"/>
  <c r="D153"/>
  <c r="E153"/>
  <c r="F153" s="1"/>
  <c r="A97" i="9"/>
  <c r="D96"/>
  <c r="E96"/>
  <c r="F96" s="1"/>
  <c r="A96" i="8"/>
  <c r="D95"/>
  <c r="E95"/>
  <c r="F95" s="1"/>
  <c r="A95" i="7"/>
  <c r="D94"/>
  <c r="E94"/>
  <c r="F94" s="1"/>
  <c r="A94" i="6"/>
  <c r="D93"/>
  <c r="E93"/>
  <c r="F93" s="1"/>
  <c r="A93" i="5"/>
  <c r="D92"/>
  <c r="E92"/>
  <c r="F92" s="1"/>
  <c r="D90" i="1"/>
  <c r="C93" i="6"/>
  <c r="C96" i="9"/>
  <c r="C92" i="5"/>
  <c r="J89" i="8"/>
  <c r="C90" i="1"/>
  <c r="C95" i="8"/>
  <c r="J89" i="9"/>
  <c r="C153" i="11"/>
  <c r="C94" i="7"/>
  <c r="J89"/>
  <c r="J89" i="1"/>
  <c r="J89" i="11"/>
  <c r="J89" i="6"/>
  <c r="J89" i="5"/>
  <c r="I90" i="8" l="1"/>
  <c r="I90" i="7"/>
  <c r="I90" i="5"/>
  <c r="I90" i="11"/>
  <c r="I90" i="9"/>
  <c r="I90" i="6"/>
  <c r="I90" i="1"/>
  <c r="B89" i="8"/>
  <c r="B89" i="6"/>
  <c r="B89" i="11"/>
  <c r="B89" i="7"/>
  <c r="B89" i="5"/>
  <c r="B89" i="9"/>
  <c r="B89" i="1"/>
  <c r="A92"/>
  <c r="E91"/>
  <c r="F91" s="1"/>
  <c r="A155" i="11"/>
  <c r="D154"/>
  <c r="E154"/>
  <c r="F154" s="1"/>
  <c r="A98" i="9"/>
  <c r="D97"/>
  <c r="E97"/>
  <c r="F97" s="1"/>
  <c r="A97" i="8"/>
  <c r="D96"/>
  <c r="E96"/>
  <c r="F96" s="1"/>
  <c r="A96" i="7"/>
  <c r="D95"/>
  <c r="E95"/>
  <c r="F95" s="1"/>
  <c r="A95" i="6"/>
  <c r="D94"/>
  <c r="E94"/>
  <c r="F94" s="1"/>
  <c r="A94" i="5"/>
  <c r="D93"/>
  <c r="E93"/>
  <c r="F93" s="1"/>
  <c r="D91" i="1"/>
  <c r="C154" i="11"/>
  <c r="C96" i="8"/>
  <c r="C95" i="7"/>
  <c r="C97" i="9"/>
  <c r="J90" i="7"/>
  <c r="J90" i="1"/>
  <c r="C94" i="6"/>
  <c r="J90" i="11"/>
  <c r="J90" i="6"/>
  <c r="C93" i="5"/>
  <c r="C91" i="1"/>
  <c r="J90" i="5"/>
  <c r="J90" i="8"/>
  <c r="J90" i="9"/>
  <c r="I91" l="1"/>
  <c r="I91" i="8"/>
  <c r="I91" i="11"/>
  <c r="I91" i="7"/>
  <c r="I91" i="5"/>
  <c r="I91" i="6"/>
  <c r="I91" i="1"/>
  <c r="B90" i="9"/>
  <c r="B90" i="7"/>
  <c r="B90" i="6"/>
  <c r="B90" i="11"/>
  <c r="B90" i="5"/>
  <c r="B90" i="8"/>
  <c r="B90" i="1"/>
  <c r="E92"/>
  <c r="F92" s="1"/>
  <c r="A93"/>
  <c r="A156" i="11"/>
  <c r="D155"/>
  <c r="E155"/>
  <c r="F155" s="1"/>
  <c r="A99" i="9"/>
  <c r="D98"/>
  <c r="E98"/>
  <c r="F98" s="1"/>
  <c r="A98" i="8"/>
  <c r="D97"/>
  <c r="E97"/>
  <c r="F97" s="1"/>
  <c r="A97" i="7"/>
  <c r="D96"/>
  <c r="E96"/>
  <c r="F96" s="1"/>
  <c r="A96" i="6"/>
  <c r="D95"/>
  <c r="E95"/>
  <c r="F95" s="1"/>
  <c r="A95" i="5"/>
  <c r="D94"/>
  <c r="E94"/>
  <c r="F94" s="1"/>
  <c r="D92" i="1"/>
  <c r="J91" i="11"/>
  <c r="C155"/>
  <c r="J91" i="1"/>
  <c r="C92"/>
  <c r="C95" i="6"/>
  <c r="C98" i="9"/>
  <c r="C97" i="8"/>
  <c r="J91" i="5"/>
  <c r="C96" i="7"/>
  <c r="J91" i="9"/>
  <c r="C94" i="5"/>
  <c r="J91" i="7"/>
  <c r="J91" i="8"/>
  <c r="J91" i="6"/>
  <c r="I92" i="11" l="1"/>
  <c r="I92" i="9"/>
  <c r="I92" i="6"/>
  <c r="I92" i="7"/>
  <c r="I92" i="5"/>
  <c r="I92" i="8"/>
  <c r="I92" i="1"/>
  <c r="E45" i="4"/>
  <c r="B91" i="8"/>
  <c r="B91" i="7"/>
  <c r="B91" i="6"/>
  <c r="B91" i="11"/>
  <c r="B91" i="5"/>
  <c r="B91" i="9"/>
  <c r="B91" i="1"/>
  <c r="E93"/>
  <c r="F93" s="1"/>
  <c r="A94"/>
  <c r="A157" i="11"/>
  <c r="D156"/>
  <c r="E156"/>
  <c r="F156" s="1"/>
  <c r="A100" i="9"/>
  <c r="D99"/>
  <c r="E99"/>
  <c r="F99" s="1"/>
  <c r="A99" i="8"/>
  <c r="D98"/>
  <c r="E98"/>
  <c r="F98" s="1"/>
  <c r="A98" i="7"/>
  <c r="D97"/>
  <c r="E97"/>
  <c r="F97" s="1"/>
  <c r="A97" i="6"/>
  <c r="E96"/>
  <c r="F96" s="1"/>
  <c r="D96"/>
  <c r="A96" i="5"/>
  <c r="D95"/>
  <c r="E95"/>
  <c r="F95" s="1"/>
  <c r="D93" i="1"/>
  <c r="J92" i="11"/>
  <c r="J92" i="5"/>
  <c r="C156" i="11"/>
  <c r="C98" i="8"/>
  <c r="C99" i="9"/>
  <c r="C93" i="1"/>
  <c r="J92" i="7"/>
  <c r="J92" i="1"/>
  <c r="C97" i="7"/>
  <c r="J92" i="6"/>
  <c r="C96"/>
  <c r="C95" i="5"/>
  <c r="J92" i="9"/>
  <c r="J92" i="8"/>
  <c r="I93" i="7" l="1"/>
  <c r="I93" i="11"/>
  <c r="I93" i="6"/>
  <c r="I93" i="9"/>
  <c r="I93" i="8"/>
  <c r="I93" i="5"/>
  <c r="I93" i="1"/>
  <c r="E46" i="4"/>
  <c r="B92" i="9"/>
  <c r="B92" i="11"/>
  <c r="B92" i="7"/>
  <c r="B92" i="6"/>
  <c r="B92" i="5"/>
  <c r="B92" i="8"/>
  <c r="B92" i="1"/>
  <c r="A95"/>
  <c r="E94"/>
  <c r="F94" s="1"/>
  <c r="A158" i="11"/>
  <c r="D157"/>
  <c r="E157"/>
  <c r="F157" s="1"/>
  <c r="A101" i="9"/>
  <c r="D100"/>
  <c r="E100"/>
  <c r="F100" s="1"/>
  <c r="A100" i="8"/>
  <c r="D99"/>
  <c r="E99"/>
  <c r="F99" s="1"/>
  <c r="A99" i="7"/>
  <c r="D98"/>
  <c r="E98"/>
  <c r="F98" s="1"/>
  <c r="A98" i="6"/>
  <c r="D97"/>
  <c r="E97"/>
  <c r="F97" s="1"/>
  <c r="A97" i="5"/>
  <c r="D96"/>
  <c r="E96"/>
  <c r="F96" s="1"/>
  <c r="D94" i="1"/>
  <c r="C97" i="6"/>
  <c r="J93" i="1"/>
  <c r="C100" i="9"/>
  <c r="C157" i="11"/>
  <c r="C99" i="8"/>
  <c r="J93"/>
  <c r="J93" i="6"/>
  <c r="C96" i="5"/>
  <c r="C98" i="7"/>
  <c r="J93" i="11"/>
  <c r="C94" i="1"/>
  <c r="J93" i="7"/>
  <c r="J93" i="9"/>
  <c r="J93" i="5"/>
  <c r="I94" i="8" l="1"/>
  <c r="I94" i="7"/>
  <c r="I94" i="11"/>
  <c r="I94" i="9"/>
  <c r="I94" i="6"/>
  <c r="I94" i="5"/>
  <c r="I94" i="1"/>
  <c r="E47" i="4"/>
  <c r="B93" i="11"/>
  <c r="B93" i="7"/>
  <c r="B93" i="6"/>
  <c r="B93" i="8"/>
  <c r="B93" i="5"/>
  <c r="B93" i="9"/>
  <c r="B93" i="1"/>
  <c r="A96"/>
  <c r="E95"/>
  <c r="F95" s="1"/>
  <c r="A159" i="11"/>
  <c r="D158"/>
  <c r="E158"/>
  <c r="F158" s="1"/>
  <c r="A102" i="9"/>
  <c r="D101"/>
  <c r="E101"/>
  <c r="F101" s="1"/>
  <c r="A101" i="8"/>
  <c r="D100"/>
  <c r="E100"/>
  <c r="F100" s="1"/>
  <c r="A100" i="7"/>
  <c r="D99"/>
  <c r="E99"/>
  <c r="F99" s="1"/>
  <c r="A99" i="6"/>
  <c r="D98"/>
  <c r="E98"/>
  <c r="F98" s="1"/>
  <c r="A98" i="5"/>
  <c r="D97"/>
  <c r="E97"/>
  <c r="F97" s="1"/>
  <c r="D95" i="1"/>
  <c r="J94" i="11"/>
  <c r="J94" i="1"/>
  <c r="C98" i="6"/>
  <c r="J94" i="7"/>
  <c r="C158" i="11"/>
  <c r="C99" i="7"/>
  <c r="J94" i="8"/>
  <c r="J94" i="6"/>
  <c r="C100" i="8"/>
  <c r="C101" i="9"/>
  <c r="C97" i="5"/>
  <c r="C95" i="1"/>
  <c r="J94" i="9"/>
  <c r="J94" i="5"/>
  <c r="I95" i="9" l="1"/>
  <c r="I95" i="8"/>
  <c r="I95" i="5"/>
  <c r="I95" i="11"/>
  <c r="I95" i="7"/>
  <c r="I95" i="6"/>
  <c r="I95" i="1"/>
  <c r="E48" i="4"/>
  <c r="B94" i="7"/>
  <c r="B94" i="6"/>
  <c r="B94" i="8"/>
  <c r="B94" i="9"/>
  <c r="B94" i="5"/>
  <c r="B94" i="11"/>
  <c r="B94" i="1"/>
  <c r="E96"/>
  <c r="F96" s="1"/>
  <c r="A97"/>
  <c r="A160" i="11"/>
  <c r="D159"/>
  <c r="E159"/>
  <c r="F159" s="1"/>
  <c r="A103" i="9"/>
  <c r="D102"/>
  <c r="E102"/>
  <c r="F102" s="1"/>
  <c r="A102" i="8"/>
  <c r="D101"/>
  <c r="E101"/>
  <c r="F101" s="1"/>
  <c r="A101" i="7"/>
  <c r="D100"/>
  <c r="E100"/>
  <c r="F100" s="1"/>
  <c r="A100" i="6"/>
  <c r="D99"/>
  <c r="E99"/>
  <c r="F99" s="1"/>
  <c r="A99" i="5"/>
  <c r="D98"/>
  <c r="E98"/>
  <c r="F98" s="1"/>
  <c r="D96" i="1"/>
  <c r="J95" i="5"/>
  <c r="J95" i="1"/>
  <c r="C100" i="7"/>
  <c r="C101" i="8"/>
  <c r="C96" i="1"/>
  <c r="J95" i="8"/>
  <c r="J95" i="6"/>
  <c r="C102" i="9"/>
  <c r="C98" i="5"/>
  <c r="J95" i="11"/>
  <c r="C159"/>
  <c r="C99" i="6"/>
  <c r="J95" i="9"/>
  <c r="J95" i="7"/>
  <c r="I96" i="11" l="1"/>
  <c r="I96" i="9"/>
  <c r="I96" i="8"/>
  <c r="I96" i="7"/>
  <c r="I96" i="6"/>
  <c r="I96" i="5"/>
  <c r="I96" i="1"/>
  <c r="E49" i="4"/>
  <c r="B95" i="6"/>
  <c r="B95" i="8"/>
  <c r="B95" i="9"/>
  <c r="B95" i="11"/>
  <c r="B95" i="5"/>
  <c r="B95" i="7"/>
  <c r="B95" i="1"/>
  <c r="A98"/>
  <c r="E97"/>
  <c r="F97" s="1"/>
  <c r="A161" i="11"/>
  <c r="D160"/>
  <c r="E160"/>
  <c r="F160" s="1"/>
  <c r="A104" i="9"/>
  <c r="D103"/>
  <c r="E103"/>
  <c r="F103" s="1"/>
  <c r="A103" i="8"/>
  <c r="D102"/>
  <c r="E102"/>
  <c r="F102" s="1"/>
  <c r="A102" i="7"/>
  <c r="D101"/>
  <c r="E101"/>
  <c r="F101" s="1"/>
  <c r="A101" i="6"/>
  <c r="D100"/>
  <c r="E100"/>
  <c r="F100" s="1"/>
  <c r="A100" i="5"/>
  <c r="D99"/>
  <c r="E99"/>
  <c r="F99" s="1"/>
  <c r="D97" i="1"/>
  <c r="J96"/>
  <c r="C101" i="7"/>
  <c r="C160" i="11"/>
  <c r="C103" i="9"/>
  <c r="J96" i="8"/>
  <c r="J96" i="5"/>
  <c r="C97" i="1"/>
  <c r="C100" i="6"/>
  <c r="J96" i="9"/>
  <c r="C102" i="8"/>
  <c r="C99" i="5"/>
  <c r="J96" i="11"/>
  <c r="J96" i="6"/>
  <c r="J96" i="7"/>
  <c r="I97" l="1"/>
  <c r="I97" i="11"/>
  <c r="I97" i="6"/>
  <c r="I97" i="8"/>
  <c r="I97" i="9"/>
  <c r="I97" i="5"/>
  <c r="I97" i="1"/>
  <c r="B96" i="7"/>
  <c r="B96" i="11"/>
  <c r="B96" i="8"/>
  <c r="B96" i="9"/>
  <c r="B96" i="5"/>
  <c r="B96" i="6"/>
  <c r="B96" i="1"/>
  <c r="E98"/>
  <c r="F98" s="1"/>
  <c r="A99"/>
  <c r="A162" i="11"/>
  <c r="D161"/>
  <c r="E161"/>
  <c r="F161" s="1"/>
  <c r="A105" i="9"/>
  <c r="D104"/>
  <c r="E104"/>
  <c r="F104" s="1"/>
  <c r="A104" i="8"/>
  <c r="D103"/>
  <c r="E103"/>
  <c r="F103" s="1"/>
  <c r="A103" i="7"/>
  <c r="D102"/>
  <c r="E102"/>
  <c r="F102" s="1"/>
  <c r="A102" i="6"/>
  <c r="E101"/>
  <c r="F101" s="1"/>
  <c r="D101"/>
  <c r="A101" i="5"/>
  <c r="D100"/>
  <c r="E100"/>
  <c r="F100" s="1"/>
  <c r="D98" i="1"/>
  <c r="J97" i="9"/>
  <c r="J97" i="7"/>
  <c r="C102"/>
  <c r="C161" i="11"/>
  <c r="J97" i="8"/>
  <c r="C101" i="6"/>
  <c r="C98" i="1"/>
  <c r="C100" i="5"/>
  <c r="C104" i="9"/>
  <c r="J97" i="1"/>
  <c r="C103" i="8"/>
  <c r="J97" i="5"/>
  <c r="J97" i="6"/>
  <c r="J97" i="11"/>
  <c r="I98" i="8" l="1"/>
  <c r="I98" i="7"/>
  <c r="I98" i="6"/>
  <c r="I98" i="9"/>
  <c r="I98" i="5"/>
  <c r="I98" i="11"/>
  <c r="I98" i="1"/>
  <c r="B97" i="11"/>
  <c r="B97" i="8"/>
  <c r="B97" i="9"/>
  <c r="B97" i="6"/>
  <c r="B97" i="5"/>
  <c r="B97" i="7"/>
  <c r="B97" i="1"/>
  <c r="A100"/>
  <c r="E99"/>
  <c r="F99" s="1"/>
  <c r="A163" i="11"/>
  <c r="D162"/>
  <c r="E162"/>
  <c r="F162" s="1"/>
  <c r="A106" i="9"/>
  <c r="D105"/>
  <c r="E105"/>
  <c r="F105" s="1"/>
  <c r="A105" i="8"/>
  <c r="D104"/>
  <c r="E104"/>
  <c r="F104" s="1"/>
  <c r="A104" i="7"/>
  <c r="D103"/>
  <c r="E103"/>
  <c r="F103" s="1"/>
  <c r="A103" i="6"/>
  <c r="E102"/>
  <c r="F102" s="1"/>
  <c r="D102"/>
  <c r="A102" i="5"/>
  <c r="D101"/>
  <c r="E101"/>
  <c r="F101" s="1"/>
  <c r="D99" i="1"/>
  <c r="C105" i="9"/>
  <c r="C103" i="7"/>
  <c r="C104" i="8"/>
  <c r="C101" i="5"/>
  <c r="J98" i="8"/>
  <c r="C99" i="1"/>
  <c r="C102" i="6"/>
  <c r="J98" i="5"/>
  <c r="J98" i="1"/>
  <c r="C162" i="11"/>
  <c r="J98" i="6"/>
  <c r="J98" i="7"/>
  <c r="J98" i="11"/>
  <c r="J98" i="9"/>
  <c r="I99" l="1"/>
  <c r="I99" i="8"/>
  <c r="I99" i="11"/>
  <c r="I99" i="7"/>
  <c r="I99" i="6"/>
  <c r="I99" i="5"/>
  <c r="I99" i="1"/>
  <c r="B98" i="8"/>
  <c r="B98" i="6"/>
  <c r="B98" i="7"/>
  <c r="B98" i="9"/>
  <c r="B98" i="5"/>
  <c r="B98" i="11"/>
  <c r="B98" i="1"/>
  <c r="E100"/>
  <c r="F100" s="1"/>
  <c r="A101"/>
  <c r="A164" i="11"/>
  <c r="D163"/>
  <c r="E163"/>
  <c r="F163" s="1"/>
  <c r="A107" i="9"/>
  <c r="D106"/>
  <c r="E106"/>
  <c r="F106" s="1"/>
  <c r="A106" i="8"/>
  <c r="D105"/>
  <c r="E105"/>
  <c r="F105" s="1"/>
  <c r="A105" i="7"/>
  <c r="D104"/>
  <c r="E104"/>
  <c r="F104" s="1"/>
  <c r="A104" i="6"/>
  <c r="D103"/>
  <c r="E103"/>
  <c r="F103" s="1"/>
  <c r="A103" i="5"/>
  <c r="D102"/>
  <c r="E102"/>
  <c r="F102" s="1"/>
  <c r="D100" i="1"/>
  <c r="C163" i="11"/>
  <c r="J99" i="7"/>
  <c r="J99" i="6"/>
  <c r="C104" i="7"/>
  <c r="C103" i="6"/>
  <c r="C100" i="1"/>
  <c r="C106" i="9"/>
  <c r="J99"/>
  <c r="C102" i="5"/>
  <c r="J99" i="1"/>
  <c r="C105" i="8"/>
  <c r="J99" i="5"/>
  <c r="J99" i="11"/>
  <c r="J99" i="8"/>
  <c r="I100" i="11" l="1"/>
  <c r="I100" i="9"/>
  <c r="I100" i="7"/>
  <c r="I100" i="5"/>
  <c r="I100" i="8"/>
  <c r="I100" i="6"/>
  <c r="I100" i="1"/>
  <c r="B99" i="11"/>
  <c r="B99" i="9"/>
  <c r="B99" i="6"/>
  <c r="B99" i="7"/>
  <c r="B99" i="5"/>
  <c r="B99" i="8"/>
  <c r="B99" i="1"/>
  <c r="A102"/>
  <c r="E101"/>
  <c r="F101" s="1"/>
  <c r="A165" i="11"/>
  <c r="D164"/>
  <c r="E164"/>
  <c r="F164" s="1"/>
  <c r="A108" i="9"/>
  <c r="D107"/>
  <c r="E107"/>
  <c r="F107" s="1"/>
  <c r="A107" i="8"/>
  <c r="D106"/>
  <c r="E106"/>
  <c r="F106" s="1"/>
  <c r="A106" i="7"/>
  <c r="D105"/>
  <c r="E105"/>
  <c r="F105" s="1"/>
  <c r="A105" i="6"/>
  <c r="E104"/>
  <c r="F104" s="1"/>
  <c r="D104"/>
  <c r="A104" i="5"/>
  <c r="D103"/>
  <c r="E103"/>
  <c r="F103" s="1"/>
  <c r="D101" i="1"/>
  <c r="C164" i="11"/>
  <c r="C107" i="9"/>
  <c r="C106" i="8"/>
  <c r="J100" i="7"/>
  <c r="J100" i="1"/>
  <c r="C104" i="6"/>
  <c r="J100"/>
  <c r="J100" i="11"/>
  <c r="C101" i="1"/>
  <c r="C105" i="7"/>
  <c r="J100" i="8"/>
  <c r="J100" i="5"/>
  <c r="C103"/>
  <c r="J100" i="9"/>
  <c r="I101" i="7" l="1"/>
  <c r="I101" i="11"/>
  <c r="I101" i="6"/>
  <c r="I101" i="9"/>
  <c r="I101" i="8"/>
  <c r="I101" i="5"/>
  <c r="I101" i="1"/>
  <c r="B100" i="8"/>
  <c r="B100" i="6"/>
  <c r="B100" i="7"/>
  <c r="B100" i="9"/>
  <c r="B100" i="5"/>
  <c r="B100" i="11"/>
  <c r="B100" i="1"/>
  <c r="A103"/>
  <c r="E102"/>
  <c r="F102" s="1"/>
  <c r="A166" i="11"/>
  <c r="D165"/>
  <c r="E165"/>
  <c r="F165" s="1"/>
  <c r="A109" i="9"/>
  <c r="E108"/>
  <c r="F108" s="1"/>
  <c r="D108"/>
  <c r="A108" i="8"/>
  <c r="D107"/>
  <c r="E107"/>
  <c r="F107" s="1"/>
  <c r="A107" i="7"/>
  <c r="D106"/>
  <c r="E106"/>
  <c r="F106" s="1"/>
  <c r="A106" i="6"/>
  <c r="E105"/>
  <c r="F105" s="1"/>
  <c r="D105"/>
  <c r="A105" i="5"/>
  <c r="D104"/>
  <c r="E104"/>
  <c r="F104" s="1"/>
  <c r="D102" i="1"/>
  <c r="J101" i="8"/>
  <c r="C107"/>
  <c r="C108" i="9"/>
  <c r="J101" i="6"/>
  <c r="J101" i="1"/>
  <c r="C102"/>
  <c r="J101" i="11"/>
  <c r="J101" i="5"/>
  <c r="C165" i="11"/>
  <c r="C106" i="7"/>
  <c r="J101" i="9"/>
  <c r="C104" i="5"/>
  <c r="C105" i="6"/>
  <c r="J101" i="7"/>
  <c r="I102" i="8" l="1"/>
  <c r="I102" i="7"/>
  <c r="I102" i="11"/>
  <c r="I102" i="9"/>
  <c r="I102" i="6"/>
  <c r="I102" i="5"/>
  <c r="I102" i="1"/>
  <c r="B101" i="11"/>
  <c r="B101" i="6"/>
  <c r="B101" i="7"/>
  <c r="B101" i="9"/>
  <c r="B101" i="5"/>
  <c r="B101" i="8"/>
  <c r="B101" i="1"/>
  <c r="E103"/>
  <c r="F103" s="1"/>
  <c r="A104"/>
  <c r="A167" i="11"/>
  <c r="D166"/>
  <c r="E166"/>
  <c r="F166" s="1"/>
  <c r="A110" i="9"/>
  <c r="D109"/>
  <c r="E109"/>
  <c r="F109" s="1"/>
  <c r="A109" i="8"/>
  <c r="D108"/>
  <c r="E108"/>
  <c r="F108" s="1"/>
  <c r="A108" i="7"/>
  <c r="D107"/>
  <c r="E107"/>
  <c r="F107" s="1"/>
  <c r="A107" i="6"/>
  <c r="D106"/>
  <c r="E106"/>
  <c r="F106" s="1"/>
  <c r="A106" i="5"/>
  <c r="D105"/>
  <c r="E105"/>
  <c r="F105" s="1"/>
  <c r="D103" i="1"/>
  <c r="J102" i="6"/>
  <c r="C103" i="1"/>
  <c r="C108" i="8"/>
  <c r="J102"/>
  <c r="C107" i="7"/>
  <c r="C106" i="6"/>
  <c r="J102" i="9"/>
  <c r="C105" i="5"/>
  <c r="C166" i="11"/>
  <c r="J102" i="7"/>
  <c r="J102" i="1"/>
  <c r="C109" i="9"/>
  <c r="J102" i="11"/>
  <c r="J102" i="5"/>
  <c r="I103" i="9" l="1"/>
  <c r="I103" i="8"/>
  <c r="I103" i="6"/>
  <c r="I103" i="5"/>
  <c r="I103" i="11"/>
  <c r="I103" i="7"/>
  <c r="I103" i="1"/>
  <c r="B102" i="8"/>
  <c r="B102" i="9"/>
  <c r="B102" i="6"/>
  <c r="B102" i="7"/>
  <c r="B102" i="5"/>
  <c r="B102" i="11"/>
  <c r="B102" i="1"/>
  <c r="A105"/>
  <c r="E104"/>
  <c r="F104" s="1"/>
  <c r="A168" i="11"/>
  <c r="D167"/>
  <c r="E167"/>
  <c r="F167" s="1"/>
  <c r="A111" i="9"/>
  <c r="D110"/>
  <c r="E110"/>
  <c r="F110" s="1"/>
  <c r="A110" i="8"/>
  <c r="D109"/>
  <c r="E109"/>
  <c r="F109" s="1"/>
  <c r="A109" i="7"/>
  <c r="D108"/>
  <c r="E108"/>
  <c r="F108" s="1"/>
  <c r="A108" i="6"/>
  <c r="E107"/>
  <c r="F107" s="1"/>
  <c r="D107"/>
  <c r="A107" i="5"/>
  <c r="D106"/>
  <c r="E106"/>
  <c r="F106" s="1"/>
  <c r="D104" i="1"/>
  <c r="C108" i="7"/>
  <c r="C110" i="9"/>
  <c r="J103" i="11"/>
  <c r="C106" i="5"/>
  <c r="C107" i="6"/>
  <c r="J103" i="5"/>
  <c r="C167" i="11"/>
  <c r="J103" i="9"/>
  <c r="C104" i="1"/>
  <c r="J103" i="7"/>
  <c r="J103" i="1"/>
  <c r="C109" i="8"/>
  <c r="J103" i="6"/>
  <c r="J103" i="8"/>
  <c r="I104" i="11" l="1"/>
  <c r="I104" i="9"/>
  <c r="I104" i="8"/>
  <c r="I104" i="6"/>
  <c r="I104" i="5"/>
  <c r="I104" i="7"/>
  <c r="I104" i="1"/>
  <c r="B103" i="11"/>
  <c r="B103" i="6"/>
  <c r="B103" i="7"/>
  <c r="B103" i="9"/>
  <c r="B103" i="5"/>
  <c r="B103" i="8"/>
  <c r="B103" i="1"/>
  <c r="E105"/>
  <c r="F105" s="1"/>
  <c r="A106"/>
  <c r="A169" i="11"/>
  <c r="D168"/>
  <c r="E168"/>
  <c r="F168" s="1"/>
  <c r="A112" i="9"/>
  <c r="D111"/>
  <c r="E111"/>
  <c r="F111" s="1"/>
  <c r="A111" i="8"/>
  <c r="D110"/>
  <c r="E110"/>
  <c r="F110" s="1"/>
  <c r="A110" i="7"/>
  <c r="D109"/>
  <c r="E109"/>
  <c r="F109" s="1"/>
  <c r="A109" i="6"/>
  <c r="D108"/>
  <c r="E108"/>
  <c r="F108" s="1"/>
  <c r="A108" i="5"/>
  <c r="D107"/>
  <c r="E107"/>
  <c r="F107" s="1"/>
  <c r="D105" i="1"/>
  <c r="J104" i="8"/>
  <c r="C108" i="6"/>
  <c r="C109" i="7"/>
  <c r="J104"/>
  <c r="J104" i="1"/>
  <c r="C110" i="8"/>
  <c r="J104" i="6"/>
  <c r="J104" i="11"/>
  <c r="C107" i="5"/>
  <c r="C168" i="11"/>
  <c r="J104" i="5"/>
  <c r="C105" i="1"/>
  <c r="C111" i="9"/>
  <c r="J104"/>
  <c r="I105" i="7" l="1"/>
  <c r="I105" i="11"/>
  <c r="I105" i="6"/>
  <c r="I105" i="8"/>
  <c r="I105" i="9"/>
  <c r="I105" i="5"/>
  <c r="I105" i="1"/>
  <c r="B104" i="8"/>
  <c r="B104" i="9"/>
  <c r="B104" i="6"/>
  <c r="B104" i="7"/>
  <c r="B104" i="5"/>
  <c r="B104" i="11"/>
  <c r="B104" i="1"/>
  <c r="A107"/>
  <c r="E106"/>
  <c r="F106" s="1"/>
  <c r="A170" i="11"/>
  <c r="D169"/>
  <c r="E169"/>
  <c r="F169" s="1"/>
  <c r="A113" i="9"/>
  <c r="D112"/>
  <c r="E112"/>
  <c r="F112" s="1"/>
  <c r="A112" i="8"/>
  <c r="D111"/>
  <c r="E111"/>
  <c r="F111" s="1"/>
  <c r="A111" i="7"/>
  <c r="D110"/>
  <c r="E110"/>
  <c r="F110" s="1"/>
  <c r="A110" i="6"/>
  <c r="D109"/>
  <c r="E109"/>
  <c r="F109" s="1"/>
  <c r="A109" i="5"/>
  <c r="D108"/>
  <c r="E108"/>
  <c r="F108" s="1"/>
  <c r="D106" i="1"/>
  <c r="C110" i="7"/>
  <c r="J105"/>
  <c r="C169" i="11"/>
  <c r="C106" i="1"/>
  <c r="J105" i="8"/>
  <c r="C108" i="5"/>
  <c r="C111" i="8"/>
  <c r="C112" i="9"/>
  <c r="J105"/>
  <c r="J105" i="1"/>
  <c r="C109" i="6"/>
  <c r="J105" i="5"/>
  <c r="J105" i="6"/>
  <c r="J105" i="11"/>
  <c r="I106" i="8" l="1"/>
  <c r="I106" i="7"/>
  <c r="I106" i="5"/>
  <c r="I106" i="11"/>
  <c r="I106" i="9"/>
  <c r="I106" i="6"/>
  <c r="I106" i="1"/>
  <c r="B105" i="9"/>
  <c r="B105" i="6"/>
  <c r="B105" i="7"/>
  <c r="B105" i="11"/>
  <c r="B105" i="5"/>
  <c r="B105" i="8"/>
  <c r="B105" i="1"/>
  <c r="E107"/>
  <c r="F107" s="1"/>
  <c r="A108"/>
  <c r="A171" i="11"/>
  <c r="D170"/>
  <c r="E170"/>
  <c r="F170" s="1"/>
  <c r="A114" i="9"/>
  <c r="D113"/>
  <c r="E113"/>
  <c r="F113" s="1"/>
  <c r="A113" i="8"/>
  <c r="D112"/>
  <c r="E112"/>
  <c r="F112" s="1"/>
  <c r="A112" i="7"/>
  <c r="D111"/>
  <c r="E111"/>
  <c r="F111" s="1"/>
  <c r="A111" i="6"/>
  <c r="E110"/>
  <c r="F110" s="1"/>
  <c r="D110"/>
  <c r="A110" i="5"/>
  <c r="D109"/>
  <c r="E109"/>
  <c r="F109" s="1"/>
  <c r="D107" i="1"/>
  <c r="J106" i="5"/>
  <c r="C110" i="6"/>
  <c r="C112" i="8"/>
  <c r="J106" i="1"/>
  <c r="C111" i="7"/>
  <c r="J106" i="6"/>
  <c r="J106" i="7"/>
  <c r="C109" i="5"/>
  <c r="C170" i="11"/>
  <c r="J106" i="8"/>
  <c r="J106" i="11"/>
  <c r="C113" i="9"/>
  <c r="C107" i="1"/>
  <c r="J106" i="9"/>
  <c r="I107" l="1"/>
  <c r="I107" i="8"/>
  <c r="I107" i="11"/>
  <c r="I107" i="7"/>
  <c r="I107" i="6"/>
  <c r="I107" i="5"/>
  <c r="I107" i="1"/>
  <c r="E59" i="4"/>
  <c r="B106" i="6"/>
  <c r="B106" i="7"/>
  <c r="B106" i="11"/>
  <c r="B106" i="8"/>
  <c r="B106" i="5"/>
  <c r="B106" i="9"/>
  <c r="B106" i="1"/>
  <c r="A109"/>
  <c r="E108"/>
  <c r="F108" s="1"/>
  <c r="A172" i="11"/>
  <c r="D171"/>
  <c r="E171"/>
  <c r="F171" s="1"/>
  <c r="A115" i="9"/>
  <c r="D114"/>
  <c r="E114"/>
  <c r="F114" s="1"/>
  <c r="A114" i="8"/>
  <c r="D113"/>
  <c r="E113"/>
  <c r="F113" s="1"/>
  <c r="A113" i="7"/>
  <c r="D112"/>
  <c r="E112"/>
  <c r="F112" s="1"/>
  <c r="A112" i="6"/>
  <c r="D111"/>
  <c r="E111"/>
  <c r="F111" s="1"/>
  <c r="A111" i="5"/>
  <c r="D110"/>
  <c r="E110"/>
  <c r="F110" s="1"/>
  <c r="D108" i="1"/>
  <c r="J107" i="9"/>
  <c r="J107" i="8"/>
  <c r="C114" i="9"/>
  <c r="C112" i="7"/>
  <c r="C171" i="11"/>
  <c r="C108" i="1"/>
  <c r="J107"/>
  <c r="C113" i="8"/>
  <c r="J107" i="6"/>
  <c r="C111"/>
  <c r="C110" i="5"/>
  <c r="J107" i="7"/>
  <c r="J107" i="11"/>
  <c r="J107" i="5"/>
  <c r="I108" i="11" l="1"/>
  <c r="I108" i="9"/>
  <c r="I108" i="6"/>
  <c r="I108" i="7"/>
  <c r="I108" i="5"/>
  <c r="I108" i="8"/>
  <c r="I108" i="1"/>
  <c r="E60" i="4"/>
  <c r="B107" i="9"/>
  <c r="B107" i="7"/>
  <c r="B107" i="11"/>
  <c r="B107" i="8"/>
  <c r="B107" i="5"/>
  <c r="B107" i="6"/>
  <c r="B107" i="1"/>
  <c r="A110"/>
  <c r="E109"/>
  <c r="F109" s="1"/>
  <c r="A173" i="11"/>
  <c r="D172"/>
  <c r="E172"/>
  <c r="F172" s="1"/>
  <c r="A116" i="9"/>
  <c r="D115"/>
  <c r="E115"/>
  <c r="F115" s="1"/>
  <c r="A115" i="8"/>
  <c r="D114"/>
  <c r="E114"/>
  <c r="F114" s="1"/>
  <c r="A114" i="7"/>
  <c r="D113"/>
  <c r="E113"/>
  <c r="F113" s="1"/>
  <c r="A113" i="6"/>
  <c r="D112"/>
  <c r="E112"/>
  <c r="F112" s="1"/>
  <c r="A112" i="5"/>
  <c r="D111"/>
  <c r="E111"/>
  <c r="F111" s="1"/>
  <c r="D109" i="1"/>
  <c r="J108" i="6"/>
  <c r="C112"/>
  <c r="C111" i="5"/>
  <c r="J108" i="11"/>
  <c r="C172"/>
  <c r="C114" i="8"/>
  <c r="J108" i="1"/>
  <c r="C115" i="9"/>
  <c r="J108" i="5"/>
  <c r="C113" i="7"/>
  <c r="C109" i="1"/>
  <c r="J108" i="9"/>
  <c r="J108" i="8"/>
  <c r="J108" i="7"/>
  <c r="I109" l="1"/>
  <c r="I109" i="11"/>
  <c r="I109" i="6"/>
  <c r="I109" i="9"/>
  <c r="I109" i="8"/>
  <c r="I109" i="5"/>
  <c r="I109" i="1"/>
  <c r="E61" i="4"/>
  <c r="B108" i="11"/>
  <c r="B108" i="8"/>
  <c r="B108" i="5"/>
  <c r="B108" i="9"/>
  <c r="B108" i="6"/>
  <c r="B108" i="7"/>
  <c r="B108" i="1"/>
  <c r="E110"/>
  <c r="F110" s="1"/>
  <c r="A111"/>
  <c r="A174" i="11"/>
  <c r="D173"/>
  <c r="E173"/>
  <c r="F173" s="1"/>
  <c r="A117" i="9"/>
  <c r="D116"/>
  <c r="E116"/>
  <c r="F116" s="1"/>
  <c r="A116" i="8"/>
  <c r="D115"/>
  <c r="E115"/>
  <c r="F115" s="1"/>
  <c r="A115" i="7"/>
  <c r="D114"/>
  <c r="E114"/>
  <c r="F114" s="1"/>
  <c r="A114" i="6"/>
  <c r="E113"/>
  <c r="F113" s="1"/>
  <c r="D113"/>
  <c r="A113" i="5"/>
  <c r="D112"/>
  <c r="E112"/>
  <c r="F112" s="1"/>
  <c r="D110" i="1"/>
  <c r="J109"/>
  <c r="C112" i="5"/>
  <c r="J109" i="11"/>
  <c r="J109" i="5"/>
  <c r="C116" i="9"/>
  <c r="C114" i="7"/>
  <c r="J109"/>
  <c r="J109" i="9"/>
  <c r="C110" i="1"/>
  <c r="C173" i="11"/>
  <c r="J109" i="6"/>
  <c r="C113"/>
  <c r="C115" i="8"/>
  <c r="J109"/>
  <c r="I110" l="1"/>
  <c r="I110" i="7"/>
  <c r="I110" i="11"/>
  <c r="I110" i="9"/>
  <c r="I110" i="6"/>
  <c r="I110" i="5"/>
  <c r="I110" i="1"/>
  <c r="E62" i="4"/>
  <c r="B109" i="5"/>
  <c r="B109" i="9"/>
  <c r="B109" i="6"/>
  <c r="B109" i="11"/>
  <c r="B109" i="7"/>
  <c r="B109" i="8"/>
  <c r="B109" i="1"/>
  <c r="A112"/>
  <c r="E111"/>
  <c r="F111" s="1"/>
  <c r="A175" i="11"/>
  <c r="D174"/>
  <c r="E174"/>
  <c r="F174" s="1"/>
  <c r="A118" i="9"/>
  <c r="D117"/>
  <c r="E117"/>
  <c r="F117" s="1"/>
  <c r="A117" i="8"/>
  <c r="D116"/>
  <c r="E116"/>
  <c r="F116" s="1"/>
  <c r="A116" i="7"/>
  <c r="D115"/>
  <c r="E115"/>
  <c r="F115" s="1"/>
  <c r="A115" i="6"/>
  <c r="E114"/>
  <c r="F114" s="1"/>
  <c r="D114"/>
  <c r="A114" i="5"/>
  <c r="D113"/>
  <c r="E113"/>
  <c r="F113" s="1"/>
  <c r="D111" i="1"/>
  <c r="C116" i="8"/>
  <c r="J110" i="9"/>
  <c r="C111" i="1"/>
  <c r="J110" i="8"/>
  <c r="J110" i="6"/>
  <c r="C115" i="7"/>
  <c r="C113" i="5"/>
  <c r="C114" i="6"/>
  <c r="C117" i="9"/>
  <c r="J110" i="1"/>
  <c r="J110" i="7"/>
  <c r="C174" i="11"/>
  <c r="J110"/>
  <c r="J110" i="5"/>
  <c r="I111" i="9" l="1"/>
  <c r="I111" i="8"/>
  <c r="I111" i="5"/>
  <c r="I111" i="11"/>
  <c r="I111" i="6"/>
  <c r="I111" i="7"/>
  <c r="I111" i="1"/>
  <c r="B110" i="8"/>
  <c r="B110" i="9"/>
  <c r="B110" i="6"/>
  <c r="B110" i="11"/>
  <c r="B110" i="7"/>
  <c r="B110" i="5"/>
  <c r="B110" i="1"/>
  <c r="E112"/>
  <c r="F112" s="1"/>
  <c r="A113"/>
  <c r="A176" i="11"/>
  <c r="D175"/>
  <c r="E175"/>
  <c r="F175" s="1"/>
  <c r="A119" i="9"/>
  <c r="D118"/>
  <c r="E118"/>
  <c r="F118" s="1"/>
  <c r="A118" i="8"/>
  <c r="D117"/>
  <c r="E117"/>
  <c r="F117" s="1"/>
  <c r="A117" i="7"/>
  <c r="D116"/>
  <c r="E116"/>
  <c r="F116" s="1"/>
  <c r="A116" i="6"/>
  <c r="D115"/>
  <c r="E115"/>
  <c r="F115" s="1"/>
  <c r="A115" i="5"/>
  <c r="D114"/>
  <c r="E114"/>
  <c r="F114" s="1"/>
  <c r="D112" i="1"/>
  <c r="J111" i="8"/>
  <c r="C116" i="7"/>
  <c r="C115" i="6"/>
  <c r="J111" i="5"/>
  <c r="J111" i="1"/>
  <c r="C114" i="5"/>
  <c r="J111" i="9"/>
  <c r="J111" i="7"/>
  <c r="C118" i="9"/>
  <c r="C112" i="1"/>
  <c r="J111" i="6"/>
  <c r="C175" i="11"/>
  <c r="C117" i="8"/>
  <c r="J111" i="11"/>
  <c r="I112" l="1"/>
  <c r="I112" i="9"/>
  <c r="I112" i="8"/>
  <c r="I112" i="7"/>
  <c r="I112" i="5"/>
  <c r="I112" i="6"/>
  <c r="I112" i="1"/>
  <c r="B111" i="5"/>
  <c r="B111" i="9"/>
  <c r="B111" i="6"/>
  <c r="B111" i="11"/>
  <c r="B111" i="7"/>
  <c r="B111" i="8"/>
  <c r="B111" i="1"/>
  <c r="A114"/>
  <c r="E113"/>
  <c r="F113" s="1"/>
  <c r="A177" i="11"/>
  <c r="D176"/>
  <c r="E176"/>
  <c r="F176" s="1"/>
  <c r="A120" i="9"/>
  <c r="D119"/>
  <c r="E119"/>
  <c r="F119" s="1"/>
  <c r="A119" i="8"/>
  <c r="D118"/>
  <c r="E118"/>
  <c r="F118" s="1"/>
  <c r="A118" i="7"/>
  <c r="D117"/>
  <c r="E117"/>
  <c r="F117" s="1"/>
  <c r="A117" i="6"/>
  <c r="D116"/>
  <c r="E116"/>
  <c r="F116" s="1"/>
  <c r="A116" i="5"/>
  <c r="D115"/>
  <c r="E115"/>
  <c r="F115" s="1"/>
  <c r="D113" i="1"/>
  <c r="C116" i="6"/>
  <c r="C118" i="8"/>
  <c r="J112" i="1"/>
  <c r="C113"/>
  <c r="J112" i="9"/>
  <c r="C117" i="7"/>
  <c r="C176" i="11"/>
  <c r="J112" i="8"/>
  <c r="J112" i="6"/>
  <c r="C115" i="5"/>
  <c r="C119" i="9"/>
  <c r="J112" i="7"/>
  <c r="J112" i="11"/>
  <c r="J112" i="5"/>
  <c r="I113" i="7" l="1"/>
  <c r="I113" i="11"/>
  <c r="I113" i="6"/>
  <c r="I113" i="8"/>
  <c r="I113" i="5"/>
  <c r="I113" i="9"/>
  <c r="I113" i="1"/>
  <c r="B112" i="8"/>
  <c r="B112" i="9"/>
  <c r="B112" i="6"/>
  <c r="B112" i="11"/>
  <c r="B112" i="7"/>
  <c r="B112" i="5"/>
  <c r="B112" i="1"/>
  <c r="E114"/>
  <c r="F114" s="1"/>
  <c r="A115"/>
  <c r="A178" i="11"/>
  <c r="D177"/>
  <c r="E177"/>
  <c r="F177" s="1"/>
  <c r="A121" i="9"/>
  <c r="D120"/>
  <c r="E120"/>
  <c r="F120" s="1"/>
  <c r="A120" i="8"/>
  <c r="D119"/>
  <c r="E119"/>
  <c r="F119" s="1"/>
  <c r="A119" i="7"/>
  <c r="D118"/>
  <c r="E118"/>
  <c r="F118" s="1"/>
  <c r="A118" i="6"/>
  <c r="D117"/>
  <c r="E117"/>
  <c r="F117" s="1"/>
  <c r="A117" i="5"/>
  <c r="D116"/>
  <c r="E116"/>
  <c r="F116" s="1"/>
  <c r="D114" i="1"/>
  <c r="C116" i="5"/>
  <c r="C119" i="8"/>
  <c r="J113" i="1"/>
  <c r="J113" i="7"/>
  <c r="C120" i="9"/>
  <c r="C114" i="1"/>
  <c r="J113" i="8"/>
  <c r="C117" i="6"/>
  <c r="C118" i="7"/>
  <c r="J113" i="5"/>
  <c r="C177" i="11"/>
  <c r="J113" i="6"/>
  <c r="J113" i="11"/>
  <c r="J113" i="9"/>
  <c r="I114" i="8" l="1"/>
  <c r="I114" i="7"/>
  <c r="I114" i="6"/>
  <c r="I114" i="9"/>
  <c r="I114" i="5"/>
  <c r="I114" i="11"/>
  <c r="I114" i="1"/>
  <c r="B113" i="5"/>
  <c r="B113" i="9"/>
  <c r="B113" i="6"/>
  <c r="B113" i="11"/>
  <c r="B113" i="7"/>
  <c r="B113" i="8"/>
  <c r="B113" i="1"/>
  <c r="E115"/>
  <c r="F115" s="1"/>
  <c r="A116"/>
  <c r="A179" i="11"/>
  <c r="D178"/>
  <c r="E178"/>
  <c r="F178" s="1"/>
  <c r="A122" i="9"/>
  <c r="D121"/>
  <c r="E121"/>
  <c r="F121" s="1"/>
  <c r="A121" i="8"/>
  <c r="D120"/>
  <c r="E120"/>
  <c r="F120" s="1"/>
  <c r="A120" i="7"/>
  <c r="D119"/>
  <c r="E119"/>
  <c r="F119" s="1"/>
  <c r="A119" i="6"/>
  <c r="E118"/>
  <c r="F118" s="1"/>
  <c r="D118"/>
  <c r="A118" i="5"/>
  <c r="D117"/>
  <c r="E117"/>
  <c r="F117" s="1"/>
  <c r="D115" i="1"/>
  <c r="C120" i="8"/>
  <c r="C117" i="5"/>
  <c r="J114" i="8"/>
  <c r="C119" i="7"/>
  <c r="C121" i="9"/>
  <c r="C115" i="1"/>
  <c r="C178" i="11"/>
  <c r="J114" i="5"/>
  <c r="J114" i="1"/>
  <c r="C118" i="6"/>
  <c r="J114" i="9"/>
  <c r="J114" i="6"/>
  <c r="J114" i="7"/>
  <c r="J114" i="11"/>
  <c r="I115" i="9" l="1"/>
  <c r="I115" i="8"/>
  <c r="I115" i="11"/>
  <c r="I115" i="7"/>
  <c r="I115" i="5"/>
  <c r="I115" i="6"/>
  <c r="I115" i="1"/>
  <c r="B114" i="8"/>
  <c r="B114" i="9"/>
  <c r="B114" i="6"/>
  <c r="B114" i="11"/>
  <c r="G36" i="4"/>
  <c r="B114" i="7"/>
  <c r="B114" i="5"/>
  <c r="B114" i="1"/>
  <c r="A117"/>
  <c r="E116"/>
  <c r="F116" s="1"/>
  <c r="A180" i="11"/>
  <c r="D179"/>
  <c r="E179"/>
  <c r="F179" s="1"/>
  <c r="A123" i="9"/>
  <c r="D122"/>
  <c r="E122"/>
  <c r="F122" s="1"/>
  <c r="A122" i="8"/>
  <c r="D121"/>
  <c r="E121"/>
  <c r="F121" s="1"/>
  <c r="A121" i="7"/>
  <c r="D120"/>
  <c r="E120"/>
  <c r="F120" s="1"/>
  <c r="A120" i="6"/>
  <c r="D119"/>
  <c r="E119"/>
  <c r="F119" s="1"/>
  <c r="A119" i="5"/>
  <c r="D118"/>
  <c r="E118"/>
  <c r="F118" s="1"/>
  <c r="D116" i="1"/>
  <c r="J115" i="9"/>
  <c r="C119" i="6"/>
  <c r="C120" i="7"/>
  <c r="J115"/>
  <c r="C122" i="9"/>
  <c r="C116" i="1"/>
  <c r="J115"/>
  <c r="C179" i="11"/>
  <c r="J115"/>
  <c r="J115" i="5"/>
  <c r="C118"/>
  <c r="C121" i="8"/>
  <c r="J115"/>
  <c r="J115" i="6"/>
  <c r="I116" i="11" l="1"/>
  <c r="I116" i="9"/>
  <c r="I116" i="7"/>
  <c r="I116" i="5"/>
  <c r="I116" i="6"/>
  <c r="I116" i="8"/>
  <c r="I116" i="1"/>
  <c r="B115" i="11"/>
  <c r="B115" i="7"/>
  <c r="B115" i="9"/>
  <c r="B115" i="5"/>
  <c r="B115" i="6"/>
  <c r="B115" i="8"/>
  <c r="B115" i="1"/>
  <c r="A118"/>
  <c r="E117"/>
  <c r="F117" s="1"/>
  <c r="A181" i="11"/>
  <c r="D180"/>
  <c r="E180"/>
  <c r="F180" s="1"/>
  <c r="A124" i="9"/>
  <c r="D123"/>
  <c r="E123"/>
  <c r="F123" s="1"/>
  <c r="A123" i="8"/>
  <c r="D122"/>
  <c r="E122"/>
  <c r="F122" s="1"/>
  <c r="A122" i="7"/>
  <c r="D121"/>
  <c r="E121"/>
  <c r="F121" s="1"/>
  <c r="A121" i="6"/>
  <c r="E120"/>
  <c r="F120" s="1"/>
  <c r="D120"/>
  <c r="A120" i="5"/>
  <c r="D119"/>
  <c r="E119"/>
  <c r="F119" s="1"/>
  <c r="D117" i="1"/>
  <c r="C117"/>
  <c r="C121" i="7"/>
  <c r="J116" i="6"/>
  <c r="C120"/>
  <c r="C119" i="5"/>
  <c r="J116" i="11"/>
  <c r="C122" i="8"/>
  <c r="C180" i="11"/>
  <c r="J116" i="7"/>
  <c r="J116" i="1"/>
  <c r="C123" i="9"/>
  <c r="J116" i="5"/>
  <c r="J116" i="9"/>
  <c r="J116" i="8"/>
  <c r="I117" i="7" l="1"/>
  <c r="I117" i="11"/>
  <c r="I117" i="6"/>
  <c r="I117" i="9"/>
  <c r="I117" i="8"/>
  <c r="I117" i="5"/>
  <c r="I117" i="1"/>
  <c r="E54" i="4"/>
  <c r="B116" i="5"/>
  <c r="B116" i="6"/>
  <c r="B116" i="11"/>
  <c r="B116" i="8"/>
  <c r="B116" i="7"/>
  <c r="B116" i="9"/>
  <c r="B116" i="1"/>
  <c r="E118"/>
  <c r="F118" s="1"/>
  <c r="A119"/>
  <c r="A182" i="11"/>
  <c r="D181"/>
  <c r="E181"/>
  <c r="F181" s="1"/>
  <c r="A125" i="9"/>
  <c r="D124"/>
  <c r="E124"/>
  <c r="F124" s="1"/>
  <c r="A124" i="8"/>
  <c r="D123"/>
  <c r="E123"/>
  <c r="F123" s="1"/>
  <c r="A123" i="7"/>
  <c r="D122"/>
  <c r="E122"/>
  <c r="F122" s="1"/>
  <c r="A122" i="6"/>
  <c r="E121"/>
  <c r="F121" s="1"/>
  <c r="D121"/>
  <c r="A121" i="5"/>
  <c r="D120"/>
  <c r="E120"/>
  <c r="F120" s="1"/>
  <c r="D118" i="1"/>
  <c r="C123" i="8"/>
  <c r="J117" i="1"/>
  <c r="C120" i="5"/>
  <c r="C118" i="1"/>
  <c r="J117" i="8"/>
  <c r="C124" i="9"/>
  <c r="J117" i="7"/>
  <c r="C122"/>
  <c r="J117" i="6"/>
  <c r="C181" i="11"/>
  <c r="C121" i="6"/>
  <c r="J117" i="9"/>
  <c r="J117" i="11"/>
  <c r="J117" i="5"/>
  <c r="I118" i="8" l="1"/>
  <c r="I118" i="7"/>
  <c r="I118" i="6"/>
  <c r="I118" i="11"/>
  <c r="I118" i="9"/>
  <c r="I118" i="5"/>
  <c r="I118" i="1"/>
  <c r="B117" i="8"/>
  <c r="B117" i="7"/>
  <c r="B117" i="5"/>
  <c r="B117" i="9"/>
  <c r="B117" i="6"/>
  <c r="B117" i="11"/>
  <c r="B117" i="1"/>
  <c r="E119"/>
  <c r="F119" s="1"/>
  <c r="A120"/>
  <c r="A183" i="11"/>
  <c r="D182"/>
  <c r="E182"/>
  <c r="F182" s="1"/>
  <c r="A126" i="9"/>
  <c r="D125"/>
  <c r="E125"/>
  <c r="F125" s="1"/>
  <c r="A125" i="8"/>
  <c r="E124"/>
  <c r="F124" s="1"/>
  <c r="D124"/>
  <c r="A124" i="7"/>
  <c r="D123"/>
  <c r="E123"/>
  <c r="F123" s="1"/>
  <c r="A123" i="6"/>
  <c r="D122"/>
  <c r="E122"/>
  <c r="F122" s="1"/>
  <c r="A122" i="5"/>
  <c r="D121"/>
  <c r="E121"/>
  <c r="F121" s="1"/>
  <c r="D119" i="1"/>
  <c r="C125" i="9"/>
  <c r="C124" i="8"/>
  <c r="J118" i="7"/>
  <c r="J118" i="1"/>
  <c r="C121" i="5"/>
  <c r="J118" i="6"/>
  <c r="J118" i="5"/>
  <c r="C123" i="7"/>
  <c r="C182" i="11"/>
  <c r="J118"/>
  <c r="J118" i="9"/>
  <c r="C119" i="1"/>
  <c r="C122" i="6"/>
  <c r="J118" i="8"/>
  <c r="I119" i="9" l="1"/>
  <c r="I119" i="8"/>
  <c r="I119" i="6"/>
  <c r="I119" i="11"/>
  <c r="I119" i="5"/>
  <c r="I119" i="7"/>
  <c r="I119" i="1"/>
  <c r="E39" i="4"/>
  <c r="B118" i="11"/>
  <c r="G35" i="4"/>
  <c r="B118" i="9"/>
  <c r="B118" i="6"/>
  <c r="B118" i="8"/>
  <c r="B118" i="7"/>
  <c r="B118" i="5"/>
  <c r="B118" i="1"/>
  <c r="E120"/>
  <c r="F120" s="1"/>
  <c r="A121"/>
  <c r="A184" i="11"/>
  <c r="D183"/>
  <c r="E183"/>
  <c r="F183" s="1"/>
  <c r="A127" i="9"/>
  <c r="D126"/>
  <c r="E126"/>
  <c r="F126" s="1"/>
  <c r="A126" i="8"/>
  <c r="E125"/>
  <c r="F125" s="1"/>
  <c r="D125"/>
  <c r="A125" i="7"/>
  <c r="D124"/>
  <c r="E124"/>
  <c r="F124" s="1"/>
  <c r="A124" i="6"/>
  <c r="E123"/>
  <c r="F123" s="1"/>
  <c r="D123"/>
  <c r="A123" i="5"/>
  <c r="D122"/>
  <c r="E122"/>
  <c r="F122" s="1"/>
  <c r="D120" i="1"/>
  <c r="J119" i="11"/>
  <c r="J119" i="9"/>
  <c r="C122" i="5"/>
  <c r="C124" i="7"/>
  <c r="C123" i="6"/>
  <c r="C120" i="1"/>
  <c r="C125" i="8"/>
  <c r="J119" i="6"/>
  <c r="J119" i="5"/>
  <c r="C183" i="11"/>
  <c r="C126" i="9"/>
  <c r="J119" i="1"/>
  <c r="J119" i="8"/>
  <c r="J119" i="7"/>
  <c r="I120" i="11" l="1"/>
  <c r="I120" i="9"/>
  <c r="I120" i="8"/>
  <c r="I120" i="6"/>
  <c r="I120" i="5"/>
  <c r="I120" i="7"/>
  <c r="I120" i="1"/>
  <c r="B119" i="6"/>
  <c r="B119" i="8"/>
  <c r="B119" i="11"/>
  <c r="B119" i="7"/>
  <c r="B119" i="5"/>
  <c r="B119" i="9"/>
  <c r="B119" i="1"/>
  <c r="E40" i="4"/>
  <c r="E121" i="1"/>
  <c r="F121" s="1"/>
  <c r="A122"/>
  <c r="A185" i="11"/>
  <c r="D184"/>
  <c r="E184"/>
  <c r="F184" s="1"/>
  <c r="A128" i="9"/>
  <c r="D127"/>
  <c r="E127"/>
  <c r="F127" s="1"/>
  <c r="A127" i="8"/>
  <c r="D126"/>
  <c r="E126"/>
  <c r="F126" s="1"/>
  <c r="A126" i="7"/>
  <c r="D125"/>
  <c r="E125"/>
  <c r="F125" s="1"/>
  <c r="A125" i="6"/>
  <c r="D124"/>
  <c r="E124"/>
  <c r="F124" s="1"/>
  <c r="A124" i="5"/>
  <c r="D123"/>
  <c r="E123"/>
  <c r="F123" s="1"/>
  <c r="D121" i="1"/>
  <c r="J120" i="5"/>
  <c r="J120" i="1"/>
  <c r="C124" i="6"/>
  <c r="J120" i="8"/>
  <c r="C121" i="1"/>
  <c r="C127" i="9"/>
  <c r="J120" i="7"/>
  <c r="J120" i="11"/>
  <c r="C184"/>
  <c r="C125" i="7"/>
  <c r="C123" i="5"/>
  <c r="C126" i="8"/>
  <c r="J120" i="6"/>
  <c r="J120" i="9"/>
  <c r="I121" i="7" l="1"/>
  <c r="I121" i="11"/>
  <c r="I121" i="6"/>
  <c r="I121" i="8"/>
  <c r="I121" i="9"/>
  <c r="I121" i="5"/>
  <c r="I121" i="1"/>
  <c r="E41" i="4"/>
  <c r="B120" i="11"/>
  <c r="B120" i="7"/>
  <c r="B120" i="5"/>
  <c r="B120" i="6"/>
  <c r="B120" i="9"/>
  <c r="B120" i="8"/>
  <c r="B120" i="1"/>
  <c r="E122"/>
  <c r="F122" s="1"/>
  <c r="A123"/>
  <c r="A186" i="11"/>
  <c r="D185"/>
  <c r="E185"/>
  <c r="F185" s="1"/>
  <c r="A129" i="9"/>
  <c r="D128"/>
  <c r="E128"/>
  <c r="F128" s="1"/>
  <c r="A128" i="8"/>
  <c r="E127"/>
  <c r="F127" s="1"/>
  <c r="D127"/>
  <c r="A127" i="7"/>
  <c r="D126"/>
  <c r="E126"/>
  <c r="F126" s="1"/>
  <c r="A126" i="6"/>
  <c r="D125"/>
  <c r="E125"/>
  <c r="F125" s="1"/>
  <c r="A125" i="5"/>
  <c r="D124"/>
  <c r="E124"/>
  <c r="F124" s="1"/>
  <c r="D122" i="1"/>
  <c r="J121" i="9"/>
  <c r="J121" i="6"/>
  <c r="J121" i="7"/>
  <c r="C125" i="6"/>
  <c r="C126" i="7"/>
  <c r="C122" i="1"/>
  <c r="C124" i="5"/>
  <c r="J121" i="1"/>
  <c r="C128" i="9"/>
  <c r="J121" i="8"/>
  <c r="C127"/>
  <c r="C185" i="11"/>
  <c r="J121"/>
  <c r="J121" i="5"/>
  <c r="I122" i="8" l="1"/>
  <c r="I122" i="7"/>
  <c r="I122" i="5"/>
  <c r="I122" i="11"/>
  <c r="I122" i="9"/>
  <c r="I122" i="6"/>
  <c r="I122" i="1"/>
  <c r="B121" i="5"/>
  <c r="B121" i="6"/>
  <c r="B121" i="9"/>
  <c r="B121" i="11"/>
  <c r="B121" i="8"/>
  <c r="B121" i="7"/>
  <c r="B121" i="1"/>
  <c r="E123"/>
  <c r="F123" s="1"/>
  <c r="A124"/>
  <c r="A187" i="11"/>
  <c r="D186"/>
  <c r="E186"/>
  <c r="F186" s="1"/>
  <c r="A130" i="9"/>
  <c r="D129"/>
  <c r="E129"/>
  <c r="F129" s="1"/>
  <c r="A129" i="8"/>
  <c r="E128"/>
  <c r="F128" s="1"/>
  <c r="D128"/>
  <c r="A128" i="7"/>
  <c r="D127"/>
  <c r="E127"/>
  <c r="F127" s="1"/>
  <c r="A127" i="6"/>
  <c r="D126"/>
  <c r="E126"/>
  <c r="F126" s="1"/>
  <c r="A126" i="5"/>
  <c r="D125"/>
  <c r="E125"/>
  <c r="F125" s="1"/>
  <c r="D123" i="1"/>
  <c r="J122" i="9"/>
  <c r="J122" i="8"/>
  <c r="C123" i="1"/>
  <c r="C129" i="9"/>
  <c r="J122" i="11"/>
  <c r="C126" i="6"/>
  <c r="C186" i="11"/>
  <c r="J122" i="5"/>
  <c r="C127" i="7"/>
  <c r="C125" i="5"/>
  <c r="J122" i="1"/>
  <c r="C128" i="8"/>
  <c r="J122" i="7"/>
  <c r="J122" i="6"/>
  <c r="I123" i="9" l="1"/>
  <c r="I123" i="8"/>
  <c r="I123" i="11"/>
  <c r="I123" i="7"/>
  <c r="I123" i="5"/>
  <c r="I123" i="6"/>
  <c r="I123" i="1"/>
  <c r="B122" i="9"/>
  <c r="B122" i="11"/>
  <c r="B122" i="8"/>
  <c r="B122" i="5"/>
  <c r="B122" i="7"/>
  <c r="B122" i="6"/>
  <c r="B122" i="1"/>
  <c r="E124"/>
  <c r="F124" s="1"/>
  <c r="A125"/>
  <c r="A188" i="11"/>
  <c r="D187"/>
  <c r="E187"/>
  <c r="F187" s="1"/>
  <c r="A131" i="9"/>
  <c r="D130"/>
  <c r="E130"/>
  <c r="F130" s="1"/>
  <c r="A130" i="8"/>
  <c r="D129"/>
  <c r="E129"/>
  <c r="F129" s="1"/>
  <c r="A129" i="7"/>
  <c r="D128"/>
  <c r="E128"/>
  <c r="F128" s="1"/>
  <c r="A128" i="6"/>
  <c r="D127"/>
  <c r="E127"/>
  <c r="F127" s="1"/>
  <c r="A127" i="5"/>
  <c r="D126"/>
  <c r="E126"/>
  <c r="F126" s="1"/>
  <c r="D124" i="1"/>
  <c r="C126" i="5"/>
  <c r="C187" i="11"/>
  <c r="J123" i="7"/>
  <c r="C124" i="1"/>
  <c r="C130" i="9"/>
  <c r="J123" i="5"/>
  <c r="C127" i="6"/>
  <c r="C128" i="7"/>
  <c r="J123" i="9"/>
  <c r="J123" i="1"/>
  <c r="C129" i="8"/>
  <c r="J123"/>
  <c r="J123" i="11"/>
  <c r="J123" i="6"/>
  <c r="I124" i="11" l="1"/>
  <c r="I124" i="9"/>
  <c r="I124" i="6"/>
  <c r="I124" i="7"/>
  <c r="I124" i="5"/>
  <c r="I124" i="8"/>
  <c r="I124" i="1"/>
  <c r="B123" i="8"/>
  <c r="B123" i="5"/>
  <c r="B123" i="7"/>
  <c r="B123" i="9"/>
  <c r="B123" i="6"/>
  <c r="B123" i="11"/>
  <c r="B123" i="1"/>
  <c r="E125"/>
  <c r="F125" s="1"/>
  <c r="A126"/>
  <c r="A189" i="11"/>
  <c r="D188"/>
  <c r="E188"/>
  <c r="F188" s="1"/>
  <c r="A132" i="9"/>
  <c r="D131"/>
  <c r="E131"/>
  <c r="F131" s="1"/>
  <c r="G52" i="4"/>
  <c r="G51"/>
  <c r="A131" i="8"/>
  <c r="D130"/>
  <c r="E130"/>
  <c r="F130" s="1"/>
  <c r="A130" i="7"/>
  <c r="D129"/>
  <c r="E129"/>
  <c r="F129" s="1"/>
  <c r="A129" i="6"/>
  <c r="D128"/>
  <c r="E128"/>
  <c r="F128" s="1"/>
  <c r="A128" i="5"/>
  <c r="D127"/>
  <c r="E127"/>
  <c r="F127" s="1"/>
  <c r="D125" i="1"/>
  <c r="J124" i="6"/>
  <c r="C130" i="8"/>
  <c r="C125" i="1"/>
  <c r="J124" i="7"/>
  <c r="C128" i="6"/>
  <c r="C131" i="9"/>
  <c r="J124" i="5"/>
  <c r="C129" i="7"/>
  <c r="C188" i="11"/>
  <c r="J124" i="9"/>
  <c r="J124" i="1"/>
  <c r="C127" i="5"/>
  <c r="J124" i="8"/>
  <c r="J124" i="11"/>
  <c r="I125" i="7" l="1"/>
  <c r="I125" i="11"/>
  <c r="I125" i="6"/>
  <c r="I125" i="9"/>
  <c r="I125" i="8"/>
  <c r="I125" i="5"/>
  <c r="I125" i="1"/>
  <c r="E58" i="4"/>
  <c r="B124" i="7"/>
  <c r="B124" i="9"/>
  <c r="B124" i="6"/>
  <c r="B124" i="8"/>
  <c r="B124" i="11"/>
  <c r="B124" i="5"/>
  <c r="B124" i="1"/>
  <c r="E126"/>
  <c r="F126" s="1"/>
  <c r="A127"/>
  <c r="A190" i="11"/>
  <c r="D189"/>
  <c r="E189"/>
  <c r="F189" s="1"/>
  <c r="A133" i="9"/>
  <c r="D132"/>
  <c r="E132"/>
  <c r="F132" s="1"/>
  <c r="A132" i="8"/>
  <c r="D131"/>
  <c r="E131"/>
  <c r="F131" s="1"/>
  <c r="A131" i="7"/>
  <c r="D130"/>
  <c r="E130"/>
  <c r="F130" s="1"/>
  <c r="G56" i="4"/>
  <c r="G55"/>
  <c r="A130" i="6"/>
  <c r="E129"/>
  <c r="F129" s="1"/>
  <c r="D129"/>
  <c r="A129" i="5"/>
  <c r="D128"/>
  <c r="E128"/>
  <c r="F128" s="1"/>
  <c r="D126" i="1"/>
  <c r="J125" i="6"/>
  <c r="J125" i="11"/>
  <c r="C130" i="7"/>
  <c r="C132" i="9"/>
  <c r="J125"/>
  <c r="C129" i="6"/>
  <c r="C128" i="5"/>
  <c r="J125" i="8"/>
  <c r="J125" i="1"/>
  <c r="C131" i="8"/>
  <c r="C189" i="11"/>
  <c r="C126" i="1"/>
  <c r="J125" i="7"/>
  <c r="J125" i="5"/>
  <c r="I126" i="8" l="1"/>
  <c r="I126" i="7"/>
  <c r="I126" i="11"/>
  <c r="I126" i="9"/>
  <c r="I126" i="6"/>
  <c r="I126" i="5"/>
  <c r="I126" i="1"/>
  <c r="B125" i="6"/>
  <c r="B125" i="8"/>
  <c r="B125" i="11"/>
  <c r="B125" i="7"/>
  <c r="B125" i="5"/>
  <c r="B125" i="9"/>
  <c r="B125" i="1"/>
  <c r="E127"/>
  <c r="F127" s="1"/>
  <c r="A128"/>
  <c r="A191" i="11"/>
  <c r="D190"/>
  <c r="E190"/>
  <c r="F190" s="1"/>
  <c r="A134" i="9"/>
  <c r="D133"/>
  <c r="E133"/>
  <c r="F133" s="1"/>
  <c r="A133" i="8"/>
  <c r="D132"/>
  <c r="E132"/>
  <c r="F132" s="1"/>
  <c r="A132" i="7"/>
  <c r="D131"/>
  <c r="E131"/>
  <c r="F131" s="1"/>
  <c r="A131" i="6"/>
  <c r="E130"/>
  <c r="F130" s="1"/>
  <c r="D130"/>
  <c r="A130" i="5"/>
  <c r="D129"/>
  <c r="E129"/>
  <c r="F129" s="1"/>
  <c r="D127" i="1"/>
  <c r="J126" i="8"/>
  <c r="C130" i="6"/>
  <c r="C129" i="5"/>
  <c r="J126" i="6"/>
  <c r="C190" i="11"/>
  <c r="C131" i="7"/>
  <c r="J126" i="11"/>
  <c r="C127" i="1"/>
  <c r="C132" i="8"/>
  <c r="J126" i="5"/>
  <c r="J126" i="1"/>
  <c r="C133" i="9"/>
  <c r="J126"/>
  <c r="J126" i="7"/>
  <c r="I127" i="9" l="1"/>
  <c r="I127" i="8"/>
  <c r="I127" i="5"/>
  <c r="I127" i="11"/>
  <c r="I127" i="7"/>
  <c r="I127" i="6"/>
  <c r="I127" i="1"/>
  <c r="B126" i="11"/>
  <c r="B126" i="7"/>
  <c r="B126" i="5"/>
  <c r="B126" i="6"/>
  <c r="B126" i="9"/>
  <c r="B126" i="8"/>
  <c r="B126" i="1"/>
  <c r="E128"/>
  <c r="F128" s="1"/>
  <c r="A129"/>
  <c r="A192" i="11"/>
  <c r="D191"/>
  <c r="E191"/>
  <c r="F191" s="1"/>
  <c r="A135" i="9"/>
  <c r="D134"/>
  <c r="E134"/>
  <c r="F134" s="1"/>
  <c r="A134" i="8"/>
  <c r="D133"/>
  <c r="E133"/>
  <c r="F133" s="1"/>
  <c r="A133" i="7"/>
  <c r="D132"/>
  <c r="E132"/>
  <c r="F132" s="1"/>
  <c r="A132" i="6"/>
  <c r="E131"/>
  <c r="F131" s="1"/>
  <c r="D131"/>
  <c r="A131" i="5"/>
  <c r="D130"/>
  <c r="E130"/>
  <c r="F130" s="1"/>
  <c r="D128" i="1"/>
  <c r="J127" i="9"/>
  <c r="J127" i="7"/>
  <c r="C191" i="11"/>
  <c r="C131" i="6"/>
  <c r="C128" i="1"/>
  <c r="C133" i="8"/>
  <c r="J127" i="11"/>
  <c r="C134" i="9"/>
  <c r="C132" i="7"/>
  <c r="J127" i="5"/>
  <c r="J127" i="1"/>
  <c r="C130" i="5"/>
  <c r="J127" i="8"/>
  <c r="J127" i="6"/>
  <c r="I128" i="11" l="1"/>
  <c r="I128" i="9"/>
  <c r="I128" i="8"/>
  <c r="I128" i="7"/>
  <c r="I128" i="6"/>
  <c r="I128" i="5"/>
  <c r="I128" i="1"/>
  <c r="B127" i="8"/>
  <c r="B127" i="7"/>
  <c r="B127" i="5"/>
  <c r="B127" i="6"/>
  <c r="B127" i="9"/>
  <c r="B127" i="11"/>
  <c r="B127" i="1"/>
  <c r="A130"/>
  <c r="E129"/>
  <c r="F129" s="1"/>
  <c r="A193" i="11"/>
  <c r="D192"/>
  <c r="E192"/>
  <c r="F192" s="1"/>
  <c r="A136" i="9"/>
  <c r="D135"/>
  <c r="E135"/>
  <c r="F135" s="1"/>
  <c r="A135" i="8"/>
  <c r="D134"/>
  <c r="E134"/>
  <c r="F134" s="1"/>
  <c r="A134" i="7"/>
  <c r="D133"/>
  <c r="E133"/>
  <c r="F133" s="1"/>
  <c r="A133" i="6"/>
  <c r="D132"/>
  <c r="E132"/>
  <c r="F132" s="1"/>
  <c r="A132" i="5"/>
  <c r="D131"/>
  <c r="E131"/>
  <c r="F131" s="1"/>
  <c r="D129" i="1"/>
  <c r="C131" i="5"/>
  <c r="C135" i="9"/>
  <c r="J128" i="6"/>
  <c r="C134" i="8"/>
  <c r="C192" i="11"/>
  <c r="J128"/>
  <c r="C132" i="6"/>
  <c r="C129" i="1"/>
  <c r="J128"/>
  <c r="C133" i="7"/>
  <c r="J128"/>
  <c r="J128" i="8"/>
  <c r="J128" i="9"/>
  <c r="J128" i="5"/>
  <c r="I129" i="7" l="1"/>
  <c r="I129" i="11"/>
  <c r="I129" i="6"/>
  <c r="I129" i="8"/>
  <c r="I129" i="5"/>
  <c r="I129" i="9"/>
  <c r="I129" i="1"/>
  <c r="B128" i="11"/>
  <c r="B128" i="7"/>
  <c r="B128" i="6"/>
  <c r="B128" i="9"/>
  <c r="B128" i="8"/>
  <c r="B128" i="5"/>
  <c r="B128" i="1"/>
  <c r="E130"/>
  <c r="F130" s="1"/>
  <c r="A131"/>
  <c r="A194" i="11"/>
  <c r="D193"/>
  <c r="E193"/>
  <c r="F193" s="1"/>
  <c r="A137" i="9"/>
  <c r="D136"/>
  <c r="E136"/>
  <c r="F136" s="1"/>
  <c r="A136" i="8"/>
  <c r="D135"/>
  <c r="E135"/>
  <c r="F135" s="1"/>
  <c r="A135" i="7"/>
  <c r="D134"/>
  <c r="E134"/>
  <c r="F134" s="1"/>
  <c r="A134" i="6"/>
  <c r="D133"/>
  <c r="E133"/>
  <c r="F133" s="1"/>
  <c r="A133" i="5"/>
  <c r="D132"/>
  <c r="E132"/>
  <c r="F132" s="1"/>
  <c r="D130" i="1"/>
  <c r="C134" i="7"/>
  <c r="C135" i="8"/>
  <c r="J129" i="9"/>
  <c r="J129" i="1"/>
  <c r="C132" i="5"/>
  <c r="J129" i="6"/>
  <c r="C130" i="1"/>
  <c r="C136" i="9"/>
  <c r="J129" i="7"/>
  <c r="J129" i="11"/>
  <c r="C193"/>
  <c r="C133" i="6"/>
  <c r="J129" i="8"/>
  <c r="J129" i="5"/>
  <c r="I130" i="8" l="1"/>
  <c r="I130" i="7"/>
  <c r="I130" i="6"/>
  <c r="I130" i="9"/>
  <c r="I130" i="5"/>
  <c r="I130" i="11"/>
  <c r="I130" i="1"/>
  <c r="B129" i="5"/>
  <c r="B129" i="8"/>
  <c r="B129" i="9"/>
  <c r="B129" i="6"/>
  <c r="B129" i="7"/>
  <c r="B129" i="11"/>
  <c r="B129" i="1"/>
  <c r="E131"/>
  <c r="F131" s="1"/>
  <c r="A132"/>
  <c r="A195" i="11"/>
  <c r="D194"/>
  <c r="E194"/>
  <c r="F194" s="1"/>
  <c r="A138" i="9"/>
  <c r="D137"/>
  <c r="E137"/>
  <c r="F137" s="1"/>
  <c r="A137" i="8"/>
  <c r="D136"/>
  <c r="E136"/>
  <c r="F136" s="1"/>
  <c r="A136" i="7"/>
  <c r="D135"/>
  <c r="E135"/>
  <c r="F135" s="1"/>
  <c r="A135" i="6"/>
  <c r="D134"/>
  <c r="E134"/>
  <c r="F134" s="1"/>
  <c r="A134" i="5"/>
  <c r="D133"/>
  <c r="E133"/>
  <c r="F133" s="1"/>
  <c r="D131" i="1"/>
  <c r="C137" i="9"/>
  <c r="C194" i="11"/>
  <c r="J130" i="7"/>
  <c r="J130" i="1"/>
  <c r="C133" i="5"/>
  <c r="J130" i="6"/>
  <c r="J130" i="5"/>
  <c r="C131" i="1"/>
  <c r="C135" i="7"/>
  <c r="J130" i="11"/>
  <c r="J130" i="9"/>
  <c r="C136" i="8"/>
  <c r="C134" i="6"/>
  <c r="J130" i="8"/>
  <c r="I131" i="9" l="1"/>
  <c r="I131" i="8"/>
  <c r="I131" i="11"/>
  <c r="I131" i="7"/>
  <c r="I131" i="5"/>
  <c r="I131" i="6"/>
  <c r="I131" i="1"/>
  <c r="B130" i="6"/>
  <c r="B130" i="7"/>
  <c r="B130" i="5"/>
  <c r="B130" i="11"/>
  <c r="B130" i="8"/>
  <c r="B130" i="9"/>
  <c r="B130" i="1"/>
  <c r="A133"/>
  <c r="E132"/>
  <c r="F132" s="1"/>
  <c r="A196" i="11"/>
  <c r="D195"/>
  <c r="E195"/>
  <c r="F195" s="1"/>
  <c r="A139" i="9"/>
  <c r="D138"/>
  <c r="E138"/>
  <c r="F138" s="1"/>
  <c r="A138" i="8"/>
  <c r="D137"/>
  <c r="E137"/>
  <c r="F137" s="1"/>
  <c r="A137" i="7"/>
  <c r="D136"/>
  <c r="E136"/>
  <c r="F136" s="1"/>
  <c r="A136" i="6"/>
  <c r="D135"/>
  <c r="E135"/>
  <c r="F135" s="1"/>
  <c r="A135" i="5"/>
  <c r="D134"/>
  <c r="E134"/>
  <c r="F134" s="1"/>
  <c r="D132" i="1"/>
  <c r="C195" i="11"/>
  <c r="C138" i="9"/>
  <c r="J131" i="1"/>
  <c r="C135" i="6"/>
  <c r="J131"/>
  <c r="J131" i="5"/>
  <c r="C137" i="8"/>
  <c r="C134" i="5"/>
  <c r="J131" i="11"/>
  <c r="J131" i="9"/>
  <c r="C132" i="1"/>
  <c r="C136" i="7"/>
  <c r="J131"/>
  <c r="J131" i="8"/>
  <c r="I132" i="11" l="1"/>
  <c r="I132" i="9"/>
  <c r="I132" i="7"/>
  <c r="I132" i="5"/>
  <c r="I132" i="8"/>
  <c r="I132" i="6"/>
  <c r="I132" i="1"/>
  <c r="B131" i="11"/>
  <c r="B131" i="8"/>
  <c r="B131" i="6"/>
  <c r="B131" i="9"/>
  <c r="B131" i="7"/>
  <c r="B131" i="5"/>
  <c r="B131" i="1"/>
  <c r="E133"/>
  <c r="F133" s="1"/>
  <c r="A134"/>
  <c r="A197" i="11"/>
  <c r="D196"/>
  <c r="E196"/>
  <c r="F196" s="1"/>
  <c r="A140" i="9"/>
  <c r="D139"/>
  <c r="E139"/>
  <c r="F139" s="1"/>
  <c r="A139" i="8"/>
  <c r="D138"/>
  <c r="E138"/>
  <c r="F138" s="1"/>
  <c r="A138" i="7"/>
  <c r="D137"/>
  <c r="E137"/>
  <c r="F137" s="1"/>
  <c r="A137" i="6"/>
  <c r="E136"/>
  <c r="F136" s="1"/>
  <c r="D136"/>
  <c r="A136" i="5"/>
  <c r="D135"/>
  <c r="E135"/>
  <c r="F135" s="1"/>
  <c r="D133" i="1"/>
  <c r="C133"/>
  <c r="C137" i="7"/>
  <c r="J132" i="11"/>
  <c r="C135" i="5"/>
  <c r="C136" i="6"/>
  <c r="J132" i="8"/>
  <c r="C139" i="9"/>
  <c r="C196" i="11"/>
  <c r="J132" i="7"/>
  <c r="J132" i="1"/>
  <c r="C138" i="8"/>
  <c r="J132" i="5"/>
  <c r="J132" i="9"/>
  <c r="J132" i="6"/>
  <c r="I133" i="7" l="1"/>
  <c r="I133" i="11"/>
  <c r="I133" i="6"/>
  <c r="I133" i="9"/>
  <c r="I133" i="8"/>
  <c r="I133" i="5"/>
  <c r="I133" i="1"/>
  <c r="B132" i="9"/>
  <c r="B132" i="7"/>
  <c r="B132" i="11"/>
  <c r="B132" i="5"/>
  <c r="B132" i="8"/>
  <c r="B132" i="6"/>
  <c r="B132" i="1"/>
  <c r="E134"/>
  <c r="F134" s="1"/>
  <c r="A135"/>
  <c r="A198" i="11"/>
  <c r="D197"/>
  <c r="E197"/>
  <c r="F197" s="1"/>
  <c r="A141" i="9"/>
  <c r="D140"/>
  <c r="E140"/>
  <c r="F140" s="1"/>
  <c r="A140" i="8"/>
  <c r="D139"/>
  <c r="E139"/>
  <c r="F139" s="1"/>
  <c r="A139" i="7"/>
  <c r="D138"/>
  <c r="E138"/>
  <c r="F138" s="1"/>
  <c r="A138" i="6"/>
  <c r="D137"/>
  <c r="E137"/>
  <c r="F137" s="1"/>
  <c r="A137" i="5"/>
  <c r="D136"/>
  <c r="E136"/>
  <c r="F136" s="1"/>
  <c r="D134" i="1"/>
  <c r="J133" i="9"/>
  <c r="C139" i="8"/>
  <c r="C137" i="6"/>
  <c r="C140" i="9"/>
  <c r="J133" i="1"/>
  <c r="C136" i="5"/>
  <c r="J133"/>
  <c r="C134" i="1"/>
  <c r="C138" i="7"/>
  <c r="J133" i="6"/>
  <c r="C197" i="11"/>
  <c r="J133"/>
  <c r="J133" i="7"/>
  <c r="J133" i="8"/>
  <c r="I134" l="1"/>
  <c r="I134" i="7"/>
  <c r="I134" i="11"/>
  <c r="I134" i="9"/>
  <c r="I134" i="6"/>
  <c r="I134" i="5"/>
  <c r="I134" i="1"/>
  <c r="B133" i="5"/>
  <c r="B133" i="8"/>
  <c r="B133" i="9"/>
  <c r="B133" i="6"/>
  <c r="B133" i="7"/>
  <c r="B133" i="11"/>
  <c r="B133" i="1"/>
  <c r="E135"/>
  <c r="F135" s="1"/>
  <c r="A136"/>
  <c r="A199" i="11"/>
  <c r="D198"/>
  <c r="E198"/>
  <c r="F198" s="1"/>
  <c r="A142" i="9"/>
  <c r="D141"/>
  <c r="E141"/>
  <c r="F141" s="1"/>
  <c r="A141" i="8"/>
  <c r="D140"/>
  <c r="E140"/>
  <c r="F140" s="1"/>
  <c r="A140" i="7"/>
  <c r="D139"/>
  <c r="E139"/>
  <c r="F139" s="1"/>
  <c r="A139" i="6"/>
  <c r="E138"/>
  <c r="F138" s="1"/>
  <c r="D138"/>
  <c r="A138" i="5"/>
  <c r="D137"/>
  <c r="E137"/>
  <c r="F137" s="1"/>
  <c r="D135" i="1"/>
  <c r="J134" i="8"/>
  <c r="C140"/>
  <c r="C135" i="1"/>
  <c r="J134" i="9"/>
  <c r="C141"/>
  <c r="C137" i="5"/>
  <c r="J134" i="6"/>
  <c r="C139" i="7"/>
  <c r="C138" i="6"/>
  <c r="J134" i="11"/>
  <c r="J134" i="1"/>
  <c r="C198" i="11"/>
  <c r="J134" i="7"/>
  <c r="J134" i="5"/>
  <c r="I135" i="9" l="1"/>
  <c r="I135" i="8"/>
  <c r="I135" i="6"/>
  <c r="I135" i="11"/>
  <c r="I135" i="5"/>
  <c r="I135" i="7"/>
  <c r="I135" i="1"/>
  <c r="B134" i="7"/>
  <c r="B134" i="5"/>
  <c r="B134" i="11"/>
  <c r="B134" i="8"/>
  <c r="B134" i="9"/>
  <c r="B134" i="6"/>
  <c r="B134" i="1"/>
  <c r="E136"/>
  <c r="F136" s="1"/>
  <c r="A137"/>
  <c r="A200" i="11"/>
  <c r="D199"/>
  <c r="E199"/>
  <c r="F199" s="1"/>
  <c r="A143" i="9"/>
  <c r="D142"/>
  <c r="E142"/>
  <c r="F142" s="1"/>
  <c r="A142" i="8"/>
  <c r="D141"/>
  <c r="E141"/>
  <c r="F141" s="1"/>
  <c r="A141" i="7"/>
  <c r="D140"/>
  <c r="E140"/>
  <c r="F140" s="1"/>
  <c r="A140" i="6"/>
  <c r="D139"/>
  <c r="E139"/>
  <c r="F139" s="1"/>
  <c r="A139" i="5"/>
  <c r="D138"/>
  <c r="E138"/>
  <c r="F138" s="1"/>
  <c r="D136" i="1"/>
  <c r="J135" i="5"/>
  <c r="C141" i="8"/>
  <c r="C199" i="11"/>
  <c r="J135"/>
  <c r="J135" i="9"/>
  <c r="C142"/>
  <c r="C138" i="5"/>
  <c r="C140" i="7"/>
  <c r="C139" i="6"/>
  <c r="J135" i="7"/>
  <c r="J135" i="1"/>
  <c r="C136"/>
  <c r="J135" i="6"/>
  <c r="J135" i="8"/>
  <c r="I136" i="11" l="1"/>
  <c r="I136" i="9"/>
  <c r="I136" i="8"/>
  <c r="I136" i="6"/>
  <c r="I136" i="5"/>
  <c r="I136" i="7"/>
  <c r="I136" i="1"/>
  <c r="B135" i="8"/>
  <c r="B135" i="9"/>
  <c r="B135" i="7"/>
  <c r="B135" i="6"/>
  <c r="B135" i="5"/>
  <c r="B135" i="11"/>
  <c r="B135" i="1"/>
  <c r="A138"/>
  <c r="E137"/>
  <c r="F137" s="1"/>
  <c r="A201" i="11"/>
  <c r="D200"/>
  <c r="E200"/>
  <c r="F200" s="1"/>
  <c r="A144" i="9"/>
  <c r="D143"/>
  <c r="E143"/>
  <c r="F143" s="1"/>
  <c r="A143" i="8"/>
  <c r="D142"/>
  <c r="E142"/>
  <c r="F142" s="1"/>
  <c r="A142" i="7"/>
  <c r="D141"/>
  <c r="E141"/>
  <c r="F141" s="1"/>
  <c r="A141" i="6"/>
  <c r="E140"/>
  <c r="F140" s="1"/>
  <c r="D140"/>
  <c r="A140" i="5"/>
  <c r="D139"/>
  <c r="E139"/>
  <c r="F139" s="1"/>
  <c r="D137" i="1"/>
  <c r="J136" i="5"/>
  <c r="C142" i="8"/>
  <c r="C137" i="1"/>
  <c r="J136" i="11"/>
  <c r="C200"/>
  <c r="C141" i="7"/>
  <c r="J136" i="8"/>
  <c r="C139" i="5"/>
  <c r="C143" i="9"/>
  <c r="J136" i="7"/>
  <c r="J136" i="1"/>
  <c r="C140" i="6"/>
  <c r="J136"/>
  <c r="J136" i="9"/>
  <c r="I137" i="7" l="1"/>
  <c r="I137" i="11"/>
  <c r="I137" i="6"/>
  <c r="I137" i="8"/>
  <c r="I137" i="9"/>
  <c r="I137" i="5"/>
  <c r="I137" i="1"/>
  <c r="B136" i="6"/>
  <c r="B136" i="5"/>
  <c r="B136" i="8"/>
  <c r="B136" i="11"/>
  <c r="B136" i="9"/>
  <c r="B136" i="7"/>
  <c r="B136" i="1"/>
  <c r="E138"/>
  <c r="F138" s="1"/>
  <c r="A139"/>
  <c r="A202" i="11"/>
  <c r="D201"/>
  <c r="E201"/>
  <c r="F201" s="1"/>
  <c r="A145" i="9"/>
  <c r="D144"/>
  <c r="E144"/>
  <c r="F144" s="1"/>
  <c r="A144" i="8"/>
  <c r="D143"/>
  <c r="E143"/>
  <c r="F143" s="1"/>
  <c r="A143" i="7"/>
  <c r="D142"/>
  <c r="E142"/>
  <c r="F142" s="1"/>
  <c r="A142" i="6"/>
  <c r="D141"/>
  <c r="E141"/>
  <c r="F141" s="1"/>
  <c r="A141" i="5"/>
  <c r="D140"/>
  <c r="E140"/>
  <c r="F140" s="1"/>
  <c r="D138" i="1"/>
  <c r="C140" i="5"/>
  <c r="C201" i="11"/>
  <c r="J137" i="9"/>
  <c r="C138" i="1"/>
  <c r="C144" i="9"/>
  <c r="J137" i="8"/>
  <c r="C142" i="7"/>
  <c r="C141" i="6"/>
  <c r="J137" i="7"/>
  <c r="J137" i="1"/>
  <c r="C143" i="8"/>
  <c r="J137" i="11"/>
  <c r="J137" i="5"/>
  <c r="J137" i="6"/>
  <c r="I138" i="8" l="1"/>
  <c r="I138" i="7"/>
  <c r="I138" i="5"/>
  <c r="I138" i="11"/>
  <c r="I138" i="9"/>
  <c r="I138" i="6"/>
  <c r="I138" i="1"/>
  <c r="B137" i="11"/>
  <c r="B137" i="9"/>
  <c r="B137" i="6"/>
  <c r="B137" i="7"/>
  <c r="B137" i="5"/>
  <c r="B137" i="8"/>
  <c r="B137" i="1"/>
  <c r="E139"/>
  <c r="F139" s="1"/>
  <c r="A140"/>
  <c r="A203" i="11"/>
  <c r="D202"/>
  <c r="E202"/>
  <c r="F202" s="1"/>
  <c r="A146" i="9"/>
  <c r="D145"/>
  <c r="E145"/>
  <c r="F145" s="1"/>
  <c r="A145" i="8"/>
  <c r="D144"/>
  <c r="E144"/>
  <c r="F144" s="1"/>
  <c r="A144" i="7"/>
  <c r="D143"/>
  <c r="E143"/>
  <c r="F143" s="1"/>
  <c r="A143" i="6"/>
  <c r="E142"/>
  <c r="F142" s="1"/>
  <c r="D142"/>
  <c r="A142" i="5"/>
  <c r="D141"/>
  <c r="E141"/>
  <c r="F141" s="1"/>
  <c r="D139" i="1"/>
  <c r="J138" i="7"/>
  <c r="C202" i="11"/>
  <c r="C142" i="6"/>
  <c r="J138" i="11"/>
  <c r="J138" i="9"/>
  <c r="C143" i="7"/>
  <c r="C144" i="8"/>
  <c r="J138"/>
  <c r="C145" i="9"/>
  <c r="C139" i="1"/>
  <c r="J138"/>
  <c r="C141" i="5"/>
  <c r="J138"/>
  <c r="J138" i="6"/>
  <c r="I139" i="9" l="1"/>
  <c r="I139" i="8"/>
  <c r="I139" i="11"/>
  <c r="I139" i="7"/>
  <c r="I139" i="5"/>
  <c r="I139" i="6"/>
  <c r="I139" i="1"/>
  <c r="B138" i="7"/>
  <c r="B138" i="5"/>
  <c r="B138" i="11"/>
  <c r="B138" i="8"/>
  <c r="B138" i="9"/>
  <c r="B138" i="6"/>
  <c r="B138" i="1"/>
  <c r="E140"/>
  <c r="F140" s="1"/>
  <c r="A141"/>
  <c r="A204" i="11"/>
  <c r="D203"/>
  <c r="E203"/>
  <c r="F203" s="1"/>
  <c r="A147" i="9"/>
  <c r="D146"/>
  <c r="E146"/>
  <c r="F146" s="1"/>
  <c r="A146" i="8"/>
  <c r="D145"/>
  <c r="E145"/>
  <c r="F145" s="1"/>
  <c r="A145" i="7"/>
  <c r="D144"/>
  <c r="E144"/>
  <c r="F144" s="1"/>
  <c r="A144" i="6"/>
  <c r="D143"/>
  <c r="E143"/>
  <c r="F143" s="1"/>
  <c r="A143" i="5"/>
  <c r="D142"/>
  <c r="E142"/>
  <c r="F142" s="1"/>
  <c r="D140" i="1"/>
  <c r="J139" i="5"/>
  <c r="C142"/>
  <c r="C146" i="9"/>
  <c r="J139"/>
  <c r="C203" i="11"/>
  <c r="C144" i="7"/>
  <c r="C140" i="1"/>
  <c r="C145" i="8"/>
  <c r="J139" i="7"/>
  <c r="J139" i="1"/>
  <c r="C143" i="6"/>
  <c r="J139"/>
  <c r="J139" i="11"/>
  <c r="J139" i="8"/>
  <c r="I140" i="11" l="1"/>
  <c r="I140" i="9"/>
  <c r="I140" i="7"/>
  <c r="I140" i="5"/>
  <c r="I140" i="6"/>
  <c r="I140" i="8"/>
  <c r="I140" i="1"/>
  <c r="B139" i="8"/>
  <c r="B139" i="9"/>
  <c r="B139" i="7"/>
  <c r="B139" i="6"/>
  <c r="B139" i="5"/>
  <c r="B139" i="11"/>
  <c r="B139" i="1"/>
  <c r="A142"/>
  <c r="E141"/>
  <c r="F141" s="1"/>
  <c r="A205" i="11"/>
  <c r="D204"/>
  <c r="E204"/>
  <c r="F204" s="1"/>
  <c r="A148" i="9"/>
  <c r="D147"/>
  <c r="E147"/>
  <c r="F147" s="1"/>
  <c r="A147" i="8"/>
  <c r="D146"/>
  <c r="E146"/>
  <c r="F146" s="1"/>
  <c r="A146" i="7"/>
  <c r="D145"/>
  <c r="E145"/>
  <c r="F145" s="1"/>
  <c r="A145" i="6"/>
  <c r="D144"/>
  <c r="E144"/>
  <c r="F144" s="1"/>
  <c r="A144" i="5"/>
  <c r="D143"/>
  <c r="E143"/>
  <c r="F143" s="1"/>
  <c r="D141" i="1"/>
  <c r="J140" i="6"/>
  <c r="C147" i="9"/>
  <c r="C145" i="7"/>
  <c r="J140" i="11"/>
  <c r="C141" i="1"/>
  <c r="C143" i="5"/>
  <c r="C144" i="6"/>
  <c r="C146" i="8"/>
  <c r="J140" i="7"/>
  <c r="J140" i="1"/>
  <c r="C204" i="11"/>
  <c r="J140" i="9"/>
  <c r="J140" i="5"/>
  <c r="J140" i="8"/>
  <c r="I141" i="7" l="1"/>
  <c r="I141" i="11"/>
  <c r="I141" i="6"/>
  <c r="I141" i="9"/>
  <c r="I141" i="8"/>
  <c r="I141" i="5"/>
  <c r="I141" i="1"/>
  <c r="B140" i="6"/>
  <c r="B140" i="5"/>
  <c r="B140" i="8"/>
  <c r="B140" i="11"/>
  <c r="B140" i="9"/>
  <c r="B140" i="7"/>
  <c r="B140" i="1"/>
  <c r="E142"/>
  <c r="F142" s="1"/>
  <c r="A143"/>
  <c r="A206" i="11"/>
  <c r="D205"/>
  <c r="E205"/>
  <c r="F205" s="1"/>
  <c r="A149" i="9"/>
  <c r="D148"/>
  <c r="E148"/>
  <c r="F148" s="1"/>
  <c r="A148" i="8"/>
  <c r="D147"/>
  <c r="E147"/>
  <c r="F147" s="1"/>
  <c r="A147" i="7"/>
  <c r="D146"/>
  <c r="E146"/>
  <c r="F146" s="1"/>
  <c r="A146" i="6"/>
  <c r="D145"/>
  <c r="E145"/>
  <c r="F145" s="1"/>
  <c r="A145" i="5"/>
  <c r="D144"/>
  <c r="E144"/>
  <c r="F144" s="1"/>
  <c r="D142" i="1"/>
  <c r="J141" i="8"/>
  <c r="C148" i="9"/>
  <c r="C142" i="1"/>
  <c r="J141" i="9"/>
  <c r="J141" i="7"/>
  <c r="C146"/>
  <c r="C144" i="5"/>
  <c r="J141" i="6"/>
  <c r="C147" i="8"/>
  <c r="C145" i="6"/>
  <c r="J141" i="11"/>
  <c r="J141" i="1"/>
  <c r="C205" i="11"/>
  <c r="J141" i="5"/>
  <c r="I142" i="8" l="1"/>
  <c r="I142" i="7"/>
  <c r="I142" i="11"/>
  <c r="I142" i="9"/>
  <c r="I142" i="6"/>
  <c r="I142" i="5"/>
  <c r="I142" i="1"/>
  <c r="B141" i="9"/>
  <c r="B141" i="6"/>
  <c r="B141" i="7"/>
  <c r="B141" i="5"/>
  <c r="B141" i="8"/>
  <c r="B141" i="11"/>
  <c r="B141" i="1"/>
  <c r="E143"/>
  <c r="F143" s="1"/>
  <c r="A144"/>
  <c r="A207" i="11"/>
  <c r="D206"/>
  <c r="E206"/>
  <c r="F206" s="1"/>
  <c r="A150" i="9"/>
  <c r="D149"/>
  <c r="E149"/>
  <c r="F149" s="1"/>
  <c r="A149" i="8"/>
  <c r="D148"/>
  <c r="E148"/>
  <c r="F148" s="1"/>
  <c r="A148" i="7"/>
  <c r="D147"/>
  <c r="E147"/>
  <c r="F147" s="1"/>
  <c r="A147" i="6"/>
  <c r="D146"/>
  <c r="E146"/>
  <c r="F146" s="1"/>
  <c r="A146" i="5"/>
  <c r="D145"/>
  <c r="E145"/>
  <c r="F145" s="1"/>
  <c r="D143" i="1"/>
  <c r="C146" i="6"/>
  <c r="C148" i="8"/>
  <c r="J142"/>
  <c r="J142" i="6"/>
  <c r="C145" i="5"/>
  <c r="C149" i="9"/>
  <c r="J142" i="11"/>
  <c r="C206"/>
  <c r="C147" i="7"/>
  <c r="J142" i="5"/>
  <c r="J142" i="1"/>
  <c r="C143"/>
  <c r="J142" i="9"/>
  <c r="J142" i="7"/>
  <c r="I143" i="9" l="1"/>
  <c r="I143" i="8"/>
  <c r="I143" i="5"/>
  <c r="I143" i="11"/>
  <c r="I143" i="6"/>
  <c r="I143" i="7"/>
  <c r="I143" i="1"/>
  <c r="B142" i="11"/>
  <c r="B142" i="6"/>
  <c r="B142" i="7"/>
  <c r="B142" i="5"/>
  <c r="B142" i="8"/>
  <c r="B142" i="9"/>
  <c r="B142" i="1"/>
  <c r="E144"/>
  <c r="F144" s="1"/>
  <c r="A145"/>
  <c r="A208" i="11"/>
  <c r="D207"/>
  <c r="E207"/>
  <c r="F207" s="1"/>
  <c r="A151" i="9"/>
  <c r="D150"/>
  <c r="E150"/>
  <c r="F150" s="1"/>
  <c r="A150" i="8"/>
  <c r="D149"/>
  <c r="E149"/>
  <c r="F149" s="1"/>
  <c r="A149" i="7"/>
  <c r="D148"/>
  <c r="E148"/>
  <c r="F148" s="1"/>
  <c r="A148" i="6"/>
  <c r="D147"/>
  <c r="E147"/>
  <c r="F147" s="1"/>
  <c r="A147" i="5"/>
  <c r="D146"/>
  <c r="E146"/>
  <c r="F146" s="1"/>
  <c r="D144" i="1"/>
  <c r="J143" i="6"/>
  <c r="C144" i="1"/>
  <c r="C150" i="9"/>
  <c r="J143" i="5"/>
  <c r="J143" i="1"/>
  <c r="C207" i="11"/>
  <c r="J143" i="9"/>
  <c r="J143" i="7"/>
  <c r="C147" i="6"/>
  <c r="C146" i="5"/>
  <c r="J143" i="8"/>
  <c r="C148" i="7"/>
  <c r="C149" i="8"/>
  <c r="J143" i="11"/>
  <c r="I144" l="1"/>
  <c r="I144" i="9"/>
  <c r="I144" i="8"/>
  <c r="I144" i="7"/>
  <c r="I144" i="5"/>
  <c r="I144" i="6"/>
  <c r="I144" i="1"/>
  <c r="B143" i="9"/>
  <c r="B143" i="6"/>
  <c r="B143" i="7"/>
  <c r="B143" i="5"/>
  <c r="B143" i="8"/>
  <c r="B143" i="11"/>
  <c r="B143" i="1"/>
  <c r="A146"/>
  <c r="E145"/>
  <c r="F145" s="1"/>
  <c r="A209" i="11"/>
  <c r="D208"/>
  <c r="E208"/>
  <c r="F208" s="1"/>
  <c r="A152" i="9"/>
  <c r="D151"/>
  <c r="E151"/>
  <c r="F151" s="1"/>
  <c r="A151" i="8"/>
  <c r="D150"/>
  <c r="E150"/>
  <c r="F150" s="1"/>
  <c r="A150" i="7"/>
  <c r="D149"/>
  <c r="E149"/>
  <c r="F149" s="1"/>
  <c r="A149" i="6"/>
  <c r="E148"/>
  <c r="F148" s="1"/>
  <c r="D148"/>
  <c r="A148" i="5"/>
  <c r="D147"/>
  <c r="E147"/>
  <c r="F147" s="1"/>
  <c r="D145" i="1"/>
  <c r="C148" i="6"/>
  <c r="C151" i="9"/>
  <c r="J144" i="1"/>
  <c r="C149" i="7"/>
  <c r="J144" i="9"/>
  <c r="C147" i="5"/>
  <c r="C145" i="1"/>
  <c r="J144" i="8"/>
  <c r="J144" i="6"/>
  <c r="C208" i="11"/>
  <c r="C150" i="8"/>
  <c r="J144" i="7"/>
  <c r="J144" i="11"/>
  <c r="J144" i="5"/>
  <c r="I145" i="7" l="1"/>
  <c r="I145" i="11"/>
  <c r="I145" i="6"/>
  <c r="I145" i="8"/>
  <c r="I145" i="5"/>
  <c r="I145" i="9"/>
  <c r="I145" i="1"/>
  <c r="B144" i="11"/>
  <c r="B144" i="6"/>
  <c r="B144" i="7"/>
  <c r="B144" i="5"/>
  <c r="B144" i="8"/>
  <c r="B144" i="9"/>
  <c r="B144" i="1"/>
  <c r="E146"/>
  <c r="F146" s="1"/>
  <c r="A147"/>
  <c r="A210" i="11"/>
  <c r="D209"/>
  <c r="E209"/>
  <c r="F209" s="1"/>
  <c r="A153" i="9"/>
  <c r="D152"/>
  <c r="E152"/>
  <c r="F152" s="1"/>
  <c r="G53" i="4"/>
  <c r="A152" i="8"/>
  <c r="D151"/>
  <c r="E151"/>
  <c r="F151" s="1"/>
  <c r="A151" i="7"/>
  <c r="D150"/>
  <c r="E150"/>
  <c r="F150" s="1"/>
  <c r="A150" i="6"/>
  <c r="D149"/>
  <c r="E149"/>
  <c r="F149" s="1"/>
  <c r="A149" i="5"/>
  <c r="D148"/>
  <c r="E148"/>
  <c r="F148" s="1"/>
  <c r="D146" i="1"/>
  <c r="C149" i="6"/>
  <c r="C150" i="7"/>
  <c r="J145" i="6"/>
  <c r="C151" i="8"/>
  <c r="C209" i="11"/>
  <c r="J145" i="8"/>
  <c r="J145" i="1"/>
  <c r="C152" i="9"/>
  <c r="J145" i="11"/>
  <c r="C148" i="5"/>
  <c r="J145" i="7"/>
  <c r="J145" i="5"/>
  <c r="C146" i="1"/>
  <c r="J145" i="9"/>
  <c r="I146" i="8" l="1"/>
  <c r="I146" i="7"/>
  <c r="I146" i="6"/>
  <c r="I146" i="9"/>
  <c r="I146" i="5"/>
  <c r="I146" i="11"/>
  <c r="I146" i="1"/>
  <c r="B145" i="7"/>
  <c r="B145" i="5"/>
  <c r="B145" i="8"/>
  <c r="B145" i="11"/>
  <c r="B145" i="9"/>
  <c r="B145" i="6"/>
  <c r="B145" i="1"/>
  <c r="E147"/>
  <c r="F147" s="1"/>
  <c r="A148"/>
  <c r="A211" i="11"/>
  <c r="D210"/>
  <c r="E210"/>
  <c r="F210" s="1"/>
  <c r="A154" i="9"/>
  <c r="D153"/>
  <c r="E153"/>
  <c r="F153" s="1"/>
  <c r="A153" i="8"/>
  <c r="D152"/>
  <c r="E152"/>
  <c r="F152" s="1"/>
  <c r="G57" i="4"/>
  <c r="A152" i="7"/>
  <c r="D151"/>
  <c r="E151"/>
  <c r="F151" s="1"/>
  <c r="A151" i="6"/>
  <c r="E150"/>
  <c r="F150" s="1"/>
  <c r="D150"/>
  <c r="A150" i="5"/>
  <c r="D149"/>
  <c r="E149"/>
  <c r="F149" s="1"/>
  <c r="D147" i="1"/>
  <c r="C153" i="9"/>
  <c r="C147" i="1"/>
  <c r="J146" i="6"/>
  <c r="C151" i="7"/>
  <c r="C150" i="6"/>
  <c r="C152" i="8"/>
  <c r="J146" i="1"/>
  <c r="C149" i="5"/>
  <c r="J146" i="11"/>
  <c r="J146" i="9"/>
  <c r="C210" i="11"/>
  <c r="J146" i="7"/>
  <c r="J146" i="8"/>
  <c r="J146" i="5"/>
  <c r="I147" i="9" l="1"/>
  <c r="I147" i="8"/>
  <c r="I147" i="11"/>
  <c r="I147" i="7"/>
  <c r="I147" i="5"/>
  <c r="I147" i="6"/>
  <c r="I147" i="1"/>
  <c r="B146" i="11"/>
  <c r="B146" i="9"/>
  <c r="B146" i="7"/>
  <c r="B146" i="6"/>
  <c r="B146" i="5"/>
  <c r="B146" i="8"/>
  <c r="B146" i="1"/>
  <c r="E148"/>
  <c r="F148" s="1"/>
  <c r="A149"/>
  <c r="A212" i="11"/>
  <c r="D211"/>
  <c r="E211"/>
  <c r="F211" s="1"/>
  <c r="A155" i="9"/>
  <c r="D154"/>
  <c r="E154"/>
  <c r="F154" s="1"/>
  <c r="A154" i="8"/>
  <c r="D153"/>
  <c r="E153"/>
  <c r="F153" s="1"/>
  <c r="A153" i="7"/>
  <c r="D152"/>
  <c r="E152"/>
  <c r="F152" s="1"/>
  <c r="A152" i="6"/>
  <c r="E151"/>
  <c r="F151" s="1"/>
  <c r="D151"/>
  <c r="A151" i="5"/>
  <c r="D150"/>
  <c r="E150"/>
  <c r="F150" s="1"/>
  <c r="D148" i="1"/>
  <c r="C150" i="5"/>
  <c r="J147" i="11"/>
  <c r="C152" i="7"/>
  <c r="C151" i="6"/>
  <c r="J147" i="1"/>
  <c r="C211" i="11"/>
  <c r="J147" i="9"/>
  <c r="C153" i="8"/>
  <c r="C148" i="1"/>
  <c r="J147" i="8"/>
  <c r="J147" i="6"/>
  <c r="C154" i="9"/>
  <c r="J147" i="5"/>
  <c r="J147" i="7"/>
  <c r="I148" i="11" l="1"/>
  <c r="I148" i="9"/>
  <c r="I148" i="7"/>
  <c r="I148" i="5"/>
  <c r="I148" i="8"/>
  <c r="I148" i="6"/>
  <c r="I148" i="1"/>
  <c r="B147" i="8"/>
  <c r="B147" i="9"/>
  <c r="B147" i="7"/>
  <c r="B147" i="6"/>
  <c r="B147" i="5"/>
  <c r="B147" i="11"/>
  <c r="B147" i="1"/>
  <c r="A150"/>
  <c r="E149"/>
  <c r="F149" s="1"/>
  <c r="A213" i="11"/>
  <c r="D212"/>
  <c r="E212"/>
  <c r="F212" s="1"/>
  <c r="A156" i="9"/>
  <c r="D155"/>
  <c r="E155"/>
  <c r="F155" s="1"/>
  <c r="A155" i="8"/>
  <c r="D154"/>
  <c r="E154"/>
  <c r="F154" s="1"/>
  <c r="A154" i="7"/>
  <c r="D153"/>
  <c r="E153"/>
  <c r="F153" s="1"/>
  <c r="A153" i="6"/>
  <c r="E152"/>
  <c r="F152" s="1"/>
  <c r="D152"/>
  <c r="A152" i="5"/>
  <c r="D151"/>
  <c r="E151"/>
  <c r="F151" s="1"/>
  <c r="D149" i="1"/>
  <c r="C152" i="6"/>
  <c r="C154" i="8"/>
  <c r="J148" i="1"/>
  <c r="C153" i="7"/>
  <c r="J148" i="9"/>
  <c r="C149" i="1"/>
  <c r="C151" i="5"/>
  <c r="J148" i="7"/>
  <c r="J148" i="8"/>
  <c r="C212" i="11"/>
  <c r="C155" i="9"/>
  <c r="J148" i="5"/>
  <c r="J148" i="6"/>
  <c r="J148" i="11"/>
  <c r="I149" i="7" l="1"/>
  <c r="I149" i="11"/>
  <c r="I149" i="6"/>
  <c r="I149" i="9"/>
  <c r="I149" i="8"/>
  <c r="I149" i="5"/>
  <c r="I149" i="1"/>
  <c r="B148" i="7"/>
  <c r="B148" i="6"/>
  <c r="B148" i="5"/>
  <c r="B148" i="8"/>
  <c r="B148" i="11"/>
  <c r="B148" i="9"/>
  <c r="B148" i="1"/>
  <c r="E150"/>
  <c r="F150" s="1"/>
  <c r="A151"/>
  <c r="A214" i="11"/>
  <c r="D213"/>
  <c r="E213"/>
  <c r="F213" s="1"/>
  <c r="A157" i="9"/>
  <c r="D156"/>
  <c r="E156"/>
  <c r="F156" s="1"/>
  <c r="A156" i="8"/>
  <c r="A157" s="1"/>
  <c r="D155"/>
  <c r="E155"/>
  <c r="F155" s="1"/>
  <c r="A155" i="7"/>
  <c r="D154"/>
  <c r="E154"/>
  <c r="F154" s="1"/>
  <c r="A154" i="6"/>
  <c r="D153"/>
  <c r="E153"/>
  <c r="F153" s="1"/>
  <c r="A153" i="5"/>
  <c r="D152"/>
  <c r="E152"/>
  <c r="F152" s="1"/>
  <c r="D150" i="1"/>
  <c r="C213" i="11"/>
  <c r="C153" i="6"/>
  <c r="C154" i="7"/>
  <c r="J149" i="1"/>
  <c r="C150"/>
  <c r="J149" i="6"/>
  <c r="J149" i="5"/>
  <c r="C152"/>
  <c r="C155" i="8"/>
  <c r="J149" i="11"/>
  <c r="J149" i="9"/>
  <c r="C156"/>
  <c r="J149" i="8"/>
  <c r="J149" i="7"/>
  <c r="I150" i="8" l="1"/>
  <c r="I150" i="7"/>
  <c r="I150" i="6"/>
  <c r="I150" i="11"/>
  <c r="I150" i="9"/>
  <c r="I150" i="5"/>
  <c r="I150" i="1"/>
  <c r="B149" i="8"/>
  <c r="B149" i="11"/>
  <c r="B149" i="7"/>
  <c r="B149" i="9"/>
  <c r="B149" i="6"/>
  <c r="B149" i="5"/>
  <c r="B149" i="1"/>
  <c r="E151"/>
  <c r="F151" s="1"/>
  <c r="A152"/>
  <c r="A215" i="11"/>
  <c r="D214"/>
  <c r="E214"/>
  <c r="F214" s="1"/>
  <c r="A158" i="9"/>
  <c r="D157"/>
  <c r="E157"/>
  <c r="F157" s="1"/>
  <c r="A158" i="8"/>
  <c r="E157"/>
  <c r="F157" s="1"/>
  <c r="D157"/>
  <c r="D156"/>
  <c r="E156"/>
  <c r="F156" s="1"/>
  <c r="A156" i="7"/>
  <c r="D155"/>
  <c r="E155"/>
  <c r="F155" s="1"/>
  <c r="A155" i="6"/>
  <c r="D154"/>
  <c r="E154"/>
  <c r="F154" s="1"/>
  <c r="A154" i="5"/>
  <c r="D153"/>
  <c r="E153"/>
  <c r="F153" s="1"/>
  <c r="D151" i="1"/>
  <c r="J150" i="6"/>
  <c r="C214" i="11"/>
  <c r="C156" i="8"/>
  <c r="C157" i="9"/>
  <c r="C154" i="6"/>
  <c r="J150" i="8"/>
  <c r="C157"/>
  <c r="C151" i="1"/>
  <c r="J150" i="7"/>
  <c r="J150" i="1"/>
  <c r="C153" i="5"/>
  <c r="C155" i="7"/>
  <c r="J150" i="5"/>
  <c r="J150" i="9"/>
  <c r="J150" i="11"/>
  <c r="I151" i="9" l="1"/>
  <c r="I151" i="8"/>
  <c r="I151" i="6"/>
  <c r="I151" i="11"/>
  <c r="I151" i="5"/>
  <c r="I151" i="7"/>
  <c r="I151" i="1"/>
  <c r="B150" i="9"/>
  <c r="B150" i="6"/>
  <c r="B150" i="8"/>
  <c r="B150" i="5"/>
  <c r="B150" i="11"/>
  <c r="B150" i="7"/>
  <c r="B150" i="1"/>
  <c r="A153"/>
  <c r="E152"/>
  <c r="F152" s="1"/>
  <c r="A216" i="11"/>
  <c r="D215"/>
  <c r="E215"/>
  <c r="F215" s="1"/>
  <c r="A159" i="9"/>
  <c r="D158"/>
  <c r="E158"/>
  <c r="F158" s="1"/>
  <c r="A159" i="8"/>
  <c r="D158"/>
  <c r="E158"/>
  <c r="F158" s="1"/>
  <c r="D156" i="7"/>
  <c r="E156"/>
  <c r="F156" s="1"/>
  <c r="A156" i="6"/>
  <c r="E155"/>
  <c r="F155" s="1"/>
  <c r="D155"/>
  <c r="A155" i="5"/>
  <c r="D154"/>
  <c r="E154"/>
  <c r="F154" s="1"/>
  <c r="D152" i="1"/>
  <c r="C154" i="5"/>
  <c r="C215" i="11"/>
  <c r="J151" i="8"/>
  <c r="C156" i="7"/>
  <c r="C158" i="8"/>
  <c r="J151" i="7"/>
  <c r="J151" i="1"/>
  <c r="C152"/>
  <c r="J151" i="6"/>
  <c r="J151" i="5"/>
  <c r="C155" i="6"/>
  <c r="C158" i="9"/>
  <c r="J151" i="11"/>
  <c r="J151" i="9"/>
  <c r="I152" i="11" l="1"/>
  <c r="I152" i="9"/>
  <c r="I152" i="8"/>
  <c r="I152" i="6"/>
  <c r="I152" i="5"/>
  <c r="I152" i="7"/>
  <c r="I152" i="1"/>
  <c r="B151" i="5"/>
  <c r="B151" i="11"/>
  <c r="B151" i="9"/>
  <c r="B151" i="7"/>
  <c r="B151" i="6"/>
  <c r="B151" i="8"/>
  <c r="B151" i="1"/>
  <c r="E153"/>
  <c r="F153" s="1"/>
  <c r="A154"/>
  <c r="A217" i="11"/>
  <c r="D216"/>
  <c r="E216"/>
  <c r="F216" s="1"/>
  <c r="A160" i="9"/>
  <c r="D159"/>
  <c r="E159"/>
  <c r="F159" s="1"/>
  <c r="D159" i="8"/>
  <c r="A160"/>
  <c r="E159"/>
  <c r="F159" s="1"/>
  <c r="A157" i="6"/>
  <c r="D156"/>
  <c r="E156"/>
  <c r="F156" s="1"/>
  <c r="A156" i="5"/>
  <c r="D155"/>
  <c r="E155"/>
  <c r="F155" s="1"/>
  <c r="D153" i="1"/>
  <c r="J152"/>
  <c r="C159" i="9"/>
  <c r="C159" i="8"/>
  <c r="J152" i="7"/>
  <c r="J152" i="9"/>
  <c r="C216" i="11"/>
  <c r="C153" i="1"/>
  <c r="J152" i="8"/>
  <c r="C156" i="6"/>
  <c r="C155" i="5"/>
  <c r="J152" i="6"/>
  <c r="J152" i="11"/>
  <c r="J152" i="5"/>
  <c r="I153" i="7" l="1"/>
  <c r="I153" i="11"/>
  <c r="I153" i="6"/>
  <c r="I153" i="8"/>
  <c r="I153" i="9"/>
  <c r="I153" i="5"/>
  <c r="I153" i="1"/>
  <c r="B152" i="9"/>
  <c r="B152" i="7"/>
  <c r="B152" i="8"/>
  <c r="B152" i="11"/>
  <c r="B152" i="6"/>
  <c r="B152" i="5"/>
  <c r="B152" i="1"/>
  <c r="E154"/>
  <c r="F154" s="1"/>
  <c r="A155"/>
  <c r="A218" i="11"/>
  <c r="D217"/>
  <c r="E217"/>
  <c r="F217" s="1"/>
  <c r="A161" i="9"/>
  <c r="D160"/>
  <c r="E160"/>
  <c r="F160" s="1"/>
  <c r="D160" i="8"/>
  <c r="A161"/>
  <c r="E160"/>
  <c r="F160" s="1"/>
  <c r="A158" i="6"/>
  <c r="E157"/>
  <c r="F157" s="1"/>
  <c r="D157"/>
  <c r="A157" i="5"/>
  <c r="D156"/>
  <c r="E156"/>
  <c r="F156" s="1"/>
  <c r="D154" i="1"/>
  <c r="J153" i="9"/>
  <c r="C217" i="11"/>
  <c r="C154" i="1"/>
  <c r="J153" i="8"/>
  <c r="C156" i="5"/>
  <c r="C160" i="8"/>
  <c r="J153" i="7"/>
  <c r="J153" i="1"/>
  <c r="C157" i="6"/>
  <c r="J153"/>
  <c r="J153" i="5"/>
  <c r="C160" i="9"/>
  <c r="J153" i="11"/>
  <c r="I154" i="8" l="1"/>
  <c r="I154" i="7"/>
  <c r="I154" i="5"/>
  <c r="I154" i="11"/>
  <c r="I154" i="9"/>
  <c r="I154" i="6"/>
  <c r="I154" i="1"/>
  <c r="B153" i="11"/>
  <c r="B153" i="6"/>
  <c r="B153" i="9"/>
  <c r="B153" i="5"/>
  <c r="B153" i="7"/>
  <c r="B153" i="8"/>
  <c r="B153" i="1"/>
  <c r="A156"/>
  <c r="E155"/>
  <c r="F155" s="1"/>
  <c r="A219" i="11"/>
  <c r="D218"/>
  <c r="E218"/>
  <c r="F218" s="1"/>
  <c r="A162" i="9"/>
  <c r="D161"/>
  <c r="E161"/>
  <c r="F161" s="1"/>
  <c r="D161" i="8"/>
  <c r="A162"/>
  <c r="E161"/>
  <c r="F161" s="1"/>
  <c r="A159" i="6"/>
  <c r="D158"/>
  <c r="E158"/>
  <c r="F158" s="1"/>
  <c r="A158" i="5"/>
  <c r="D157"/>
  <c r="E157"/>
  <c r="F157" s="1"/>
  <c r="D155" i="1"/>
  <c r="J154" i="9"/>
  <c r="C157" i="5"/>
  <c r="C218" i="11"/>
  <c r="J154" i="8"/>
  <c r="C161"/>
  <c r="C155" i="1"/>
  <c r="J154"/>
  <c r="C161" i="9"/>
  <c r="J154" i="6"/>
  <c r="J154" i="5"/>
  <c r="C158" i="6"/>
  <c r="J154" i="11"/>
  <c r="J154" i="7"/>
  <c r="I155" i="9" l="1"/>
  <c r="I155" i="8"/>
  <c r="I155" i="11"/>
  <c r="I155" i="7"/>
  <c r="I155" i="5"/>
  <c r="I155" i="6"/>
  <c r="I155" i="1"/>
  <c r="B154" i="5"/>
  <c r="B154" i="7"/>
  <c r="B154" i="11"/>
  <c r="B154" i="8"/>
  <c r="B154" i="6"/>
  <c r="B154" i="9"/>
  <c r="B154" i="1"/>
  <c r="E156"/>
  <c r="F156" s="1"/>
  <c r="A157"/>
  <c r="A220" i="11"/>
  <c r="D219"/>
  <c r="E219"/>
  <c r="F219" s="1"/>
  <c r="A163" i="9"/>
  <c r="D162"/>
  <c r="E162"/>
  <c r="F162" s="1"/>
  <c r="D162" i="8"/>
  <c r="A163"/>
  <c r="E162"/>
  <c r="F162" s="1"/>
  <c r="A160" i="6"/>
  <c r="D159"/>
  <c r="G58" i="4" s="1"/>
  <c r="E159" i="6"/>
  <c r="F159" s="1"/>
  <c r="A159" i="5"/>
  <c r="D158"/>
  <c r="E158"/>
  <c r="F158" s="1"/>
  <c r="D156" i="1"/>
  <c r="J155"/>
  <c r="C159" i="6"/>
  <c r="C156" i="1"/>
  <c r="J155" i="9"/>
  <c r="C158" i="5"/>
  <c r="C162" i="8"/>
  <c r="J155" i="7"/>
  <c r="C219" i="11"/>
  <c r="C162" i="9"/>
  <c r="J155" i="11"/>
  <c r="J155" i="5"/>
  <c r="J155" i="6"/>
  <c r="J155" i="8"/>
  <c r="I156" i="11" l="1"/>
  <c r="I156" i="9"/>
  <c r="I156" i="6"/>
  <c r="I156" i="7"/>
  <c r="I156" i="5"/>
  <c r="I156" i="8"/>
  <c r="I156" i="1"/>
  <c r="B155" i="6"/>
  <c r="B155" i="5"/>
  <c r="B155" i="9"/>
  <c r="B155" i="7"/>
  <c r="B155" i="11"/>
  <c r="B155" i="8"/>
  <c r="B155" i="1"/>
  <c r="E157"/>
  <c r="F157" s="1"/>
  <c r="A158"/>
  <c r="A221" i="11"/>
  <c r="D220"/>
  <c r="E220"/>
  <c r="F220" s="1"/>
  <c r="A164" i="9"/>
  <c r="D163"/>
  <c r="E163"/>
  <c r="F163" s="1"/>
  <c r="D163" i="8"/>
  <c r="A164"/>
  <c r="E163"/>
  <c r="F163" s="1"/>
  <c r="A161" i="6"/>
  <c r="D160"/>
  <c r="E160"/>
  <c r="F160" s="1"/>
  <c r="A160" i="5"/>
  <c r="D159"/>
  <c r="E159"/>
  <c r="F159" s="1"/>
  <c r="D157" i="1"/>
  <c r="J156"/>
  <c r="C163" i="9"/>
  <c r="J156"/>
  <c r="C160" i="6"/>
  <c r="J156" i="8"/>
  <c r="C159" i="5"/>
  <c r="C163" i="8"/>
  <c r="J156" i="6"/>
  <c r="C157" i="1"/>
  <c r="C220" i="11"/>
  <c r="J156"/>
  <c r="J156" i="5"/>
  <c r="J156" i="7"/>
  <c r="I157" i="11" l="1"/>
  <c r="I157" i="6"/>
  <c r="I157" i="9"/>
  <c r="I157" i="8"/>
  <c r="I157" i="5"/>
  <c r="I157" i="1"/>
  <c r="B156" i="9"/>
  <c r="B156" i="11"/>
  <c r="B156" i="6"/>
  <c r="B156" i="7"/>
  <c r="G54" i="4"/>
  <c r="B156" i="8"/>
  <c r="B156" i="5"/>
  <c r="B156" i="1"/>
  <c r="E158"/>
  <c r="F158" s="1"/>
  <c r="A159"/>
  <c r="A222" i="11"/>
  <c r="D221"/>
  <c r="E221"/>
  <c r="F221" s="1"/>
  <c r="A165" i="9"/>
  <c r="D164"/>
  <c r="E164"/>
  <c r="F164" s="1"/>
  <c r="D164" i="8"/>
  <c r="A165"/>
  <c r="E164"/>
  <c r="F164" s="1"/>
  <c r="A162" i="6"/>
  <c r="D161"/>
  <c r="E161"/>
  <c r="F161" s="1"/>
  <c r="A161" i="5"/>
  <c r="D160"/>
  <c r="E160"/>
  <c r="F160" s="1"/>
  <c r="D158" i="1"/>
  <c r="J157" i="8"/>
  <c r="C164"/>
  <c r="C221" i="11"/>
  <c r="J157"/>
  <c r="C158" i="1"/>
  <c r="C160" i="5"/>
  <c r="C164" i="9"/>
  <c r="J157" i="1"/>
  <c r="C161" i="6"/>
  <c r="J157" i="9"/>
  <c r="J157" i="6"/>
  <c r="J157" i="5"/>
  <c r="I158" i="8" l="1"/>
  <c r="I158" i="11"/>
  <c r="I158" i="9"/>
  <c r="I158" i="6"/>
  <c r="I158" i="5"/>
  <c r="I158" i="1"/>
  <c r="F50" i="4"/>
  <c r="F53"/>
  <c r="F54"/>
  <c r="F51"/>
  <c r="F52"/>
  <c r="B157" i="9"/>
  <c r="B157" i="8"/>
  <c r="B157" i="11"/>
  <c r="B157" i="5"/>
  <c r="B157" i="6"/>
  <c r="B157" i="1"/>
  <c r="E159"/>
  <c r="F159" s="1"/>
  <c r="A160"/>
  <c r="A223" i="11"/>
  <c r="D222"/>
  <c r="E222"/>
  <c r="F222" s="1"/>
  <c r="A166" i="9"/>
  <c r="D165"/>
  <c r="E165"/>
  <c r="F165" s="1"/>
  <c r="D165" i="8"/>
  <c r="A166"/>
  <c r="E165"/>
  <c r="F165" s="1"/>
  <c r="A163" i="6"/>
  <c r="E162"/>
  <c r="F162" s="1"/>
  <c r="D162"/>
  <c r="A162" i="5"/>
  <c r="D161"/>
  <c r="E161"/>
  <c r="F161" s="1"/>
  <c r="D159" i="1"/>
  <c r="J158" i="11"/>
  <c r="J158" i="9"/>
  <c r="C165" i="8"/>
  <c r="J158" i="6"/>
  <c r="C222" i="11"/>
  <c r="C161" i="5"/>
  <c r="C165" i="9"/>
  <c r="C162" i="6"/>
  <c r="J158" i="5"/>
  <c r="J158" i="1"/>
  <c r="C159"/>
  <c r="J158" i="8"/>
  <c r="I159" i="9" l="1"/>
  <c r="I159" i="8"/>
  <c r="I159" i="5"/>
  <c r="I159" i="11"/>
  <c r="I159" i="6"/>
  <c r="I159" i="1"/>
  <c r="B158" i="6"/>
  <c r="B158" i="9"/>
  <c r="B158" i="8"/>
  <c r="B158" i="11"/>
  <c r="B158" i="5"/>
  <c r="B158" i="1"/>
  <c r="A161"/>
  <c r="E160"/>
  <c r="F160" s="1"/>
  <c r="A224" i="11"/>
  <c r="D223"/>
  <c r="E223"/>
  <c r="F223" s="1"/>
  <c r="A167" i="9"/>
  <c r="D166"/>
  <c r="E166"/>
  <c r="F166" s="1"/>
  <c r="D166" i="8"/>
  <c r="A167"/>
  <c r="E166"/>
  <c r="F166" s="1"/>
  <c r="A164" i="6"/>
  <c r="D163"/>
  <c r="E163"/>
  <c r="F163" s="1"/>
  <c r="A163" i="5"/>
  <c r="D162"/>
  <c r="E162"/>
  <c r="F162" s="1"/>
  <c r="D160" i="1"/>
  <c r="C162" i="5"/>
  <c r="J159" i="8"/>
  <c r="C223" i="11"/>
  <c r="C166" i="9"/>
  <c r="J159" i="6"/>
  <c r="C166" i="8"/>
  <c r="C163" i="6"/>
  <c r="J159" i="5"/>
  <c r="J159" i="1"/>
  <c r="C160"/>
  <c r="J159" i="11"/>
  <c r="J159" i="9"/>
  <c r="I160" i="11" l="1"/>
  <c r="I160" i="9"/>
  <c r="I160" i="8"/>
  <c r="I160" i="6"/>
  <c r="I160" i="5"/>
  <c r="I160" i="1"/>
  <c r="B159" i="5"/>
  <c r="B159" i="6"/>
  <c r="B159" i="9"/>
  <c r="B159" i="8"/>
  <c r="B159" i="11"/>
  <c r="B159" i="1"/>
  <c r="E161"/>
  <c r="F161" s="1"/>
  <c r="A162"/>
  <c r="A225" i="11"/>
  <c r="D224"/>
  <c r="E224"/>
  <c r="F224" s="1"/>
  <c r="A168" i="9"/>
  <c r="D167"/>
  <c r="E167"/>
  <c r="F167" s="1"/>
  <c r="D167" i="8"/>
  <c r="A168"/>
  <c r="E167"/>
  <c r="F167" s="1"/>
  <c r="A165" i="6"/>
  <c r="E164"/>
  <c r="F164" s="1"/>
  <c r="D164"/>
  <c r="A164" i="5"/>
  <c r="D163"/>
  <c r="E163"/>
  <c r="F163" s="1"/>
  <c r="D161" i="1"/>
  <c r="C163" i="5"/>
  <c r="C224" i="11"/>
  <c r="J160" i="5"/>
  <c r="C167" i="8"/>
  <c r="J160" i="11"/>
  <c r="C164" i="6"/>
  <c r="J160" i="8"/>
  <c r="C161" i="1"/>
  <c r="C167" i="9"/>
  <c r="J160" i="1"/>
  <c r="J160" i="6"/>
  <c r="J160" i="9"/>
  <c r="I161" i="11" l="1"/>
  <c r="I161" i="6"/>
  <c r="I161" i="8"/>
  <c r="I161" i="5"/>
  <c r="I161" i="9"/>
  <c r="I161" i="1"/>
  <c r="B160" i="11"/>
  <c r="G37" i="4"/>
  <c r="B160" i="5"/>
  <c r="B160" i="6"/>
  <c r="B160" i="9"/>
  <c r="B160" i="8"/>
  <c r="B160" i="1"/>
  <c r="A163"/>
  <c r="E162"/>
  <c r="F162" s="1"/>
  <c r="A226" i="11"/>
  <c r="D225"/>
  <c r="E225"/>
  <c r="F225" s="1"/>
  <c r="A169" i="9"/>
  <c r="D168"/>
  <c r="E168"/>
  <c r="F168" s="1"/>
  <c r="A169" i="8"/>
  <c r="E168"/>
  <c r="F168" s="1"/>
  <c r="D168"/>
  <c r="A166" i="6"/>
  <c r="D165"/>
  <c r="E165"/>
  <c r="F165" s="1"/>
  <c r="A165" i="5"/>
  <c r="D164"/>
  <c r="E164"/>
  <c r="F164" s="1"/>
  <c r="D162" i="1"/>
  <c r="J161" i="9"/>
  <c r="J161" i="6"/>
  <c r="C168" i="9"/>
  <c r="C225" i="11"/>
  <c r="J161"/>
  <c r="C168" i="8"/>
  <c r="J161"/>
  <c r="C164" i="5"/>
  <c r="C162" i="1"/>
  <c r="C165" i="6"/>
  <c r="J161" i="5"/>
  <c r="J161" i="1"/>
  <c r="I162" i="8" l="1"/>
  <c r="I162" i="6"/>
  <c r="I162" i="9"/>
  <c r="I162" i="5"/>
  <c r="I162" i="11"/>
  <c r="I162" i="1"/>
  <c r="B161" i="9"/>
  <c r="B161" i="11"/>
  <c r="B161" i="8"/>
  <c r="B161" i="5"/>
  <c r="B161" i="6"/>
  <c r="B161" i="1"/>
  <c r="E163"/>
  <c r="F163" s="1"/>
  <c r="A164"/>
  <c r="A227" i="11"/>
  <c r="E226"/>
  <c r="F226" s="1"/>
  <c r="D226"/>
  <c r="A170" i="9"/>
  <c r="D169"/>
  <c r="E169"/>
  <c r="F169" s="1"/>
  <c r="A170" i="8"/>
  <c r="E169"/>
  <c r="F169" s="1"/>
  <c r="D169"/>
  <c r="A167" i="6"/>
  <c r="E166"/>
  <c r="F166" s="1"/>
  <c r="D166"/>
  <c r="A166" i="5"/>
  <c r="D165"/>
  <c r="E165"/>
  <c r="F165" s="1"/>
  <c r="D163" i="1"/>
  <c r="J162" i="11"/>
  <c r="C169" i="9"/>
  <c r="C226" i="11"/>
  <c r="J162" i="8"/>
  <c r="C169"/>
  <c r="J162" i="9"/>
  <c r="C163" i="1"/>
  <c r="J162" i="5"/>
  <c r="C166" i="6"/>
  <c r="C165" i="5"/>
  <c r="J162" i="1"/>
  <c r="J162" i="6"/>
  <c r="I163" i="9" l="1"/>
  <c r="I163" i="8"/>
  <c r="I163" i="11"/>
  <c r="I163" i="6"/>
  <c r="I163" i="5"/>
  <c r="I163" i="1"/>
  <c r="B162" i="6"/>
  <c r="B162" i="9"/>
  <c r="B162" i="5"/>
  <c r="B162" i="11"/>
  <c r="B162" i="8"/>
  <c r="B162" i="1"/>
  <c r="A165"/>
  <c r="E164"/>
  <c r="F164" s="1"/>
  <c r="A228" i="11"/>
  <c r="D227"/>
  <c r="E227"/>
  <c r="F227" s="1"/>
  <c r="A171" i="9"/>
  <c r="D170"/>
  <c r="E170"/>
  <c r="F170" s="1"/>
  <c r="A171" i="8"/>
  <c r="E170"/>
  <c r="F170" s="1"/>
  <c r="D170"/>
  <c r="D167" i="6"/>
  <c r="E167"/>
  <c r="F167" s="1"/>
  <c r="A167" i="5"/>
  <c r="D166"/>
  <c r="E166"/>
  <c r="F166" s="1"/>
  <c r="D164" i="1"/>
  <c r="C164"/>
  <c r="C227" i="11"/>
  <c r="J163" i="6"/>
  <c r="C166" i="5"/>
  <c r="C170" i="8"/>
  <c r="J163" i="5"/>
  <c r="C170" i="9"/>
  <c r="J163" i="11"/>
  <c r="J163" i="9"/>
  <c r="C167" i="6"/>
  <c r="J163" i="1"/>
  <c r="J163" i="8"/>
  <c r="I164" i="11" l="1"/>
  <c r="I164" i="9"/>
  <c r="I164" i="5"/>
  <c r="I164" i="8"/>
  <c r="I164" i="6"/>
  <c r="I164" i="1"/>
  <c r="G45" i="4"/>
  <c r="B163" i="8"/>
  <c r="B163" i="9"/>
  <c r="B163" i="5"/>
  <c r="B163" i="11"/>
  <c r="B163" i="6"/>
  <c r="B163" i="1"/>
  <c r="E165"/>
  <c r="F165" s="1"/>
  <c r="A166"/>
  <c r="A229" i="11"/>
  <c r="D228"/>
  <c r="E228"/>
  <c r="F228" s="1"/>
  <c r="G39" i="4"/>
  <c r="G40"/>
  <c r="A172" i="9"/>
  <c r="D171"/>
  <c r="E171"/>
  <c r="F171" s="1"/>
  <c r="G47" i="4"/>
  <c r="G46"/>
  <c r="A172" i="8"/>
  <c r="E171"/>
  <c r="F171" s="1"/>
  <c r="D171"/>
  <c r="A168" i="5"/>
  <c r="D167"/>
  <c r="E167"/>
  <c r="F167" s="1"/>
  <c r="D165" i="1"/>
  <c r="J164" i="11"/>
  <c r="C167" i="5"/>
  <c r="J164" i="6"/>
  <c r="J164" i="5"/>
  <c r="C171" i="8"/>
  <c r="C165" i="1"/>
  <c r="C228" i="11"/>
  <c r="J164" i="8"/>
  <c r="J164" i="1"/>
  <c r="C171" i="9"/>
  <c r="J164"/>
  <c r="I165" i="11" l="1"/>
  <c r="I165" i="6"/>
  <c r="I165" i="9"/>
  <c r="I165" i="8"/>
  <c r="I165" i="5"/>
  <c r="I165" i="1"/>
  <c r="B164" i="11"/>
  <c r="B164" i="6"/>
  <c r="B164" i="8"/>
  <c r="B164" i="9"/>
  <c r="B164" i="5"/>
  <c r="B164" i="1"/>
  <c r="E166"/>
  <c r="F166" s="1"/>
  <c r="A167"/>
  <c r="A230" i="11"/>
  <c r="D229"/>
  <c r="E229"/>
  <c r="F229" s="1"/>
  <c r="A173" i="9"/>
  <c r="D172"/>
  <c r="E172"/>
  <c r="F172" s="1"/>
  <c r="A173" i="8"/>
  <c r="E172"/>
  <c r="F172" s="1"/>
  <c r="D172"/>
  <c r="A169" i="5"/>
  <c r="D168"/>
  <c r="E168"/>
  <c r="F168" s="1"/>
  <c r="D166" i="1"/>
  <c r="C172" i="8"/>
  <c r="J165"/>
  <c r="C166" i="1"/>
  <c r="J165" i="5"/>
  <c r="C172" i="9"/>
  <c r="J165" i="11"/>
  <c r="C229"/>
  <c r="C168" i="5"/>
  <c r="J165" i="1"/>
  <c r="J165" i="9"/>
  <c r="J165" i="6"/>
  <c r="I166" i="8" l="1"/>
  <c r="I166" i="11"/>
  <c r="I166" i="9"/>
  <c r="I166" i="6"/>
  <c r="I166" i="5"/>
  <c r="I166" i="1"/>
  <c r="B165" i="8"/>
  <c r="B165" i="9"/>
  <c r="B165" i="5"/>
  <c r="B165" i="11"/>
  <c r="B165" i="6"/>
  <c r="B165" i="1"/>
  <c r="A168"/>
  <c r="E167"/>
  <c r="F167" s="1"/>
  <c r="A231" i="11"/>
  <c r="D230"/>
  <c r="E230"/>
  <c r="F230" s="1"/>
  <c r="A174" i="9"/>
  <c r="D173"/>
  <c r="E173"/>
  <c r="F173" s="1"/>
  <c r="A174" i="8"/>
  <c r="E173"/>
  <c r="F173" s="1"/>
  <c r="D173"/>
  <c r="A170" i="5"/>
  <c r="D169"/>
  <c r="E169"/>
  <c r="F169" s="1"/>
  <c r="D167" i="1"/>
  <c r="J166" i="5"/>
  <c r="C230" i="11"/>
  <c r="C167" i="1"/>
  <c r="J166" i="8"/>
  <c r="C173" i="9"/>
  <c r="J166" i="6"/>
  <c r="C173" i="8"/>
  <c r="C169" i="5"/>
  <c r="J166" i="9"/>
  <c r="J166" i="11"/>
  <c r="J166" i="1"/>
  <c r="I167" i="9" l="1"/>
  <c r="I167" i="8"/>
  <c r="I167" i="5"/>
  <c r="I167" i="11"/>
  <c r="I167" i="6"/>
  <c r="I167" i="1"/>
  <c r="B166" i="6"/>
  <c r="B166" i="8"/>
  <c r="B166" i="9"/>
  <c r="B166" i="5"/>
  <c r="B166" i="11"/>
  <c r="B166" i="1"/>
  <c r="A169"/>
  <c r="E168"/>
  <c r="F168" s="1"/>
  <c r="A232" i="11"/>
  <c r="D231"/>
  <c r="E231"/>
  <c r="F231" s="1"/>
  <c r="A175" i="9"/>
  <c r="D174"/>
  <c r="E174"/>
  <c r="F174" s="1"/>
  <c r="A175" i="8"/>
  <c r="E174"/>
  <c r="F174" s="1"/>
  <c r="D174"/>
  <c r="A171" i="5"/>
  <c r="D170"/>
  <c r="E170"/>
  <c r="F170" s="1"/>
  <c r="D168" i="1"/>
  <c r="C170" i="5"/>
  <c r="J167" i="11"/>
  <c r="J167" i="9"/>
  <c r="C174" i="8"/>
  <c r="C174" i="9"/>
  <c r="J167" i="6"/>
  <c r="C168" i="1"/>
  <c r="C231" i="11"/>
  <c r="J167" i="5"/>
  <c r="J167" i="8"/>
  <c r="J167" i="1"/>
  <c r="I168" i="11" l="1"/>
  <c r="I168" i="9"/>
  <c r="I168" i="8"/>
  <c r="I168" i="5"/>
  <c r="I168" i="1"/>
  <c r="B167" i="11"/>
  <c r="B167" i="6"/>
  <c r="B167" i="8"/>
  <c r="B167" i="9"/>
  <c r="B167" i="5"/>
  <c r="B167" i="1"/>
  <c r="E169"/>
  <c r="F169" s="1"/>
  <c r="A170"/>
  <c r="A233" i="11"/>
  <c r="D232"/>
  <c r="E232"/>
  <c r="F232" s="1"/>
  <c r="A176" i="9"/>
  <c r="D175"/>
  <c r="E175"/>
  <c r="F175" s="1"/>
  <c r="A176" i="8"/>
  <c r="E175"/>
  <c r="F175" s="1"/>
  <c r="D175"/>
  <c r="G60" i="4"/>
  <c r="G59"/>
  <c r="A172" i="5"/>
  <c r="D171"/>
  <c r="E171"/>
  <c r="F171" s="1"/>
  <c r="D169" i="1"/>
  <c r="C169"/>
  <c r="J168" i="11"/>
  <c r="J168" i="1"/>
  <c r="C175" i="8"/>
  <c r="J168"/>
  <c r="C232" i="11"/>
  <c r="J168" i="5"/>
  <c r="C175" i="9"/>
  <c r="C171" i="5"/>
  <c r="J168" i="9"/>
  <c r="I169" i="11" l="1"/>
  <c r="I169" i="8"/>
  <c r="I169" i="9"/>
  <c r="I169" i="5"/>
  <c r="I169" i="1"/>
  <c r="F58" i="4"/>
  <c r="F56"/>
  <c r="F57"/>
  <c r="F55"/>
  <c r="B168" i="8"/>
  <c r="G48" i="4"/>
  <c r="B168" i="9"/>
  <c r="B168" i="5"/>
  <c r="B168" i="11"/>
  <c r="B168" i="1"/>
  <c r="A171"/>
  <c r="E170"/>
  <c r="F170" s="1"/>
  <c r="A234" i="11"/>
  <c r="D233"/>
  <c r="E233"/>
  <c r="F233" s="1"/>
  <c r="A177" i="9"/>
  <c r="D176"/>
  <c r="E176"/>
  <c r="F176" s="1"/>
  <c r="A177" i="8"/>
  <c r="E176"/>
  <c r="F176" s="1"/>
  <c r="D176"/>
  <c r="A173" i="5"/>
  <c r="D172"/>
  <c r="E172"/>
  <c r="F172" s="1"/>
  <c r="D170" i="1"/>
  <c r="J169" i="9"/>
  <c r="C176" i="8"/>
  <c r="C176" i="9"/>
  <c r="J169" i="5"/>
  <c r="C170" i="1"/>
  <c r="C172" i="5"/>
  <c r="J169" i="11"/>
  <c r="J169" i="1"/>
  <c r="C233" i="11"/>
  <c r="J169" i="8"/>
  <c r="I170" l="1"/>
  <c r="I170" i="11"/>
  <c r="I170" i="5"/>
  <c r="I170" i="9"/>
  <c r="I170" i="1"/>
  <c r="B169" i="9"/>
  <c r="B169" i="5"/>
  <c r="B169" i="11"/>
  <c r="B169" i="8"/>
  <c r="B169" i="1"/>
  <c r="A172"/>
  <c r="E171"/>
  <c r="F171" s="1"/>
  <c r="A235" i="11"/>
  <c r="D234"/>
  <c r="E234"/>
  <c r="F234" s="1"/>
  <c r="A178" i="9"/>
  <c r="D177"/>
  <c r="E177"/>
  <c r="F177" s="1"/>
  <c r="A178" i="8"/>
  <c r="E177"/>
  <c r="F177" s="1"/>
  <c r="D177"/>
  <c r="A174" i="5"/>
  <c r="D173"/>
  <c r="E173"/>
  <c r="F173" s="1"/>
  <c r="D171" i="1"/>
  <c r="J170" i="5"/>
  <c r="C173"/>
  <c r="C234" i="11"/>
  <c r="J170"/>
  <c r="C177" i="8"/>
  <c r="C177" i="9"/>
  <c r="J170" i="8"/>
  <c r="C171" i="1"/>
  <c r="J170"/>
  <c r="J170" i="9"/>
  <c r="I171" l="1"/>
  <c r="I171" i="8"/>
  <c r="I171" i="11"/>
  <c r="I171" i="5"/>
  <c r="I171" i="1"/>
  <c r="B170" i="5"/>
  <c r="B170" i="11"/>
  <c r="B170" i="8"/>
  <c r="B170" i="9"/>
  <c r="B170" i="1"/>
  <c r="E172"/>
  <c r="F172" s="1"/>
  <c r="A173"/>
  <c r="A236" i="11"/>
  <c r="D235"/>
  <c r="E235"/>
  <c r="F235" s="1"/>
  <c r="A179" i="9"/>
  <c r="D178"/>
  <c r="E178"/>
  <c r="F178" s="1"/>
  <c r="A179" i="8"/>
  <c r="E178"/>
  <c r="F178" s="1"/>
  <c r="D178"/>
  <c r="A175" i="5"/>
  <c r="D174"/>
  <c r="E174"/>
  <c r="F174" s="1"/>
  <c r="D172" i="1"/>
  <c r="C235" i="11"/>
  <c r="C174" i="5"/>
  <c r="J171" i="11"/>
  <c r="C172" i="1"/>
  <c r="J171" i="9"/>
  <c r="C178" i="8"/>
  <c r="J171"/>
  <c r="C178" i="9"/>
  <c r="J171" i="1"/>
  <c r="J171" i="5"/>
  <c r="I172" i="11" l="1"/>
  <c r="I172" i="9"/>
  <c r="I172" i="5"/>
  <c r="I172" i="8"/>
  <c r="I172" i="1"/>
  <c r="B171" i="11"/>
  <c r="B171" i="8"/>
  <c r="B171" i="9"/>
  <c r="B171" i="5"/>
  <c r="B171" i="1"/>
  <c r="E173"/>
  <c r="F173" s="1"/>
  <c r="A174"/>
  <c r="A237" i="11"/>
  <c r="D236"/>
  <c r="E236"/>
  <c r="F236" s="1"/>
  <c r="A180" i="9"/>
  <c r="D179"/>
  <c r="E179"/>
  <c r="F179" s="1"/>
  <c r="A180" i="8"/>
  <c r="E179"/>
  <c r="F179" s="1"/>
  <c r="D179"/>
  <c r="A176" i="5"/>
  <c r="D175"/>
  <c r="E175"/>
  <c r="F175" s="1"/>
  <c r="D173" i="1"/>
  <c r="C236" i="11"/>
  <c r="C179" i="8"/>
  <c r="C173" i="1"/>
  <c r="J172" i="5"/>
  <c r="C175"/>
  <c r="J172" i="11"/>
  <c r="C179" i="9"/>
  <c r="J172"/>
  <c r="J172" i="1"/>
  <c r="J172" i="8"/>
  <c r="I173" i="11" l="1"/>
  <c r="I173" i="9"/>
  <c r="I173" i="8"/>
  <c r="I173" i="5"/>
  <c r="I173" i="1"/>
  <c r="B172" i="5"/>
  <c r="B172" i="11"/>
  <c r="B172" i="8"/>
  <c r="B172" i="9"/>
  <c r="B172" i="1"/>
  <c r="E174"/>
  <c r="F174" s="1"/>
  <c r="A175"/>
  <c r="A238" i="11"/>
  <c r="D237"/>
  <c r="E237"/>
  <c r="F237" s="1"/>
  <c r="A181" i="9"/>
  <c r="D180"/>
  <c r="E180"/>
  <c r="F180" s="1"/>
  <c r="A181" i="8"/>
  <c r="E180"/>
  <c r="F180" s="1"/>
  <c r="D180"/>
  <c r="A177" i="5"/>
  <c r="D176"/>
  <c r="E176"/>
  <c r="F176" s="1"/>
  <c r="D174" i="1"/>
  <c r="C237" i="11"/>
  <c r="C174" i="1"/>
  <c r="C180" i="9"/>
  <c r="J173"/>
  <c r="C176" i="5"/>
  <c r="J173" i="8"/>
  <c r="C180"/>
  <c r="J173" i="11"/>
  <c r="J173" i="1"/>
  <c r="J173" i="5"/>
  <c r="I174" i="8" l="1"/>
  <c r="I174" i="11"/>
  <c r="I174" i="9"/>
  <c r="I174" i="5"/>
  <c r="I174" i="1"/>
  <c r="B173" i="11"/>
  <c r="B173" i="8"/>
  <c r="B173" i="9"/>
  <c r="B173" i="5"/>
  <c r="B173" i="1"/>
  <c r="E175"/>
  <c r="F175" s="1"/>
  <c r="A176"/>
  <c r="A239" i="11"/>
  <c r="D238"/>
  <c r="E238"/>
  <c r="F238" s="1"/>
  <c r="A182" i="9"/>
  <c r="D181"/>
  <c r="E181"/>
  <c r="F181" s="1"/>
  <c r="A182" i="8"/>
  <c r="E181"/>
  <c r="F181" s="1"/>
  <c r="D181"/>
  <c r="A178" i="5"/>
  <c r="D177"/>
  <c r="E177"/>
  <c r="F177" s="1"/>
  <c r="D175" i="1"/>
  <c r="C238" i="11"/>
  <c r="C175" i="1"/>
  <c r="J174" i="11"/>
  <c r="C177" i="5"/>
  <c r="J174" i="9"/>
  <c r="C181" i="8"/>
  <c r="J174"/>
  <c r="C181" i="9"/>
  <c r="J174" i="1"/>
  <c r="J174" i="5"/>
  <c r="I175" i="9" l="1"/>
  <c r="I175" i="8"/>
  <c r="I175" i="5"/>
  <c r="I175" i="11"/>
  <c r="I175" i="1"/>
  <c r="B174" i="8"/>
  <c r="B174" i="9"/>
  <c r="B174" i="5"/>
  <c r="B174" i="11"/>
  <c r="B174" i="1"/>
  <c r="A177"/>
  <c r="E176"/>
  <c r="F176" s="1"/>
  <c r="A240" i="11"/>
  <c r="D239"/>
  <c r="E239"/>
  <c r="F239" s="1"/>
  <c r="A183" i="9"/>
  <c r="D182"/>
  <c r="E182"/>
  <c r="F182" s="1"/>
  <c r="A183" i="8"/>
  <c r="E182"/>
  <c r="F182" s="1"/>
  <c r="D182"/>
  <c r="A179" i="5"/>
  <c r="D178"/>
  <c r="E178"/>
  <c r="F178" s="1"/>
  <c r="D176" i="1"/>
  <c r="J175" i="5"/>
  <c r="C176" i="1"/>
  <c r="C178" i="5"/>
  <c r="C239" i="11"/>
  <c r="J175" i="9"/>
  <c r="C182" i="8"/>
  <c r="J175"/>
  <c r="C182" i="9"/>
  <c r="J175" i="1"/>
  <c r="J175" i="11"/>
  <c r="I176" l="1"/>
  <c r="I176" i="9"/>
  <c r="I176" i="8"/>
  <c r="I176" i="5"/>
  <c r="I176" i="1"/>
  <c r="B175" i="9"/>
  <c r="B175" i="5"/>
  <c r="B175" i="11"/>
  <c r="B175" i="8"/>
  <c r="B175" i="1"/>
  <c r="E177"/>
  <c r="F177" s="1"/>
  <c r="A178"/>
  <c r="A241" i="11"/>
  <c r="D240"/>
  <c r="E240"/>
  <c r="F240" s="1"/>
  <c r="A184" i="9"/>
  <c r="D183"/>
  <c r="E183"/>
  <c r="F183" s="1"/>
  <c r="A184" i="8"/>
  <c r="E183"/>
  <c r="F183" s="1"/>
  <c r="D183"/>
  <c r="A180" i="5"/>
  <c r="D179"/>
  <c r="E179"/>
  <c r="F179" s="1"/>
  <c r="D177" i="1"/>
  <c r="C183" i="9"/>
  <c r="C177" i="1"/>
  <c r="C240" i="11"/>
  <c r="J176" i="9"/>
  <c r="C179" i="5"/>
  <c r="J176" i="8"/>
  <c r="C183"/>
  <c r="J176" i="11"/>
  <c r="J176" i="1"/>
  <c r="J176" i="5"/>
  <c r="I177" i="11" l="1"/>
  <c r="I177" i="8"/>
  <c r="I177" i="5"/>
  <c r="I177" i="9"/>
  <c r="I177" i="1"/>
  <c r="B176" i="5"/>
  <c r="B176" i="11"/>
  <c r="B176" i="8"/>
  <c r="B176" i="9"/>
  <c r="B176" i="1"/>
  <c r="A179"/>
  <c r="E178"/>
  <c r="F178" s="1"/>
  <c r="A242" i="11"/>
  <c r="D241"/>
  <c r="E241"/>
  <c r="F241" s="1"/>
  <c r="A185" i="9"/>
  <c r="D184"/>
  <c r="E184"/>
  <c r="F184" s="1"/>
  <c r="A185" i="8"/>
  <c r="E184"/>
  <c r="F184" s="1"/>
  <c r="D184"/>
  <c r="A181" i="5"/>
  <c r="D180"/>
  <c r="E180"/>
  <c r="F180" s="1"/>
  <c r="D178" i="1"/>
  <c r="C184" i="8"/>
  <c r="C180" i="5"/>
  <c r="C241" i="11"/>
  <c r="J177" i="8"/>
  <c r="C178" i="1"/>
  <c r="J177" i="5"/>
  <c r="C184" i="9"/>
  <c r="J177" i="11"/>
  <c r="J177" i="1"/>
  <c r="J177" i="9"/>
  <c r="I178" i="8" l="1"/>
  <c r="I178" i="9"/>
  <c r="I178" i="5"/>
  <c r="I178" i="11"/>
  <c r="I178" i="1"/>
  <c r="B177" i="8"/>
  <c r="B177" i="9"/>
  <c r="B177" i="5"/>
  <c r="B177" i="11"/>
  <c r="B177" i="1"/>
  <c r="E179"/>
  <c r="F179" s="1"/>
  <c r="A180"/>
  <c r="A243" i="11"/>
  <c r="E242"/>
  <c r="F242" s="1"/>
  <c r="D242"/>
  <c r="A186" i="9"/>
  <c r="D185"/>
  <c r="E185"/>
  <c r="F185" s="1"/>
  <c r="A186" i="8"/>
  <c r="E185"/>
  <c r="F185" s="1"/>
  <c r="D185"/>
  <c r="A182" i="5"/>
  <c r="D181"/>
  <c r="E181"/>
  <c r="F181" s="1"/>
  <c r="D179" i="1"/>
  <c r="J178" i="5"/>
  <c r="C185" i="8"/>
  <c r="C242" i="11"/>
  <c r="C181" i="5"/>
  <c r="J178" i="9"/>
  <c r="C179" i="1"/>
  <c r="J178" i="8"/>
  <c r="C185" i="9"/>
  <c r="J178" i="1"/>
  <c r="J178" i="11"/>
  <c r="I179" i="9" l="1"/>
  <c r="I179" i="8"/>
  <c r="I179" i="11"/>
  <c r="I179" i="5"/>
  <c r="I179" i="1"/>
  <c r="B178" i="9"/>
  <c r="B178" i="5"/>
  <c r="B178" i="11"/>
  <c r="B178" i="8"/>
  <c r="B178" i="1"/>
  <c r="E180"/>
  <c r="F180" s="1"/>
  <c r="A181"/>
  <c r="A244" i="11"/>
  <c r="E243"/>
  <c r="F243" s="1"/>
  <c r="D243"/>
  <c r="A187" i="9"/>
  <c r="E186"/>
  <c r="F186" s="1"/>
  <c r="D186"/>
  <c r="A187" i="8"/>
  <c r="E186"/>
  <c r="F186" s="1"/>
  <c r="D186"/>
  <c r="A183" i="5"/>
  <c r="D182"/>
  <c r="E182"/>
  <c r="F182" s="1"/>
  <c r="D180" i="1"/>
  <c r="C243" i="11"/>
  <c r="C180" i="1"/>
  <c r="J179" i="11"/>
  <c r="C186" i="8"/>
  <c r="J179" i="9"/>
  <c r="C182" i="5"/>
  <c r="J179" i="8"/>
  <c r="C186" i="9"/>
  <c r="J179" i="1"/>
  <c r="J179" i="5"/>
  <c r="I180" i="11" l="1"/>
  <c r="I180" i="9"/>
  <c r="I180" i="5"/>
  <c r="I180" i="8"/>
  <c r="I180" i="1"/>
  <c r="B179" i="5"/>
  <c r="B179" i="11"/>
  <c r="B179" i="8"/>
  <c r="B179" i="9"/>
  <c r="B179" i="1"/>
  <c r="E181"/>
  <c r="F181" s="1"/>
  <c r="A182"/>
  <c r="A245" i="11"/>
  <c r="E244"/>
  <c r="F244" s="1"/>
  <c r="D244"/>
  <c r="A188" i="9"/>
  <c r="E187"/>
  <c r="F187" s="1"/>
  <c r="D187"/>
  <c r="A188" i="8"/>
  <c r="E187"/>
  <c r="F187" s="1"/>
  <c r="D187"/>
  <c r="A184" i="5"/>
  <c r="D183"/>
  <c r="E183"/>
  <c r="F183" s="1"/>
  <c r="D181" i="1"/>
  <c r="J180" i="5"/>
  <c r="C244" i="11"/>
  <c r="C187" i="8"/>
  <c r="C183" i="5"/>
  <c r="J180" i="9"/>
  <c r="C181" i="1"/>
  <c r="J180" i="8"/>
  <c r="C187" i="9"/>
  <c r="J180" i="11"/>
  <c r="J180" i="1"/>
  <c r="I181" i="11" l="1"/>
  <c r="I181" i="9"/>
  <c r="I181" i="8"/>
  <c r="I181" i="5"/>
  <c r="I181" i="1"/>
  <c r="B180" i="11"/>
  <c r="B180" i="8"/>
  <c r="B180" i="9"/>
  <c r="B180" i="5"/>
  <c r="B180" i="1"/>
  <c r="E182"/>
  <c r="F182" s="1"/>
  <c r="A183"/>
  <c r="A246" i="11"/>
  <c r="E245"/>
  <c r="F245" s="1"/>
  <c r="D245"/>
  <c r="A189" i="9"/>
  <c r="D188"/>
  <c r="E188"/>
  <c r="F188" s="1"/>
  <c r="A189" i="8"/>
  <c r="E188"/>
  <c r="F188" s="1"/>
  <c r="D188"/>
  <c r="A185" i="5"/>
  <c r="D184"/>
  <c r="E184"/>
  <c r="F184" s="1"/>
  <c r="D182" i="1"/>
  <c r="C245" i="11"/>
  <c r="C184" i="5"/>
  <c r="C188" i="9"/>
  <c r="J181"/>
  <c r="C182" i="1"/>
  <c r="J181" i="8"/>
  <c r="C188"/>
  <c r="J181" i="11"/>
  <c r="J181" i="1"/>
  <c r="J181" i="5"/>
  <c r="I182" i="8" l="1"/>
  <c r="I182" i="11"/>
  <c r="I182" i="9"/>
  <c r="I182" i="5"/>
  <c r="I182" i="1"/>
  <c r="B181" i="8"/>
  <c r="B181" i="9"/>
  <c r="B181" i="5"/>
  <c r="B181" i="11"/>
  <c r="B181" i="1"/>
  <c r="E183"/>
  <c r="F183" s="1"/>
  <c r="A184"/>
  <c r="A247" i="11"/>
  <c r="E246"/>
  <c r="F246" s="1"/>
  <c r="D246"/>
  <c r="A190" i="9"/>
  <c r="D189"/>
  <c r="E189"/>
  <c r="F189" s="1"/>
  <c r="A190" i="8"/>
  <c r="E189"/>
  <c r="F189" s="1"/>
  <c r="D189"/>
  <c r="A186" i="5"/>
  <c r="D185"/>
  <c r="E185"/>
  <c r="F185" s="1"/>
  <c r="D183" i="1"/>
  <c r="C189" i="8"/>
  <c r="C246" i="11"/>
  <c r="J182"/>
  <c r="C185" i="5"/>
  <c r="J182" i="9"/>
  <c r="C183" i="1"/>
  <c r="J182" i="8"/>
  <c r="C189" i="9"/>
  <c r="J182" i="1"/>
  <c r="J182" i="5"/>
  <c r="I183" i="9" l="1"/>
  <c r="I183" i="8"/>
  <c r="I183" i="5"/>
  <c r="I183" i="11"/>
  <c r="I183" i="1"/>
  <c r="E42" i="4"/>
  <c r="B182" i="9"/>
  <c r="B182" i="5"/>
  <c r="B182" i="11"/>
  <c r="B182" i="8"/>
  <c r="B182" i="1"/>
  <c r="A185"/>
  <c r="E184"/>
  <c r="F184" s="1"/>
  <c r="A248" i="11"/>
  <c r="E247"/>
  <c r="F247" s="1"/>
  <c r="D247"/>
  <c r="A191" i="9"/>
  <c r="D190"/>
  <c r="E190"/>
  <c r="F190" s="1"/>
  <c r="A191" i="8"/>
  <c r="E190"/>
  <c r="F190" s="1"/>
  <c r="D190"/>
  <c r="A187" i="5"/>
  <c r="D186"/>
  <c r="E186"/>
  <c r="F186" s="1"/>
  <c r="D184" i="1"/>
  <c r="C190" i="8"/>
  <c r="J183"/>
  <c r="C184" i="1"/>
  <c r="J183" i="5"/>
  <c r="C247" i="11"/>
  <c r="J183"/>
  <c r="C186" i="5"/>
  <c r="C190" i="9"/>
  <c r="J183"/>
  <c r="J183" i="1"/>
  <c r="I184" i="11" l="1"/>
  <c r="I184" i="9"/>
  <c r="I184" i="8"/>
  <c r="I184" i="5"/>
  <c r="I184" i="1"/>
  <c r="B183" i="11"/>
  <c r="B183" i="8"/>
  <c r="B183" i="9"/>
  <c r="B183" i="5"/>
  <c r="B183" i="1"/>
  <c r="A186"/>
  <c r="E185"/>
  <c r="F185" s="1"/>
  <c r="E248" i="11"/>
  <c r="F248" s="1"/>
  <c r="D248"/>
  <c r="A192" i="9"/>
  <c r="A193" s="1"/>
  <c r="D191"/>
  <c r="E191"/>
  <c r="F191" s="1"/>
  <c r="A192" i="8"/>
  <c r="E191"/>
  <c r="F191" s="1"/>
  <c r="D191"/>
  <c r="A188" i="5"/>
  <c r="D187"/>
  <c r="E187"/>
  <c r="F187" s="1"/>
  <c r="D185" i="1"/>
  <c r="C191" i="9"/>
  <c r="C248" i="11"/>
  <c r="C187" i="5"/>
  <c r="J184" i="9"/>
  <c r="J184" i="1"/>
  <c r="C191" i="8"/>
  <c r="J184"/>
  <c r="C185" i="1"/>
  <c r="J184" i="11"/>
  <c r="J184" i="5"/>
  <c r="I185" i="11" l="1"/>
  <c r="I185" i="8"/>
  <c r="I185" i="9"/>
  <c r="I185" i="5"/>
  <c r="I185" i="1"/>
  <c r="B184" i="9"/>
  <c r="B184" i="5"/>
  <c r="G49" i="4"/>
  <c r="B184" i="11"/>
  <c r="B184" i="8"/>
  <c r="B184" i="1"/>
  <c r="E186"/>
  <c r="F186" s="1"/>
  <c r="A187"/>
  <c r="A194" i="9"/>
  <c r="E193"/>
  <c r="F193" s="1"/>
  <c r="D193"/>
  <c r="D192"/>
  <c r="E192"/>
  <c r="F192" s="1"/>
  <c r="E192" i="8"/>
  <c r="F192" s="1"/>
  <c r="D192"/>
  <c r="A189" i="5"/>
  <c r="D188"/>
  <c r="E188"/>
  <c r="F188" s="1"/>
  <c r="D186" i="1"/>
  <c r="J185" i="8"/>
  <c r="C193" i="9"/>
  <c r="C192"/>
  <c r="J185"/>
  <c r="C192" i="8"/>
  <c r="C188" i="5"/>
  <c r="J185" i="1"/>
  <c r="C186"/>
  <c r="J185" i="5"/>
  <c r="J185" i="11"/>
  <c r="I186" i="8" l="1"/>
  <c r="I186" i="11"/>
  <c r="I186" i="5"/>
  <c r="I186" i="9"/>
  <c r="I186" i="1"/>
  <c r="B185" i="8"/>
  <c r="B185" i="9"/>
  <c r="B185" i="5"/>
  <c r="B185" i="11"/>
  <c r="B185" i="1"/>
  <c r="E187"/>
  <c r="F187" s="1"/>
  <c r="A188"/>
  <c r="E194" i="9"/>
  <c r="F194" s="1"/>
  <c r="D194"/>
  <c r="A195"/>
  <c r="A190" i="5"/>
  <c r="D189"/>
  <c r="E189"/>
  <c r="F189" s="1"/>
  <c r="D187" i="1"/>
  <c r="C194" i="9"/>
  <c r="J186" i="1"/>
  <c r="J186" i="9"/>
  <c r="C189" i="5"/>
  <c r="J186" i="8"/>
  <c r="C187" i="1"/>
  <c r="J186" i="5"/>
  <c r="J186" i="11"/>
  <c r="I187" i="9" l="1"/>
  <c r="I187" i="8"/>
  <c r="I187" i="11"/>
  <c r="I187" i="5"/>
  <c r="I187" i="1"/>
  <c r="B186" i="9"/>
  <c r="B186" i="5"/>
  <c r="B186" i="11"/>
  <c r="B186" i="8"/>
  <c r="B186" i="1"/>
  <c r="E188"/>
  <c r="F188" s="1"/>
  <c r="A189"/>
  <c r="A196" i="9"/>
  <c r="D195"/>
  <c r="E195"/>
  <c r="F195" s="1"/>
  <c r="A191" i="5"/>
  <c r="D190"/>
  <c r="E190"/>
  <c r="F190" s="1"/>
  <c r="D188" i="1"/>
  <c r="C195" i="9"/>
  <c r="J187" i="1"/>
  <c r="J187" i="9"/>
  <c r="C190" i="5"/>
  <c r="J187" i="8"/>
  <c r="C188" i="1"/>
  <c r="J187" i="5"/>
  <c r="J187" i="11"/>
  <c r="I188" l="1"/>
  <c r="I188" i="9"/>
  <c r="I188" i="5"/>
  <c r="I188" i="8"/>
  <c r="I188" i="1"/>
  <c r="B187" i="5"/>
  <c r="B187" i="11"/>
  <c r="B187" i="8"/>
  <c r="B187" i="9"/>
  <c r="B187" i="1"/>
  <c r="E189"/>
  <c r="F189" s="1"/>
  <c r="A190"/>
  <c r="A197" i="9"/>
  <c r="E196"/>
  <c r="F196" s="1"/>
  <c r="D196"/>
  <c r="A192" i="5"/>
  <c r="D191"/>
  <c r="E191"/>
  <c r="F191" s="1"/>
  <c r="D189" i="1"/>
  <c r="C191" i="5"/>
  <c r="C189" i="1"/>
  <c r="J188" i="5"/>
  <c r="C196" i="9"/>
  <c r="J188" i="11"/>
  <c r="J188" i="1"/>
  <c r="J188" i="9"/>
  <c r="J188" i="8"/>
  <c r="I189" i="11" l="1"/>
  <c r="I189" i="9"/>
  <c r="I189" i="8"/>
  <c r="I189" i="5"/>
  <c r="I189" i="1"/>
  <c r="B188" i="11"/>
  <c r="B188" i="8"/>
  <c r="B188" i="9"/>
  <c r="B188" i="5"/>
  <c r="B188" i="1"/>
  <c r="E190"/>
  <c r="F190" s="1"/>
  <c r="A191"/>
  <c r="A198" i="9"/>
  <c r="D197"/>
  <c r="E197"/>
  <c r="F197" s="1"/>
  <c r="A193" i="5"/>
  <c r="D192"/>
  <c r="E192"/>
  <c r="F192" s="1"/>
  <c r="D190" i="1"/>
  <c r="C192" i="5"/>
  <c r="J189" i="8"/>
  <c r="C197" i="9"/>
  <c r="C190" i="1"/>
  <c r="J189" i="11"/>
  <c r="J189" i="1"/>
  <c r="J189" i="9"/>
  <c r="J189" i="5"/>
  <c r="I190" i="8" l="1"/>
  <c r="I190" i="11"/>
  <c r="I190" i="9"/>
  <c r="I190" i="5"/>
  <c r="I190" i="1"/>
  <c r="B189" i="8"/>
  <c r="B189" i="9"/>
  <c r="B189" i="5"/>
  <c r="B189" i="11"/>
  <c r="B189" i="1"/>
  <c r="E191"/>
  <c r="F191" s="1"/>
  <c r="A192"/>
  <c r="A199" i="9"/>
  <c r="D198"/>
  <c r="E198"/>
  <c r="F198" s="1"/>
  <c r="A194" i="5"/>
  <c r="D193"/>
  <c r="E193"/>
  <c r="F193" s="1"/>
  <c r="D191" i="1"/>
  <c r="J190" i="9"/>
  <c r="C193" i="5"/>
  <c r="C191" i="1"/>
  <c r="C198" i="9"/>
  <c r="J190" i="11"/>
  <c r="J190" i="1"/>
  <c r="J190" i="8"/>
  <c r="J190" i="5"/>
  <c r="I191" i="9" l="1"/>
  <c r="I191" i="8"/>
  <c r="I191" i="5"/>
  <c r="I191" i="11"/>
  <c r="I191" i="1"/>
  <c r="B190" i="9"/>
  <c r="B190" i="5"/>
  <c r="B190" i="11"/>
  <c r="B190" i="8"/>
  <c r="B190" i="1"/>
  <c r="E192"/>
  <c r="F192" s="1"/>
  <c r="A193"/>
  <c r="A200" i="9"/>
  <c r="D199"/>
  <c r="E199"/>
  <c r="F199" s="1"/>
  <c r="A195" i="5"/>
  <c r="D194"/>
  <c r="E194"/>
  <c r="F194" s="1"/>
  <c r="D192" i="1"/>
  <c r="C194" i="5"/>
  <c r="J191" i="8"/>
  <c r="C192" i="1"/>
  <c r="J191" i="5"/>
  <c r="C199" i="9"/>
  <c r="J191" i="11"/>
  <c r="J191" i="1"/>
  <c r="J191" i="9"/>
  <c r="I192" i="11" l="1"/>
  <c r="I192" i="9"/>
  <c r="I192" i="8"/>
  <c r="I192" i="5"/>
  <c r="I192" i="1"/>
  <c r="B191" i="5"/>
  <c r="B191" i="11"/>
  <c r="B191" i="8"/>
  <c r="B191" i="9"/>
  <c r="B191" i="1"/>
  <c r="A194"/>
  <c r="E193"/>
  <c r="F193" s="1"/>
  <c r="A201" i="9"/>
  <c r="E200"/>
  <c r="F200" s="1"/>
  <c r="D200"/>
  <c r="A196" i="5"/>
  <c r="D195"/>
  <c r="E195"/>
  <c r="F195" s="1"/>
  <c r="D193" i="1"/>
  <c r="C200" i="9"/>
  <c r="J192" i="11"/>
  <c r="J192" i="1"/>
  <c r="C195" i="5"/>
  <c r="J192" i="8"/>
  <c r="C193" i="1"/>
  <c r="J192" i="9"/>
  <c r="J192" i="5"/>
  <c r="I193" i="11" l="1"/>
  <c r="I193" i="5"/>
  <c r="I193" i="9"/>
  <c r="I193" i="1"/>
  <c r="B192" i="11"/>
  <c r="B192" i="8"/>
  <c r="B192" i="9"/>
  <c r="B192" i="5"/>
  <c r="B192" i="1"/>
  <c r="E194"/>
  <c r="F194" s="1"/>
  <c r="A195"/>
  <c r="A202" i="9"/>
  <c r="D201"/>
  <c r="E201"/>
  <c r="F201" s="1"/>
  <c r="A197" i="5"/>
  <c r="D196"/>
  <c r="E196"/>
  <c r="F196" s="1"/>
  <c r="D194" i="1"/>
  <c r="C196" i="5"/>
  <c r="C194" i="1"/>
  <c r="J193" i="11"/>
  <c r="C201" i="9"/>
  <c r="J193" i="1"/>
  <c r="J193" i="5"/>
  <c r="J193" i="9"/>
  <c r="I194" l="1"/>
  <c r="I194" i="5"/>
  <c r="I194" i="11"/>
  <c r="I194" i="1"/>
  <c r="F46" i="4"/>
  <c r="F49"/>
  <c r="F48"/>
  <c r="F47"/>
  <c r="F45"/>
  <c r="B193" i="9"/>
  <c r="B193" i="5"/>
  <c r="B193" i="11"/>
  <c r="B193" i="1"/>
  <c r="E195"/>
  <c r="F195" s="1"/>
  <c r="A196"/>
  <c r="A203" i="9"/>
  <c r="E202"/>
  <c r="F202" s="1"/>
  <c r="D202"/>
  <c r="A198" i="5"/>
  <c r="D197"/>
  <c r="E197"/>
  <c r="F197" s="1"/>
  <c r="D195" i="1"/>
  <c r="J194" i="5"/>
  <c r="C197"/>
  <c r="J194" i="9"/>
  <c r="J194" i="11"/>
  <c r="C195" i="1"/>
  <c r="J194"/>
  <c r="C202" i="9"/>
  <c r="I195" l="1"/>
  <c r="I195" i="11"/>
  <c r="I195" i="5"/>
  <c r="I195" i="1"/>
  <c r="B194" i="11"/>
  <c r="B194" i="9"/>
  <c r="B194" i="5"/>
  <c r="B194" i="1"/>
  <c r="E196"/>
  <c r="F196" s="1"/>
  <c r="A197"/>
  <c r="A204" i="9"/>
  <c r="E203"/>
  <c r="F203" s="1"/>
  <c r="D203"/>
  <c r="A199" i="5"/>
  <c r="D198"/>
  <c r="E198"/>
  <c r="F198" s="1"/>
  <c r="D196" i="1"/>
  <c r="J195" i="9"/>
  <c r="C198" i="5"/>
  <c r="J195"/>
  <c r="C203" i="9"/>
  <c r="J195" i="11"/>
  <c r="C196" i="1"/>
  <c r="J195"/>
  <c r="I196" i="11" l="1"/>
  <c r="I196" i="9"/>
  <c r="I196" i="5"/>
  <c r="I196" i="1"/>
  <c r="B195" i="5"/>
  <c r="B195" i="11"/>
  <c r="B195" i="9"/>
  <c r="B195" i="1"/>
  <c r="A198"/>
  <c r="E197"/>
  <c r="F197" s="1"/>
  <c r="A205" i="9"/>
  <c r="E204"/>
  <c r="F204" s="1"/>
  <c r="D204"/>
  <c r="A200" i="5"/>
  <c r="D199"/>
  <c r="E199"/>
  <c r="F199" s="1"/>
  <c r="D197" i="1"/>
  <c r="C197"/>
  <c r="J196" i="5"/>
  <c r="C199"/>
  <c r="J196" i="11"/>
  <c r="C204" i="9"/>
  <c r="J196" i="1"/>
  <c r="J196" i="9"/>
  <c r="I197" i="11" l="1"/>
  <c r="I197" i="9"/>
  <c r="I197" i="5"/>
  <c r="I197" i="1"/>
  <c r="B196" i="9"/>
  <c r="B196" i="5"/>
  <c r="B196" i="11"/>
  <c r="B196" i="1"/>
  <c r="A199"/>
  <c r="E198"/>
  <c r="F198" s="1"/>
  <c r="A206" i="9"/>
  <c r="E205"/>
  <c r="F205" s="1"/>
  <c r="D205"/>
  <c r="A201" i="5"/>
  <c r="D200"/>
  <c r="E200"/>
  <c r="F200" s="1"/>
  <c r="D198" i="1"/>
  <c r="C198"/>
  <c r="J197" i="5"/>
  <c r="C205" i="9"/>
  <c r="J197" i="11"/>
  <c r="C200" i="5"/>
  <c r="J197" i="1"/>
  <c r="J197" i="9"/>
  <c r="I198" i="11" l="1"/>
  <c r="I198" i="9"/>
  <c r="I198" i="5"/>
  <c r="I198" i="1"/>
  <c r="B197" i="11"/>
  <c r="B197" i="9"/>
  <c r="B197" i="5"/>
  <c r="B197" i="1"/>
  <c r="A200"/>
  <c r="E199"/>
  <c r="F199" s="1"/>
  <c r="A207" i="9"/>
  <c r="E206"/>
  <c r="F206" s="1"/>
  <c r="D206"/>
  <c r="A202" i="5"/>
  <c r="D201"/>
  <c r="E201"/>
  <c r="F201" s="1"/>
  <c r="D199" i="1"/>
  <c r="C206" i="9"/>
  <c r="J198" i="5"/>
  <c r="C199" i="1"/>
  <c r="J198" i="11"/>
  <c r="C201" i="5"/>
  <c r="J198" i="1"/>
  <c r="J198" i="9"/>
  <c r="I199" l="1"/>
  <c r="I199" i="5"/>
  <c r="I199" i="11"/>
  <c r="I199" i="1"/>
  <c r="B198" i="5"/>
  <c r="B198" i="11"/>
  <c r="B198" i="9"/>
  <c r="B198" i="1"/>
  <c r="E200"/>
  <c r="F200" s="1"/>
  <c r="A201"/>
  <c r="A208" i="9"/>
  <c r="E207"/>
  <c r="F207" s="1"/>
  <c r="D207"/>
  <c r="A203" i="5"/>
  <c r="D202"/>
  <c r="E202"/>
  <c r="F202" s="1"/>
  <c r="D200" i="1"/>
  <c r="J199" i="9"/>
  <c r="C202" i="5"/>
  <c r="C200" i="1"/>
  <c r="J199" i="11"/>
  <c r="C207" i="9"/>
  <c r="J199" i="1"/>
  <c r="J199" i="5"/>
  <c r="I200" i="11" l="1"/>
  <c r="I200" i="9"/>
  <c r="I200" i="5"/>
  <c r="I200" i="1"/>
  <c r="B199" i="9"/>
  <c r="B199" i="5"/>
  <c r="B199" i="11"/>
  <c r="B199" i="1"/>
  <c r="E201"/>
  <c r="F201" s="1"/>
  <c r="A202"/>
  <c r="A209" i="9"/>
  <c r="E208"/>
  <c r="F208" s="1"/>
  <c r="D208"/>
  <c r="A204" i="5"/>
  <c r="D203"/>
  <c r="E203"/>
  <c r="F203" s="1"/>
  <c r="D201" i="1"/>
  <c r="C203" i="5"/>
  <c r="J200"/>
  <c r="C201" i="1"/>
  <c r="J200" i="11"/>
  <c r="C208" i="9"/>
  <c r="J200" i="1"/>
  <c r="J200" i="9"/>
  <c r="I201" i="11" l="1"/>
  <c r="I201" i="9"/>
  <c r="I201" i="5"/>
  <c r="I201" i="1"/>
  <c r="B200" i="11"/>
  <c r="B200" i="9"/>
  <c r="B200" i="5"/>
  <c r="B200" i="1"/>
  <c r="E202"/>
  <c r="F202" s="1"/>
  <c r="A203"/>
  <c r="A210" i="9"/>
  <c r="D209"/>
  <c r="E209"/>
  <c r="F209" s="1"/>
  <c r="A205" i="5"/>
  <c r="D204"/>
  <c r="E204"/>
  <c r="F204" s="1"/>
  <c r="D202" i="1"/>
  <c r="C204" i="5"/>
  <c r="J201"/>
  <c r="C209" i="9"/>
  <c r="J201" i="11"/>
  <c r="C202" i="1"/>
  <c r="J201"/>
  <c r="J201" i="9"/>
  <c r="I202" i="5" l="1"/>
  <c r="I202" i="11"/>
  <c r="I202" i="9"/>
  <c r="I202" i="1"/>
  <c r="B201" i="5"/>
  <c r="B201" i="11"/>
  <c r="B201" i="9"/>
  <c r="B201" i="1"/>
  <c r="E203"/>
  <c r="F203" s="1"/>
  <c r="A204"/>
  <c r="A211" i="9"/>
  <c r="D210"/>
  <c r="E210"/>
  <c r="F210" s="1"/>
  <c r="A206" i="5"/>
  <c r="D205"/>
  <c r="E205"/>
  <c r="F205" s="1"/>
  <c r="D203" i="1"/>
  <c r="C205" i="5"/>
  <c r="J202"/>
  <c r="C203" i="1"/>
  <c r="J202" i="11"/>
  <c r="C210" i="9"/>
  <c r="J202" i="1"/>
  <c r="J202" i="9"/>
  <c r="I203" l="1"/>
  <c r="I203" i="11"/>
  <c r="I203" i="5"/>
  <c r="I203" i="1"/>
  <c r="B202" i="9"/>
  <c r="B202" i="5"/>
  <c r="B202" i="11"/>
  <c r="B202" i="1"/>
  <c r="E204"/>
  <c r="F204" s="1"/>
  <c r="A205"/>
  <c r="A212" i="9"/>
  <c r="E211"/>
  <c r="F211" s="1"/>
  <c r="D211"/>
  <c r="A207" i="5"/>
  <c r="D206"/>
  <c r="E206"/>
  <c r="F206" s="1"/>
  <c r="D204" i="1"/>
  <c r="J203" i="9"/>
  <c r="C204" i="1"/>
  <c r="J203" i="5"/>
  <c r="C206"/>
  <c r="J203" i="11"/>
  <c r="C211" i="9"/>
  <c r="J203" i="1"/>
  <c r="I204" i="11" l="1"/>
  <c r="I204" i="9"/>
  <c r="I204" i="5"/>
  <c r="I204" i="1"/>
  <c r="B203" i="11"/>
  <c r="B203" i="9"/>
  <c r="B203" i="5"/>
  <c r="B203" i="1"/>
  <c r="A206"/>
  <c r="E205"/>
  <c r="F205" s="1"/>
  <c r="A213" i="9"/>
  <c r="E212"/>
  <c r="F212" s="1"/>
  <c r="D212"/>
  <c r="A208" i="5"/>
  <c r="D207"/>
  <c r="E207"/>
  <c r="F207" s="1"/>
  <c r="D205" i="1"/>
  <c r="C205"/>
  <c r="J204" i="5"/>
  <c r="C212" i="9"/>
  <c r="J204" i="11"/>
  <c r="C207" i="5"/>
  <c r="J204" i="1"/>
  <c r="J204" i="9"/>
  <c r="I205" i="11" l="1"/>
  <c r="I205" i="9"/>
  <c r="I205" i="5"/>
  <c r="I205" i="1"/>
  <c r="B204" i="5"/>
  <c r="B204" i="11"/>
  <c r="B204" i="9"/>
  <c r="B204" i="1"/>
  <c r="E206"/>
  <c r="F206" s="1"/>
  <c r="A207"/>
  <c r="A214" i="9"/>
  <c r="E213"/>
  <c r="F213" s="1"/>
  <c r="D213"/>
  <c r="G41" i="4"/>
  <c r="A209" i="5"/>
  <c r="D208"/>
  <c r="E208"/>
  <c r="F208" s="1"/>
  <c r="D206" i="1"/>
  <c r="J205"/>
  <c r="C206"/>
  <c r="C208" i="5"/>
  <c r="J205" i="11"/>
  <c r="C213" i="9"/>
  <c r="J205" i="5"/>
  <c r="J205" i="9"/>
  <c r="I206" i="11" l="1"/>
  <c r="I206" i="9"/>
  <c r="I206" i="5"/>
  <c r="I206" i="1"/>
  <c r="B205" i="9"/>
  <c r="B205" i="5"/>
  <c r="B205" i="11"/>
  <c r="B205" i="1"/>
  <c r="F42" i="4"/>
  <c r="A208" i="1"/>
  <c r="E207"/>
  <c r="F207" s="1"/>
  <c r="A215" i="9"/>
  <c r="E214"/>
  <c r="F214" s="1"/>
  <c r="D214"/>
  <c r="A210" i="5"/>
  <c r="D209"/>
  <c r="E209"/>
  <c r="F209" s="1"/>
  <c r="D207" i="1"/>
  <c r="J206" i="11"/>
  <c r="C209" i="5"/>
  <c r="J206"/>
  <c r="C214" i="9"/>
  <c r="J206"/>
  <c r="C207" i="1"/>
  <c r="J206"/>
  <c r="I207" i="9" l="1"/>
  <c r="I207" i="5"/>
  <c r="I207" i="11"/>
  <c r="I207" i="1"/>
  <c r="B206" i="11"/>
  <c r="B206" i="5"/>
  <c r="B206" i="9"/>
  <c r="B206" i="1"/>
  <c r="A209"/>
  <c r="E208"/>
  <c r="F208" s="1"/>
  <c r="A216" i="9"/>
  <c r="E215"/>
  <c r="F215" s="1"/>
  <c r="D215"/>
  <c r="A211" i="5"/>
  <c r="D210"/>
  <c r="E210"/>
  <c r="F210" s="1"/>
  <c r="D208" i="1"/>
  <c r="C210" i="5"/>
  <c r="C215" i="9"/>
  <c r="J207" i="11"/>
  <c r="C208" i="1"/>
  <c r="J207" i="5"/>
  <c r="J207" i="9"/>
  <c r="J207" i="1"/>
  <c r="I208" i="11" l="1"/>
  <c r="I208" i="9"/>
  <c r="I208" i="5"/>
  <c r="I208" i="1"/>
  <c r="B207" i="9"/>
  <c r="B207" i="5"/>
  <c r="B207" i="11"/>
  <c r="B207" i="1"/>
  <c r="A210"/>
  <c r="E209"/>
  <c r="F209" s="1"/>
  <c r="A217" i="9"/>
  <c r="D216"/>
  <c r="E216"/>
  <c r="F216" s="1"/>
  <c r="A212" i="5"/>
  <c r="D211"/>
  <c r="E211"/>
  <c r="F211" s="1"/>
  <c r="D209" i="1"/>
  <c r="J208" i="5"/>
  <c r="C211"/>
  <c r="J208" i="9"/>
  <c r="C216"/>
  <c r="J208" i="11"/>
  <c r="C209" i="1"/>
  <c r="J208"/>
  <c r="I209" i="11" l="1"/>
  <c r="I209" i="5"/>
  <c r="I209" i="9"/>
  <c r="I209" i="1"/>
  <c r="B208" i="5"/>
  <c r="B208" i="11"/>
  <c r="B208" i="9"/>
  <c r="B208" i="1"/>
  <c r="E210"/>
  <c r="F210" s="1"/>
  <c r="A211"/>
  <c r="E217" i="9"/>
  <c r="F217" s="1"/>
  <c r="A218"/>
  <c r="D217"/>
  <c r="A213" i="5"/>
  <c r="D212"/>
  <c r="E212"/>
  <c r="F212" s="1"/>
  <c r="D210" i="1"/>
  <c r="C210"/>
  <c r="C217" i="9"/>
  <c r="J209"/>
  <c r="C212" i="5"/>
  <c r="J209"/>
  <c r="J209" i="11"/>
  <c r="J209" i="1"/>
  <c r="I210" i="11" l="1"/>
  <c r="I210" i="9"/>
  <c r="I210" i="5"/>
  <c r="I210" i="1"/>
  <c r="B209" i="9"/>
  <c r="B209" i="5"/>
  <c r="B209" i="11"/>
  <c r="B209" i="1"/>
  <c r="E211"/>
  <c r="F211" s="1"/>
  <c r="A212"/>
  <c r="A219" i="9"/>
  <c r="E218"/>
  <c r="F218" s="1"/>
  <c r="D218"/>
  <c r="G61" i="4"/>
  <c r="G62"/>
  <c r="A214" i="5"/>
  <c r="D213"/>
  <c r="E213"/>
  <c r="F213" s="1"/>
  <c r="D211" i="1"/>
  <c r="C213" i="5"/>
  <c r="C211" i="1"/>
  <c r="C218" i="9"/>
  <c r="J210"/>
  <c r="J210" i="5"/>
  <c r="J210" i="1"/>
  <c r="J210" i="11"/>
  <c r="I211" i="9" l="1"/>
  <c r="I211" i="11"/>
  <c r="I211" i="5"/>
  <c r="I211" i="1"/>
  <c r="B210" i="11"/>
  <c r="B210" i="9"/>
  <c r="B210" i="5"/>
  <c r="B210" i="1"/>
  <c r="E212"/>
  <c r="F212" s="1"/>
  <c r="A213"/>
  <c r="E219" i="9"/>
  <c r="F219" s="1"/>
  <c r="D219"/>
  <c r="A220"/>
  <c r="A215" i="5"/>
  <c r="D214"/>
  <c r="E214"/>
  <c r="F214" s="1"/>
  <c r="D212" i="1"/>
  <c r="C214" i="5"/>
  <c r="C212" i="1"/>
  <c r="J211" i="9"/>
  <c r="C219"/>
  <c r="J211" i="1"/>
  <c r="J211" i="5"/>
  <c r="J211" i="11"/>
  <c r="I212" l="1"/>
  <c r="I212" i="9"/>
  <c r="I212" i="5"/>
  <c r="I212" i="1"/>
  <c r="B211" i="9"/>
  <c r="B211" i="5"/>
  <c r="B211" i="11"/>
  <c r="B211" i="1"/>
  <c r="E213"/>
  <c r="F213" s="1"/>
  <c r="A214"/>
  <c r="A221" i="9"/>
  <c r="E220"/>
  <c r="F220" s="1"/>
  <c r="D220"/>
  <c r="A216" i="5"/>
  <c r="D215"/>
  <c r="E215"/>
  <c r="F215" s="1"/>
  <c r="D213" i="1"/>
  <c r="C215" i="5"/>
  <c r="J212"/>
  <c r="C213" i="1"/>
  <c r="J212" i="11"/>
  <c r="C220" i="9"/>
  <c r="J212" i="1"/>
  <c r="J212" i="9"/>
  <c r="I213" i="11" l="1"/>
  <c r="I213" i="9"/>
  <c r="I213" i="5"/>
  <c r="I213" i="1"/>
  <c r="B212" i="11"/>
  <c r="B212" i="9"/>
  <c r="B212" i="5"/>
  <c r="B212" i="1"/>
  <c r="E214"/>
  <c r="F214" s="1"/>
  <c r="A215"/>
  <c r="A222" i="9"/>
  <c r="E221"/>
  <c r="F221" s="1"/>
  <c r="D221"/>
  <c r="A217" i="5"/>
  <c r="D216"/>
  <c r="E216"/>
  <c r="F216" s="1"/>
  <c r="D214" i="1"/>
  <c r="C216" i="5"/>
  <c r="J213"/>
  <c r="C221" i="9"/>
  <c r="J213" i="11"/>
  <c r="C214" i="1"/>
  <c r="J213"/>
  <c r="J213" i="9"/>
  <c r="I214" i="11" l="1"/>
  <c r="I214" i="9"/>
  <c r="I214" i="5"/>
  <c r="I214" i="1"/>
  <c r="B213" i="5"/>
  <c r="B213" i="11"/>
  <c r="B213" i="9"/>
  <c r="B213" i="1"/>
  <c r="A216"/>
  <c r="E215"/>
  <c r="F215" s="1"/>
  <c r="A223" i="9"/>
  <c r="E222"/>
  <c r="F222" s="1"/>
  <c r="D222"/>
  <c r="D217" i="5"/>
  <c r="E217"/>
  <c r="F217" s="1"/>
  <c r="D215" i="1"/>
  <c r="J214" i="11"/>
  <c r="C215" i="1"/>
  <c r="J214"/>
  <c r="C217" i="5"/>
  <c r="J214"/>
  <c r="C222" i="9"/>
  <c r="J214"/>
  <c r="I215" l="1"/>
  <c r="I215" i="11"/>
  <c r="I215" i="5"/>
  <c r="I215" i="1"/>
  <c r="B214" i="9"/>
  <c r="B214" i="5"/>
  <c r="B214" i="11"/>
  <c r="B214" i="1"/>
  <c r="A217"/>
  <c r="E216"/>
  <c r="F216" s="1"/>
  <c r="A224" i="9"/>
  <c r="E223"/>
  <c r="F223" s="1"/>
  <c r="D223"/>
  <c r="D216" i="1"/>
  <c r="J215" i="9"/>
  <c r="C216" i="1"/>
  <c r="C223" i="9"/>
  <c r="J215" i="1"/>
  <c r="J215" i="5"/>
  <c r="J215" i="11"/>
  <c r="I216" l="1"/>
  <c r="I216" i="9"/>
  <c r="I216" i="5"/>
  <c r="I216" i="1"/>
  <c r="B215" i="11"/>
  <c r="B215" i="9"/>
  <c r="B215" i="5"/>
  <c r="B215" i="1"/>
  <c r="A218"/>
  <c r="E217"/>
  <c r="F217" s="1"/>
  <c r="E224" i="9"/>
  <c r="F224" s="1"/>
  <c r="D224"/>
  <c r="A225"/>
  <c r="D217" i="1"/>
  <c r="C217"/>
  <c r="J216" i="11"/>
  <c r="C224" i="9"/>
  <c r="J216" i="1"/>
  <c r="J216" i="5"/>
  <c r="J216" i="9"/>
  <c r="I217" i="11" l="1"/>
  <c r="I217" i="9"/>
  <c r="I217" i="5"/>
  <c r="I217" i="1"/>
  <c r="B216" i="5"/>
  <c r="B216" i="11"/>
  <c r="B216" i="9"/>
  <c r="B216" i="1"/>
  <c r="A219"/>
  <c r="E218"/>
  <c r="F218" s="1"/>
  <c r="A226" i="9"/>
  <c r="E225"/>
  <c r="F225" s="1"/>
  <c r="D225"/>
  <c r="D218" i="1"/>
  <c r="C218"/>
  <c r="J217" i="11"/>
  <c r="C225" i="9"/>
  <c r="J217" i="1"/>
  <c r="J217" i="5"/>
  <c r="J217" i="9"/>
  <c r="I218" i="11" l="1"/>
  <c r="I218" i="9"/>
  <c r="I218" i="1"/>
  <c r="F61" i="4"/>
  <c r="B217" i="9"/>
  <c r="B217" i="5"/>
  <c r="F59" i="4" s="1"/>
  <c r="B217" i="11"/>
  <c r="B217" i="1"/>
  <c r="A220"/>
  <c r="E219"/>
  <c r="F219" s="1"/>
  <c r="A227" i="9"/>
  <c r="E226"/>
  <c r="F226" s="1"/>
  <c r="D226"/>
  <c r="D219" i="1"/>
  <c r="C219"/>
  <c r="C226" i="9"/>
  <c r="J218" i="11"/>
  <c r="J218" i="1"/>
  <c r="J218" i="9"/>
  <c r="I219" l="1"/>
  <c r="I219" i="11"/>
  <c r="I219" i="1"/>
  <c r="F62" i="4"/>
  <c r="F60"/>
  <c r="B218" i="9"/>
  <c r="B218" i="11"/>
  <c r="B218" i="1"/>
  <c r="E220"/>
  <c r="F220" s="1"/>
  <c r="A221"/>
  <c r="E227" i="9"/>
  <c r="F227" s="1"/>
  <c r="D227"/>
  <c r="A228"/>
  <c r="D220" i="1"/>
  <c r="C220"/>
  <c r="C227" i="9"/>
  <c r="J219" i="1"/>
  <c r="J219" i="9"/>
  <c r="J219" i="11"/>
  <c r="I220" l="1"/>
  <c r="I220" i="9"/>
  <c r="I220" i="1"/>
  <c r="B219" i="9"/>
  <c r="B219" i="11"/>
  <c r="B219" i="1"/>
  <c r="A222"/>
  <c r="E221"/>
  <c r="F221" s="1"/>
  <c r="A229" i="9"/>
  <c r="E228"/>
  <c r="F228" s="1"/>
  <c r="D228"/>
  <c r="D221" i="1"/>
  <c r="J220"/>
  <c r="J220" i="9"/>
  <c r="J220" i="11"/>
  <c r="C221" i="1"/>
  <c r="C228" i="9"/>
  <c r="I221" i="11" l="1"/>
  <c r="I221" i="9"/>
  <c r="I221" i="1"/>
  <c r="B220" i="9"/>
  <c r="B220" i="11"/>
  <c r="B220" i="1"/>
  <c r="E222"/>
  <c r="F222" s="1"/>
  <c r="A223"/>
  <c r="A230" i="9"/>
  <c r="E229"/>
  <c r="F229" s="1"/>
  <c r="D229"/>
  <c r="D222" i="1"/>
  <c r="J221"/>
  <c r="J221" i="9"/>
  <c r="J221" i="11"/>
  <c r="C222" i="1"/>
  <c r="C229" i="9"/>
  <c r="I222" i="11" l="1"/>
  <c r="I222" i="9"/>
  <c r="I222" i="1"/>
  <c r="B221" i="9"/>
  <c r="B221" i="11"/>
  <c r="B221" i="1"/>
  <c r="A224"/>
  <c r="E223"/>
  <c r="F223" s="1"/>
  <c r="A231" i="9"/>
  <c r="E230"/>
  <c r="F230" s="1"/>
  <c r="D230"/>
  <c r="D223" i="1"/>
  <c r="J222"/>
  <c r="J222" i="9"/>
  <c r="J222" i="11"/>
  <c r="C223" i="1"/>
  <c r="C230" i="9"/>
  <c r="I223" l="1"/>
  <c r="I223" i="11"/>
  <c r="I223" i="1"/>
  <c r="B222" i="9"/>
  <c r="B222" i="11"/>
  <c r="B222" i="1"/>
  <c r="A225"/>
  <c r="E224"/>
  <c r="F224" s="1"/>
  <c r="A232" i="9"/>
  <c r="E231"/>
  <c r="F231" s="1"/>
  <c r="D231"/>
  <c r="D224" i="1"/>
  <c r="J223"/>
  <c r="J223" i="11"/>
  <c r="C224" i="1"/>
  <c r="C231" i="9"/>
  <c r="J223"/>
  <c r="I224" i="11" l="1"/>
  <c r="I224" i="9"/>
  <c r="I224" i="1"/>
  <c r="B223" i="9"/>
  <c r="B223" i="11"/>
  <c r="B223" i="1"/>
  <c r="A226"/>
  <c r="E225"/>
  <c r="F225" s="1"/>
  <c r="A233" i="9"/>
  <c r="E232"/>
  <c r="F232" s="1"/>
  <c r="D232"/>
  <c r="D225" i="1"/>
  <c r="J224"/>
  <c r="J224" i="9"/>
  <c r="J224" i="11"/>
  <c r="C225" i="1"/>
  <c r="C232" i="9"/>
  <c r="I225" i="11" l="1"/>
  <c r="I225" i="9"/>
  <c r="I225" i="1"/>
  <c r="B224" i="9"/>
  <c r="B224" i="11"/>
  <c r="B224" i="1"/>
  <c r="A227"/>
  <c r="E226"/>
  <c r="F226" s="1"/>
  <c r="A234" i="9"/>
  <c r="E233"/>
  <c r="F233" s="1"/>
  <c r="D233"/>
  <c r="D226" i="1"/>
  <c r="J225"/>
  <c r="J225" i="9"/>
  <c r="J225" i="11"/>
  <c r="C233" i="9"/>
  <c r="C226" i="1"/>
  <c r="I226" i="11" l="1"/>
  <c r="I226" i="9"/>
  <c r="I226" i="1"/>
  <c r="G42" i="4"/>
  <c r="B225" i="9"/>
  <c r="B225" i="11"/>
  <c r="B225" i="1"/>
  <c r="A228"/>
  <c r="E227"/>
  <c r="F227" s="1"/>
  <c r="A235" i="9"/>
  <c r="E234"/>
  <c r="F234" s="1"/>
  <c r="D234"/>
  <c r="D227" i="1"/>
  <c r="C234" i="9"/>
  <c r="C227" i="1"/>
  <c r="J226"/>
  <c r="J226" i="11"/>
  <c r="J226" i="9"/>
  <c r="I227" l="1"/>
  <c r="I227" i="11"/>
  <c r="I227" i="1"/>
  <c r="B226" i="9"/>
  <c r="B226" i="11"/>
  <c r="B226" i="1"/>
  <c r="A229"/>
  <c r="E228"/>
  <c r="F228" s="1"/>
  <c r="A236" i="9"/>
  <c r="E235"/>
  <c r="F235" s="1"/>
  <c r="D235"/>
  <c r="D228" i="1"/>
  <c r="C228"/>
  <c r="C235" i="9"/>
  <c r="J227" i="1"/>
  <c r="J227" i="9"/>
  <c r="J227" i="11"/>
  <c r="I228" l="1"/>
  <c r="I228" i="9"/>
  <c r="I228" i="1"/>
  <c r="B227" i="9"/>
  <c r="B227" i="11"/>
  <c r="B227" i="1"/>
  <c r="A230"/>
  <c r="E229"/>
  <c r="F229" s="1"/>
  <c r="A237" i="9"/>
  <c r="E236"/>
  <c r="F236" s="1"/>
  <c r="D236"/>
  <c r="D229" i="1"/>
  <c r="J228" i="11"/>
  <c r="C229" i="1"/>
  <c r="C236" i="9"/>
  <c r="J228" i="1"/>
  <c r="J228" i="9"/>
  <c r="I229" i="11" l="1"/>
  <c r="I229" i="9"/>
  <c r="I229" i="1"/>
  <c r="B228" i="9"/>
  <c r="B228" i="11"/>
  <c r="B228" i="1"/>
  <c r="E230"/>
  <c r="F230" s="1"/>
  <c r="A231"/>
  <c r="A238" i="9"/>
  <c r="E237"/>
  <c r="F237" s="1"/>
  <c r="D237"/>
  <c r="D230" i="1"/>
  <c r="J229" i="11"/>
  <c r="C230" i="1"/>
  <c r="C237" i="9"/>
  <c r="J229" i="1"/>
  <c r="J229" i="9"/>
  <c r="I230" i="11" l="1"/>
  <c r="I230" i="9"/>
  <c r="I230" i="1"/>
  <c r="B229" i="9"/>
  <c r="B229" i="11"/>
  <c r="B229" i="1"/>
  <c r="E231"/>
  <c r="F231" s="1"/>
  <c r="A232"/>
  <c r="A239" i="9"/>
  <c r="E238"/>
  <c r="F238" s="1"/>
  <c r="D238"/>
  <c r="D231" i="1"/>
  <c r="J230" i="11"/>
  <c r="C231" i="1"/>
  <c r="C238" i="9"/>
  <c r="J230" i="1"/>
  <c r="J230" i="9"/>
  <c r="I231" l="1"/>
  <c r="I231" i="11"/>
  <c r="I231" i="1"/>
  <c r="B230" i="9"/>
  <c r="B230" i="11"/>
  <c r="B230" i="1"/>
  <c r="E232"/>
  <c r="F232" s="1"/>
  <c r="A233"/>
  <c r="A240" i="9"/>
  <c r="E239"/>
  <c r="F239" s="1"/>
  <c r="D239"/>
  <c r="D232" i="1"/>
  <c r="C232"/>
  <c r="C239" i="9"/>
  <c r="J231" i="1"/>
  <c r="J231" i="9"/>
  <c r="J231" i="11"/>
  <c r="I232" l="1"/>
  <c r="I232" i="9"/>
  <c r="I232" i="1"/>
  <c r="B231" i="9"/>
  <c r="B231" i="11"/>
  <c r="B231" i="1"/>
  <c r="E233"/>
  <c r="F233" s="1"/>
  <c r="A234"/>
  <c r="A241" i="9"/>
  <c r="E240"/>
  <c r="F240" s="1"/>
  <c r="D240"/>
  <c r="D233" i="1"/>
  <c r="J232" i="11"/>
  <c r="C233" i="1"/>
  <c r="C240" i="9"/>
  <c r="J232" i="1"/>
  <c r="J232" i="9"/>
  <c r="I233" i="11" l="1"/>
  <c r="I233" i="9"/>
  <c r="I233" i="1"/>
  <c r="B232" i="9"/>
  <c r="B232" i="11"/>
  <c r="B232" i="1"/>
  <c r="E234"/>
  <c r="F234" s="1"/>
  <c r="A235"/>
  <c r="A242" i="9"/>
  <c r="D241"/>
  <c r="E241"/>
  <c r="F241" s="1"/>
  <c r="D234" i="1"/>
  <c r="J233" i="11"/>
  <c r="C234" i="1"/>
  <c r="C241" i="9"/>
  <c r="J233" i="1"/>
  <c r="J233" i="9"/>
  <c r="I234" i="11" l="1"/>
  <c r="I234" i="9"/>
  <c r="I234" i="1"/>
  <c r="B233" i="9"/>
  <c r="B233" i="11"/>
  <c r="B233" i="1"/>
  <c r="E235"/>
  <c r="F235" s="1"/>
  <c r="A236"/>
  <c r="A243" i="9"/>
  <c r="E242"/>
  <c r="F242" s="1"/>
  <c r="D242"/>
  <c r="D235" i="1"/>
  <c r="J234" i="11"/>
  <c r="C235" i="1"/>
  <c r="C242" i="9"/>
  <c r="J234" i="1"/>
  <c r="J234" i="9"/>
  <c r="I235" l="1"/>
  <c r="I235" i="11"/>
  <c r="I235" i="1"/>
  <c r="B234" i="9"/>
  <c r="B234" i="11"/>
  <c r="B234" i="1"/>
  <c r="E236"/>
  <c r="F236" s="1"/>
  <c r="A237"/>
  <c r="A244" i="9"/>
  <c r="E243"/>
  <c r="F243" s="1"/>
  <c r="D243"/>
  <c r="D236" i="1"/>
  <c r="C236"/>
  <c r="C243" i="9"/>
  <c r="J235" i="1"/>
  <c r="J235" i="9"/>
  <c r="J235" i="11"/>
  <c r="I236" l="1"/>
  <c r="I236" i="9"/>
  <c r="I236" i="1"/>
  <c r="B235" i="9"/>
  <c r="B235" i="11"/>
  <c r="B235" i="1"/>
  <c r="E237"/>
  <c r="F237" s="1"/>
  <c r="A238"/>
  <c r="A245" i="9"/>
  <c r="E244"/>
  <c r="F244" s="1"/>
  <c r="D244"/>
  <c r="D237" i="1"/>
  <c r="J236" i="11"/>
  <c r="C237" i="1"/>
  <c r="C244" i="9"/>
  <c r="J236" i="1"/>
  <c r="J236" i="9"/>
  <c r="I237" i="11" l="1"/>
  <c r="I237" i="9"/>
  <c r="I237" i="1"/>
  <c r="B236" i="9"/>
  <c r="B236" i="11"/>
  <c r="B236" i="1"/>
  <c r="E238"/>
  <c r="F238" s="1"/>
  <c r="A239"/>
  <c r="A246" i="9"/>
  <c r="E245"/>
  <c r="F245" s="1"/>
  <c r="D245"/>
  <c r="D238" i="1"/>
  <c r="J237" i="11"/>
  <c r="C238" i="1"/>
  <c r="C245" i="9"/>
  <c r="J237" i="1"/>
  <c r="J237" i="9"/>
  <c r="I238" i="11" l="1"/>
  <c r="I238" i="9"/>
  <c r="I238" i="1"/>
  <c r="B237" i="9"/>
  <c r="B237" i="11"/>
  <c r="B237" i="1"/>
  <c r="E239"/>
  <c r="F239" s="1"/>
  <c r="A240"/>
  <c r="A247" i="9"/>
  <c r="E246"/>
  <c r="F246" s="1"/>
  <c r="D246"/>
  <c r="D239" i="1"/>
  <c r="C246" i="9"/>
  <c r="J238"/>
  <c r="J238" i="11"/>
  <c r="J238" i="1"/>
  <c r="C239"/>
  <c r="I239" i="9" l="1"/>
  <c r="I239" i="11"/>
  <c r="I239" i="1"/>
  <c r="B238" i="9"/>
  <c r="B238" i="11"/>
  <c r="B238" i="1"/>
  <c r="E240"/>
  <c r="F240" s="1"/>
  <c r="A241"/>
  <c r="A248" i="9"/>
  <c r="E247"/>
  <c r="F247" s="1"/>
  <c r="D247"/>
  <c r="D240" i="1"/>
  <c r="C240"/>
  <c r="C247" i="9"/>
  <c r="J239" i="1"/>
  <c r="J239" i="9"/>
  <c r="J239" i="11"/>
  <c r="I240" l="1"/>
  <c r="I240" i="9"/>
  <c r="I240" i="1"/>
  <c r="B239" i="9"/>
  <c r="B239" i="11"/>
  <c r="B239" i="1"/>
  <c r="E241"/>
  <c r="F241" s="1"/>
  <c r="A242"/>
  <c r="E248" i="9"/>
  <c r="F248" s="1"/>
  <c r="D248"/>
  <c r="D241" i="1"/>
  <c r="J240" i="11"/>
  <c r="C241" i="1"/>
  <c r="C248" i="9"/>
  <c r="J240" i="1"/>
  <c r="J240" i="9"/>
  <c r="I241" i="11" l="1"/>
  <c r="I241" i="9"/>
  <c r="I241" i="1"/>
  <c r="B240" i="9"/>
  <c r="B240" i="11"/>
  <c r="B240" i="1"/>
  <c r="E242"/>
  <c r="F242" s="1"/>
  <c r="A243"/>
  <c r="D242"/>
  <c r="C242"/>
  <c r="J241" i="11"/>
  <c r="J241" i="1"/>
  <c r="J241" i="9"/>
  <c r="I242" i="11" l="1"/>
  <c r="I242" i="9"/>
  <c r="I242" i="1"/>
  <c r="B241" i="9"/>
  <c r="B241" i="11"/>
  <c r="B241" i="1"/>
  <c r="E243"/>
  <c r="F243" s="1"/>
  <c r="A244"/>
  <c r="D243"/>
  <c r="C243"/>
  <c r="J242" i="11"/>
  <c r="J242" i="1"/>
  <c r="J242" i="9"/>
  <c r="I243" l="1"/>
  <c r="I243" i="11"/>
  <c r="I243" i="1"/>
  <c r="B242" i="9"/>
  <c r="B242" i="11"/>
  <c r="B242" i="1"/>
  <c r="E244"/>
  <c r="F244" s="1"/>
  <c r="A245"/>
  <c r="D244"/>
  <c r="C244"/>
  <c r="J243" i="9"/>
  <c r="J243" i="11"/>
  <c r="J243" i="1"/>
  <c r="I244" i="11" l="1"/>
  <c r="I244" i="9"/>
  <c r="I244" i="1"/>
  <c r="B243" i="9"/>
  <c r="B243" i="11"/>
  <c r="B243" i="1"/>
  <c r="A246"/>
  <c r="E245"/>
  <c r="F245" s="1"/>
  <c r="D245"/>
  <c r="C245"/>
  <c r="J244" i="11"/>
  <c r="J244" i="1"/>
  <c r="J244" i="9"/>
  <c r="I245" i="11" l="1"/>
  <c r="I245" i="9"/>
  <c r="I245" i="1"/>
  <c r="B244" i="9"/>
  <c r="B244" i="11"/>
  <c r="B244" i="1"/>
  <c r="A247"/>
  <c r="E246"/>
  <c r="F246" s="1"/>
  <c r="D246"/>
  <c r="C246"/>
  <c r="J245" i="11"/>
  <c r="J245" i="1"/>
  <c r="J245" i="9"/>
  <c r="I246" i="11" l="1"/>
  <c r="I246" i="9"/>
  <c r="I246" i="1"/>
  <c r="B245" i="9"/>
  <c r="B245" i="11"/>
  <c r="B245" i="1"/>
  <c r="A248"/>
  <c r="E247"/>
  <c r="F247" s="1"/>
  <c r="D247"/>
  <c r="C247"/>
  <c r="J246" i="11"/>
  <c r="J246" i="1"/>
  <c r="J246" i="9"/>
  <c r="I247" l="1"/>
  <c r="I247" i="11"/>
  <c r="I247" i="1"/>
  <c r="B246" i="9"/>
  <c r="B246" i="11"/>
  <c r="B246" i="1"/>
  <c r="E248"/>
  <c r="F248" s="1"/>
  <c r="A249"/>
  <c r="D248"/>
  <c r="C248"/>
  <c r="J247" i="9"/>
  <c r="J247" i="11"/>
  <c r="J247" i="1"/>
  <c r="I248" i="11" l="1"/>
  <c r="I248" i="9"/>
  <c r="I248" i="1"/>
  <c r="B247" i="9"/>
  <c r="B247" i="11"/>
  <c r="B247" i="1"/>
  <c r="E249"/>
  <c r="F249" s="1"/>
  <c r="D249"/>
  <c r="A250"/>
  <c r="C249"/>
  <c r="J248" i="11"/>
  <c r="J248" i="1"/>
  <c r="J248" i="9"/>
  <c r="I249" i="1" l="1"/>
  <c r="B248" i="9"/>
  <c r="B248" i="11"/>
  <c r="B248" i="1"/>
  <c r="E250"/>
  <c r="F250" s="1"/>
  <c r="D250"/>
  <c r="A251"/>
  <c r="C250"/>
  <c r="J249"/>
  <c r="I250" l="1"/>
  <c r="F36" i="4"/>
  <c r="F35"/>
  <c r="F37"/>
  <c r="F41"/>
  <c r="F39"/>
  <c r="F40"/>
  <c r="B249" i="1"/>
  <c r="E251"/>
  <c r="F251" s="1"/>
  <c r="D251"/>
  <c r="A252"/>
  <c r="C251"/>
  <c r="J250"/>
  <c r="I251" l="1"/>
  <c r="B250"/>
  <c r="D252"/>
  <c r="E252"/>
  <c r="F252" s="1"/>
  <c r="A253"/>
  <c r="C252"/>
  <c r="J251"/>
  <c r="I252" l="1"/>
  <c r="B251"/>
  <c r="E253"/>
  <c r="F253" s="1"/>
  <c r="D253"/>
  <c r="A254"/>
  <c r="C253"/>
  <c r="J252"/>
  <c r="I253" l="1"/>
  <c r="B252"/>
  <c r="E254"/>
  <c r="F254" s="1"/>
  <c r="D254"/>
  <c r="A255"/>
  <c r="C254"/>
  <c r="J253"/>
  <c r="I254" l="1"/>
  <c r="B253"/>
  <c r="E255"/>
  <c r="F255" s="1"/>
  <c r="D255"/>
  <c r="A256"/>
  <c r="C255"/>
  <c r="J254"/>
  <c r="I255" l="1"/>
  <c r="B254"/>
  <c r="E256"/>
  <c r="F256" s="1"/>
  <c r="D256"/>
  <c r="A257"/>
  <c r="C256"/>
  <c r="J255"/>
  <c r="I256" l="1"/>
  <c r="B255"/>
  <c r="E257"/>
  <c r="F257" s="1"/>
  <c r="D257"/>
  <c r="A258"/>
  <c r="C257"/>
  <c r="J256"/>
  <c r="I257" l="1"/>
  <c r="B256"/>
  <c r="E258"/>
  <c r="F258" s="1"/>
  <c r="D258"/>
  <c r="A259"/>
  <c r="C258"/>
  <c r="J257"/>
  <c r="I258" l="1"/>
  <c r="B257"/>
  <c r="E259"/>
  <c r="F259" s="1"/>
  <c r="D259"/>
  <c r="A260"/>
  <c r="C259"/>
  <c r="J258"/>
  <c r="I259" l="1"/>
  <c r="B258"/>
  <c r="E260"/>
  <c r="F260" s="1"/>
  <c r="D260"/>
  <c r="A261"/>
  <c r="C260"/>
  <c r="J259"/>
  <c r="I260" l="1"/>
  <c r="B259"/>
  <c r="E261"/>
  <c r="F261" s="1"/>
  <c r="D261"/>
  <c r="A262"/>
  <c r="C261"/>
  <c r="J260"/>
  <c r="I261" l="1"/>
  <c r="B260"/>
  <c r="E262"/>
  <c r="F262" s="1"/>
  <c r="D262"/>
  <c r="A263"/>
  <c r="C262"/>
  <c r="J261"/>
  <c r="I262" l="1"/>
  <c r="B261"/>
  <c r="E263"/>
  <c r="F263" s="1"/>
  <c r="D263"/>
  <c r="A264"/>
  <c r="C263"/>
  <c r="J262"/>
  <c r="I263" l="1"/>
  <c r="B262"/>
  <c r="D264"/>
  <c r="E264"/>
  <c r="F264" s="1"/>
  <c r="A265"/>
  <c r="C264"/>
  <c r="J263"/>
  <c r="I264" l="1"/>
  <c r="B263"/>
  <c r="E265"/>
  <c r="F265" s="1"/>
  <c r="D265"/>
  <c r="A266"/>
  <c r="C265"/>
  <c r="J264"/>
  <c r="I265" l="1"/>
  <c r="B264"/>
  <c r="A267"/>
  <c r="E266"/>
  <c r="F266" s="1"/>
  <c r="D266"/>
  <c r="C266"/>
  <c r="J265"/>
  <c r="I266" l="1"/>
  <c r="B265"/>
  <c r="A268"/>
  <c r="E267"/>
  <c r="F267" s="1"/>
  <c r="D267"/>
  <c r="C267"/>
  <c r="J266"/>
  <c r="I267" l="1"/>
  <c r="B266"/>
  <c r="D268"/>
  <c r="E268"/>
  <c r="F268" s="1"/>
  <c r="A269"/>
  <c r="C268"/>
  <c r="J267"/>
  <c r="I268" l="1"/>
  <c r="B267"/>
  <c r="E269"/>
  <c r="F269" s="1"/>
  <c r="D269"/>
  <c r="A270"/>
  <c r="C269"/>
  <c r="J268"/>
  <c r="I269" l="1"/>
  <c r="B268"/>
  <c r="E270"/>
  <c r="F270" s="1"/>
  <c r="D270"/>
  <c r="A271"/>
  <c r="C270"/>
  <c r="J269"/>
  <c r="I270" l="1"/>
  <c r="B269"/>
  <c r="E271"/>
  <c r="F271" s="1"/>
  <c r="D271"/>
  <c r="A272"/>
  <c r="C271"/>
  <c r="J270"/>
  <c r="I271" l="1"/>
  <c r="B270"/>
  <c r="A273"/>
  <c r="D272"/>
  <c r="E272"/>
  <c r="F272" s="1"/>
  <c r="C272"/>
  <c r="J271"/>
  <c r="I272" l="1"/>
  <c r="B271"/>
  <c r="E273"/>
  <c r="F273" s="1"/>
  <c r="D273"/>
  <c r="A274"/>
  <c r="C273"/>
  <c r="J272"/>
  <c r="I273" l="1"/>
  <c r="B272"/>
  <c r="E274"/>
  <c r="F274" s="1"/>
  <c r="D274"/>
  <c r="A275"/>
  <c r="C274"/>
  <c r="J273"/>
  <c r="I274" l="1"/>
  <c r="B273"/>
  <c r="A276"/>
  <c r="E275"/>
  <c r="F275" s="1"/>
  <c r="D275"/>
  <c r="C275"/>
  <c r="J274"/>
  <c r="I275" l="1"/>
  <c r="B274"/>
  <c r="E276"/>
  <c r="F276" s="1"/>
  <c r="D276"/>
  <c r="A277"/>
  <c r="C276"/>
  <c r="J275"/>
  <c r="I276" l="1"/>
  <c r="B275"/>
  <c r="E277"/>
  <c r="F277" s="1"/>
  <c r="D277"/>
  <c r="A278"/>
  <c r="C277"/>
  <c r="J276"/>
  <c r="I277" l="1"/>
  <c r="B276"/>
  <c r="E278"/>
  <c r="F278" s="1"/>
  <c r="D278"/>
  <c r="A279"/>
  <c r="C278"/>
  <c r="J277"/>
  <c r="I278" l="1"/>
  <c r="B277"/>
  <c r="A280"/>
  <c r="E279"/>
  <c r="F279" s="1"/>
  <c r="D279"/>
  <c r="C279"/>
  <c r="J278"/>
  <c r="I279" l="1"/>
  <c r="B278"/>
  <c r="A281"/>
  <c r="D280"/>
  <c r="E280"/>
  <c r="F280" s="1"/>
  <c r="C280"/>
  <c r="J279"/>
  <c r="I280" l="1"/>
  <c r="B279"/>
  <c r="A282"/>
  <c r="D281"/>
  <c r="E281"/>
  <c r="F281" s="1"/>
  <c r="C281"/>
  <c r="J280"/>
  <c r="I281" l="1"/>
  <c r="B280"/>
  <c r="A283"/>
  <c r="E282"/>
  <c r="F282" s="1"/>
  <c r="D282"/>
  <c r="C282"/>
  <c r="J281"/>
  <c r="I282" l="1"/>
  <c r="B281"/>
  <c r="A284"/>
  <c r="E283"/>
  <c r="F283" s="1"/>
  <c r="D283"/>
  <c r="C283"/>
  <c r="J282"/>
  <c r="I283" l="1"/>
  <c r="B282"/>
  <c r="A285"/>
  <c r="D284"/>
  <c r="E284"/>
  <c r="F284" s="1"/>
  <c r="C284"/>
  <c r="J283"/>
  <c r="I284" l="1"/>
  <c r="B283"/>
  <c r="A286"/>
  <c r="E285"/>
  <c r="F285" s="1"/>
  <c r="D285"/>
  <c r="C285"/>
  <c r="J284"/>
  <c r="I285" l="1"/>
  <c r="B284"/>
  <c r="A287"/>
  <c r="E286"/>
  <c r="F286" s="1"/>
  <c r="D286"/>
  <c r="C286"/>
  <c r="J285"/>
  <c r="I286" l="1"/>
  <c r="B285"/>
  <c r="A288"/>
  <c r="E287"/>
  <c r="F287" s="1"/>
  <c r="D287"/>
  <c r="C287"/>
  <c r="J286"/>
  <c r="I287" l="1"/>
  <c r="B286"/>
  <c r="A289"/>
  <c r="E288"/>
  <c r="F288" s="1"/>
  <c r="D288"/>
  <c r="C288"/>
  <c r="J287"/>
  <c r="I288" l="1"/>
  <c r="B287"/>
  <c r="A290"/>
  <c r="E289"/>
  <c r="F289" s="1"/>
  <c r="D289"/>
  <c r="C289"/>
  <c r="J288"/>
  <c r="I289" l="1"/>
  <c r="B288"/>
  <c r="A291"/>
  <c r="E290"/>
  <c r="F290" s="1"/>
  <c r="D290"/>
  <c r="C290"/>
  <c r="J289"/>
  <c r="I290" l="1"/>
  <c r="B289"/>
  <c r="A292"/>
  <c r="E291"/>
  <c r="F291" s="1"/>
  <c r="D291"/>
  <c r="C291"/>
  <c r="J290"/>
  <c r="I291" l="1"/>
  <c r="B290"/>
  <c r="A293"/>
  <c r="E292"/>
  <c r="F292" s="1"/>
  <c r="D292"/>
  <c r="C292"/>
  <c r="J291"/>
  <c r="I292" l="1"/>
  <c r="B291"/>
  <c r="A294"/>
  <c r="E293"/>
  <c r="F293" s="1"/>
  <c r="D293"/>
  <c r="C293"/>
  <c r="J292"/>
  <c r="I293" l="1"/>
  <c r="B292"/>
  <c r="A295"/>
  <c r="E294"/>
  <c r="F294" s="1"/>
  <c r="D294"/>
  <c r="C294"/>
  <c r="J293"/>
  <c r="I294" l="1"/>
  <c r="B293"/>
  <c r="A296"/>
  <c r="E295"/>
  <c r="F295" s="1"/>
  <c r="D295"/>
  <c r="C295"/>
  <c r="J294"/>
  <c r="I295" l="1"/>
  <c r="B294"/>
  <c r="A297"/>
  <c r="D296"/>
  <c r="E296"/>
  <c r="F296" s="1"/>
  <c r="C296"/>
  <c r="J295"/>
  <c r="I296" l="1"/>
  <c r="B295"/>
  <c r="A298"/>
  <c r="E297"/>
  <c r="F297" s="1"/>
  <c r="D297"/>
  <c r="C297"/>
  <c r="J296"/>
  <c r="I297" l="1"/>
  <c r="B296"/>
  <c r="A299"/>
  <c r="E298"/>
  <c r="F298" s="1"/>
  <c r="D298"/>
  <c r="C298"/>
  <c r="J297"/>
  <c r="I298" l="1"/>
  <c r="B297"/>
  <c r="A300"/>
  <c r="E299"/>
  <c r="F299" s="1"/>
  <c r="D299"/>
  <c r="C299"/>
  <c r="J298"/>
  <c r="I299" l="1"/>
  <c r="B298"/>
  <c r="A301"/>
  <c r="D300"/>
  <c r="E300"/>
  <c r="F300" s="1"/>
  <c r="C300"/>
  <c r="J299"/>
  <c r="I300" l="1"/>
  <c r="B299"/>
  <c r="A302"/>
  <c r="E301"/>
  <c r="F301" s="1"/>
  <c r="D301"/>
  <c r="C301"/>
  <c r="J300"/>
  <c r="I301" l="1"/>
  <c r="B300"/>
  <c r="A303"/>
  <c r="E302"/>
  <c r="F302" s="1"/>
  <c r="D302"/>
  <c r="C302"/>
  <c r="J301"/>
  <c r="I302" l="1"/>
  <c r="B301"/>
  <c r="A304"/>
  <c r="E303"/>
  <c r="F303" s="1"/>
  <c r="D303"/>
  <c r="C303"/>
  <c r="J302"/>
  <c r="I303" l="1"/>
  <c r="B302"/>
  <c r="A305"/>
  <c r="E304"/>
  <c r="F304" s="1"/>
  <c r="D304"/>
  <c r="C304"/>
  <c r="J303"/>
  <c r="I304" l="1"/>
  <c r="B303"/>
  <c r="A306"/>
  <c r="E305"/>
  <c r="F305" s="1"/>
  <c r="D305"/>
  <c r="C305"/>
  <c r="J304"/>
  <c r="I305" l="1"/>
  <c r="B304"/>
  <c r="A307"/>
  <c r="E306"/>
  <c r="F306" s="1"/>
  <c r="D306"/>
  <c r="C306"/>
  <c r="J305"/>
  <c r="I306" l="1"/>
  <c r="B305"/>
  <c r="A308"/>
  <c r="E307"/>
  <c r="F307" s="1"/>
  <c r="D307"/>
  <c r="C307"/>
  <c r="J306"/>
  <c r="I307" l="1"/>
  <c r="B306"/>
  <c r="E308"/>
  <c r="F308" s="1"/>
  <c r="D308"/>
  <c r="A309"/>
  <c r="C308"/>
  <c r="J307"/>
  <c r="I308" l="1"/>
  <c r="B307"/>
  <c r="A310"/>
  <c r="E309"/>
  <c r="F309" s="1"/>
  <c r="D309"/>
  <c r="C309"/>
  <c r="J308"/>
  <c r="I309" l="1"/>
  <c r="B308"/>
  <c r="A311"/>
  <c r="E310"/>
  <c r="F310" s="1"/>
  <c r="D310"/>
  <c r="C310"/>
  <c r="J309"/>
  <c r="I310" l="1"/>
  <c r="B309"/>
  <c r="A312"/>
  <c r="E311"/>
  <c r="F311" s="1"/>
  <c r="D311"/>
  <c r="C311"/>
  <c r="J310"/>
  <c r="I311" l="1"/>
  <c r="B310"/>
  <c r="A313"/>
  <c r="D312"/>
  <c r="E312"/>
  <c r="F312" s="1"/>
  <c r="C312"/>
  <c r="J311"/>
  <c r="I312" l="1"/>
  <c r="B311"/>
  <c r="A314"/>
  <c r="E313"/>
  <c r="F313" s="1"/>
  <c r="D313"/>
  <c r="C313"/>
  <c r="J312"/>
  <c r="I313" l="1"/>
  <c r="B312"/>
  <c r="A315"/>
  <c r="E314"/>
  <c r="F314" s="1"/>
  <c r="D314"/>
  <c r="C314"/>
  <c r="J313"/>
  <c r="I314" l="1"/>
  <c r="B313"/>
  <c r="A316"/>
  <c r="E315"/>
  <c r="F315" s="1"/>
  <c r="D315"/>
  <c r="C315"/>
  <c r="J314"/>
  <c r="I315" l="1"/>
  <c r="B314"/>
  <c r="A317"/>
  <c r="D316"/>
  <c r="E316"/>
  <c r="F316" s="1"/>
  <c r="C316"/>
  <c r="J315"/>
  <c r="I316" l="1"/>
  <c r="B315"/>
  <c r="A318"/>
  <c r="E317"/>
  <c r="F317" s="1"/>
  <c r="D317"/>
  <c r="C317"/>
  <c r="J316"/>
  <c r="I317" l="1"/>
  <c r="B316"/>
  <c r="A319"/>
  <c r="E318"/>
  <c r="F318" s="1"/>
  <c r="D318"/>
  <c r="C318"/>
  <c r="J317"/>
  <c r="I318" l="1"/>
  <c r="B317"/>
  <c r="A320"/>
  <c r="E319"/>
  <c r="F319" s="1"/>
  <c r="D319"/>
  <c r="C319"/>
  <c r="J318"/>
  <c r="I319" l="1"/>
  <c r="B318"/>
  <c r="A321"/>
  <c r="E320"/>
  <c r="F320" s="1"/>
  <c r="D320"/>
  <c r="C320"/>
  <c r="J319"/>
  <c r="I320" l="1"/>
  <c r="B319"/>
  <c r="A322"/>
  <c r="E321"/>
  <c r="F321" s="1"/>
  <c r="D321"/>
  <c r="C321"/>
  <c r="J320"/>
  <c r="I321" l="1"/>
  <c r="B320"/>
  <c r="A323"/>
  <c r="E322"/>
  <c r="F322" s="1"/>
  <c r="D322"/>
  <c r="C322"/>
  <c r="J321"/>
  <c r="I322" l="1"/>
  <c r="B321"/>
  <c r="A324"/>
  <c r="E323"/>
  <c r="F323" s="1"/>
  <c r="D323"/>
  <c r="C323"/>
  <c r="J322"/>
  <c r="I323" l="1"/>
  <c r="B322"/>
  <c r="A325"/>
  <c r="E324"/>
  <c r="F324" s="1"/>
  <c r="D324"/>
  <c r="C324"/>
  <c r="J323"/>
  <c r="I324" l="1"/>
  <c r="B323"/>
  <c r="A326"/>
  <c r="E325"/>
  <c r="F325" s="1"/>
  <c r="D325"/>
  <c r="C325"/>
  <c r="J324"/>
  <c r="I325" l="1"/>
  <c r="B324"/>
  <c r="A327"/>
  <c r="E326"/>
  <c r="F326" s="1"/>
  <c r="D326"/>
  <c r="C326"/>
  <c r="J325"/>
  <c r="I326" l="1"/>
  <c r="B325"/>
  <c r="A328"/>
  <c r="E327"/>
  <c r="F327" s="1"/>
  <c r="D327"/>
  <c r="C327"/>
  <c r="J326"/>
  <c r="I327" l="1"/>
  <c r="B326"/>
  <c r="A329"/>
  <c r="D328"/>
  <c r="E328"/>
  <c r="F328" s="1"/>
  <c r="C328"/>
  <c r="J327"/>
  <c r="I328" l="1"/>
  <c r="B327"/>
  <c r="A330"/>
  <c r="E329"/>
  <c r="F329" s="1"/>
  <c r="D329"/>
  <c r="C329"/>
  <c r="J328"/>
  <c r="I329" l="1"/>
  <c r="B328"/>
  <c r="A331"/>
  <c r="E330"/>
  <c r="F330" s="1"/>
  <c r="D330"/>
  <c r="C330"/>
  <c r="J329"/>
  <c r="I330" l="1"/>
  <c r="B329"/>
  <c r="A332"/>
  <c r="E331"/>
  <c r="F331" s="1"/>
  <c r="D331"/>
  <c r="C331"/>
  <c r="J330"/>
  <c r="I331" l="1"/>
  <c r="B330"/>
  <c r="A333"/>
  <c r="D332"/>
  <c r="E332"/>
  <c r="F332" s="1"/>
  <c r="C332"/>
  <c r="J331"/>
  <c r="I332" l="1"/>
  <c r="B331"/>
  <c r="A334"/>
  <c r="E333"/>
  <c r="F333" s="1"/>
  <c r="D333"/>
  <c r="C333"/>
  <c r="J332"/>
  <c r="I333" l="1"/>
  <c r="B332"/>
  <c r="A335"/>
  <c r="E334"/>
  <c r="F334" s="1"/>
  <c r="D334"/>
  <c r="C334"/>
  <c r="J333"/>
  <c r="I334" l="1"/>
  <c r="B333"/>
  <c r="A336"/>
  <c r="E335"/>
  <c r="F335" s="1"/>
  <c r="D335"/>
  <c r="C335"/>
  <c r="J334"/>
  <c r="I335" l="1"/>
  <c r="B334"/>
  <c r="A337"/>
  <c r="E336"/>
  <c r="F336" s="1"/>
  <c r="D336"/>
  <c r="C336"/>
  <c r="J335"/>
  <c r="I336" l="1"/>
  <c r="B335"/>
  <c r="A338"/>
  <c r="E337"/>
  <c r="F337" s="1"/>
  <c r="D337"/>
  <c r="C337"/>
  <c r="J336"/>
  <c r="I337" l="1"/>
  <c r="B336"/>
  <c r="E63" i="4"/>
  <c r="A339" i="1"/>
  <c r="E338"/>
  <c r="F338" s="1"/>
  <c r="D338"/>
  <c r="C338"/>
  <c r="J337"/>
  <c r="I338" l="1"/>
  <c r="B337"/>
  <c r="E64" i="4"/>
  <c r="D339" i="1"/>
  <c r="E339"/>
  <c r="F339" s="1"/>
  <c r="A340"/>
  <c r="G65" i="4"/>
  <c r="G67"/>
  <c r="G68"/>
  <c r="G64"/>
  <c r="G63"/>
  <c r="G66"/>
  <c r="J338" i="1"/>
  <c r="C339"/>
  <c r="I339" l="1"/>
  <c r="B338"/>
  <c r="E65" i="4"/>
  <c r="A341" i="1"/>
  <c r="E340"/>
  <c r="F340" s="1"/>
  <c r="D340"/>
  <c r="C340"/>
  <c r="J339"/>
  <c r="I340" l="1"/>
  <c r="B339"/>
  <c r="E66" i="4"/>
  <c r="A342" i="1"/>
  <c r="E341"/>
  <c r="F341" s="1"/>
  <c r="D341"/>
  <c r="C341"/>
  <c r="J340"/>
  <c r="I341" l="1"/>
  <c r="B340"/>
  <c r="E67" i="4"/>
  <c r="A343" i="1"/>
  <c r="E342"/>
  <c r="F342" s="1"/>
  <c r="D342"/>
  <c r="C342"/>
  <c r="J341"/>
  <c r="I342" l="1"/>
  <c r="B341"/>
  <c r="E68" i="4"/>
  <c r="A344" i="1"/>
  <c r="E343"/>
  <c r="F343" s="1"/>
  <c r="D343"/>
  <c r="C343"/>
  <c r="J342"/>
  <c r="I343" l="1"/>
  <c r="B342"/>
  <c r="E69" i="4"/>
  <c r="A345" i="1"/>
  <c r="D344"/>
  <c r="E344"/>
  <c r="F344" s="1"/>
  <c r="C344"/>
  <c r="J343"/>
  <c r="I344" l="1"/>
  <c r="B343"/>
  <c r="A346"/>
  <c r="E345"/>
  <c r="F345" s="1"/>
  <c r="D345"/>
  <c r="C345"/>
  <c r="J344"/>
  <c r="I345" l="1"/>
  <c r="B344"/>
  <c r="A347"/>
  <c r="E346"/>
  <c r="F346" s="1"/>
  <c r="D346"/>
  <c r="C346"/>
  <c r="J345"/>
  <c r="I346" l="1"/>
  <c r="B345"/>
  <c r="E347"/>
  <c r="F347" s="1"/>
  <c r="A348"/>
  <c r="D347"/>
  <c r="C347"/>
  <c r="J346"/>
  <c r="I347" l="1"/>
  <c r="B346"/>
  <c r="A349"/>
  <c r="D348"/>
  <c r="E348"/>
  <c r="F348" s="1"/>
  <c r="C348"/>
  <c r="J347"/>
  <c r="I348" l="1"/>
  <c r="B347"/>
  <c r="D349"/>
  <c r="A350"/>
  <c r="E349"/>
  <c r="F349" s="1"/>
  <c r="C349"/>
  <c r="J348"/>
  <c r="I349" l="1"/>
  <c r="B348"/>
  <c r="E350"/>
  <c r="F350" s="1"/>
  <c r="A351"/>
  <c r="D350"/>
  <c r="C350"/>
  <c r="J349"/>
  <c r="I350" l="1"/>
  <c r="B349"/>
  <c r="E351"/>
  <c r="F351" s="1"/>
  <c r="A352"/>
  <c r="D351"/>
  <c r="C351"/>
  <c r="J350"/>
  <c r="I351" l="1"/>
  <c r="B350"/>
  <c r="A353"/>
  <c r="E352"/>
  <c r="F352" s="1"/>
  <c r="D352"/>
  <c r="C352"/>
  <c r="J351"/>
  <c r="I352" l="1"/>
  <c r="B351"/>
  <c r="A354"/>
  <c r="E353"/>
  <c r="F353" s="1"/>
  <c r="D353"/>
  <c r="C353"/>
  <c r="J352"/>
  <c r="I353" l="1"/>
  <c r="B352"/>
  <c r="A355"/>
  <c r="E354"/>
  <c r="F354" s="1"/>
  <c r="D354"/>
  <c r="C354"/>
  <c r="J353"/>
  <c r="I354" l="1"/>
  <c r="B353"/>
  <c r="A356"/>
  <c r="E355"/>
  <c r="F355" s="1"/>
  <c r="D355"/>
  <c r="C355"/>
  <c r="J354"/>
  <c r="I355" l="1"/>
  <c r="B354"/>
  <c r="A357"/>
  <c r="E356"/>
  <c r="F356" s="1"/>
  <c r="D356"/>
  <c r="C356"/>
  <c r="J355"/>
  <c r="I356" l="1"/>
  <c r="B355"/>
  <c r="A358"/>
  <c r="E357"/>
  <c r="F357" s="1"/>
  <c r="D357"/>
  <c r="C357"/>
  <c r="J356"/>
  <c r="I357" l="1"/>
  <c r="B356"/>
  <c r="A359"/>
  <c r="E358"/>
  <c r="F358" s="1"/>
  <c r="D358"/>
  <c r="C358"/>
  <c r="J357"/>
  <c r="I358" l="1"/>
  <c r="B357"/>
  <c r="A360"/>
  <c r="E359"/>
  <c r="F359" s="1"/>
  <c r="D359"/>
  <c r="C359"/>
  <c r="J358"/>
  <c r="I359" l="1"/>
  <c r="B358"/>
  <c r="A361"/>
  <c r="D360"/>
  <c r="E360"/>
  <c r="F360" s="1"/>
  <c r="C360"/>
  <c r="J359"/>
  <c r="I360" l="1"/>
  <c r="B359"/>
  <c r="A362"/>
  <c r="E361"/>
  <c r="F361" s="1"/>
  <c r="D361"/>
  <c r="C361"/>
  <c r="J360"/>
  <c r="I361" l="1"/>
  <c r="B360"/>
  <c r="A363"/>
  <c r="E362"/>
  <c r="F362" s="1"/>
  <c r="D362"/>
  <c r="C362"/>
  <c r="J361"/>
  <c r="I362" l="1"/>
  <c r="B361"/>
  <c r="A364"/>
  <c r="E363"/>
  <c r="F363" s="1"/>
  <c r="D363"/>
  <c r="C363"/>
  <c r="J362"/>
  <c r="I363" l="1"/>
  <c r="B362"/>
  <c r="A365"/>
  <c r="D364"/>
  <c r="E364"/>
  <c r="F364" s="1"/>
  <c r="C364"/>
  <c r="J363"/>
  <c r="I364" l="1"/>
  <c r="B363"/>
  <c r="A366"/>
  <c r="E365"/>
  <c r="F365" s="1"/>
  <c r="D365"/>
  <c r="C365"/>
  <c r="J364"/>
  <c r="I365" l="1"/>
  <c r="B364"/>
  <c r="A367"/>
  <c r="E366"/>
  <c r="F366" s="1"/>
  <c r="D366"/>
  <c r="C366"/>
  <c r="J365"/>
  <c r="I366" l="1"/>
  <c r="B365"/>
  <c r="A368"/>
  <c r="E367"/>
  <c r="F367" s="1"/>
  <c r="D367"/>
  <c r="C367"/>
  <c r="J366"/>
  <c r="I367" l="1"/>
  <c r="B366"/>
  <c r="A369"/>
  <c r="E368"/>
  <c r="F368" s="1"/>
  <c r="D368"/>
  <c r="C368"/>
  <c r="J367"/>
  <c r="I368" l="1"/>
  <c r="B367"/>
  <c r="A370"/>
  <c r="E369"/>
  <c r="F369" s="1"/>
  <c r="D369"/>
  <c r="C369"/>
  <c r="J368"/>
  <c r="I369" l="1"/>
  <c r="B368"/>
  <c r="A371"/>
  <c r="E370"/>
  <c r="F370" s="1"/>
  <c r="D370"/>
  <c r="C370"/>
  <c r="J369"/>
  <c r="I370" l="1"/>
  <c r="B369"/>
  <c r="A372"/>
  <c r="E371"/>
  <c r="F371" s="1"/>
  <c r="D371"/>
  <c r="C371"/>
  <c r="J370"/>
  <c r="I371" l="1"/>
  <c r="B370"/>
  <c r="A373"/>
  <c r="E372"/>
  <c r="F372" s="1"/>
  <c r="D372"/>
  <c r="C372"/>
  <c r="J371"/>
  <c r="I372" l="1"/>
  <c r="B371"/>
  <c r="A374"/>
  <c r="E373"/>
  <c r="F373" s="1"/>
  <c r="D373"/>
  <c r="C373"/>
  <c r="J372"/>
  <c r="I373" l="1"/>
  <c r="B372"/>
  <c r="A375"/>
  <c r="E374"/>
  <c r="F374" s="1"/>
  <c r="D374"/>
  <c r="C374"/>
  <c r="J373"/>
  <c r="I374" l="1"/>
  <c r="B373"/>
  <c r="A376"/>
  <c r="E375"/>
  <c r="F375" s="1"/>
  <c r="D375"/>
  <c r="C375"/>
  <c r="J374"/>
  <c r="I375" l="1"/>
  <c r="B374"/>
  <c r="A377"/>
  <c r="D376"/>
  <c r="E376"/>
  <c r="F376" s="1"/>
  <c r="C376"/>
  <c r="J375"/>
  <c r="I376" l="1"/>
  <c r="B375"/>
  <c r="A378"/>
  <c r="E377"/>
  <c r="F377" s="1"/>
  <c r="D377"/>
  <c r="C377"/>
  <c r="J376"/>
  <c r="I377" l="1"/>
  <c r="B376"/>
  <c r="A379"/>
  <c r="E378"/>
  <c r="F378" s="1"/>
  <c r="D378"/>
  <c r="C378"/>
  <c r="J377"/>
  <c r="I378" l="1"/>
  <c r="B377"/>
  <c r="A380"/>
  <c r="E379"/>
  <c r="F379" s="1"/>
  <c r="D379"/>
  <c r="C379"/>
  <c r="J378"/>
  <c r="I379" l="1"/>
  <c r="B378"/>
  <c r="A381"/>
  <c r="D380"/>
  <c r="E380"/>
  <c r="F380" s="1"/>
  <c r="C380"/>
  <c r="J379"/>
  <c r="I380" l="1"/>
  <c r="B379"/>
  <c r="A382"/>
  <c r="E381"/>
  <c r="F381" s="1"/>
  <c r="D381"/>
  <c r="C381"/>
  <c r="J380"/>
  <c r="I381" l="1"/>
  <c r="B380"/>
  <c r="A383"/>
  <c r="E382"/>
  <c r="F382" s="1"/>
  <c r="D382"/>
  <c r="C382"/>
  <c r="J381"/>
  <c r="I382" l="1"/>
  <c r="B381"/>
  <c r="A384"/>
  <c r="E383"/>
  <c r="F383" s="1"/>
  <c r="D383"/>
  <c r="C383"/>
  <c r="J382"/>
  <c r="I383" l="1"/>
  <c r="B382"/>
  <c r="A385"/>
  <c r="E384"/>
  <c r="F384" s="1"/>
  <c r="D384"/>
  <c r="C384"/>
  <c r="J383"/>
  <c r="I384" l="1"/>
  <c r="B383"/>
  <c r="A386"/>
  <c r="E385"/>
  <c r="F385" s="1"/>
  <c r="D385"/>
  <c r="C385"/>
  <c r="J384"/>
  <c r="I385" l="1"/>
  <c r="B384"/>
  <c r="A387"/>
  <c r="E386"/>
  <c r="F386" s="1"/>
  <c r="D386"/>
  <c r="C386"/>
  <c r="J385"/>
  <c r="I386" l="1"/>
  <c r="B385"/>
  <c r="A388"/>
  <c r="E387"/>
  <c r="F387" s="1"/>
  <c r="D387"/>
  <c r="C387"/>
  <c r="J386"/>
  <c r="I387" l="1"/>
  <c r="B386"/>
  <c r="A389"/>
  <c r="E388"/>
  <c r="F388" s="1"/>
  <c r="D388"/>
  <c r="C388"/>
  <c r="J387"/>
  <c r="I388" l="1"/>
  <c r="B387"/>
  <c r="A390"/>
  <c r="E389"/>
  <c r="F389" s="1"/>
  <c r="D389"/>
  <c r="C389"/>
  <c r="J388"/>
  <c r="I389" l="1"/>
  <c r="B388"/>
  <c r="A391"/>
  <c r="E390"/>
  <c r="F390" s="1"/>
  <c r="D390"/>
  <c r="C390"/>
  <c r="J389"/>
  <c r="I390" l="1"/>
  <c r="B389"/>
  <c r="A392"/>
  <c r="E391"/>
  <c r="F391" s="1"/>
  <c r="D391"/>
  <c r="C391"/>
  <c r="J390"/>
  <c r="I391" l="1"/>
  <c r="B390"/>
  <c r="A393"/>
  <c r="D392"/>
  <c r="E392"/>
  <c r="F392" s="1"/>
  <c r="C392"/>
  <c r="J391"/>
  <c r="I392" l="1"/>
  <c r="B391"/>
  <c r="A394"/>
  <c r="E393"/>
  <c r="F393" s="1"/>
  <c r="D393"/>
  <c r="C393"/>
  <c r="J392"/>
  <c r="I393" l="1"/>
  <c r="B392"/>
  <c r="A395"/>
  <c r="E394"/>
  <c r="F394" s="1"/>
  <c r="D394"/>
  <c r="C394"/>
  <c r="J393"/>
  <c r="I394" l="1"/>
  <c r="B393"/>
  <c r="A396"/>
  <c r="E395"/>
  <c r="F395" s="1"/>
  <c r="D395"/>
  <c r="C395"/>
  <c r="J394"/>
  <c r="I395" l="1"/>
  <c r="B394"/>
  <c r="A397"/>
  <c r="D396"/>
  <c r="E396"/>
  <c r="F396" s="1"/>
  <c r="C396"/>
  <c r="J395"/>
  <c r="I396" l="1"/>
  <c r="B395"/>
  <c r="A398"/>
  <c r="E397"/>
  <c r="F397" s="1"/>
  <c r="D397"/>
  <c r="C397"/>
  <c r="J396"/>
  <c r="I397" l="1"/>
  <c r="B396"/>
  <c r="A399"/>
  <c r="E398"/>
  <c r="F398" s="1"/>
  <c r="D398"/>
  <c r="C398"/>
  <c r="J397"/>
  <c r="I398" l="1"/>
  <c r="B397"/>
  <c r="A400"/>
  <c r="E399"/>
  <c r="F399" s="1"/>
  <c r="D399"/>
  <c r="C399"/>
  <c r="J398"/>
  <c r="I399" l="1"/>
  <c r="B398"/>
  <c r="A401"/>
  <c r="E400"/>
  <c r="F400" s="1"/>
  <c r="D400"/>
  <c r="C400"/>
  <c r="J399"/>
  <c r="I400" l="1"/>
  <c r="B399"/>
  <c r="A402"/>
  <c r="E401"/>
  <c r="F401" s="1"/>
  <c r="D401"/>
  <c r="C401"/>
  <c r="J400"/>
  <c r="I401" l="1"/>
  <c r="B400"/>
  <c r="A403"/>
  <c r="E402"/>
  <c r="F402" s="1"/>
  <c r="D402"/>
  <c r="C402"/>
  <c r="J401"/>
  <c r="I402" l="1"/>
  <c r="B401"/>
  <c r="A404"/>
  <c r="E403"/>
  <c r="F403" s="1"/>
  <c r="D403"/>
  <c r="C403"/>
  <c r="J402"/>
  <c r="I403" l="1"/>
  <c r="B402"/>
  <c r="A405"/>
  <c r="E404"/>
  <c r="F404" s="1"/>
  <c r="D404"/>
  <c r="C404"/>
  <c r="J403"/>
  <c r="I404" l="1"/>
  <c r="B403"/>
  <c r="A406"/>
  <c r="E405"/>
  <c r="F405" s="1"/>
  <c r="D405"/>
  <c r="C405"/>
  <c r="J404"/>
  <c r="I405" l="1"/>
  <c r="B404"/>
  <c r="A407"/>
  <c r="E406"/>
  <c r="F406" s="1"/>
  <c r="D406"/>
  <c r="C406"/>
  <c r="J405"/>
  <c r="I406" l="1"/>
  <c r="B405"/>
  <c r="A408"/>
  <c r="E407"/>
  <c r="F407" s="1"/>
  <c r="D407"/>
  <c r="C407"/>
  <c r="J406"/>
  <c r="I407" l="1"/>
  <c r="B406"/>
  <c r="A409"/>
  <c r="D408"/>
  <c r="E408"/>
  <c r="F408" s="1"/>
  <c r="C408"/>
  <c r="J407"/>
  <c r="I408" l="1"/>
  <c r="B407"/>
  <c r="A410"/>
  <c r="E409"/>
  <c r="F409" s="1"/>
  <c r="D409"/>
  <c r="C409"/>
  <c r="J408"/>
  <c r="I409" l="1"/>
  <c r="B408"/>
  <c r="A411"/>
  <c r="E410"/>
  <c r="F410" s="1"/>
  <c r="D410"/>
  <c r="C410"/>
  <c r="J409"/>
  <c r="I410" l="1"/>
  <c r="B409"/>
  <c r="A412"/>
  <c r="E411"/>
  <c r="F411" s="1"/>
  <c r="D411"/>
  <c r="C411"/>
  <c r="J410"/>
  <c r="I411" l="1"/>
  <c r="B410"/>
  <c r="A413"/>
  <c r="D412"/>
  <c r="E412"/>
  <c r="F412" s="1"/>
  <c r="C412"/>
  <c r="J411"/>
  <c r="I412" l="1"/>
  <c r="B411"/>
  <c r="A414"/>
  <c r="E413"/>
  <c r="F413" s="1"/>
  <c r="D413"/>
  <c r="C413"/>
  <c r="J412"/>
  <c r="I413" l="1"/>
  <c r="B412"/>
  <c r="A415"/>
  <c r="E414"/>
  <c r="F414" s="1"/>
  <c r="D414"/>
  <c r="C414"/>
  <c r="J413"/>
  <c r="I414" l="1"/>
  <c r="B413"/>
  <c r="A416"/>
  <c r="E415"/>
  <c r="F415" s="1"/>
  <c r="D415"/>
  <c r="C415"/>
  <c r="J414"/>
  <c r="I415" l="1"/>
  <c r="B414"/>
  <c r="A417"/>
  <c r="E416"/>
  <c r="F416" s="1"/>
  <c r="D416"/>
  <c r="C416"/>
  <c r="J415"/>
  <c r="I416" l="1"/>
  <c r="B415"/>
  <c r="A418"/>
  <c r="E417"/>
  <c r="F417" s="1"/>
  <c r="D417"/>
  <c r="C417"/>
  <c r="J416"/>
  <c r="I417" l="1"/>
  <c r="B416"/>
  <c r="A419"/>
  <c r="E418"/>
  <c r="F418" s="1"/>
  <c r="D418"/>
  <c r="C418"/>
  <c r="J417"/>
  <c r="I418" l="1"/>
  <c r="B417"/>
  <c r="A420"/>
  <c r="E419"/>
  <c r="F419" s="1"/>
  <c r="D419"/>
  <c r="C419"/>
  <c r="J418"/>
  <c r="I419" l="1"/>
  <c r="B418"/>
  <c r="A421"/>
  <c r="E420"/>
  <c r="F420" s="1"/>
  <c r="D420"/>
  <c r="C420"/>
  <c r="J419"/>
  <c r="I420" l="1"/>
  <c r="B419"/>
  <c r="A422"/>
  <c r="E421"/>
  <c r="F421" s="1"/>
  <c r="D421"/>
  <c r="C421"/>
  <c r="J420"/>
  <c r="I421" l="1"/>
  <c r="B420"/>
  <c r="A423"/>
  <c r="E422"/>
  <c r="F422" s="1"/>
  <c r="D422"/>
  <c r="C422"/>
  <c r="J421"/>
  <c r="I422" l="1"/>
  <c r="B421"/>
  <c r="A424"/>
  <c r="E423"/>
  <c r="F423" s="1"/>
  <c r="D423"/>
  <c r="C423"/>
  <c r="J422"/>
  <c r="I423" l="1"/>
  <c r="B422"/>
  <c r="A425"/>
  <c r="D424"/>
  <c r="E424"/>
  <c r="F424" s="1"/>
  <c r="C424"/>
  <c r="J423"/>
  <c r="I424" l="1"/>
  <c r="B423"/>
  <c r="A426"/>
  <c r="E425"/>
  <c r="F425" s="1"/>
  <c r="D425"/>
  <c r="C425"/>
  <c r="J424"/>
  <c r="I425" l="1"/>
  <c r="B424"/>
  <c r="A427"/>
  <c r="E426"/>
  <c r="F426" s="1"/>
  <c r="D426"/>
  <c r="C426"/>
  <c r="J425"/>
  <c r="I426" l="1"/>
  <c r="B425"/>
  <c r="A428"/>
  <c r="E427"/>
  <c r="F427" s="1"/>
  <c r="D427"/>
  <c r="C427"/>
  <c r="J426"/>
  <c r="I427" l="1"/>
  <c r="B426"/>
  <c r="A429"/>
  <c r="D428"/>
  <c r="E428"/>
  <c r="F428" s="1"/>
  <c r="C428"/>
  <c r="J427"/>
  <c r="I428" l="1"/>
  <c r="B427"/>
  <c r="A430"/>
  <c r="E429"/>
  <c r="F429" s="1"/>
  <c r="D429"/>
  <c r="C429"/>
  <c r="J428"/>
  <c r="I429" l="1"/>
  <c r="B428"/>
  <c r="A431"/>
  <c r="E430"/>
  <c r="F430" s="1"/>
  <c r="D430"/>
  <c r="C430"/>
  <c r="J429"/>
  <c r="I430" l="1"/>
  <c r="B429"/>
  <c r="A432"/>
  <c r="E431"/>
  <c r="F431" s="1"/>
  <c r="D431"/>
  <c r="C431"/>
  <c r="J430"/>
  <c r="I431" l="1"/>
  <c r="B430"/>
  <c r="A433"/>
  <c r="E432"/>
  <c r="F432" s="1"/>
  <c r="D432"/>
  <c r="C432"/>
  <c r="J431"/>
  <c r="I432" l="1"/>
  <c r="B431"/>
  <c r="A434"/>
  <c r="E433"/>
  <c r="F433" s="1"/>
  <c r="D433"/>
  <c r="C433"/>
  <c r="J432"/>
  <c r="I433" l="1"/>
  <c r="B432"/>
  <c r="A435"/>
  <c r="E434"/>
  <c r="F434" s="1"/>
  <c r="D434"/>
  <c r="C434"/>
  <c r="J433"/>
  <c r="I434" l="1"/>
  <c r="B433"/>
  <c r="A436"/>
  <c r="E435"/>
  <c r="F435" s="1"/>
  <c r="D435"/>
  <c r="C435"/>
  <c r="J434"/>
  <c r="I435" l="1"/>
  <c r="B434"/>
  <c r="A437"/>
  <c r="E436"/>
  <c r="F436" s="1"/>
  <c r="D436"/>
  <c r="C436"/>
  <c r="J435"/>
  <c r="I436" l="1"/>
  <c r="B435"/>
  <c r="A438"/>
  <c r="E437"/>
  <c r="F437" s="1"/>
  <c r="D437"/>
  <c r="C437"/>
  <c r="J436"/>
  <c r="I437" l="1"/>
  <c r="B436"/>
  <c r="A439"/>
  <c r="E438"/>
  <c r="F438" s="1"/>
  <c r="D438"/>
  <c r="C438"/>
  <c r="J437"/>
  <c r="I438" l="1"/>
  <c r="B437"/>
  <c r="A440"/>
  <c r="E439"/>
  <c r="F439" s="1"/>
  <c r="D439"/>
  <c r="C439"/>
  <c r="J438"/>
  <c r="I439" l="1"/>
  <c r="B438"/>
  <c r="A441"/>
  <c r="D440"/>
  <c r="E440"/>
  <c r="F440" s="1"/>
  <c r="C440"/>
  <c r="J439"/>
  <c r="I440" l="1"/>
  <c r="B439"/>
  <c r="A442"/>
  <c r="E441"/>
  <c r="F441" s="1"/>
  <c r="D441"/>
  <c r="C441"/>
  <c r="J440"/>
  <c r="I441" l="1"/>
  <c r="B440"/>
  <c r="A443"/>
  <c r="E442"/>
  <c r="F442" s="1"/>
  <c r="D442"/>
  <c r="C442"/>
  <c r="J441"/>
  <c r="I442" l="1"/>
  <c r="B441"/>
  <c r="A444"/>
  <c r="E443"/>
  <c r="F443" s="1"/>
  <c r="D443"/>
  <c r="C443"/>
  <c r="J442"/>
  <c r="I443" l="1"/>
  <c r="B442"/>
  <c r="A445"/>
  <c r="D444"/>
  <c r="E444"/>
  <c r="F444" s="1"/>
  <c r="C444"/>
  <c r="J443"/>
  <c r="I444" l="1"/>
  <c r="B443"/>
  <c r="A446"/>
  <c r="E445"/>
  <c r="F445" s="1"/>
  <c r="D445"/>
  <c r="C445"/>
  <c r="J444"/>
  <c r="I445" l="1"/>
  <c r="B444"/>
  <c r="A447"/>
  <c r="E446"/>
  <c r="F446" s="1"/>
  <c r="D446"/>
  <c r="C446"/>
  <c r="J445"/>
  <c r="I446" l="1"/>
  <c r="B445"/>
  <c r="A448"/>
  <c r="E447"/>
  <c r="F447" s="1"/>
  <c r="D447"/>
  <c r="C447"/>
  <c r="J446"/>
  <c r="I447" l="1"/>
  <c r="B446"/>
  <c r="A449"/>
  <c r="E448"/>
  <c r="F448" s="1"/>
  <c r="D448"/>
  <c r="C448"/>
  <c r="J447"/>
  <c r="I448" l="1"/>
  <c r="B447"/>
  <c r="A450"/>
  <c r="E449"/>
  <c r="F449" s="1"/>
  <c r="D449"/>
  <c r="C449"/>
  <c r="J448"/>
  <c r="I449" l="1"/>
  <c r="B448"/>
  <c r="A451"/>
  <c r="E450"/>
  <c r="F450" s="1"/>
  <c r="D450"/>
  <c r="C450"/>
  <c r="J449"/>
  <c r="I450" l="1"/>
  <c r="B449"/>
  <c r="A452"/>
  <c r="E451"/>
  <c r="F451" s="1"/>
  <c r="D451"/>
  <c r="C451"/>
  <c r="J450"/>
  <c r="I451" l="1"/>
  <c r="B450"/>
  <c r="A453"/>
  <c r="E452"/>
  <c r="F452" s="1"/>
  <c r="D452"/>
  <c r="C452"/>
  <c r="J451"/>
  <c r="I452" l="1"/>
  <c r="B451"/>
  <c r="A454"/>
  <c r="E453"/>
  <c r="F453" s="1"/>
  <c r="D453"/>
  <c r="C453"/>
  <c r="J452"/>
  <c r="I453" l="1"/>
  <c r="B452"/>
  <c r="A455"/>
  <c r="E454"/>
  <c r="F454" s="1"/>
  <c r="D454"/>
  <c r="C454"/>
  <c r="J453"/>
  <c r="I454" l="1"/>
  <c r="B453"/>
  <c r="A456"/>
  <c r="E455"/>
  <c r="F455" s="1"/>
  <c r="D455"/>
  <c r="C455"/>
  <c r="J454"/>
  <c r="I455" l="1"/>
  <c r="B454"/>
  <c r="A457"/>
  <c r="D456"/>
  <c r="E456"/>
  <c r="F456" s="1"/>
  <c r="C456"/>
  <c r="J455"/>
  <c r="I456" l="1"/>
  <c r="B455"/>
  <c r="A458"/>
  <c r="E457"/>
  <c r="F457" s="1"/>
  <c r="D457"/>
  <c r="C457"/>
  <c r="J456"/>
  <c r="I457" l="1"/>
  <c r="B456"/>
  <c r="A459"/>
  <c r="E458"/>
  <c r="F458" s="1"/>
  <c r="D458"/>
  <c r="C458"/>
  <c r="J457"/>
  <c r="I458" l="1"/>
  <c r="B457"/>
  <c r="A460"/>
  <c r="E459"/>
  <c r="F459" s="1"/>
  <c r="D459"/>
  <c r="C459"/>
  <c r="J458"/>
  <c r="I459" l="1"/>
  <c r="B458"/>
  <c r="A461"/>
  <c r="D460"/>
  <c r="E460"/>
  <c r="F460" s="1"/>
  <c r="C460"/>
  <c r="J459"/>
  <c r="I460" l="1"/>
  <c r="B459"/>
  <c r="A462"/>
  <c r="E461"/>
  <c r="F461" s="1"/>
  <c r="D461"/>
  <c r="C461"/>
  <c r="J460"/>
  <c r="I461" l="1"/>
  <c r="B460"/>
  <c r="A463"/>
  <c r="E462"/>
  <c r="F462" s="1"/>
  <c r="D462"/>
  <c r="C462"/>
  <c r="J461"/>
  <c r="I462" l="1"/>
  <c r="B461"/>
  <c r="A464"/>
  <c r="E463"/>
  <c r="F463" s="1"/>
  <c r="D463"/>
  <c r="C463"/>
  <c r="J462"/>
  <c r="I463" l="1"/>
  <c r="B462"/>
  <c r="A465"/>
  <c r="E464"/>
  <c r="F464" s="1"/>
  <c r="D464"/>
  <c r="C464"/>
  <c r="J463"/>
  <c r="I464" l="1"/>
  <c r="B463"/>
  <c r="A466"/>
  <c r="E465"/>
  <c r="F465" s="1"/>
  <c r="D465"/>
  <c r="C465"/>
  <c r="J464"/>
  <c r="I465" l="1"/>
  <c r="B464"/>
  <c r="A467"/>
  <c r="E466"/>
  <c r="F466" s="1"/>
  <c r="D466"/>
  <c r="C466"/>
  <c r="J465"/>
  <c r="I466" l="1"/>
  <c r="B465"/>
  <c r="A468"/>
  <c r="E467"/>
  <c r="F467" s="1"/>
  <c r="D467"/>
  <c r="C467"/>
  <c r="J466"/>
  <c r="I467" l="1"/>
  <c r="B466"/>
  <c r="A469"/>
  <c r="E468"/>
  <c r="F468" s="1"/>
  <c r="D468"/>
  <c r="C468"/>
  <c r="J467"/>
  <c r="I468" l="1"/>
  <c r="B467"/>
  <c r="A470"/>
  <c r="E469"/>
  <c r="F469" s="1"/>
  <c r="D469"/>
  <c r="C469"/>
  <c r="J468"/>
  <c r="I469" l="1"/>
  <c r="B468"/>
  <c r="A471"/>
  <c r="E470"/>
  <c r="F470" s="1"/>
  <c r="D470"/>
  <c r="C470"/>
  <c r="J469"/>
  <c r="I470" l="1"/>
  <c r="B469"/>
  <c r="A472"/>
  <c r="E471"/>
  <c r="F471" s="1"/>
  <c r="D471"/>
  <c r="C471"/>
  <c r="J470"/>
  <c r="I471" l="1"/>
  <c r="B470"/>
  <c r="A473"/>
  <c r="D472"/>
  <c r="E472"/>
  <c r="F472" s="1"/>
  <c r="C472"/>
  <c r="J471"/>
  <c r="I472" l="1"/>
  <c r="B471"/>
  <c r="A474"/>
  <c r="E473"/>
  <c r="F473" s="1"/>
  <c r="D473"/>
  <c r="C473"/>
  <c r="J472"/>
  <c r="I473" l="1"/>
  <c r="B472"/>
  <c r="A475"/>
  <c r="E474"/>
  <c r="F474" s="1"/>
  <c r="D474"/>
  <c r="C474"/>
  <c r="J473"/>
  <c r="I474" l="1"/>
  <c r="B473"/>
  <c r="A476"/>
  <c r="E475"/>
  <c r="F475" s="1"/>
  <c r="D475"/>
  <c r="C475"/>
  <c r="J474"/>
  <c r="I475" l="1"/>
  <c r="B474"/>
  <c r="A477"/>
  <c r="D476"/>
  <c r="E476"/>
  <c r="F476" s="1"/>
  <c r="C476"/>
  <c r="J475"/>
  <c r="I476" l="1"/>
  <c r="B475"/>
  <c r="A478"/>
  <c r="E477"/>
  <c r="F477" s="1"/>
  <c r="D477"/>
  <c r="C477"/>
  <c r="J476"/>
  <c r="I477" l="1"/>
  <c r="B476"/>
  <c r="A479"/>
  <c r="E478"/>
  <c r="F478" s="1"/>
  <c r="D478"/>
  <c r="C478"/>
  <c r="J477"/>
  <c r="I478" l="1"/>
  <c r="B477"/>
  <c r="A480"/>
  <c r="E479"/>
  <c r="F479" s="1"/>
  <c r="D479"/>
  <c r="C479"/>
  <c r="J478"/>
  <c r="I479" l="1"/>
  <c r="B478"/>
  <c r="A481"/>
  <c r="E480"/>
  <c r="F480" s="1"/>
  <c r="D480"/>
  <c r="C480"/>
  <c r="J479"/>
  <c r="I480" l="1"/>
  <c r="B479"/>
  <c r="A482"/>
  <c r="E481"/>
  <c r="F481" s="1"/>
  <c r="D481"/>
  <c r="C481"/>
  <c r="J480"/>
  <c r="I481" l="1"/>
  <c r="B480"/>
  <c r="A483"/>
  <c r="E482"/>
  <c r="F482" s="1"/>
  <c r="D482"/>
  <c r="C482"/>
  <c r="J481"/>
  <c r="I482" l="1"/>
  <c r="B481"/>
  <c r="A484"/>
  <c r="E483"/>
  <c r="F483" s="1"/>
  <c r="D483"/>
  <c r="C483"/>
  <c r="J482"/>
  <c r="I483" l="1"/>
  <c r="B482"/>
  <c r="A485"/>
  <c r="E484"/>
  <c r="F484" s="1"/>
  <c r="D484"/>
  <c r="C484"/>
  <c r="J483"/>
  <c r="I484" l="1"/>
  <c r="B483"/>
  <c r="A486"/>
  <c r="E485"/>
  <c r="F485" s="1"/>
  <c r="D485"/>
  <c r="C485"/>
  <c r="J484"/>
  <c r="I485" l="1"/>
  <c r="B484"/>
  <c r="A487"/>
  <c r="E486"/>
  <c r="F486" s="1"/>
  <c r="D486"/>
  <c r="C486"/>
  <c r="J485"/>
  <c r="I486" l="1"/>
  <c r="B485"/>
  <c r="A488"/>
  <c r="E487"/>
  <c r="F487" s="1"/>
  <c r="D487"/>
  <c r="C487"/>
  <c r="J486"/>
  <c r="I487" l="1"/>
  <c r="B486"/>
  <c r="A489"/>
  <c r="D488"/>
  <c r="E488"/>
  <c r="F488" s="1"/>
  <c r="C488"/>
  <c r="J487"/>
  <c r="I488" l="1"/>
  <c r="B487"/>
  <c r="A490"/>
  <c r="E489"/>
  <c r="F489" s="1"/>
  <c r="D489"/>
  <c r="C489"/>
  <c r="J488"/>
  <c r="I489" l="1"/>
  <c r="B488"/>
  <c r="A491"/>
  <c r="E490"/>
  <c r="F490" s="1"/>
  <c r="D490"/>
  <c r="C490"/>
  <c r="J489"/>
  <c r="I490" l="1"/>
  <c r="B489"/>
  <c r="A492"/>
  <c r="E491"/>
  <c r="F491" s="1"/>
  <c r="D491"/>
  <c r="C491"/>
  <c r="J490"/>
  <c r="I491" l="1"/>
  <c r="B490"/>
  <c r="A493"/>
  <c r="E492"/>
  <c r="F492" s="1"/>
  <c r="D492"/>
  <c r="C492"/>
  <c r="J491"/>
  <c r="I492" l="1"/>
  <c r="B491"/>
  <c r="A494"/>
  <c r="E493"/>
  <c r="F493" s="1"/>
  <c r="D493"/>
  <c r="C493"/>
  <c r="J492"/>
  <c r="I493" l="1"/>
  <c r="B492"/>
  <c r="A495"/>
  <c r="E494"/>
  <c r="F494" s="1"/>
  <c r="D494"/>
  <c r="C494"/>
  <c r="J493"/>
  <c r="I494" l="1"/>
  <c r="B493"/>
  <c r="A496"/>
  <c r="E495"/>
  <c r="F495" s="1"/>
  <c r="D495"/>
  <c r="C495"/>
  <c r="J494"/>
  <c r="I495" l="1"/>
  <c r="B494"/>
  <c r="A497"/>
  <c r="E496"/>
  <c r="F496" s="1"/>
  <c r="D496"/>
  <c r="C496"/>
  <c r="J495"/>
  <c r="I496" l="1"/>
  <c r="B495"/>
  <c r="A498"/>
  <c r="E497"/>
  <c r="F497" s="1"/>
  <c r="D497"/>
  <c r="C497"/>
  <c r="J496"/>
  <c r="I497" l="1"/>
  <c r="B496"/>
  <c r="A499"/>
  <c r="E498"/>
  <c r="F498" s="1"/>
  <c r="D498"/>
  <c r="C498"/>
  <c r="J497"/>
  <c r="I498" l="1"/>
  <c r="B497"/>
  <c r="A500"/>
  <c r="E499"/>
  <c r="F499" s="1"/>
  <c r="D499"/>
  <c r="C499"/>
  <c r="J498"/>
  <c r="I499" l="1"/>
  <c r="B498"/>
  <c r="A501"/>
  <c r="E500"/>
  <c r="F500" s="1"/>
  <c r="D500"/>
  <c r="C500"/>
  <c r="J499"/>
  <c r="I500" l="1"/>
  <c r="B499"/>
  <c r="A502"/>
  <c r="E501"/>
  <c r="F501" s="1"/>
  <c r="D501"/>
  <c r="C501"/>
  <c r="J500"/>
  <c r="I501" l="1"/>
  <c r="B500"/>
  <c r="A503"/>
  <c r="E502"/>
  <c r="F502" s="1"/>
  <c r="D502"/>
  <c r="C502"/>
  <c r="J501"/>
  <c r="I502" l="1"/>
  <c r="B501"/>
  <c r="A504"/>
  <c r="E503"/>
  <c r="F503" s="1"/>
  <c r="D503"/>
  <c r="C503"/>
  <c r="J502"/>
  <c r="I503" l="1"/>
  <c r="B502"/>
  <c r="A505"/>
  <c r="D504"/>
  <c r="E504"/>
  <c r="F504" s="1"/>
  <c r="C504"/>
  <c r="J503"/>
  <c r="I504" l="1"/>
  <c r="B503"/>
  <c r="A506"/>
  <c r="E505"/>
  <c r="F505" s="1"/>
  <c r="D505"/>
  <c r="C505"/>
  <c r="J504"/>
  <c r="I505" l="1"/>
  <c r="B504"/>
  <c r="A507"/>
  <c r="D506"/>
  <c r="E506"/>
  <c r="F506" s="1"/>
  <c r="G70" i="4"/>
  <c r="G71"/>
  <c r="G69"/>
  <c r="J505" i="1"/>
  <c r="C506"/>
  <c r="I506" l="1"/>
  <c r="B505"/>
  <c r="A508"/>
  <c r="E507"/>
  <c r="F507" s="1"/>
  <c r="D507"/>
  <c r="C507"/>
  <c r="J506"/>
  <c r="I507" l="1"/>
  <c r="B506"/>
  <c r="A509"/>
  <c r="D508"/>
  <c r="E508"/>
  <c r="F508" s="1"/>
  <c r="C508"/>
  <c r="J507"/>
  <c r="I508" l="1"/>
  <c r="B507"/>
  <c r="A510"/>
  <c r="E509"/>
  <c r="F509" s="1"/>
  <c r="D509"/>
  <c r="C509"/>
  <c r="J508"/>
  <c r="I509" l="1"/>
  <c r="B508"/>
  <c r="A511"/>
  <c r="E510"/>
  <c r="F510" s="1"/>
  <c r="D510"/>
  <c r="C510"/>
  <c r="J509"/>
  <c r="I510" l="1"/>
  <c r="B509"/>
  <c r="A512"/>
  <c r="E511"/>
  <c r="F511" s="1"/>
  <c r="D511"/>
  <c r="C511"/>
  <c r="J510"/>
  <c r="I511" l="1"/>
  <c r="B510"/>
  <c r="E70" i="4"/>
  <c r="A513" i="1"/>
  <c r="E512"/>
  <c r="F512" s="1"/>
  <c r="D512"/>
  <c r="C512"/>
  <c r="J511"/>
  <c r="I512" l="1"/>
  <c r="B511"/>
  <c r="E71" i="4"/>
  <c r="D513" i="1"/>
  <c r="A514"/>
  <c r="E513"/>
  <c r="F513" s="1"/>
  <c r="C513"/>
  <c r="J512"/>
  <c r="I513" l="1"/>
  <c r="B512"/>
  <c r="E72" i="4"/>
  <c r="A515" i="1"/>
  <c r="E514"/>
  <c r="F514" s="1"/>
  <c r="D514"/>
  <c r="C514"/>
  <c r="J513"/>
  <c r="I514" l="1"/>
  <c r="B513"/>
  <c r="E73" i="4"/>
  <c r="A516" i="1"/>
  <c r="E515"/>
  <c r="F515" s="1"/>
  <c r="D515"/>
  <c r="C515"/>
  <c r="J514"/>
  <c r="I515" l="1"/>
  <c r="B514"/>
  <c r="E74" i="4"/>
  <c r="A517" i="1"/>
  <c r="E516"/>
  <c r="F516" s="1"/>
  <c r="D516"/>
  <c r="C516"/>
  <c r="J515"/>
  <c r="I516" l="1"/>
  <c r="B515"/>
  <c r="A518"/>
  <c r="E517"/>
  <c r="F517" s="1"/>
  <c r="D517"/>
  <c r="C517"/>
  <c r="J516"/>
  <c r="I517" l="1"/>
  <c r="B516"/>
  <c r="A519"/>
  <c r="E518"/>
  <c r="F518" s="1"/>
  <c r="D518"/>
  <c r="C518"/>
  <c r="J517"/>
  <c r="I518" l="1"/>
  <c r="B517"/>
  <c r="E519"/>
  <c r="F519" s="1"/>
  <c r="A520"/>
  <c r="D519"/>
  <c r="C519"/>
  <c r="J518"/>
  <c r="I519" l="1"/>
  <c r="B518"/>
  <c r="A521"/>
  <c r="D520"/>
  <c r="E520"/>
  <c r="F520" s="1"/>
  <c r="C520"/>
  <c r="J519"/>
  <c r="I520" l="1"/>
  <c r="B519"/>
  <c r="E521"/>
  <c r="F521" s="1"/>
  <c r="A522"/>
  <c r="D521"/>
  <c r="C521"/>
  <c r="J520"/>
  <c r="I521" l="1"/>
  <c r="B520"/>
  <c r="E522"/>
  <c r="F522" s="1"/>
  <c r="A523"/>
  <c r="D522"/>
  <c r="C522"/>
  <c r="J521"/>
  <c r="I522" l="1"/>
  <c r="B521"/>
  <c r="E523"/>
  <c r="F523" s="1"/>
  <c r="D523"/>
  <c r="A524"/>
  <c r="C523"/>
  <c r="J522"/>
  <c r="I523" l="1"/>
  <c r="B522"/>
  <c r="A525"/>
  <c r="D524"/>
  <c r="E524"/>
  <c r="F524" s="1"/>
  <c r="C524"/>
  <c r="J523"/>
  <c r="I524" l="1"/>
  <c r="B523"/>
  <c r="A526"/>
  <c r="E525"/>
  <c r="F525" s="1"/>
  <c r="D525"/>
  <c r="C525"/>
  <c r="J524"/>
  <c r="I525" l="1"/>
  <c r="B524"/>
  <c r="A527"/>
  <c r="E526"/>
  <c r="F526" s="1"/>
  <c r="D526"/>
  <c r="C526"/>
  <c r="J525"/>
  <c r="I526" l="1"/>
  <c r="B525"/>
  <c r="A528"/>
  <c r="E527"/>
  <c r="F527" s="1"/>
  <c r="D527"/>
  <c r="C527"/>
  <c r="J526"/>
  <c r="I527" l="1"/>
  <c r="B526"/>
  <c r="A529"/>
  <c r="E528"/>
  <c r="F528" s="1"/>
  <c r="D528"/>
  <c r="C528"/>
  <c r="J527"/>
  <c r="I528" l="1"/>
  <c r="B527"/>
  <c r="A530"/>
  <c r="E529"/>
  <c r="F529" s="1"/>
  <c r="D529"/>
  <c r="C529"/>
  <c r="J528"/>
  <c r="I529" l="1"/>
  <c r="B528"/>
  <c r="A531"/>
  <c r="E530"/>
  <c r="F530" s="1"/>
  <c r="D530"/>
  <c r="C530"/>
  <c r="J529"/>
  <c r="I530" l="1"/>
  <c r="B529"/>
  <c r="A532"/>
  <c r="E531"/>
  <c r="F531" s="1"/>
  <c r="D531"/>
  <c r="C531"/>
  <c r="J530"/>
  <c r="I531" l="1"/>
  <c r="B530"/>
  <c r="A533"/>
  <c r="E532"/>
  <c r="F532" s="1"/>
  <c r="D532"/>
  <c r="C532"/>
  <c r="J531"/>
  <c r="I532" l="1"/>
  <c r="B531"/>
  <c r="A534"/>
  <c r="E533"/>
  <c r="F533" s="1"/>
  <c r="D533"/>
  <c r="C533"/>
  <c r="J532"/>
  <c r="I533" l="1"/>
  <c r="B532"/>
  <c r="A535"/>
  <c r="E534"/>
  <c r="F534" s="1"/>
  <c r="D534"/>
  <c r="C534"/>
  <c r="J533"/>
  <c r="I534" l="1"/>
  <c r="B533"/>
  <c r="A536"/>
  <c r="E535"/>
  <c r="F535" s="1"/>
  <c r="D535"/>
  <c r="C535"/>
  <c r="J534"/>
  <c r="I535" l="1"/>
  <c r="B534"/>
  <c r="A537"/>
  <c r="D536"/>
  <c r="E536"/>
  <c r="F536" s="1"/>
  <c r="C536"/>
  <c r="J535"/>
  <c r="I536" l="1"/>
  <c r="B535"/>
  <c r="A538"/>
  <c r="E537"/>
  <c r="F537" s="1"/>
  <c r="D537"/>
  <c r="C537"/>
  <c r="J536"/>
  <c r="I537" l="1"/>
  <c r="B536"/>
  <c r="A539"/>
  <c r="E538"/>
  <c r="F538" s="1"/>
  <c r="D538"/>
  <c r="C538"/>
  <c r="J537"/>
  <c r="I538" l="1"/>
  <c r="B537"/>
  <c r="A540"/>
  <c r="E539"/>
  <c r="F539" s="1"/>
  <c r="D539"/>
  <c r="C539"/>
  <c r="J538"/>
  <c r="I539" l="1"/>
  <c r="B538"/>
  <c r="A541"/>
  <c r="D540"/>
  <c r="E540"/>
  <c r="F540" s="1"/>
  <c r="C540"/>
  <c r="J539"/>
  <c r="I540" l="1"/>
  <c r="B539"/>
  <c r="A542"/>
  <c r="E541"/>
  <c r="F541" s="1"/>
  <c r="D541"/>
  <c r="C541"/>
  <c r="J540"/>
  <c r="I541" l="1"/>
  <c r="B540"/>
  <c r="A543"/>
  <c r="E542"/>
  <c r="F542" s="1"/>
  <c r="D542"/>
  <c r="C542"/>
  <c r="J541"/>
  <c r="I542" l="1"/>
  <c r="B541"/>
  <c r="A544"/>
  <c r="E543"/>
  <c r="F543" s="1"/>
  <c r="D543"/>
  <c r="C543"/>
  <c r="J542"/>
  <c r="I543" l="1"/>
  <c r="B542"/>
  <c r="A545"/>
  <c r="E544"/>
  <c r="F544" s="1"/>
  <c r="D544"/>
  <c r="C544"/>
  <c r="J543"/>
  <c r="I544" l="1"/>
  <c r="B543"/>
  <c r="A546"/>
  <c r="E545"/>
  <c r="F545" s="1"/>
  <c r="D545"/>
  <c r="C545"/>
  <c r="J544"/>
  <c r="I545" l="1"/>
  <c r="B544"/>
  <c r="A547"/>
  <c r="E546"/>
  <c r="F546" s="1"/>
  <c r="D546"/>
  <c r="C546"/>
  <c r="J545"/>
  <c r="I546" l="1"/>
  <c r="B545"/>
  <c r="A548"/>
  <c r="E547"/>
  <c r="F547" s="1"/>
  <c r="D547"/>
  <c r="C547"/>
  <c r="J546"/>
  <c r="I547" l="1"/>
  <c r="B546"/>
  <c r="A549"/>
  <c r="E548"/>
  <c r="F548" s="1"/>
  <c r="D548"/>
  <c r="C548"/>
  <c r="J547"/>
  <c r="I548" l="1"/>
  <c r="B547"/>
  <c r="A550"/>
  <c r="E549"/>
  <c r="F549" s="1"/>
  <c r="D549"/>
  <c r="C549"/>
  <c r="J548"/>
  <c r="I549" l="1"/>
  <c r="B548"/>
  <c r="A551"/>
  <c r="E550"/>
  <c r="F550" s="1"/>
  <c r="D550"/>
  <c r="C550"/>
  <c r="J549"/>
  <c r="I550" l="1"/>
  <c r="B549"/>
  <c r="A552"/>
  <c r="E551"/>
  <c r="F551" s="1"/>
  <c r="D551"/>
  <c r="C551"/>
  <c r="J550"/>
  <c r="I551" l="1"/>
  <c r="B550"/>
  <c r="A553"/>
  <c r="D552"/>
  <c r="E552"/>
  <c r="F552" s="1"/>
  <c r="C552"/>
  <c r="J551"/>
  <c r="I552" l="1"/>
  <c r="B551"/>
  <c r="A554"/>
  <c r="E553"/>
  <c r="F553" s="1"/>
  <c r="D553"/>
  <c r="C553"/>
  <c r="J552"/>
  <c r="I553" l="1"/>
  <c r="B552"/>
  <c r="A555"/>
  <c r="E554"/>
  <c r="F554" s="1"/>
  <c r="D554"/>
  <c r="C554"/>
  <c r="J553"/>
  <c r="I554" l="1"/>
  <c r="B553"/>
  <c r="A556"/>
  <c r="E555"/>
  <c r="F555" s="1"/>
  <c r="D555"/>
  <c r="C555"/>
  <c r="J554"/>
  <c r="I555" l="1"/>
  <c r="B554"/>
  <c r="A557"/>
  <c r="E556"/>
  <c r="F556" s="1"/>
  <c r="D556"/>
  <c r="C556"/>
  <c r="J555"/>
  <c r="I556" l="1"/>
  <c r="B555"/>
  <c r="A558"/>
  <c r="E557"/>
  <c r="F557" s="1"/>
  <c r="D557"/>
  <c r="C557"/>
  <c r="J556"/>
  <c r="I557" l="1"/>
  <c r="B556"/>
  <c r="A559"/>
  <c r="E558"/>
  <c r="F558" s="1"/>
  <c r="D558"/>
  <c r="C558"/>
  <c r="J557"/>
  <c r="I558" l="1"/>
  <c r="B557"/>
  <c r="A560"/>
  <c r="E559"/>
  <c r="F559" s="1"/>
  <c r="D559"/>
  <c r="C559"/>
  <c r="J558"/>
  <c r="I559" l="1"/>
  <c r="B558"/>
  <c r="A561"/>
  <c r="E560"/>
  <c r="F560" s="1"/>
  <c r="D560"/>
  <c r="C560"/>
  <c r="J559"/>
  <c r="I560" l="1"/>
  <c r="B559"/>
  <c r="A562"/>
  <c r="E561"/>
  <c r="F561" s="1"/>
  <c r="D561"/>
  <c r="C561"/>
  <c r="J560"/>
  <c r="I561" l="1"/>
  <c r="B560"/>
  <c r="A563"/>
  <c r="E562"/>
  <c r="F562" s="1"/>
  <c r="D562"/>
  <c r="C562"/>
  <c r="J561"/>
  <c r="I562" l="1"/>
  <c r="B561"/>
  <c r="A564"/>
  <c r="E563"/>
  <c r="F563" s="1"/>
  <c r="D563"/>
  <c r="C563"/>
  <c r="J562"/>
  <c r="I563" l="1"/>
  <c r="B562"/>
  <c r="A565"/>
  <c r="E564"/>
  <c r="F564" s="1"/>
  <c r="D564"/>
  <c r="C564"/>
  <c r="J563"/>
  <c r="I564" l="1"/>
  <c r="B563"/>
  <c r="A566"/>
  <c r="E565"/>
  <c r="F565" s="1"/>
  <c r="D565"/>
  <c r="C565"/>
  <c r="J564"/>
  <c r="I565" l="1"/>
  <c r="B564"/>
  <c r="A567"/>
  <c r="E566"/>
  <c r="F566" s="1"/>
  <c r="D566"/>
  <c r="C566"/>
  <c r="J565"/>
  <c r="I566" l="1"/>
  <c r="B565"/>
  <c r="A568"/>
  <c r="E567"/>
  <c r="F567" s="1"/>
  <c r="D567"/>
  <c r="C567"/>
  <c r="J566"/>
  <c r="I567" l="1"/>
  <c r="B566"/>
  <c r="A569"/>
  <c r="E568"/>
  <c r="F568" s="1"/>
  <c r="D568"/>
  <c r="C568"/>
  <c r="J567"/>
  <c r="I568" l="1"/>
  <c r="B567"/>
  <c r="A570"/>
  <c r="E569"/>
  <c r="F569" s="1"/>
  <c r="D569"/>
  <c r="C569"/>
  <c r="J568"/>
  <c r="I569" l="1"/>
  <c r="B568"/>
  <c r="A571"/>
  <c r="E570"/>
  <c r="F570" s="1"/>
  <c r="D570"/>
  <c r="C570"/>
  <c r="J569"/>
  <c r="I570" l="1"/>
  <c r="B569"/>
  <c r="A572"/>
  <c r="E571"/>
  <c r="F571" s="1"/>
  <c r="D571"/>
  <c r="C571"/>
  <c r="J570"/>
  <c r="I571" l="1"/>
  <c r="B570"/>
  <c r="A573"/>
  <c r="E572"/>
  <c r="F572" s="1"/>
  <c r="D572"/>
  <c r="C572"/>
  <c r="J571"/>
  <c r="I572" l="1"/>
  <c r="B571"/>
  <c r="A574"/>
  <c r="E573"/>
  <c r="F573" s="1"/>
  <c r="D573"/>
  <c r="C573"/>
  <c r="J572"/>
  <c r="I573" l="1"/>
  <c r="B572"/>
  <c r="A575"/>
  <c r="E574"/>
  <c r="F574" s="1"/>
  <c r="D574"/>
  <c r="C574"/>
  <c r="J573"/>
  <c r="I574" l="1"/>
  <c r="B573"/>
  <c r="A576"/>
  <c r="E575"/>
  <c r="F575" s="1"/>
  <c r="D575"/>
  <c r="C575"/>
  <c r="J574"/>
  <c r="I575" l="1"/>
  <c r="B574"/>
  <c r="A577"/>
  <c r="E576"/>
  <c r="F576" s="1"/>
  <c r="D576"/>
  <c r="C576"/>
  <c r="J575"/>
  <c r="I576" l="1"/>
  <c r="B575"/>
  <c r="A578"/>
  <c r="E577"/>
  <c r="F577" s="1"/>
  <c r="D577"/>
  <c r="C577"/>
  <c r="J576"/>
  <c r="I577" l="1"/>
  <c r="B576"/>
  <c r="A579"/>
  <c r="E578"/>
  <c r="F578" s="1"/>
  <c r="D578"/>
  <c r="C578"/>
  <c r="J577"/>
  <c r="I578" l="1"/>
  <c r="B577"/>
  <c r="A580"/>
  <c r="E579"/>
  <c r="F579" s="1"/>
  <c r="D579"/>
  <c r="C579"/>
  <c r="J578"/>
  <c r="I579" l="1"/>
  <c r="B578"/>
  <c r="A581"/>
  <c r="E580"/>
  <c r="F580" s="1"/>
  <c r="D580"/>
  <c r="C580"/>
  <c r="J579"/>
  <c r="I580" l="1"/>
  <c r="B579"/>
  <c r="A582"/>
  <c r="E581"/>
  <c r="F581" s="1"/>
  <c r="D581"/>
  <c r="C581"/>
  <c r="J580"/>
  <c r="I581" l="1"/>
  <c r="B580"/>
  <c r="A583"/>
  <c r="E582"/>
  <c r="F582" s="1"/>
  <c r="D582"/>
  <c r="C582"/>
  <c r="J581"/>
  <c r="I582" l="1"/>
  <c r="B581"/>
  <c r="A584"/>
  <c r="E583"/>
  <c r="F583" s="1"/>
  <c r="D583"/>
  <c r="C583"/>
  <c r="J582"/>
  <c r="I583" l="1"/>
  <c r="B582"/>
  <c r="A585"/>
  <c r="E584"/>
  <c r="F584" s="1"/>
  <c r="D584"/>
  <c r="C584"/>
  <c r="J583"/>
  <c r="I584" l="1"/>
  <c r="B583"/>
  <c r="A586"/>
  <c r="E585"/>
  <c r="F585" s="1"/>
  <c r="D585"/>
  <c r="C585"/>
  <c r="J584"/>
  <c r="I585" l="1"/>
  <c r="B584"/>
  <c r="A587"/>
  <c r="E586"/>
  <c r="F586" s="1"/>
  <c r="D586"/>
  <c r="C586"/>
  <c r="J585"/>
  <c r="I586" l="1"/>
  <c r="B585"/>
  <c r="A588"/>
  <c r="E587"/>
  <c r="F587" s="1"/>
  <c r="D587"/>
  <c r="C587"/>
  <c r="J586"/>
  <c r="I587" l="1"/>
  <c r="B586"/>
  <c r="A589"/>
  <c r="E588"/>
  <c r="F588" s="1"/>
  <c r="D588"/>
  <c r="C588"/>
  <c r="J587"/>
  <c r="I588" l="1"/>
  <c r="B587"/>
  <c r="A590"/>
  <c r="E589"/>
  <c r="F589" s="1"/>
  <c r="D589"/>
  <c r="C589"/>
  <c r="J588"/>
  <c r="I589" l="1"/>
  <c r="B588"/>
  <c r="A591"/>
  <c r="E590"/>
  <c r="F590" s="1"/>
  <c r="D590"/>
  <c r="G73" i="4"/>
  <c r="G72"/>
  <c r="G74"/>
  <c r="J589" i="1"/>
  <c r="C590"/>
  <c r="I590" l="1"/>
  <c r="B589"/>
  <c r="A592"/>
  <c r="E591"/>
  <c r="F591" s="1"/>
  <c r="D591"/>
  <c r="C591"/>
  <c r="J590"/>
  <c r="I591" l="1"/>
  <c r="B590"/>
  <c r="A593"/>
  <c r="E592"/>
  <c r="F592" s="1"/>
  <c r="D592"/>
  <c r="C592"/>
  <c r="J591"/>
  <c r="I592" l="1"/>
  <c r="B591"/>
  <c r="A594"/>
  <c r="E593"/>
  <c r="F593" s="1"/>
  <c r="D593"/>
  <c r="C593"/>
  <c r="J592"/>
  <c r="I593" l="1"/>
  <c r="B592"/>
  <c r="A595"/>
  <c r="E594"/>
  <c r="F594" s="1"/>
  <c r="D594"/>
  <c r="C594"/>
  <c r="J593"/>
  <c r="I594" l="1"/>
  <c r="B593"/>
  <c r="A596"/>
  <c r="E595"/>
  <c r="F595" s="1"/>
  <c r="D595"/>
  <c r="C595"/>
  <c r="J594"/>
  <c r="I595" l="1"/>
  <c r="B594"/>
  <c r="A597"/>
  <c r="E596"/>
  <c r="F596" s="1"/>
  <c r="D596"/>
  <c r="C596"/>
  <c r="J595"/>
  <c r="I596" l="1"/>
  <c r="B595"/>
  <c r="D597"/>
  <c r="A598"/>
  <c r="E597"/>
  <c r="F597" s="1"/>
  <c r="C597"/>
  <c r="J596"/>
  <c r="I597" l="1"/>
  <c r="B596"/>
  <c r="A599"/>
  <c r="E598"/>
  <c r="F598" s="1"/>
  <c r="D598"/>
  <c r="C598"/>
  <c r="J597"/>
  <c r="I598" l="1"/>
  <c r="B597"/>
  <c r="A600"/>
  <c r="E599"/>
  <c r="F599" s="1"/>
  <c r="D599"/>
  <c r="C599"/>
  <c r="J598"/>
  <c r="I599" l="1"/>
  <c r="B598"/>
  <c r="A601"/>
  <c r="E600"/>
  <c r="F600" s="1"/>
  <c r="D600"/>
  <c r="C600"/>
  <c r="J599"/>
  <c r="I600" l="1"/>
  <c r="B599"/>
  <c r="E75" i="4"/>
  <c r="A602" i="1"/>
  <c r="E601"/>
  <c r="F601" s="1"/>
  <c r="D601"/>
  <c r="C601"/>
  <c r="J600"/>
  <c r="I601" l="1"/>
  <c r="B600"/>
  <c r="E76" i="4"/>
  <c r="A603" i="1"/>
  <c r="E602"/>
  <c r="F602" s="1"/>
  <c r="D602"/>
  <c r="C602"/>
  <c r="J601"/>
  <c r="I602" l="1"/>
  <c r="B601"/>
  <c r="A604"/>
  <c r="E603"/>
  <c r="F603" s="1"/>
  <c r="D603"/>
  <c r="C603"/>
  <c r="J602"/>
  <c r="I603" l="1"/>
  <c r="B602"/>
  <c r="A605"/>
  <c r="E604"/>
  <c r="F604" s="1"/>
  <c r="D604"/>
  <c r="C604"/>
  <c r="J603"/>
  <c r="I604" l="1"/>
  <c r="B603"/>
  <c r="A606"/>
  <c r="E605"/>
  <c r="F605" s="1"/>
  <c r="D605"/>
  <c r="C605"/>
  <c r="J604"/>
  <c r="I605" l="1"/>
  <c r="B604"/>
  <c r="A607"/>
  <c r="E606"/>
  <c r="F606" s="1"/>
  <c r="D606"/>
  <c r="C606"/>
  <c r="J605"/>
  <c r="I606" l="1"/>
  <c r="B605"/>
  <c r="A608"/>
  <c r="E607"/>
  <c r="F607" s="1"/>
  <c r="D607"/>
  <c r="C607"/>
  <c r="J606"/>
  <c r="I607" l="1"/>
  <c r="B606"/>
  <c r="E608"/>
  <c r="F608" s="1"/>
  <c r="A609"/>
  <c r="D608"/>
  <c r="C608"/>
  <c r="J607"/>
  <c r="I608" l="1"/>
  <c r="B607"/>
  <c r="E609"/>
  <c r="F609" s="1"/>
  <c r="A610"/>
  <c r="D609"/>
  <c r="C609"/>
  <c r="J608"/>
  <c r="I609" l="1"/>
  <c r="B608"/>
  <c r="A611"/>
  <c r="E610"/>
  <c r="F610" s="1"/>
  <c r="D610"/>
  <c r="C610"/>
  <c r="J609"/>
  <c r="I610" l="1"/>
  <c r="B609"/>
  <c r="A612"/>
  <c r="E611"/>
  <c r="F611" s="1"/>
  <c r="D611"/>
  <c r="C611"/>
  <c r="J610"/>
  <c r="I611" l="1"/>
  <c r="B610"/>
  <c r="A613"/>
  <c r="E612"/>
  <c r="F612" s="1"/>
  <c r="D612"/>
  <c r="C612"/>
  <c r="J611"/>
  <c r="I612" l="1"/>
  <c r="B611"/>
  <c r="A614"/>
  <c r="E613"/>
  <c r="F613" s="1"/>
  <c r="D613"/>
  <c r="C613"/>
  <c r="J612"/>
  <c r="I613" l="1"/>
  <c r="B612"/>
  <c r="A615"/>
  <c r="E614"/>
  <c r="F614" s="1"/>
  <c r="D614"/>
  <c r="C614"/>
  <c r="J613"/>
  <c r="I614" l="1"/>
  <c r="B613"/>
  <c r="A616"/>
  <c r="E615"/>
  <c r="F615" s="1"/>
  <c r="D615"/>
  <c r="C615"/>
  <c r="J614"/>
  <c r="I615" l="1"/>
  <c r="B614"/>
  <c r="A617"/>
  <c r="E616"/>
  <c r="F616" s="1"/>
  <c r="D616"/>
  <c r="C616"/>
  <c r="J615"/>
  <c r="I616" l="1"/>
  <c r="B615"/>
  <c r="A618"/>
  <c r="E617"/>
  <c r="F617" s="1"/>
  <c r="D617"/>
  <c r="C617"/>
  <c r="J616"/>
  <c r="I617" l="1"/>
  <c r="B616"/>
  <c r="A619"/>
  <c r="E618"/>
  <c r="F618" s="1"/>
  <c r="D618"/>
  <c r="C618"/>
  <c r="J617"/>
  <c r="I618" l="1"/>
  <c r="B617"/>
  <c r="A620"/>
  <c r="E619"/>
  <c r="F619" s="1"/>
  <c r="D619"/>
  <c r="C619"/>
  <c r="J618"/>
  <c r="I619" l="1"/>
  <c r="B618"/>
  <c r="A621"/>
  <c r="E620"/>
  <c r="F620" s="1"/>
  <c r="D620"/>
  <c r="C620"/>
  <c r="J619"/>
  <c r="I620" l="1"/>
  <c r="B619"/>
  <c r="A622"/>
  <c r="E621"/>
  <c r="F621" s="1"/>
  <c r="D621"/>
  <c r="C621"/>
  <c r="J620"/>
  <c r="I621" l="1"/>
  <c r="B620"/>
  <c r="A623"/>
  <c r="E622"/>
  <c r="F622" s="1"/>
  <c r="D622"/>
  <c r="C622"/>
  <c r="J621"/>
  <c r="I622" l="1"/>
  <c r="B621"/>
  <c r="A624"/>
  <c r="E623"/>
  <c r="F623" s="1"/>
  <c r="D623"/>
  <c r="C623"/>
  <c r="J622"/>
  <c r="I623" l="1"/>
  <c r="B622"/>
  <c r="A625"/>
  <c r="E624"/>
  <c r="F624" s="1"/>
  <c r="D624"/>
  <c r="C624"/>
  <c r="J623"/>
  <c r="I624" l="1"/>
  <c r="B623"/>
  <c r="A626"/>
  <c r="E625"/>
  <c r="F625" s="1"/>
  <c r="D625"/>
  <c r="C625"/>
  <c r="J624"/>
  <c r="I625" l="1"/>
  <c r="B624"/>
  <c r="A627"/>
  <c r="E626"/>
  <c r="F626" s="1"/>
  <c r="D626"/>
  <c r="C626"/>
  <c r="J625"/>
  <c r="I626" l="1"/>
  <c r="B625"/>
  <c r="A628"/>
  <c r="E627"/>
  <c r="F627" s="1"/>
  <c r="D627"/>
  <c r="C627"/>
  <c r="J626"/>
  <c r="I627" l="1"/>
  <c r="B626"/>
  <c r="A629"/>
  <c r="E628"/>
  <c r="F628" s="1"/>
  <c r="D628"/>
  <c r="C628"/>
  <c r="J627"/>
  <c r="I628" l="1"/>
  <c r="B627"/>
  <c r="F75" i="4"/>
  <c r="A630" i="1"/>
  <c r="E629"/>
  <c r="F629" s="1"/>
  <c r="D629"/>
  <c r="C629"/>
  <c r="J628"/>
  <c r="I629" l="1"/>
  <c r="B628"/>
  <c r="A631"/>
  <c r="E630"/>
  <c r="F630" s="1"/>
  <c r="D630"/>
  <c r="C630"/>
  <c r="J629"/>
  <c r="I630" l="1"/>
  <c r="B629"/>
  <c r="A632"/>
  <c r="E631"/>
  <c r="F631" s="1"/>
  <c r="D631"/>
  <c r="C631"/>
  <c r="J630"/>
  <c r="I631" l="1"/>
  <c r="G75" i="4"/>
  <c r="B630" i="1"/>
  <c r="E632"/>
  <c r="F632" s="1"/>
  <c r="D632"/>
  <c r="A633"/>
  <c r="C632"/>
  <c r="J631"/>
  <c r="I632" l="1"/>
  <c r="B631"/>
  <c r="A634"/>
  <c r="E633"/>
  <c r="F633" s="1"/>
  <c r="D633"/>
  <c r="C633"/>
  <c r="J632"/>
  <c r="I633" l="1"/>
  <c r="B632"/>
  <c r="A635"/>
  <c r="E634"/>
  <c r="F634" s="1"/>
  <c r="D634"/>
  <c r="C634"/>
  <c r="J633"/>
  <c r="I634" l="1"/>
  <c r="B633"/>
  <c r="A636"/>
  <c r="E635"/>
  <c r="F635" s="1"/>
  <c r="D635"/>
  <c r="C635"/>
  <c r="J634"/>
  <c r="I635" l="1"/>
  <c r="B634"/>
  <c r="A637"/>
  <c r="E636"/>
  <c r="F636" s="1"/>
  <c r="D636"/>
  <c r="C636"/>
  <c r="J635"/>
  <c r="I636" l="1"/>
  <c r="B635"/>
  <c r="A638"/>
  <c r="E637"/>
  <c r="F637" s="1"/>
  <c r="D637"/>
  <c r="C637"/>
  <c r="J636"/>
  <c r="I637" l="1"/>
  <c r="B636"/>
  <c r="A639"/>
  <c r="E638"/>
  <c r="F638" s="1"/>
  <c r="D638"/>
  <c r="C638"/>
  <c r="J637"/>
  <c r="I638" l="1"/>
  <c r="B637"/>
  <c r="A640"/>
  <c r="E639"/>
  <c r="F639" s="1"/>
  <c r="D639"/>
  <c r="C639"/>
  <c r="J638"/>
  <c r="I639" l="1"/>
  <c r="B638"/>
  <c r="A641"/>
  <c r="E640"/>
  <c r="F640" s="1"/>
  <c r="D640"/>
  <c r="C640"/>
  <c r="J639"/>
  <c r="I640" l="1"/>
  <c r="B639"/>
  <c r="A642"/>
  <c r="E641"/>
  <c r="F641" s="1"/>
  <c r="D641"/>
  <c r="C641"/>
  <c r="J640"/>
  <c r="I641" l="1"/>
  <c r="B640"/>
  <c r="A643"/>
  <c r="E642"/>
  <c r="F642" s="1"/>
  <c r="D642"/>
  <c r="C642"/>
  <c r="J641"/>
  <c r="I642" l="1"/>
  <c r="B641"/>
  <c r="A644"/>
  <c r="E643"/>
  <c r="F643" s="1"/>
  <c r="D643"/>
  <c r="C643"/>
  <c r="J642"/>
  <c r="I643" l="1"/>
  <c r="B642"/>
  <c r="A645"/>
  <c r="E644"/>
  <c r="F644" s="1"/>
  <c r="D644"/>
  <c r="C644"/>
  <c r="J643"/>
  <c r="I644" l="1"/>
  <c r="B643"/>
  <c r="A646"/>
  <c r="E645"/>
  <c r="F645" s="1"/>
  <c r="D645"/>
  <c r="C645"/>
  <c r="J644"/>
  <c r="I645" l="1"/>
  <c r="B644"/>
  <c r="A647"/>
  <c r="E646"/>
  <c r="F646" s="1"/>
  <c r="D646"/>
  <c r="C646"/>
  <c r="J645"/>
  <c r="I646" l="1"/>
  <c r="B645"/>
  <c r="A648"/>
  <c r="E647"/>
  <c r="F647" s="1"/>
  <c r="D647"/>
  <c r="C647"/>
  <c r="J646"/>
  <c r="I647" l="1"/>
  <c r="B646"/>
  <c r="A649"/>
  <c r="E648"/>
  <c r="F648" s="1"/>
  <c r="D648"/>
  <c r="C648"/>
  <c r="J647"/>
  <c r="I648" l="1"/>
  <c r="B647"/>
  <c r="A650"/>
  <c r="E649"/>
  <c r="F649" s="1"/>
  <c r="D649"/>
  <c r="C649"/>
  <c r="J648"/>
  <c r="I649" l="1"/>
  <c r="B648"/>
  <c r="A651"/>
  <c r="E650"/>
  <c r="F650" s="1"/>
  <c r="D650"/>
  <c r="C650"/>
  <c r="J649"/>
  <c r="I650" l="1"/>
  <c r="B649"/>
  <c r="A652"/>
  <c r="E651"/>
  <c r="F651" s="1"/>
  <c r="D651"/>
  <c r="C651"/>
  <c r="J650"/>
  <c r="I651" l="1"/>
  <c r="B650"/>
  <c r="A653"/>
  <c r="E652"/>
  <c r="F652" s="1"/>
  <c r="D652"/>
  <c r="C652"/>
  <c r="J651"/>
  <c r="I652" l="1"/>
  <c r="B651"/>
  <c r="A654"/>
  <c r="E653"/>
  <c r="F653" s="1"/>
  <c r="D653"/>
  <c r="C653"/>
  <c r="J652"/>
  <c r="I653" l="1"/>
  <c r="B652"/>
  <c r="A655"/>
  <c r="E654"/>
  <c r="F654" s="1"/>
  <c r="D654"/>
  <c r="C654"/>
  <c r="J653"/>
  <c r="I654" l="1"/>
  <c r="B653"/>
  <c r="A656"/>
  <c r="E655"/>
  <c r="F655" s="1"/>
  <c r="D655"/>
  <c r="C655"/>
  <c r="J654"/>
  <c r="I655" l="1"/>
  <c r="B654"/>
  <c r="A657"/>
  <c r="E656"/>
  <c r="F656" s="1"/>
  <c r="D656"/>
  <c r="C656"/>
  <c r="J655"/>
  <c r="I656" l="1"/>
  <c r="B655"/>
  <c r="A658"/>
  <c r="E657"/>
  <c r="F657" s="1"/>
  <c r="D657"/>
  <c r="C657"/>
  <c r="J656"/>
  <c r="I657" l="1"/>
  <c r="B656"/>
  <c r="A659"/>
  <c r="E658"/>
  <c r="F658" s="1"/>
  <c r="D658"/>
  <c r="C658"/>
  <c r="J657"/>
  <c r="I658" l="1"/>
  <c r="B657"/>
  <c r="A660"/>
  <c r="E659"/>
  <c r="F659" s="1"/>
  <c r="D659"/>
  <c r="C659"/>
  <c r="J658"/>
  <c r="I659" l="1"/>
  <c r="B658"/>
  <c r="A661"/>
  <c r="E660"/>
  <c r="F660" s="1"/>
  <c r="D660"/>
  <c r="C660"/>
  <c r="J659"/>
  <c r="I660" l="1"/>
  <c r="B659"/>
  <c r="A662"/>
  <c r="E661"/>
  <c r="F661" s="1"/>
  <c r="D661"/>
  <c r="C661"/>
  <c r="J660"/>
  <c r="I661" l="1"/>
  <c r="B660"/>
  <c r="A663"/>
  <c r="E662"/>
  <c r="F662" s="1"/>
  <c r="D662"/>
  <c r="C662"/>
  <c r="J661"/>
  <c r="I662" l="1"/>
  <c r="B661"/>
  <c r="A664"/>
  <c r="E663"/>
  <c r="F663" s="1"/>
  <c r="D663"/>
  <c r="C663"/>
  <c r="J662"/>
  <c r="I663" l="1"/>
  <c r="B662"/>
  <c r="A665"/>
  <c r="E664"/>
  <c r="F664" s="1"/>
  <c r="D664"/>
  <c r="C664"/>
  <c r="J663"/>
  <c r="I664" l="1"/>
  <c r="B663"/>
  <c r="A666"/>
  <c r="E665"/>
  <c r="F665" s="1"/>
  <c r="D665"/>
  <c r="C665"/>
  <c r="J664"/>
  <c r="I665" l="1"/>
  <c r="B664"/>
  <c r="A667"/>
  <c r="E666"/>
  <c r="F666" s="1"/>
  <c r="D666"/>
  <c r="C666"/>
  <c r="J665"/>
  <c r="I666" l="1"/>
  <c r="B665"/>
  <c r="A668"/>
  <c r="E667"/>
  <c r="F667" s="1"/>
  <c r="D667"/>
  <c r="C667"/>
  <c r="J666"/>
  <c r="I667" l="1"/>
  <c r="B666"/>
  <c r="A669"/>
  <c r="E668"/>
  <c r="F668" s="1"/>
  <c r="D668"/>
  <c r="C668"/>
  <c r="J667"/>
  <c r="I668" l="1"/>
  <c r="B667"/>
  <c r="A670"/>
  <c r="E669"/>
  <c r="F669" s="1"/>
  <c r="D669"/>
  <c r="C669"/>
  <c r="J668"/>
  <c r="I669" l="1"/>
  <c r="B668"/>
  <c r="A671"/>
  <c r="E670"/>
  <c r="F670" s="1"/>
  <c r="D670"/>
  <c r="C670"/>
  <c r="J669"/>
  <c r="I670" l="1"/>
  <c r="B669"/>
  <c r="A672"/>
  <c r="E671"/>
  <c r="F671" s="1"/>
  <c r="D671"/>
  <c r="C671"/>
  <c r="J670"/>
  <c r="I671" l="1"/>
  <c r="B670"/>
  <c r="D672"/>
  <c r="E672"/>
  <c r="F672" s="1"/>
  <c r="J671"/>
  <c r="C672"/>
  <c r="I672" l="1"/>
  <c r="B671"/>
  <c r="F76" i="4"/>
  <c r="J672" i="1"/>
  <c r="B672" l="1"/>
  <c r="G76" i="4"/>
  <c r="G18" s="1"/>
  <c r="H67" l="1"/>
  <c r="H71"/>
  <c r="H75"/>
  <c r="H61"/>
  <c r="H57"/>
  <c r="H52"/>
  <c r="H46"/>
  <c r="H45"/>
  <c r="H39"/>
  <c r="H66"/>
  <c r="H70"/>
  <c r="H74"/>
  <c r="H60"/>
  <c r="H56"/>
  <c r="H51"/>
  <c r="H50"/>
  <c r="H49"/>
  <c r="H42"/>
  <c r="H35"/>
  <c r="H65"/>
  <c r="H69"/>
  <c r="H73"/>
  <c r="H63"/>
  <c r="H59"/>
  <c r="H55"/>
  <c r="H54"/>
  <c r="H48"/>
  <c r="H41"/>
  <c r="H37"/>
  <c r="H64"/>
  <c r="H68"/>
  <c r="H72"/>
  <c r="H76"/>
  <c r="H62"/>
  <c r="H58"/>
  <c r="H53"/>
  <c r="H47"/>
  <c r="H40"/>
  <c r="H36"/>
  <c r="F64"/>
  <c r="F65"/>
  <c r="F68"/>
  <c r="F74"/>
  <c r="F70"/>
  <c r="F71"/>
  <c r="F72"/>
  <c r="F67"/>
  <c r="F69"/>
  <c r="F66"/>
  <c r="F73"/>
  <c r="F63"/>
  <c r="I45" l="1"/>
  <c r="J45" s="1"/>
  <c r="K45" s="1"/>
  <c r="I58"/>
  <c r="L58" s="1"/>
  <c r="I47"/>
  <c r="J47" s="1"/>
  <c r="K47" s="1"/>
  <c r="I75"/>
  <c r="J75" s="1"/>
  <c r="K75" s="1"/>
  <c r="I56"/>
  <c r="J56" s="1"/>
  <c r="K56" s="1"/>
  <c r="I39"/>
  <c r="L39" s="1"/>
  <c r="I61"/>
  <c r="L61" s="1"/>
  <c r="I76"/>
  <c r="J76" s="1"/>
  <c r="K76" s="1"/>
  <c r="I71"/>
  <c r="L71" s="1"/>
  <c r="I54"/>
  <c r="L54" s="1"/>
  <c r="I64"/>
  <c r="J64" s="1"/>
  <c r="K64" s="1"/>
  <c r="I46"/>
  <c r="L46" s="1"/>
  <c r="I42"/>
  <c r="I69"/>
  <c r="L69" s="1"/>
  <c r="I73"/>
  <c r="J73" s="1"/>
  <c r="K73" s="1"/>
  <c r="I65"/>
  <c r="J65" s="1"/>
  <c r="K65" s="1"/>
  <c r="I68"/>
  <c r="L68" s="1"/>
  <c r="I51"/>
  <c r="J51" s="1"/>
  <c r="K51" s="1"/>
  <c r="I37"/>
  <c r="J37" s="1"/>
  <c r="K37" s="1"/>
  <c r="I50"/>
  <c r="L50" s="1"/>
  <c r="I62"/>
  <c r="L62" s="1"/>
  <c r="I40"/>
  <c r="J40" s="1"/>
  <c r="K40" s="1"/>
  <c r="I60"/>
  <c r="L60" s="1"/>
  <c r="I36"/>
  <c r="L36" s="1"/>
  <c r="I41"/>
  <c r="L41" s="1"/>
  <c r="I35"/>
  <c r="L35" s="1"/>
  <c r="I48"/>
  <c r="L48" s="1"/>
  <c r="I67"/>
  <c r="I74"/>
  <c r="L74" s="1"/>
  <c r="I72"/>
  <c r="J72" s="1"/>
  <c r="K72" s="1"/>
  <c r="I59"/>
  <c r="L59" s="1"/>
  <c r="I57"/>
  <c r="L57" s="1"/>
  <c r="I70"/>
  <c r="J70" s="1"/>
  <c r="K70" s="1"/>
  <c r="I66"/>
  <c r="L66" s="1"/>
  <c r="I49"/>
  <c r="L49" s="1"/>
  <c r="I53"/>
  <c r="L53" s="1"/>
  <c r="I52"/>
  <c r="J52" s="1"/>
  <c r="K52" s="1"/>
  <c r="I55"/>
  <c r="L55" s="1"/>
  <c r="I63"/>
  <c r="J63" s="1"/>
  <c r="K63" s="1"/>
  <c r="L75"/>
  <c r="L56" l="1"/>
  <c r="J50"/>
  <c r="K50" s="1"/>
  <c r="J71"/>
  <c r="K71" s="1"/>
  <c r="J41"/>
  <c r="K41" s="1"/>
  <c r="J48"/>
  <c r="K48" s="1"/>
  <c r="J58"/>
  <c r="K58" s="1"/>
  <c r="L45"/>
  <c r="J39"/>
  <c r="K39" s="1"/>
  <c r="J35"/>
  <c r="K35" s="1"/>
  <c r="J62"/>
  <c r="K62" s="1"/>
  <c r="L70"/>
  <c r="L51"/>
  <c r="J60"/>
  <c r="K60" s="1"/>
  <c r="J57"/>
  <c r="K57" s="1"/>
  <c r="J49"/>
  <c r="K49" s="1"/>
  <c r="L47"/>
  <c r="L76"/>
  <c r="L73"/>
  <c r="J61"/>
  <c r="K61" s="1"/>
  <c r="L63"/>
  <c r="J69"/>
  <c r="K69" s="1"/>
  <c r="J54"/>
  <c r="K54" s="1"/>
  <c r="L64"/>
  <c r="J66"/>
  <c r="K66" s="1"/>
  <c r="L40"/>
  <c r="L72"/>
  <c r="J59"/>
  <c r="K59" s="1"/>
  <c r="J55"/>
  <c r="K55" s="1"/>
  <c r="L37"/>
  <c r="L42"/>
  <c r="J42"/>
  <c r="K42" s="1"/>
  <c r="L52"/>
  <c r="L65"/>
  <c r="J36"/>
  <c r="K36" s="1"/>
  <c r="J53"/>
  <c r="K53" s="1"/>
  <c r="J74"/>
  <c r="K74" s="1"/>
  <c r="L67"/>
  <c r="J67"/>
  <c r="K67" s="1"/>
  <c r="J18"/>
  <c r="J68"/>
  <c r="K68" s="1"/>
  <c r="J46"/>
  <c r="K46" s="1"/>
  <c r="J17" l="1"/>
  <c r="J15"/>
  <c r="J16"/>
</calcChain>
</file>

<file path=xl/comments1.xml><?xml version="1.0" encoding="utf-8"?>
<comments xmlns="http://schemas.openxmlformats.org/spreadsheetml/2006/main">
  <authors>
    <author>Mariana</author>
  </authors>
  <commentList>
    <comment ref="A63" authorId="0">
      <text>
        <r>
          <rPr>
            <b/>
            <sz val="9"/>
            <color indexed="81"/>
            <rFont val="Calibri"/>
            <family val="2"/>
          </rPr>
          <t>Mariana:</t>
        </r>
        <r>
          <rPr>
            <sz val="9"/>
            <color indexed="81"/>
            <rFont val="Calibri"/>
            <family val="2"/>
          </rPr>
          <t xml:space="preserve">
This refers to treatment 0 (pp treatments)</t>
        </r>
      </text>
    </comment>
    <comment ref="A69" authorId="0">
      <text>
        <r>
          <rPr>
            <b/>
            <sz val="9"/>
            <color indexed="81"/>
            <rFont val="Calibri"/>
            <family val="2"/>
          </rPr>
          <t>Mariana:</t>
        </r>
        <r>
          <rPr>
            <sz val="9"/>
            <color indexed="81"/>
            <rFont val="Calibri"/>
            <family val="2"/>
          </rPr>
          <t xml:space="preserve">
this refers to treatment 0 (pp treatments)</t>
        </r>
      </text>
    </comment>
  </commentList>
</comments>
</file>

<file path=xl/comments2.xml><?xml version="1.0" encoding="utf-8"?>
<comments xmlns="http://schemas.openxmlformats.org/spreadsheetml/2006/main">
  <authors>
    <author>Neil Huth</author>
  </authors>
  <commentList>
    <comment ref="D3" authorId="0">
      <text>
        <r>
          <rPr>
            <b/>
            <sz val="8"/>
            <color indexed="81"/>
            <rFont val="Tahoma"/>
            <family val="2"/>
          </rPr>
          <t>Neil Huth:</t>
        </r>
        <r>
          <rPr>
            <sz val="8"/>
            <color indexed="81"/>
            <rFont val="Tahoma"/>
            <family val="2"/>
          </rPr>
          <t xml:space="preserve">
Quirk!
Need date column here also for vlookup function</t>
        </r>
      </text>
    </comment>
  </commentList>
</comments>
</file>

<file path=xl/comments3.xml><?xml version="1.0" encoding="utf-8"?>
<comments xmlns="http://schemas.openxmlformats.org/spreadsheetml/2006/main">
  <authors>
    <author>Neil Huth</author>
  </authors>
  <commentList>
    <comment ref="D3" authorId="0">
      <text>
        <r>
          <rPr>
            <b/>
            <sz val="8"/>
            <color indexed="81"/>
            <rFont val="Tahoma"/>
            <family val="2"/>
          </rPr>
          <t>Neil Huth:</t>
        </r>
        <r>
          <rPr>
            <sz val="8"/>
            <color indexed="81"/>
            <rFont val="Tahoma"/>
            <family val="2"/>
          </rPr>
          <t xml:space="preserve">
Quirk!
Need date column here also for vlookup function</t>
        </r>
      </text>
    </comment>
  </commentList>
</comments>
</file>

<file path=xl/comments4.xml><?xml version="1.0" encoding="utf-8"?>
<comments xmlns="http://schemas.openxmlformats.org/spreadsheetml/2006/main">
  <authors>
    <author>Neil Huth</author>
  </authors>
  <commentList>
    <comment ref="D3" authorId="0">
      <text>
        <r>
          <rPr>
            <b/>
            <sz val="8"/>
            <color indexed="81"/>
            <rFont val="Tahoma"/>
            <family val="2"/>
          </rPr>
          <t>Neil Huth:</t>
        </r>
        <r>
          <rPr>
            <sz val="8"/>
            <color indexed="81"/>
            <rFont val="Tahoma"/>
            <family val="2"/>
          </rPr>
          <t xml:space="preserve">
Quirk!
Need date column here also for vlookup function</t>
        </r>
      </text>
    </comment>
  </commentList>
</comments>
</file>

<file path=xl/comments5.xml><?xml version="1.0" encoding="utf-8"?>
<comments xmlns="http://schemas.openxmlformats.org/spreadsheetml/2006/main">
  <authors>
    <author>Neil Huth</author>
  </authors>
  <commentList>
    <comment ref="D3" authorId="0">
      <text>
        <r>
          <rPr>
            <b/>
            <sz val="8"/>
            <color indexed="81"/>
            <rFont val="Tahoma"/>
            <family val="2"/>
          </rPr>
          <t>Neil Huth:</t>
        </r>
        <r>
          <rPr>
            <sz val="8"/>
            <color indexed="81"/>
            <rFont val="Tahoma"/>
            <family val="2"/>
          </rPr>
          <t xml:space="preserve">
Quirk!
Need date column here also for vlookup function</t>
        </r>
      </text>
    </comment>
  </commentList>
</comments>
</file>

<file path=xl/comments6.xml><?xml version="1.0" encoding="utf-8"?>
<comments xmlns="http://schemas.openxmlformats.org/spreadsheetml/2006/main">
  <authors>
    <author>Neil Huth</author>
  </authors>
  <commentList>
    <comment ref="D3" authorId="0">
      <text>
        <r>
          <rPr>
            <b/>
            <sz val="8"/>
            <color indexed="81"/>
            <rFont val="Tahoma"/>
            <family val="2"/>
          </rPr>
          <t>Neil Huth:</t>
        </r>
        <r>
          <rPr>
            <sz val="8"/>
            <color indexed="81"/>
            <rFont val="Tahoma"/>
            <family val="2"/>
          </rPr>
          <t xml:space="preserve">
Quirk!
Need date column here also for vlookup function</t>
        </r>
      </text>
    </comment>
  </commentList>
</comments>
</file>

<file path=xl/comments7.xml><?xml version="1.0" encoding="utf-8"?>
<comments xmlns="http://schemas.openxmlformats.org/spreadsheetml/2006/main">
  <authors>
    <author>Neil Huth</author>
  </authors>
  <commentList>
    <comment ref="D3" authorId="0">
      <text>
        <r>
          <rPr>
            <b/>
            <sz val="8"/>
            <color indexed="81"/>
            <rFont val="Tahoma"/>
            <family val="2"/>
          </rPr>
          <t>Neil Huth:</t>
        </r>
        <r>
          <rPr>
            <sz val="8"/>
            <color indexed="81"/>
            <rFont val="Tahoma"/>
            <family val="2"/>
          </rPr>
          <t xml:space="preserve">
Quirk!
Need date column here also for vlookup function</t>
        </r>
      </text>
    </comment>
  </commentList>
</comments>
</file>

<file path=xl/comments8.xml><?xml version="1.0" encoding="utf-8"?>
<comments xmlns="http://schemas.openxmlformats.org/spreadsheetml/2006/main">
  <authors>
    <author>Neil Huth</author>
  </authors>
  <commentList>
    <comment ref="D3" authorId="0">
      <text>
        <r>
          <rPr>
            <b/>
            <sz val="8"/>
            <color indexed="81"/>
            <rFont val="Tahoma"/>
            <family val="2"/>
          </rPr>
          <t>Neil Huth:</t>
        </r>
        <r>
          <rPr>
            <sz val="8"/>
            <color indexed="81"/>
            <rFont val="Tahoma"/>
            <family val="2"/>
          </rPr>
          <t xml:space="preserve">
Quirk!
Need date column here also for vlookup function</t>
        </r>
      </text>
    </comment>
  </commentList>
</comments>
</file>

<file path=xl/sharedStrings.xml><?xml version="1.0" encoding="utf-8"?>
<sst xmlns="http://schemas.openxmlformats.org/spreadsheetml/2006/main" count="158" uniqueCount="90">
  <si>
    <t>year</t>
  </si>
  <si>
    <t>doy</t>
  </si>
  <si>
    <t>maxt</t>
  </si>
  <si>
    <t>mint</t>
  </si>
  <si>
    <t>TT</t>
  </si>
  <si>
    <t>T</t>
  </si>
  <si>
    <t>CumTT</t>
  </si>
  <si>
    <t>PP</t>
  </si>
  <si>
    <t>Lat</t>
  </si>
  <si>
    <t>Date</t>
  </si>
  <si>
    <t>Sowing</t>
  </si>
  <si>
    <t>Date2</t>
  </si>
  <si>
    <t>Flowering</t>
  </si>
  <si>
    <t>FloweringDAS</t>
  </si>
  <si>
    <t>Lawes1993SowingP1T1</t>
  </si>
  <si>
    <t>Lawes1993SowingP1T2</t>
  </si>
  <si>
    <t>Lawes1993SowingP1T3</t>
  </si>
  <si>
    <t>Lawes1993SowingP1T4</t>
  </si>
  <si>
    <t>Lawes1993SowingP1T5</t>
  </si>
  <si>
    <t>Lawes1993SowingP1T6</t>
  </si>
  <si>
    <t>Lawes1993SowingP1T7</t>
  </si>
  <si>
    <t>Lawes1993SowingP1T8</t>
  </si>
  <si>
    <t>Lawes1993SowingP2T1</t>
  </si>
  <si>
    <t>Lawes1993SowingP2T2</t>
  </si>
  <si>
    <t>Lawes1993SowingP2T3</t>
  </si>
  <si>
    <t>Lawes1993SowingP2T4</t>
  </si>
  <si>
    <t>Lawes1991Sowing1</t>
  </si>
  <si>
    <t>Lawes1991Sowing2</t>
  </si>
  <si>
    <t>EmeraldSowing1</t>
  </si>
  <si>
    <t>EmeraldSowing2</t>
  </si>
  <si>
    <t>EmeraldSowing3</t>
  </si>
  <si>
    <t>EmeraldSowing4</t>
  </si>
  <si>
    <t>BiloelaSowing1</t>
  </si>
  <si>
    <t>BiloelaSowing2</t>
  </si>
  <si>
    <t>BiloelaSowing3</t>
  </si>
  <si>
    <t>BiloelaSowing4</t>
  </si>
  <si>
    <t>Lawes1990Sowing1</t>
  </si>
  <si>
    <t>Lawes1990Sowing2</t>
  </si>
  <si>
    <t>Beverley1989Sowing1</t>
  </si>
  <si>
    <t>Beverley1989Sowing2</t>
  </si>
  <si>
    <t>Beverley1989Sowing3</t>
  </si>
  <si>
    <t>Beverley1989Sowing4</t>
  </si>
  <si>
    <t>Beverley1989Sowing5</t>
  </si>
  <si>
    <t>Kununurra1989Sowing1</t>
  </si>
  <si>
    <t>Kununurra1989Sowing2</t>
  </si>
  <si>
    <t>Kununurra1989Sowing3</t>
  </si>
  <si>
    <t>Kununurra1989Sowing4</t>
  </si>
  <si>
    <t>Kununurra1989Sowing5</t>
  </si>
  <si>
    <t>Ayr1989Sowing1</t>
  </si>
  <si>
    <t>Ayr1989Sowing2</t>
  </si>
  <si>
    <t>Ayr1989Sowing3</t>
  </si>
  <si>
    <t>Ayr1989Sowing4</t>
  </si>
  <si>
    <t>Tamworth1989Sowing1</t>
  </si>
  <si>
    <t>Tamworth1989Sowing2</t>
  </si>
  <si>
    <t>Tamworth1989Sowing3</t>
  </si>
  <si>
    <t>Tamworth1989Sowing4</t>
  </si>
  <si>
    <t>Hermitage1988Sowingc3p1</t>
  </si>
  <si>
    <t>Hermitage1988Sowingc3p2</t>
  </si>
  <si>
    <t>Hermitage1988Sowingc3p3</t>
  </si>
  <si>
    <t>Hermitage1988Sowingc3p4</t>
  </si>
  <si>
    <t>Hermitage1988Sowingc3p5</t>
  </si>
  <si>
    <t>Hermitage1988Sowingc3p6</t>
  </si>
  <si>
    <t>Hermitage1989Sowingc3p1</t>
  </si>
  <si>
    <t>Hermitage1989Sowingc3p2</t>
  </si>
  <si>
    <t>Hermitage1989Sowingc3p3</t>
  </si>
  <si>
    <t>Hermitage1989Sowingc3p4</t>
  </si>
  <si>
    <t>Hermitage1989Sowingc3p5</t>
  </si>
  <si>
    <t>Hermitage1989Sowingc3p6</t>
  </si>
  <si>
    <t>Hermitage1989Sowingc3p7</t>
  </si>
  <si>
    <t>Hermitage1989Sowingc3p8</t>
  </si>
  <si>
    <t>Treatment</t>
  </si>
  <si>
    <t>Twilight</t>
  </si>
  <si>
    <t>TTFlowering</t>
  </si>
  <si>
    <t>PPSowing</t>
  </si>
  <si>
    <t>JuvenilePhase</t>
  </si>
  <si>
    <t>PPEndJuv</t>
  </si>
  <si>
    <t>Flowering*</t>
  </si>
  <si>
    <t>FloweringDAS*</t>
  </si>
  <si>
    <t>SqrErr</t>
  </si>
  <si>
    <t>RMSE</t>
  </si>
  <si>
    <t>Error</t>
  </si>
  <si>
    <t>ME</t>
  </si>
  <si>
    <t>MAE</t>
  </si>
  <si>
    <t>AbsError</t>
  </si>
  <si>
    <t>R2</t>
  </si>
  <si>
    <t>Ppfac</t>
  </si>
  <si>
    <t>Ppcrit</t>
  </si>
  <si>
    <t>Ppconst</t>
  </si>
  <si>
    <t>Ppface</t>
  </si>
  <si>
    <t>Average</t>
  </si>
</sst>
</file>

<file path=xl/styles.xml><?xml version="1.0" encoding="utf-8"?>
<styleSheet xmlns="http://schemas.openxmlformats.org/spreadsheetml/2006/main">
  <numFmts count="1">
    <numFmt numFmtId="164" formatCode="0.0"/>
  </numFmts>
  <fonts count="7">
    <font>
      <sz val="10"/>
      <name val="Arial"/>
    </font>
    <font>
      <sz val="8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0"/>
      <name val="Arial"/>
      <family val="2"/>
    </font>
    <font>
      <b/>
      <sz val="9"/>
      <color indexed="81"/>
      <name val="Calibri"/>
      <family val="2"/>
    </font>
    <font>
      <sz val="9"/>
      <color indexed="81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15" fontId="0" fillId="0" borderId="0" xfId="0" applyNumberFormat="1"/>
    <xf numFmtId="14" fontId="0" fillId="0" borderId="0" xfId="0" applyNumberFormat="1"/>
    <xf numFmtId="0" fontId="4" fillId="0" borderId="0" xfId="0" applyFont="1"/>
    <xf numFmtId="0" fontId="0" fillId="0" borderId="0" xfId="0" applyNumberFormat="1"/>
    <xf numFmtId="0" fontId="0" fillId="2" borderId="0" xfId="0" applyFill="1"/>
    <xf numFmtId="1" fontId="0" fillId="0" borderId="0" xfId="0" applyNumberFormat="1"/>
    <xf numFmtId="2" fontId="0" fillId="0" borderId="0" xfId="0" applyNumberFormat="1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AU"/>
  <c:chart>
    <c:plotArea>
      <c:layout/>
      <c:scatterChart>
        <c:scatterStyle val="lineMarker"/>
        <c:ser>
          <c:idx val="0"/>
          <c:order val="0"/>
          <c:tx>
            <c:strRef>
              <c:f>Fitting!$G$20</c:f>
              <c:strCache>
                <c:ptCount val="1"/>
                <c:pt idx="0">
                  <c:v>TTFlowering</c:v>
                </c:pt>
              </c:strCache>
            </c:strRef>
          </c:tx>
          <c:spPr>
            <a:ln w="28575">
              <a:noFill/>
            </a:ln>
          </c:spPr>
          <c:xVal>
            <c:numRef>
              <c:f>Fitting!$E$21:$E$76</c:f>
              <c:numCache>
                <c:formatCode>General</c:formatCode>
                <c:ptCount val="56"/>
                <c:pt idx="14">
                  <c:v>13.26896858215332</c:v>
                </c:pt>
                <c:pt idx="15">
                  <c:v>12.368022918701172</c:v>
                </c:pt>
                <c:pt idx="16">
                  <c:v>11.99235725402832</c:v>
                </c:pt>
                <c:pt idx="18">
                  <c:v>13.119381904602051</c:v>
                </c:pt>
                <c:pt idx="19">
                  <c:v>12.075688362121582</c:v>
                </c:pt>
                <c:pt idx="20">
                  <c:v>11.442500114440918</c:v>
                </c:pt>
                <c:pt idx="21">
                  <c:v>11.570585250854492</c:v>
                </c:pt>
                <c:pt idx="24">
                  <c:v>11.118439674377441</c:v>
                </c:pt>
                <c:pt idx="25">
                  <c:v>10.943681716918945</c:v>
                </c:pt>
                <c:pt idx="26">
                  <c:v>11.026220321655273</c:v>
                </c:pt>
                <c:pt idx="27">
                  <c:v>11.374435424804688</c:v>
                </c:pt>
                <c:pt idx="28">
                  <c:v>11.941276550292969</c:v>
                </c:pt>
                <c:pt idx="29">
                  <c:v>12.199295997619629</c:v>
                </c:pt>
                <c:pt idx="30">
                  <c:v>12.059507369995117</c:v>
                </c:pt>
                <c:pt idx="31">
                  <c:v>11.969756126403809</c:v>
                </c:pt>
                <c:pt idx="32">
                  <c:v>11.969412803649902</c:v>
                </c:pt>
                <c:pt idx="33">
                  <c:v>12.080810546875</c:v>
                </c:pt>
                <c:pt idx="34">
                  <c:v>12.101004600524902</c:v>
                </c:pt>
                <c:pt idx="35">
                  <c:v>11.765681266784668</c:v>
                </c:pt>
                <c:pt idx="36">
                  <c:v>11.760345458984375</c:v>
                </c:pt>
                <c:pt idx="37">
                  <c:v>12.071565628051758</c:v>
                </c:pt>
                <c:pt idx="38">
                  <c:v>11.42725658416748</c:v>
                </c:pt>
                <c:pt idx="39">
                  <c:v>11.020573616027832</c:v>
                </c:pt>
                <c:pt idx="40">
                  <c:v>11.177150726318359</c:v>
                </c:pt>
                <c:pt idx="41">
                  <c:v>11.779317855834961</c:v>
                </c:pt>
                <c:pt idx="42">
                  <c:v>11.40645694732666</c:v>
                </c:pt>
                <c:pt idx="43">
                  <c:v>11.194823265075684</c:v>
                </c:pt>
                <c:pt idx="44">
                  <c:v>11.550734519958496</c:v>
                </c:pt>
                <c:pt idx="45">
                  <c:v>12.472089767456055</c:v>
                </c:pt>
                <c:pt idx="46">
                  <c:v>13.770918846130371</c:v>
                </c:pt>
                <c:pt idx="47">
                  <c:v>14.806985855102539</c:v>
                </c:pt>
                <c:pt idx="48">
                  <c:v>13.993136405944824</c:v>
                </c:pt>
                <c:pt idx="49">
                  <c:v>12.028648376464844</c:v>
                </c:pt>
                <c:pt idx="50">
                  <c:v>11.571234703063965</c:v>
                </c:pt>
                <c:pt idx="51">
                  <c:v>11.196650505065918</c:v>
                </c:pt>
                <c:pt idx="52">
                  <c:v>11.315212249755859</c:v>
                </c:pt>
                <c:pt idx="53">
                  <c:v>12.203076362609863</c:v>
                </c:pt>
                <c:pt idx="54">
                  <c:v>13.600369453430176</c:v>
                </c:pt>
                <c:pt idx="55">
                  <c:v>14.780780792236328</c:v>
                </c:pt>
              </c:numCache>
            </c:numRef>
          </c:xVal>
          <c:yVal>
            <c:numRef>
              <c:f>Fitting!$G$21:$G$76</c:f>
              <c:numCache>
                <c:formatCode>General</c:formatCode>
                <c:ptCount val="56"/>
                <c:pt idx="14" formatCode="0.0">
                  <c:v>1013.067348045156</c:v>
                </c:pt>
                <c:pt idx="15" formatCode="0.0">
                  <c:v>561.86553393047484</c:v>
                </c:pt>
                <c:pt idx="16" formatCode="0.0">
                  <c:v>743.60205565746696</c:v>
                </c:pt>
                <c:pt idx="18" formatCode="0.0">
                  <c:v>627.7840891746589</c:v>
                </c:pt>
                <c:pt idx="19" formatCode="0.0">
                  <c:v>645.9428242874443</c:v>
                </c:pt>
                <c:pt idx="20" formatCode="0.0">
                  <c:v>734.24298149477409</c:v>
                </c:pt>
                <c:pt idx="21" formatCode="0.0">
                  <c:v>738.28870181188449</c:v>
                </c:pt>
                <c:pt idx="24" formatCode="0.0">
                  <c:v>671.57286046677416</c:v>
                </c:pt>
                <c:pt idx="25" formatCode="0.0">
                  <c:v>629.99929361065745</c:v>
                </c:pt>
                <c:pt idx="26" formatCode="0.0">
                  <c:v>506.62474348696662</c:v>
                </c:pt>
                <c:pt idx="27" formatCode="0.0">
                  <c:v>657.45282727759582</c:v>
                </c:pt>
                <c:pt idx="28" formatCode="0.0">
                  <c:v>757.45252386926666</c:v>
                </c:pt>
                <c:pt idx="29" formatCode="0.0">
                  <c:v>677.95314640660877</c:v>
                </c:pt>
                <c:pt idx="30" formatCode="0.0">
                  <c:v>667.3823699873717</c:v>
                </c:pt>
                <c:pt idx="31" formatCode="0.0">
                  <c:v>707.79789180245166</c:v>
                </c:pt>
                <c:pt idx="32" formatCode="0.0">
                  <c:v>702.13293445722695</c:v>
                </c:pt>
                <c:pt idx="33" formatCode="0.0">
                  <c:v>753.10023355111025</c:v>
                </c:pt>
                <c:pt idx="34" formatCode="0.0">
                  <c:v>760.21514829255216</c:v>
                </c:pt>
                <c:pt idx="35" formatCode="0.0">
                  <c:v>519.32683322581056</c:v>
                </c:pt>
                <c:pt idx="36" formatCode="0.0">
                  <c:v>697.42772625177645</c:v>
                </c:pt>
                <c:pt idx="37" formatCode="0.0">
                  <c:v>600.25067712612952</c:v>
                </c:pt>
                <c:pt idx="38" formatCode="0.0">
                  <c:v>416.29135712064823</c:v>
                </c:pt>
                <c:pt idx="39" formatCode="0.0">
                  <c:v>548.6174713825003</c:v>
                </c:pt>
                <c:pt idx="40" formatCode="0.0">
                  <c:v>607.33306048456632</c:v>
                </c:pt>
                <c:pt idx="41" formatCode="0.0">
                  <c:v>732.39470816917674</c:v>
                </c:pt>
                <c:pt idx="42" formatCode="0.0">
                  <c:v>609.01608614863494</c:v>
                </c:pt>
                <c:pt idx="43" formatCode="0.0">
                  <c:v>593.52209664711427</c:v>
                </c:pt>
                <c:pt idx="44" formatCode="0.0">
                  <c:v>576.00526811826285</c:v>
                </c:pt>
                <c:pt idx="45" formatCode="0.0">
                  <c:v>957.2023050774194</c:v>
                </c:pt>
                <c:pt idx="46" formatCode="0.0">
                  <c:v>771.14282054653063</c:v>
                </c:pt>
                <c:pt idx="47" formatCode="0.0">
                  <c:v>853.60375625764391</c:v>
                </c:pt>
                <c:pt idx="48" formatCode="0.0">
                  <c:v>821.84696311867083</c:v>
                </c:pt>
                <c:pt idx="49" formatCode="0.0">
                  <c:v>741.38466991681298</c:v>
                </c:pt>
                <c:pt idx="50" formatCode="0.0">
                  <c:v>602.70499302126336</c:v>
                </c:pt>
                <c:pt idx="51" formatCode="0.0">
                  <c:v>537.67132192536792</c:v>
                </c:pt>
                <c:pt idx="52" formatCode="0.0">
                  <c:v>552.8183129683548</c:v>
                </c:pt>
                <c:pt idx="53" formatCode="0.0">
                  <c:v>841.04823459374347</c:v>
                </c:pt>
                <c:pt idx="54" formatCode="0.0">
                  <c:v>881.15151921869619</c:v>
                </c:pt>
                <c:pt idx="55" formatCode="0.0">
                  <c:v>1255.8258406873392</c:v>
                </c:pt>
              </c:numCache>
            </c:numRef>
          </c:yVal>
        </c:ser>
        <c:ser>
          <c:idx val="1"/>
          <c:order val="1"/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layout>
                <c:manualLayout>
                  <c:x val="-7.7028182563152456E-2"/>
                  <c:y val="0.24681975728643693"/>
                </c:manualLayout>
              </c:layout>
              <c:numFmt formatCode="General" sourceLinked="0"/>
            </c:trendlineLbl>
          </c:trendline>
          <c:xVal>
            <c:numRef>
              <c:f>Fitting!$F$21:$F$76</c:f>
              <c:numCache>
                <c:formatCode>General</c:formatCode>
                <c:ptCount val="56"/>
                <c:pt idx="14" formatCode="0.00">
                  <c:v>13.26896858215332</c:v>
                </c:pt>
                <c:pt idx="15" formatCode="0.00">
                  <c:v>12.368022918701172</c:v>
                </c:pt>
                <c:pt idx="16" formatCode="0.00">
                  <c:v>11.99235725402832</c:v>
                </c:pt>
                <c:pt idx="18" formatCode="0.00">
                  <c:v>13.119381904602051</c:v>
                </c:pt>
                <c:pt idx="19" formatCode="0.00">
                  <c:v>12.075688362121582</c:v>
                </c:pt>
                <c:pt idx="20" formatCode="0.00">
                  <c:v>11.442500114440918</c:v>
                </c:pt>
                <c:pt idx="21" formatCode="0.00">
                  <c:v>11.570585250854492</c:v>
                </c:pt>
                <c:pt idx="24" formatCode="0.00">
                  <c:v>11.118439674377441</c:v>
                </c:pt>
                <c:pt idx="25" formatCode="0.00">
                  <c:v>10.943681716918945</c:v>
                </c:pt>
                <c:pt idx="26" formatCode="0.00">
                  <c:v>11.026220321655273</c:v>
                </c:pt>
                <c:pt idx="27" formatCode="0.00">
                  <c:v>11.374435424804688</c:v>
                </c:pt>
                <c:pt idx="28" formatCode="0.00">
                  <c:v>11.941276550292969</c:v>
                </c:pt>
                <c:pt idx="29" formatCode="0.00">
                  <c:v>12.199295997619629</c:v>
                </c:pt>
                <c:pt idx="30" formatCode="0.00">
                  <c:v>12.059507369995117</c:v>
                </c:pt>
                <c:pt idx="31" formatCode="0.00">
                  <c:v>11.969756126403809</c:v>
                </c:pt>
                <c:pt idx="32" formatCode="0.00">
                  <c:v>11.969412803649902</c:v>
                </c:pt>
                <c:pt idx="33" formatCode="0.00">
                  <c:v>12.080810546875</c:v>
                </c:pt>
                <c:pt idx="34" formatCode="0.00">
                  <c:v>12.101004600524902</c:v>
                </c:pt>
                <c:pt idx="35" formatCode="0.00">
                  <c:v>11.765681266784668</c:v>
                </c:pt>
                <c:pt idx="36" formatCode="0.00">
                  <c:v>11.760345458984375</c:v>
                </c:pt>
                <c:pt idx="37" formatCode="0.00">
                  <c:v>12.071565628051758</c:v>
                </c:pt>
                <c:pt idx="38" formatCode="0.00">
                  <c:v>11.42725658416748</c:v>
                </c:pt>
                <c:pt idx="39" formatCode="0.00">
                  <c:v>11.020573616027832</c:v>
                </c:pt>
                <c:pt idx="40" formatCode="0.00">
                  <c:v>11.177150726318359</c:v>
                </c:pt>
                <c:pt idx="41" formatCode="0.00">
                  <c:v>11.779317855834961</c:v>
                </c:pt>
                <c:pt idx="42" formatCode="0.00">
                  <c:v>11.40645694732666</c:v>
                </c:pt>
                <c:pt idx="43" formatCode="0.00">
                  <c:v>11.194823265075684</c:v>
                </c:pt>
                <c:pt idx="44" formatCode="0.00">
                  <c:v>11.550734519958496</c:v>
                </c:pt>
                <c:pt idx="45" formatCode="0.00">
                  <c:v>12.472089767456055</c:v>
                </c:pt>
                <c:pt idx="46" formatCode="0.00">
                  <c:v>13.770918846130371</c:v>
                </c:pt>
                <c:pt idx="47" formatCode="0.00">
                  <c:v>14.806985855102539</c:v>
                </c:pt>
                <c:pt idx="48" formatCode="0.00">
                  <c:v>13.993136405944824</c:v>
                </c:pt>
                <c:pt idx="49" formatCode="0.00">
                  <c:v>12.028648376464844</c:v>
                </c:pt>
                <c:pt idx="50" formatCode="0.00">
                  <c:v>11.571234703063965</c:v>
                </c:pt>
                <c:pt idx="51" formatCode="0.00">
                  <c:v>11.196650505065918</c:v>
                </c:pt>
                <c:pt idx="52" formatCode="0.00">
                  <c:v>11.315212249755859</c:v>
                </c:pt>
                <c:pt idx="53" formatCode="0.00">
                  <c:v>12.203076362609863</c:v>
                </c:pt>
                <c:pt idx="54" formatCode="0.00">
                  <c:v>13.600369453430176</c:v>
                </c:pt>
                <c:pt idx="55" formatCode="0.00">
                  <c:v>14.780780792236328</c:v>
                </c:pt>
              </c:numCache>
            </c:numRef>
          </c:xVal>
          <c:yVal>
            <c:numRef>
              <c:f>Fitting!$G$21:$G$76</c:f>
              <c:numCache>
                <c:formatCode>General</c:formatCode>
                <c:ptCount val="56"/>
                <c:pt idx="14" formatCode="0.0">
                  <c:v>1013.067348045156</c:v>
                </c:pt>
                <c:pt idx="15" formatCode="0.0">
                  <c:v>561.86553393047484</c:v>
                </c:pt>
                <c:pt idx="16" formatCode="0.0">
                  <c:v>743.60205565746696</c:v>
                </c:pt>
                <c:pt idx="18" formatCode="0.0">
                  <c:v>627.7840891746589</c:v>
                </c:pt>
                <c:pt idx="19" formatCode="0.0">
                  <c:v>645.9428242874443</c:v>
                </c:pt>
                <c:pt idx="20" formatCode="0.0">
                  <c:v>734.24298149477409</c:v>
                </c:pt>
                <c:pt idx="21" formatCode="0.0">
                  <c:v>738.28870181188449</c:v>
                </c:pt>
                <c:pt idx="24" formatCode="0.0">
                  <c:v>671.57286046677416</c:v>
                </c:pt>
                <c:pt idx="25" formatCode="0.0">
                  <c:v>629.99929361065745</c:v>
                </c:pt>
                <c:pt idx="26" formatCode="0.0">
                  <c:v>506.62474348696662</c:v>
                </c:pt>
                <c:pt idx="27" formatCode="0.0">
                  <c:v>657.45282727759582</c:v>
                </c:pt>
                <c:pt idx="28" formatCode="0.0">
                  <c:v>757.45252386926666</c:v>
                </c:pt>
                <c:pt idx="29" formatCode="0.0">
                  <c:v>677.95314640660877</c:v>
                </c:pt>
                <c:pt idx="30" formatCode="0.0">
                  <c:v>667.3823699873717</c:v>
                </c:pt>
                <c:pt idx="31" formatCode="0.0">
                  <c:v>707.79789180245166</c:v>
                </c:pt>
                <c:pt idx="32" formatCode="0.0">
                  <c:v>702.13293445722695</c:v>
                </c:pt>
                <c:pt idx="33" formatCode="0.0">
                  <c:v>753.10023355111025</c:v>
                </c:pt>
                <c:pt idx="34" formatCode="0.0">
                  <c:v>760.21514829255216</c:v>
                </c:pt>
                <c:pt idx="35" formatCode="0.0">
                  <c:v>519.32683322581056</c:v>
                </c:pt>
                <c:pt idx="36" formatCode="0.0">
                  <c:v>697.42772625177645</c:v>
                </c:pt>
                <c:pt idx="37" formatCode="0.0">
                  <c:v>600.25067712612952</c:v>
                </c:pt>
                <c:pt idx="38" formatCode="0.0">
                  <c:v>416.29135712064823</c:v>
                </c:pt>
                <c:pt idx="39" formatCode="0.0">
                  <c:v>548.6174713825003</c:v>
                </c:pt>
                <c:pt idx="40" formatCode="0.0">
                  <c:v>607.33306048456632</c:v>
                </c:pt>
                <c:pt idx="41" formatCode="0.0">
                  <c:v>732.39470816917674</c:v>
                </c:pt>
                <c:pt idx="42" formatCode="0.0">
                  <c:v>609.01608614863494</c:v>
                </c:pt>
                <c:pt idx="43" formatCode="0.0">
                  <c:v>593.52209664711427</c:v>
                </c:pt>
                <c:pt idx="44" formatCode="0.0">
                  <c:v>576.00526811826285</c:v>
                </c:pt>
                <c:pt idx="45" formatCode="0.0">
                  <c:v>957.2023050774194</c:v>
                </c:pt>
                <c:pt idx="46" formatCode="0.0">
                  <c:v>771.14282054653063</c:v>
                </c:pt>
                <c:pt idx="47" formatCode="0.0">
                  <c:v>853.60375625764391</c:v>
                </c:pt>
                <c:pt idx="48" formatCode="0.0">
                  <c:v>821.84696311867083</c:v>
                </c:pt>
                <c:pt idx="49" formatCode="0.0">
                  <c:v>741.38466991681298</c:v>
                </c:pt>
                <c:pt idx="50" formatCode="0.0">
                  <c:v>602.70499302126336</c:v>
                </c:pt>
                <c:pt idx="51" formatCode="0.0">
                  <c:v>537.67132192536792</c:v>
                </c:pt>
                <c:pt idx="52" formatCode="0.0">
                  <c:v>552.8183129683548</c:v>
                </c:pt>
                <c:pt idx="53" formatCode="0.0">
                  <c:v>841.04823459374347</c:v>
                </c:pt>
                <c:pt idx="54" formatCode="0.0">
                  <c:v>881.15151921869619</c:v>
                </c:pt>
                <c:pt idx="55" formatCode="0.0">
                  <c:v>1255.8258406873392</c:v>
                </c:pt>
              </c:numCache>
            </c:numRef>
          </c:yVal>
        </c:ser>
        <c:axId val="115455104"/>
        <c:axId val="115456640"/>
      </c:scatterChart>
      <c:valAx>
        <c:axId val="115455104"/>
        <c:scaling>
          <c:orientation val="minMax"/>
          <c:min val="10"/>
        </c:scaling>
        <c:axPos val="b"/>
        <c:numFmt formatCode="General" sourceLinked="1"/>
        <c:tickLblPos val="nextTo"/>
        <c:crossAx val="115456640"/>
        <c:crosses val="autoZero"/>
        <c:crossBetween val="midCat"/>
      </c:valAx>
      <c:valAx>
        <c:axId val="115456640"/>
        <c:scaling>
          <c:orientation val="minMax"/>
        </c:scaling>
        <c:axPos val="l"/>
        <c:majorGridlines/>
        <c:numFmt formatCode="General" sourceLinked="1"/>
        <c:tickLblPos val="nextTo"/>
        <c:crossAx val="115455104"/>
        <c:crosses val="autoZero"/>
        <c:crossBetween val="midCat"/>
      </c:valAx>
    </c:plotArea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AU"/>
  <c:chart>
    <c:plotArea>
      <c:layout/>
      <c:scatterChart>
        <c:scatterStyle val="lineMarker"/>
        <c:ser>
          <c:idx val="0"/>
          <c:order val="0"/>
          <c:tx>
            <c:strRef>
              <c:f>Fitting!$I$20</c:f>
              <c:strCache>
                <c:ptCount val="1"/>
                <c:pt idx="0">
                  <c:v>FloweringDAS*</c:v>
                </c:pt>
              </c:strCache>
            </c:strRef>
          </c:tx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layout>
                <c:manualLayout>
                  <c:x val="-0.18525986616537812"/>
                  <c:y val="-6.6773476232137724E-2"/>
                </c:manualLayout>
              </c:layout>
              <c:numFmt formatCode="General" sourceLinked="0"/>
            </c:trendlineLbl>
          </c:trendline>
          <c:xVal>
            <c:numRef>
              <c:f>Fitting!$D$21:$D$76</c:f>
              <c:numCache>
                <c:formatCode>General</c:formatCode>
                <c:ptCount val="56"/>
                <c:pt idx="14">
                  <c:v>108</c:v>
                </c:pt>
                <c:pt idx="15">
                  <c:v>65.7</c:v>
                </c:pt>
                <c:pt idx="16">
                  <c:v>92</c:v>
                </c:pt>
                <c:pt idx="18">
                  <c:v>67</c:v>
                </c:pt>
                <c:pt idx="19">
                  <c:v>84</c:v>
                </c:pt>
                <c:pt idx="20">
                  <c:v>85</c:v>
                </c:pt>
                <c:pt idx="21">
                  <c:v>72</c:v>
                </c:pt>
                <c:pt idx="24">
                  <c:v>125</c:v>
                </c:pt>
                <c:pt idx="25">
                  <c:v>115</c:v>
                </c:pt>
                <c:pt idx="26">
                  <c:v>88</c:v>
                </c:pt>
                <c:pt idx="27">
                  <c:v>95</c:v>
                </c:pt>
                <c:pt idx="28">
                  <c:v>89</c:v>
                </c:pt>
                <c:pt idx="29">
                  <c:v>69</c:v>
                </c:pt>
                <c:pt idx="30">
                  <c:v>69</c:v>
                </c:pt>
                <c:pt idx="31">
                  <c:v>71</c:v>
                </c:pt>
                <c:pt idx="32">
                  <c:v>66</c:v>
                </c:pt>
                <c:pt idx="33">
                  <c:v>67</c:v>
                </c:pt>
                <c:pt idx="34">
                  <c:v>88</c:v>
                </c:pt>
                <c:pt idx="35">
                  <c:v>67</c:v>
                </c:pt>
                <c:pt idx="36">
                  <c:v>75</c:v>
                </c:pt>
                <c:pt idx="37">
                  <c:v>54</c:v>
                </c:pt>
                <c:pt idx="38">
                  <c:v>99</c:v>
                </c:pt>
                <c:pt idx="39">
                  <c:v>110</c:v>
                </c:pt>
                <c:pt idx="40">
                  <c:v>93</c:v>
                </c:pt>
                <c:pt idx="41">
                  <c:v>82</c:v>
                </c:pt>
                <c:pt idx="42">
                  <c:v>108.66666666666667</c:v>
                </c:pt>
                <c:pt idx="43">
                  <c:v>94.333333333333329</c:v>
                </c:pt>
                <c:pt idx="44">
                  <c:v>72.666666666666671</c:v>
                </c:pt>
                <c:pt idx="45">
                  <c:v>78.333333333333329</c:v>
                </c:pt>
                <c:pt idx="46">
                  <c:v>51.333333333333336</c:v>
                </c:pt>
                <c:pt idx="47">
                  <c:v>51</c:v>
                </c:pt>
                <c:pt idx="48">
                  <c:v>64.333333333333329</c:v>
                </c:pt>
                <c:pt idx="49">
                  <c:v>133.66666666666666</c:v>
                </c:pt>
                <c:pt idx="50">
                  <c:v>118.33333333333333</c:v>
                </c:pt>
                <c:pt idx="51">
                  <c:v>100.66666666666667</c:v>
                </c:pt>
                <c:pt idx="52">
                  <c:v>87</c:v>
                </c:pt>
                <c:pt idx="53">
                  <c:v>79</c:v>
                </c:pt>
                <c:pt idx="54">
                  <c:v>61.666666666666664</c:v>
                </c:pt>
                <c:pt idx="55">
                  <c:v>77</c:v>
                </c:pt>
              </c:numCache>
            </c:numRef>
          </c:xVal>
          <c:yVal>
            <c:numRef>
              <c:f>Fitting!$I$21:$I$76</c:f>
              <c:numCache>
                <c:formatCode>General</c:formatCode>
                <c:ptCount val="56"/>
                <c:pt idx="14" formatCode="0">
                  <c:v>68</c:v>
                </c:pt>
                <c:pt idx="15" formatCode="0">
                  <c:v>82</c:v>
                </c:pt>
                <c:pt idx="16" formatCode="0">
                  <c:v>87</c:v>
                </c:pt>
                <c:pt idx="18" formatCode="0">
                  <c:v>76</c:v>
                </c:pt>
                <c:pt idx="19" formatCode="0">
                  <c:v>89</c:v>
                </c:pt>
                <c:pt idx="20" formatCode="0">
                  <c:v>82</c:v>
                </c:pt>
                <c:pt idx="21" formatCode="0">
                  <c:v>69</c:v>
                </c:pt>
                <c:pt idx="24" formatCode="0">
                  <c:v>128</c:v>
                </c:pt>
                <c:pt idx="25" formatCode="0">
                  <c:v>122</c:v>
                </c:pt>
                <c:pt idx="26" formatCode="0">
                  <c:v>110</c:v>
                </c:pt>
                <c:pt idx="27" formatCode="0">
                  <c:v>98</c:v>
                </c:pt>
                <c:pt idx="28" formatCode="0">
                  <c:v>84</c:v>
                </c:pt>
                <c:pt idx="29" formatCode="0">
                  <c:v>71</c:v>
                </c:pt>
                <c:pt idx="30" formatCode="0">
                  <c:v>72</c:v>
                </c:pt>
                <c:pt idx="31" formatCode="0">
                  <c:v>70</c:v>
                </c:pt>
                <c:pt idx="32" formatCode="0">
                  <c:v>65</c:v>
                </c:pt>
                <c:pt idx="33" formatCode="0">
                  <c:v>62</c:v>
                </c:pt>
                <c:pt idx="34" formatCode="0">
                  <c:v>80</c:v>
                </c:pt>
                <c:pt idx="35" formatCode="0">
                  <c:v>84</c:v>
                </c:pt>
                <c:pt idx="36" formatCode="0">
                  <c:v>75</c:v>
                </c:pt>
                <c:pt idx="37" formatCode="0">
                  <c:v>61</c:v>
                </c:pt>
                <c:pt idx="38" formatCode="0">
                  <c:v>139</c:v>
                </c:pt>
                <c:pt idx="39" formatCode="0">
                  <c:v>124</c:v>
                </c:pt>
                <c:pt idx="40" formatCode="0">
                  <c:v>99</c:v>
                </c:pt>
                <c:pt idx="41" formatCode="0">
                  <c:v>79</c:v>
                </c:pt>
                <c:pt idx="42" formatCode="0">
                  <c:v>118</c:v>
                </c:pt>
                <c:pt idx="43" formatCode="0">
                  <c:v>103</c:v>
                </c:pt>
                <c:pt idx="44" formatCode="0">
                  <c:v>81</c:v>
                </c:pt>
                <c:pt idx="45" formatCode="0">
                  <c:v>59</c:v>
                </c:pt>
                <c:pt idx="46" formatCode="0">
                  <c:v>47</c:v>
                </c:pt>
                <c:pt idx="47" formatCode="0">
                  <c:v>40</c:v>
                </c:pt>
                <c:pt idx="48" formatCode="0">
                  <c:v>51</c:v>
                </c:pt>
                <c:pt idx="49" formatCode="0">
                  <c:v>125</c:v>
                </c:pt>
                <c:pt idx="50" formatCode="0">
                  <c:v>130</c:v>
                </c:pt>
                <c:pt idx="51" formatCode="0">
                  <c:v>115</c:v>
                </c:pt>
                <c:pt idx="52" formatCode="0">
                  <c:v>98</c:v>
                </c:pt>
                <c:pt idx="53" formatCode="0">
                  <c:v>68</c:v>
                </c:pt>
                <c:pt idx="54" formatCode="0">
                  <c:v>49</c:v>
                </c:pt>
                <c:pt idx="55" formatCode="0">
                  <c:v>41</c:v>
                </c:pt>
              </c:numCache>
            </c:numRef>
          </c:yVal>
        </c:ser>
        <c:ser>
          <c:idx val="1"/>
          <c:order val="1"/>
          <c:spPr>
            <a:ln w="285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Fitting!$T$29:$T$30</c:f>
              <c:numCache>
                <c:formatCode>General</c:formatCode>
                <c:ptCount val="2"/>
                <c:pt idx="0">
                  <c:v>0</c:v>
                </c:pt>
                <c:pt idx="1">
                  <c:v>150</c:v>
                </c:pt>
              </c:numCache>
            </c:numRef>
          </c:xVal>
          <c:yVal>
            <c:numRef>
              <c:f>Fitting!$U$29:$U$30</c:f>
              <c:numCache>
                <c:formatCode>General</c:formatCode>
                <c:ptCount val="2"/>
                <c:pt idx="0">
                  <c:v>0</c:v>
                </c:pt>
                <c:pt idx="1">
                  <c:v>150</c:v>
                </c:pt>
              </c:numCache>
            </c:numRef>
          </c:yVal>
        </c:ser>
        <c:axId val="117005312"/>
        <c:axId val="117011200"/>
      </c:scatterChart>
      <c:valAx>
        <c:axId val="117005312"/>
        <c:scaling>
          <c:orientation val="minMax"/>
        </c:scaling>
        <c:axPos val="b"/>
        <c:numFmt formatCode="General" sourceLinked="1"/>
        <c:tickLblPos val="nextTo"/>
        <c:crossAx val="117011200"/>
        <c:crosses val="autoZero"/>
        <c:crossBetween val="midCat"/>
      </c:valAx>
      <c:valAx>
        <c:axId val="117011200"/>
        <c:scaling>
          <c:orientation val="minMax"/>
        </c:scaling>
        <c:axPos val="l"/>
        <c:majorGridlines/>
        <c:numFmt formatCode="General" sourceLinked="1"/>
        <c:tickLblPos val="nextTo"/>
        <c:crossAx val="117005312"/>
        <c:crosses val="autoZero"/>
        <c:crossBetween val="midCat"/>
      </c:valAx>
    </c:plotArea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AU"/>
  <c:chart>
    <c:plotArea>
      <c:layout/>
      <c:scatterChart>
        <c:scatterStyle val="smoothMarker"/>
        <c:ser>
          <c:idx val="0"/>
          <c:order val="0"/>
          <c:marker>
            <c:symbol val="none"/>
          </c:marker>
          <c:xVal>
            <c:numRef>
              <c:f>Fitting!$A$10:$A$17</c:f>
              <c:numCache>
                <c:formatCode>General</c:formatCode>
                <c:ptCount val="8"/>
                <c:pt idx="0">
                  <c:v>8</c:v>
                </c:pt>
                <c:pt idx="1">
                  <c:v>10</c:v>
                </c:pt>
                <c:pt idx="2">
                  <c:v>12</c:v>
                </c:pt>
                <c:pt idx="3">
                  <c:v>14</c:v>
                </c:pt>
                <c:pt idx="4">
                  <c:v>16</c:v>
                </c:pt>
                <c:pt idx="5">
                  <c:v>18</c:v>
                </c:pt>
                <c:pt idx="6">
                  <c:v>20</c:v>
                </c:pt>
                <c:pt idx="7">
                  <c:v>21</c:v>
                </c:pt>
              </c:numCache>
            </c:numRef>
          </c:xVal>
          <c:yVal>
            <c:numRef>
              <c:f>Fitting!$B$10:$B$17</c:f>
              <c:numCache>
                <c:formatCode>General</c:formatCode>
                <c:ptCount val="8"/>
                <c:pt idx="0">
                  <c:v>-1.4000000000000012E-2</c:v>
                </c:pt>
                <c:pt idx="1">
                  <c:v>0.27400000000000002</c:v>
                </c:pt>
                <c:pt idx="2">
                  <c:v>0.51400000000000001</c:v>
                </c:pt>
                <c:pt idx="3">
                  <c:v>0.70599999999999996</c:v>
                </c:pt>
                <c:pt idx="4">
                  <c:v>0.85</c:v>
                </c:pt>
                <c:pt idx="5">
                  <c:v>0.94599999999999995</c:v>
                </c:pt>
                <c:pt idx="6">
                  <c:v>0.99399999999999999</c:v>
                </c:pt>
                <c:pt idx="7">
                  <c:v>1</c:v>
                </c:pt>
              </c:numCache>
            </c:numRef>
          </c:yVal>
          <c:smooth val="1"/>
        </c:ser>
        <c:axId val="117026176"/>
        <c:axId val="117036160"/>
      </c:scatterChart>
      <c:valAx>
        <c:axId val="117026176"/>
        <c:scaling>
          <c:orientation val="minMax"/>
          <c:max val="21"/>
          <c:min val="8"/>
        </c:scaling>
        <c:axPos val="b"/>
        <c:numFmt formatCode="General" sourceLinked="1"/>
        <c:tickLblPos val="nextTo"/>
        <c:crossAx val="117036160"/>
        <c:crosses val="autoZero"/>
        <c:crossBetween val="midCat"/>
        <c:majorUnit val="2"/>
      </c:valAx>
      <c:valAx>
        <c:axId val="117036160"/>
        <c:scaling>
          <c:orientation val="minMax"/>
          <c:min val="0"/>
        </c:scaling>
        <c:axPos val="l"/>
        <c:majorGridlines/>
        <c:numFmt formatCode="General" sourceLinked="1"/>
        <c:tickLblPos val="nextTo"/>
        <c:crossAx val="117026176"/>
        <c:crosses val="autoZero"/>
        <c:crossBetween val="midCat"/>
      </c:valAx>
    </c:plotArea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AU"/>
  <c:chart>
    <c:autoTitleDeleted val="1"/>
    <c:plotArea>
      <c:layout/>
      <c:scatterChart>
        <c:scatterStyle val="lineMarker"/>
        <c:ser>
          <c:idx val="0"/>
          <c:order val="0"/>
          <c:tx>
            <c:strRef>
              <c:f>Herm8889!$P$4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circle"/>
            <c:size val="7"/>
          </c:marker>
          <c:xVal>
            <c:numRef>
              <c:f>Herm8889!$AO$4:$AO$6</c:f>
              <c:numCache>
                <c:formatCode>General</c:formatCode>
                <c:ptCount val="3"/>
              </c:numCache>
            </c:numRef>
          </c:xVal>
          <c:yVal>
            <c:numRef>
              <c:f>Herm8889!$AP$4:$AP$6</c:f>
              <c:numCache>
                <c:formatCode>General</c:formatCode>
                <c:ptCount val="3"/>
              </c:numCache>
            </c:numRef>
          </c:yVal>
        </c:ser>
        <c:ser>
          <c:idx val="1"/>
          <c:order val="1"/>
          <c:tx>
            <c:strRef>
              <c:f>Herm8889!$P$7</c:f>
              <c:strCache>
                <c:ptCount val="1"/>
              </c:strCache>
            </c:strRef>
          </c:tx>
          <c:spPr>
            <a:ln w="28575">
              <a:noFill/>
            </a:ln>
          </c:spPr>
          <c:xVal>
            <c:numRef>
              <c:f>Herm8889!$AO$7:$AO$9</c:f>
              <c:numCache>
                <c:formatCode>General</c:formatCode>
                <c:ptCount val="3"/>
              </c:numCache>
            </c:numRef>
          </c:xVal>
          <c:yVal>
            <c:numRef>
              <c:f>Herm8889!$AP$7:$AP$9</c:f>
              <c:numCache>
                <c:formatCode>General</c:formatCode>
                <c:ptCount val="3"/>
              </c:numCache>
            </c:numRef>
          </c:yVal>
        </c:ser>
        <c:ser>
          <c:idx val="2"/>
          <c:order val="2"/>
          <c:tx>
            <c:strRef>
              <c:f>Herm8889!$P$10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circle"/>
            <c:size val="7"/>
          </c:marker>
          <c:xVal>
            <c:numRef>
              <c:f>Herm8889!$AO$10:$AO$12</c:f>
              <c:numCache>
                <c:formatCode>General</c:formatCode>
                <c:ptCount val="3"/>
              </c:numCache>
            </c:numRef>
          </c:xVal>
          <c:yVal>
            <c:numRef>
              <c:f>Herm8889!$AP$10:$AP$12</c:f>
              <c:numCache>
                <c:formatCode>General</c:formatCode>
                <c:ptCount val="3"/>
              </c:numCache>
            </c:numRef>
          </c:yVal>
        </c:ser>
        <c:ser>
          <c:idx val="3"/>
          <c:order val="3"/>
          <c:tx>
            <c:strRef>
              <c:f>Herm8889!$P$13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circle"/>
            <c:size val="7"/>
          </c:marker>
          <c:xVal>
            <c:numRef>
              <c:f>Herm8889!$AO$13:$AO$15</c:f>
              <c:numCache>
                <c:formatCode>General</c:formatCode>
                <c:ptCount val="3"/>
              </c:numCache>
            </c:numRef>
          </c:xVal>
          <c:yVal>
            <c:numRef>
              <c:f>Herm8889!$AP$13:$AP$15</c:f>
              <c:numCache>
                <c:formatCode>General</c:formatCode>
                <c:ptCount val="3"/>
              </c:numCache>
            </c:numRef>
          </c:yVal>
        </c:ser>
        <c:ser>
          <c:idx val="4"/>
          <c:order val="4"/>
          <c:spPr>
            <a:ln w="285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Herm8889!#REF!</c:f>
            </c:numRef>
          </c:xVal>
          <c:yVal>
            <c:numRef>
              <c:f>Herm8889!#REF!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</c:ser>
        <c:ser>
          <c:idx val="5"/>
          <c:order val="5"/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Herm8889!#REF!</c:f>
            </c:numRef>
          </c:xVal>
          <c:yVal>
            <c:numRef>
              <c:f>Herm8889!#REF!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</c:ser>
        <c:ser>
          <c:idx val="6"/>
          <c:order val="6"/>
          <c:spPr>
            <a:ln w="28575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Herm8889!#REF!</c:f>
            </c:numRef>
          </c:xVal>
          <c:yVal>
            <c:numRef>
              <c:f>Herm8889!#REF!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</c:ser>
        <c:ser>
          <c:idx val="7"/>
          <c:order val="7"/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Herm8889!#REF!</c:f>
            </c:numRef>
          </c:xVal>
          <c:yVal>
            <c:numRef>
              <c:f>Herm8889!#REF!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</c:ser>
        <c:axId val="128567168"/>
        <c:axId val="128568704"/>
      </c:scatterChart>
      <c:valAx>
        <c:axId val="128567168"/>
        <c:scaling>
          <c:orientation val="minMax"/>
          <c:max val="14"/>
          <c:min val="11"/>
        </c:scaling>
        <c:axPos val="b"/>
        <c:numFmt formatCode="General" sourceLinked="1"/>
        <c:tickLblPos val="nextTo"/>
        <c:crossAx val="128568704"/>
        <c:crosses val="autoZero"/>
        <c:crossBetween val="midCat"/>
      </c:valAx>
      <c:valAx>
        <c:axId val="128568704"/>
        <c:scaling>
          <c:orientation val="minMax"/>
          <c:max val="600"/>
        </c:scaling>
        <c:axPos val="l"/>
        <c:majorGridlines/>
        <c:numFmt formatCode="General" sourceLinked="1"/>
        <c:tickLblPos val="nextTo"/>
        <c:crossAx val="128567168"/>
        <c:crosses val="autoZero"/>
        <c:crossBetween val="midCat"/>
      </c:valAx>
    </c:plotArea>
    <c:legend>
      <c:legendPos val="r"/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7"/>
        <c:delete val="1"/>
      </c:legendEntry>
    </c:legend>
    <c:plotVisOnly val="1"/>
  </c:chart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AU"/>
  <c:chart>
    <c:title>
      <c:tx>
        <c:rich>
          <a:bodyPr/>
          <a:lstStyle/>
          <a:p>
            <a:pPr>
              <a:defRPr/>
            </a:pPr>
            <a:r>
              <a:rPr lang="en-AU"/>
              <a:t>Final</a:t>
            </a:r>
            <a:r>
              <a:rPr lang="en-AU" baseline="0"/>
              <a:t> Leaf Number</a:t>
            </a:r>
            <a:endParaRPr lang="en-AU"/>
          </a:p>
        </c:rich>
      </c:tx>
    </c:title>
    <c:plotArea>
      <c:layout>
        <c:manualLayout>
          <c:layoutTarget val="inner"/>
          <c:xMode val="edge"/>
          <c:yMode val="edge"/>
          <c:x val="0.11705432146184996"/>
          <c:y val="0.21072332174694391"/>
          <c:w val="0.78177133346136662"/>
          <c:h val="0.66389302688515384"/>
        </c:manualLayout>
      </c:layout>
      <c:scatterChart>
        <c:scatterStyle val="lineMarker"/>
        <c:ser>
          <c:idx val="0"/>
          <c:order val="0"/>
          <c:tx>
            <c:strRef>
              <c:f>Herm8889!$AK$3</c:f>
              <c:strCache>
                <c:ptCount val="1"/>
              </c:strCache>
            </c:strRef>
          </c:tx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layout>
                <c:manualLayout>
                  <c:x val="0.35788221784777052"/>
                  <c:y val="0.39646557338227661"/>
                </c:manualLayout>
              </c:layout>
              <c:numFmt formatCode="General" sourceLinked="0"/>
            </c:trendlineLbl>
          </c:trendline>
          <c:xVal>
            <c:numRef>
              <c:f>Herm8889!$W$4:$W$15</c:f>
              <c:numCache>
                <c:formatCode>General</c:formatCode>
                <c:ptCount val="12"/>
              </c:numCache>
            </c:numRef>
          </c:xVal>
          <c:yVal>
            <c:numRef>
              <c:f>Herm8889!$AK$4:$AK$15</c:f>
              <c:numCache>
                <c:formatCode>General</c:formatCode>
                <c:ptCount val="12"/>
              </c:numCache>
            </c:numRef>
          </c:yVal>
        </c:ser>
        <c:ser>
          <c:idx val="1"/>
          <c:order val="1"/>
          <c:spPr>
            <a:ln w="285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Herm8889!$O$1:$O$1</c:f>
              <c:numCache>
                <c:formatCode>General</c:formatCode>
                <c:ptCount val="1"/>
              </c:numCache>
            </c:numRef>
          </c:xVal>
          <c:yVal>
            <c:numRef>
              <c:f>Herm8889!$P$1:$P$1</c:f>
              <c:numCache>
                <c:formatCode>General</c:formatCode>
                <c:ptCount val="1"/>
              </c:numCache>
            </c:numRef>
          </c:yVal>
        </c:ser>
        <c:axId val="124410112"/>
        <c:axId val="124440576"/>
      </c:scatterChart>
      <c:valAx>
        <c:axId val="124410112"/>
        <c:scaling>
          <c:orientation val="minMax"/>
        </c:scaling>
        <c:axPos val="b"/>
        <c:numFmt formatCode="General" sourceLinked="1"/>
        <c:tickLblPos val="nextTo"/>
        <c:crossAx val="124440576"/>
        <c:crosses val="autoZero"/>
        <c:crossBetween val="midCat"/>
      </c:valAx>
      <c:valAx>
        <c:axId val="124440576"/>
        <c:scaling>
          <c:orientation val="minMax"/>
        </c:scaling>
        <c:axPos val="l"/>
        <c:majorGridlines/>
        <c:numFmt formatCode="General" sourceLinked="1"/>
        <c:tickLblPos val="nextTo"/>
        <c:crossAx val="124410112"/>
        <c:crosses val="autoZero"/>
        <c:crossBetween val="midCat"/>
      </c:valAx>
    </c:plotArea>
    <c:plotVisOnly val="1"/>
  </c:chart>
  <c:printSettings>
    <c:headerFooter/>
    <c:pageMargins b="0.75000000000000155" l="0.70000000000000062" r="0.70000000000000062" t="0.75000000000000155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AU"/>
  <c:chart>
    <c:title/>
    <c:plotArea>
      <c:layout/>
      <c:scatterChart>
        <c:scatterStyle val="lineMarker"/>
        <c:ser>
          <c:idx val="0"/>
          <c:order val="0"/>
          <c:tx>
            <c:strRef>
              <c:f>Herm8889!#REF!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xVal>
            <c:numRef>
              <c:f>Herm8889!$BA$2:$BA$18</c:f>
              <c:numCache>
                <c:formatCode>General</c:formatCode>
                <c:ptCount val="17"/>
              </c:numCache>
            </c:numRef>
          </c:xVal>
          <c:yVal>
            <c:numRef>
              <c:f>Herm8889!#REF!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</c:ser>
        <c:axId val="124451456"/>
        <c:axId val="136978816"/>
      </c:scatterChart>
      <c:valAx>
        <c:axId val="124451456"/>
        <c:scaling>
          <c:orientation val="minMax"/>
        </c:scaling>
        <c:axPos val="b"/>
        <c:numFmt formatCode="General" sourceLinked="1"/>
        <c:tickLblPos val="nextTo"/>
        <c:crossAx val="136978816"/>
        <c:crosses val="autoZero"/>
        <c:crossBetween val="midCat"/>
      </c:valAx>
      <c:valAx>
        <c:axId val="136978816"/>
        <c:scaling>
          <c:orientation val="minMax"/>
        </c:scaling>
        <c:axPos val="l"/>
        <c:majorGridlines/>
        <c:numFmt formatCode="General" sourceLinked="1"/>
        <c:tickLblPos val="nextTo"/>
        <c:crossAx val="124451456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AU"/>
  <c:chart>
    <c:plotArea>
      <c:layout/>
      <c:scatterChart>
        <c:scatterStyle val="lineMarker"/>
        <c:ser>
          <c:idx val="0"/>
          <c:order val="0"/>
          <c:tx>
            <c:strRef>
              <c:f>Herm8889!$C$3</c:f>
              <c:strCache>
                <c:ptCount val="1"/>
                <c:pt idx="0">
                  <c:v>PP</c:v>
                </c:pt>
              </c:strCache>
            </c:strRef>
          </c:tx>
          <c:marker>
            <c:symbol val="none"/>
          </c:marker>
          <c:xVal>
            <c:numRef>
              <c:f>Herm8889!$A$4:$A$368</c:f>
              <c:numCache>
                <c:formatCode>d\-mmm\-yy</c:formatCode>
                <c:ptCount val="365"/>
                <c:pt idx="0">
                  <c:v>32264</c:v>
                </c:pt>
                <c:pt idx="1">
                  <c:v>32265</c:v>
                </c:pt>
                <c:pt idx="2">
                  <c:v>32266</c:v>
                </c:pt>
                <c:pt idx="3">
                  <c:v>32267</c:v>
                </c:pt>
                <c:pt idx="4">
                  <c:v>32268</c:v>
                </c:pt>
                <c:pt idx="5">
                  <c:v>32269</c:v>
                </c:pt>
                <c:pt idx="6">
                  <c:v>32270</c:v>
                </c:pt>
                <c:pt idx="7">
                  <c:v>32271</c:v>
                </c:pt>
                <c:pt idx="8">
                  <c:v>32272</c:v>
                </c:pt>
                <c:pt idx="9">
                  <c:v>32273</c:v>
                </c:pt>
                <c:pt idx="10">
                  <c:v>32274</c:v>
                </c:pt>
                <c:pt idx="11">
                  <c:v>32275</c:v>
                </c:pt>
                <c:pt idx="12">
                  <c:v>32276</c:v>
                </c:pt>
                <c:pt idx="13">
                  <c:v>32277</c:v>
                </c:pt>
                <c:pt idx="14">
                  <c:v>32278</c:v>
                </c:pt>
                <c:pt idx="15">
                  <c:v>32279</c:v>
                </c:pt>
                <c:pt idx="16">
                  <c:v>32280</c:v>
                </c:pt>
                <c:pt idx="17">
                  <c:v>32281</c:v>
                </c:pt>
                <c:pt idx="18">
                  <c:v>32282</c:v>
                </c:pt>
                <c:pt idx="19">
                  <c:v>32283</c:v>
                </c:pt>
                <c:pt idx="20">
                  <c:v>32284</c:v>
                </c:pt>
                <c:pt idx="21">
                  <c:v>32285</c:v>
                </c:pt>
                <c:pt idx="22">
                  <c:v>32286</c:v>
                </c:pt>
                <c:pt idx="23">
                  <c:v>32287</c:v>
                </c:pt>
                <c:pt idx="24">
                  <c:v>32288</c:v>
                </c:pt>
                <c:pt idx="25">
                  <c:v>32289</c:v>
                </c:pt>
                <c:pt idx="26">
                  <c:v>32290</c:v>
                </c:pt>
                <c:pt idx="27">
                  <c:v>32291</c:v>
                </c:pt>
                <c:pt idx="28">
                  <c:v>32292</c:v>
                </c:pt>
                <c:pt idx="29">
                  <c:v>32293</c:v>
                </c:pt>
                <c:pt idx="30">
                  <c:v>32294</c:v>
                </c:pt>
                <c:pt idx="31">
                  <c:v>32295</c:v>
                </c:pt>
                <c:pt idx="32">
                  <c:v>32296</c:v>
                </c:pt>
                <c:pt idx="33">
                  <c:v>32297</c:v>
                </c:pt>
                <c:pt idx="34">
                  <c:v>32298</c:v>
                </c:pt>
                <c:pt idx="35">
                  <c:v>32299</c:v>
                </c:pt>
                <c:pt idx="36">
                  <c:v>32300</c:v>
                </c:pt>
                <c:pt idx="37">
                  <c:v>32301</c:v>
                </c:pt>
                <c:pt idx="38">
                  <c:v>32302</c:v>
                </c:pt>
                <c:pt idx="39">
                  <c:v>32303</c:v>
                </c:pt>
                <c:pt idx="40">
                  <c:v>32304</c:v>
                </c:pt>
                <c:pt idx="41">
                  <c:v>32305</c:v>
                </c:pt>
                <c:pt idx="42">
                  <c:v>32306</c:v>
                </c:pt>
                <c:pt idx="43">
                  <c:v>32307</c:v>
                </c:pt>
                <c:pt idx="44">
                  <c:v>32308</c:v>
                </c:pt>
                <c:pt idx="45">
                  <c:v>32309</c:v>
                </c:pt>
                <c:pt idx="46">
                  <c:v>32310</c:v>
                </c:pt>
                <c:pt idx="47">
                  <c:v>32311</c:v>
                </c:pt>
                <c:pt idx="48">
                  <c:v>32312</c:v>
                </c:pt>
                <c:pt idx="49">
                  <c:v>32313</c:v>
                </c:pt>
                <c:pt idx="50">
                  <c:v>32314</c:v>
                </c:pt>
                <c:pt idx="51">
                  <c:v>32315</c:v>
                </c:pt>
                <c:pt idx="52">
                  <c:v>32316</c:v>
                </c:pt>
                <c:pt idx="53">
                  <c:v>32317</c:v>
                </c:pt>
                <c:pt idx="54">
                  <c:v>32318</c:v>
                </c:pt>
                <c:pt idx="55">
                  <c:v>32319</c:v>
                </c:pt>
                <c:pt idx="56">
                  <c:v>32320</c:v>
                </c:pt>
                <c:pt idx="57">
                  <c:v>32321</c:v>
                </c:pt>
                <c:pt idx="58">
                  <c:v>32322</c:v>
                </c:pt>
                <c:pt idx="59">
                  <c:v>32323</c:v>
                </c:pt>
                <c:pt idx="60">
                  <c:v>32324</c:v>
                </c:pt>
                <c:pt idx="61">
                  <c:v>32325</c:v>
                </c:pt>
                <c:pt idx="62">
                  <c:v>32326</c:v>
                </c:pt>
                <c:pt idx="63">
                  <c:v>32327</c:v>
                </c:pt>
                <c:pt idx="64">
                  <c:v>32328</c:v>
                </c:pt>
                <c:pt idx="65">
                  <c:v>32329</c:v>
                </c:pt>
                <c:pt idx="66">
                  <c:v>32330</c:v>
                </c:pt>
                <c:pt idx="67">
                  <c:v>32331</c:v>
                </c:pt>
                <c:pt idx="68">
                  <c:v>32332</c:v>
                </c:pt>
                <c:pt idx="69">
                  <c:v>32333</c:v>
                </c:pt>
                <c:pt idx="70">
                  <c:v>32334</c:v>
                </c:pt>
                <c:pt idx="71">
                  <c:v>32335</c:v>
                </c:pt>
                <c:pt idx="72">
                  <c:v>32336</c:v>
                </c:pt>
                <c:pt idx="73">
                  <c:v>32337</c:v>
                </c:pt>
                <c:pt idx="74">
                  <c:v>32338</c:v>
                </c:pt>
                <c:pt idx="75">
                  <c:v>32339</c:v>
                </c:pt>
                <c:pt idx="76">
                  <c:v>32340</c:v>
                </c:pt>
                <c:pt idx="77">
                  <c:v>32341</c:v>
                </c:pt>
                <c:pt idx="78">
                  <c:v>32342</c:v>
                </c:pt>
                <c:pt idx="79">
                  <c:v>32343</c:v>
                </c:pt>
                <c:pt idx="80">
                  <c:v>32344</c:v>
                </c:pt>
                <c:pt idx="81">
                  <c:v>32345</c:v>
                </c:pt>
                <c:pt idx="82">
                  <c:v>32346</c:v>
                </c:pt>
                <c:pt idx="83">
                  <c:v>32347</c:v>
                </c:pt>
                <c:pt idx="84">
                  <c:v>32348</c:v>
                </c:pt>
                <c:pt idx="85">
                  <c:v>32349</c:v>
                </c:pt>
                <c:pt idx="86">
                  <c:v>32350</c:v>
                </c:pt>
                <c:pt idx="87">
                  <c:v>32351</c:v>
                </c:pt>
                <c:pt idx="88">
                  <c:v>32352</c:v>
                </c:pt>
                <c:pt idx="89">
                  <c:v>32353</c:v>
                </c:pt>
                <c:pt idx="90">
                  <c:v>32354</c:v>
                </c:pt>
                <c:pt idx="91">
                  <c:v>32355</c:v>
                </c:pt>
                <c:pt idx="92">
                  <c:v>32356</c:v>
                </c:pt>
                <c:pt idx="93">
                  <c:v>32357</c:v>
                </c:pt>
                <c:pt idx="94">
                  <c:v>32358</c:v>
                </c:pt>
                <c:pt idx="95">
                  <c:v>32359</c:v>
                </c:pt>
                <c:pt idx="96">
                  <c:v>32360</c:v>
                </c:pt>
                <c:pt idx="97">
                  <c:v>32361</c:v>
                </c:pt>
                <c:pt idx="98">
                  <c:v>32362</c:v>
                </c:pt>
                <c:pt idx="99">
                  <c:v>32363</c:v>
                </c:pt>
                <c:pt idx="100">
                  <c:v>32364</c:v>
                </c:pt>
                <c:pt idx="101">
                  <c:v>32365</c:v>
                </c:pt>
                <c:pt idx="102">
                  <c:v>32366</c:v>
                </c:pt>
                <c:pt idx="103">
                  <c:v>32367</c:v>
                </c:pt>
                <c:pt idx="104">
                  <c:v>32368</c:v>
                </c:pt>
                <c:pt idx="105">
                  <c:v>32369</c:v>
                </c:pt>
                <c:pt idx="106">
                  <c:v>32370</c:v>
                </c:pt>
                <c:pt idx="107">
                  <c:v>32371</c:v>
                </c:pt>
                <c:pt idx="108">
                  <c:v>32372</c:v>
                </c:pt>
                <c:pt idx="109">
                  <c:v>32373</c:v>
                </c:pt>
                <c:pt idx="110">
                  <c:v>32374</c:v>
                </c:pt>
                <c:pt idx="111">
                  <c:v>32375</c:v>
                </c:pt>
                <c:pt idx="112">
                  <c:v>32376</c:v>
                </c:pt>
                <c:pt idx="113">
                  <c:v>32377</c:v>
                </c:pt>
                <c:pt idx="114">
                  <c:v>32378</c:v>
                </c:pt>
                <c:pt idx="115">
                  <c:v>32379</c:v>
                </c:pt>
                <c:pt idx="116">
                  <c:v>32380</c:v>
                </c:pt>
                <c:pt idx="117">
                  <c:v>32381</c:v>
                </c:pt>
                <c:pt idx="118">
                  <c:v>32382</c:v>
                </c:pt>
                <c:pt idx="119">
                  <c:v>32383</c:v>
                </c:pt>
                <c:pt idx="120">
                  <c:v>32384</c:v>
                </c:pt>
                <c:pt idx="121">
                  <c:v>32385</c:v>
                </c:pt>
                <c:pt idx="122">
                  <c:v>32386</c:v>
                </c:pt>
                <c:pt idx="123">
                  <c:v>32387</c:v>
                </c:pt>
                <c:pt idx="124">
                  <c:v>32388</c:v>
                </c:pt>
                <c:pt idx="125">
                  <c:v>32389</c:v>
                </c:pt>
                <c:pt idx="126">
                  <c:v>32390</c:v>
                </c:pt>
                <c:pt idx="127">
                  <c:v>32391</c:v>
                </c:pt>
                <c:pt idx="128">
                  <c:v>32392</c:v>
                </c:pt>
                <c:pt idx="129">
                  <c:v>32393</c:v>
                </c:pt>
                <c:pt idx="130">
                  <c:v>32394</c:v>
                </c:pt>
                <c:pt idx="131">
                  <c:v>32395</c:v>
                </c:pt>
                <c:pt idx="132">
                  <c:v>32396</c:v>
                </c:pt>
                <c:pt idx="133">
                  <c:v>32397</c:v>
                </c:pt>
                <c:pt idx="134">
                  <c:v>32398</c:v>
                </c:pt>
                <c:pt idx="135">
                  <c:v>32399</c:v>
                </c:pt>
                <c:pt idx="136">
                  <c:v>32400</c:v>
                </c:pt>
                <c:pt idx="137">
                  <c:v>32401</c:v>
                </c:pt>
                <c:pt idx="138">
                  <c:v>32402</c:v>
                </c:pt>
                <c:pt idx="139">
                  <c:v>32403</c:v>
                </c:pt>
                <c:pt idx="140">
                  <c:v>32404</c:v>
                </c:pt>
                <c:pt idx="141">
                  <c:v>32405</c:v>
                </c:pt>
                <c:pt idx="142">
                  <c:v>32406</c:v>
                </c:pt>
                <c:pt idx="143">
                  <c:v>32407</c:v>
                </c:pt>
                <c:pt idx="144">
                  <c:v>32408</c:v>
                </c:pt>
                <c:pt idx="145">
                  <c:v>32409</c:v>
                </c:pt>
                <c:pt idx="146">
                  <c:v>32410</c:v>
                </c:pt>
                <c:pt idx="147">
                  <c:v>32411</c:v>
                </c:pt>
                <c:pt idx="148">
                  <c:v>32412</c:v>
                </c:pt>
                <c:pt idx="149">
                  <c:v>32413</c:v>
                </c:pt>
                <c:pt idx="150">
                  <c:v>32414</c:v>
                </c:pt>
                <c:pt idx="151">
                  <c:v>32415</c:v>
                </c:pt>
                <c:pt idx="152">
                  <c:v>32416</c:v>
                </c:pt>
                <c:pt idx="153">
                  <c:v>32417</c:v>
                </c:pt>
                <c:pt idx="154">
                  <c:v>32418</c:v>
                </c:pt>
                <c:pt idx="155">
                  <c:v>32419</c:v>
                </c:pt>
                <c:pt idx="156">
                  <c:v>32420</c:v>
                </c:pt>
                <c:pt idx="157">
                  <c:v>32421</c:v>
                </c:pt>
                <c:pt idx="158">
                  <c:v>32422</c:v>
                </c:pt>
                <c:pt idx="159">
                  <c:v>32423</c:v>
                </c:pt>
                <c:pt idx="160">
                  <c:v>32424</c:v>
                </c:pt>
                <c:pt idx="161">
                  <c:v>32425</c:v>
                </c:pt>
                <c:pt idx="162">
                  <c:v>32426</c:v>
                </c:pt>
                <c:pt idx="163">
                  <c:v>32427</c:v>
                </c:pt>
                <c:pt idx="164">
                  <c:v>32428</c:v>
                </c:pt>
                <c:pt idx="165">
                  <c:v>32429</c:v>
                </c:pt>
                <c:pt idx="166">
                  <c:v>32430</c:v>
                </c:pt>
                <c:pt idx="167">
                  <c:v>32431</c:v>
                </c:pt>
                <c:pt idx="168">
                  <c:v>32432</c:v>
                </c:pt>
                <c:pt idx="169">
                  <c:v>32433</c:v>
                </c:pt>
                <c:pt idx="170">
                  <c:v>32434</c:v>
                </c:pt>
                <c:pt idx="171">
                  <c:v>32435</c:v>
                </c:pt>
                <c:pt idx="172">
                  <c:v>32436</c:v>
                </c:pt>
                <c:pt idx="173">
                  <c:v>32437</c:v>
                </c:pt>
                <c:pt idx="174">
                  <c:v>32438</c:v>
                </c:pt>
                <c:pt idx="175">
                  <c:v>32439</c:v>
                </c:pt>
                <c:pt idx="176">
                  <c:v>32440</c:v>
                </c:pt>
                <c:pt idx="177">
                  <c:v>32441</c:v>
                </c:pt>
                <c:pt idx="178">
                  <c:v>32442</c:v>
                </c:pt>
                <c:pt idx="179">
                  <c:v>32443</c:v>
                </c:pt>
                <c:pt idx="180">
                  <c:v>32444</c:v>
                </c:pt>
                <c:pt idx="181">
                  <c:v>32445</c:v>
                </c:pt>
                <c:pt idx="182">
                  <c:v>32446</c:v>
                </c:pt>
                <c:pt idx="183">
                  <c:v>32447</c:v>
                </c:pt>
                <c:pt idx="184">
                  <c:v>32448</c:v>
                </c:pt>
                <c:pt idx="185">
                  <c:v>32449</c:v>
                </c:pt>
                <c:pt idx="186">
                  <c:v>32450</c:v>
                </c:pt>
                <c:pt idx="187">
                  <c:v>32451</c:v>
                </c:pt>
                <c:pt idx="188">
                  <c:v>32452</c:v>
                </c:pt>
                <c:pt idx="189">
                  <c:v>32453</c:v>
                </c:pt>
                <c:pt idx="190">
                  <c:v>32454</c:v>
                </c:pt>
                <c:pt idx="191">
                  <c:v>32455</c:v>
                </c:pt>
                <c:pt idx="192">
                  <c:v>32456</c:v>
                </c:pt>
                <c:pt idx="193">
                  <c:v>32457</c:v>
                </c:pt>
                <c:pt idx="194">
                  <c:v>32458</c:v>
                </c:pt>
                <c:pt idx="195">
                  <c:v>32459</c:v>
                </c:pt>
                <c:pt idx="196">
                  <c:v>32460</c:v>
                </c:pt>
                <c:pt idx="197">
                  <c:v>32461</c:v>
                </c:pt>
                <c:pt idx="198">
                  <c:v>32462</c:v>
                </c:pt>
                <c:pt idx="199">
                  <c:v>32463</c:v>
                </c:pt>
                <c:pt idx="200">
                  <c:v>32464</c:v>
                </c:pt>
                <c:pt idx="201">
                  <c:v>32465</c:v>
                </c:pt>
                <c:pt idx="202">
                  <c:v>32466</c:v>
                </c:pt>
                <c:pt idx="203">
                  <c:v>32467</c:v>
                </c:pt>
                <c:pt idx="204">
                  <c:v>32468</c:v>
                </c:pt>
                <c:pt idx="205">
                  <c:v>32469</c:v>
                </c:pt>
                <c:pt idx="206">
                  <c:v>32470</c:v>
                </c:pt>
                <c:pt idx="207">
                  <c:v>32471</c:v>
                </c:pt>
                <c:pt idx="208">
                  <c:v>32472</c:v>
                </c:pt>
                <c:pt idx="209">
                  <c:v>32473</c:v>
                </c:pt>
                <c:pt idx="210">
                  <c:v>32474</c:v>
                </c:pt>
                <c:pt idx="211">
                  <c:v>32475</c:v>
                </c:pt>
                <c:pt idx="212">
                  <c:v>32476</c:v>
                </c:pt>
                <c:pt idx="213">
                  <c:v>32477</c:v>
                </c:pt>
                <c:pt idx="214">
                  <c:v>32478</c:v>
                </c:pt>
                <c:pt idx="215">
                  <c:v>32479</c:v>
                </c:pt>
                <c:pt idx="216">
                  <c:v>32480</c:v>
                </c:pt>
                <c:pt idx="217">
                  <c:v>32481</c:v>
                </c:pt>
                <c:pt idx="218">
                  <c:v>32482</c:v>
                </c:pt>
                <c:pt idx="219">
                  <c:v>32483</c:v>
                </c:pt>
                <c:pt idx="220">
                  <c:v>32484</c:v>
                </c:pt>
                <c:pt idx="221">
                  <c:v>32485</c:v>
                </c:pt>
                <c:pt idx="222">
                  <c:v>32486</c:v>
                </c:pt>
                <c:pt idx="223">
                  <c:v>32487</c:v>
                </c:pt>
                <c:pt idx="224">
                  <c:v>32488</c:v>
                </c:pt>
                <c:pt idx="225">
                  <c:v>32489</c:v>
                </c:pt>
                <c:pt idx="226">
                  <c:v>32490</c:v>
                </c:pt>
                <c:pt idx="227">
                  <c:v>32491</c:v>
                </c:pt>
                <c:pt idx="228">
                  <c:v>32492</c:v>
                </c:pt>
                <c:pt idx="229">
                  <c:v>32493</c:v>
                </c:pt>
                <c:pt idx="230">
                  <c:v>32494</c:v>
                </c:pt>
                <c:pt idx="231">
                  <c:v>32495</c:v>
                </c:pt>
                <c:pt idx="232">
                  <c:v>32496</c:v>
                </c:pt>
                <c:pt idx="233">
                  <c:v>32497</c:v>
                </c:pt>
                <c:pt idx="234">
                  <c:v>32498</c:v>
                </c:pt>
                <c:pt idx="235">
                  <c:v>32499</c:v>
                </c:pt>
                <c:pt idx="236">
                  <c:v>32500</c:v>
                </c:pt>
                <c:pt idx="237">
                  <c:v>32501</c:v>
                </c:pt>
                <c:pt idx="238">
                  <c:v>32502</c:v>
                </c:pt>
                <c:pt idx="239">
                  <c:v>32503</c:v>
                </c:pt>
                <c:pt idx="240">
                  <c:v>32504</c:v>
                </c:pt>
                <c:pt idx="241">
                  <c:v>32505</c:v>
                </c:pt>
                <c:pt idx="242">
                  <c:v>32506</c:v>
                </c:pt>
                <c:pt idx="243">
                  <c:v>32507</c:v>
                </c:pt>
                <c:pt idx="244">
                  <c:v>32508</c:v>
                </c:pt>
                <c:pt idx="245">
                  <c:v>32509</c:v>
                </c:pt>
                <c:pt idx="246">
                  <c:v>32510</c:v>
                </c:pt>
                <c:pt idx="247">
                  <c:v>32511</c:v>
                </c:pt>
                <c:pt idx="248">
                  <c:v>32512</c:v>
                </c:pt>
                <c:pt idx="249">
                  <c:v>32513</c:v>
                </c:pt>
                <c:pt idx="250">
                  <c:v>32514</c:v>
                </c:pt>
                <c:pt idx="251">
                  <c:v>32515</c:v>
                </c:pt>
                <c:pt idx="252">
                  <c:v>32516</c:v>
                </c:pt>
                <c:pt idx="253">
                  <c:v>32517</c:v>
                </c:pt>
                <c:pt idx="254">
                  <c:v>32518</c:v>
                </c:pt>
                <c:pt idx="255">
                  <c:v>32519</c:v>
                </c:pt>
                <c:pt idx="256">
                  <c:v>32520</c:v>
                </c:pt>
                <c:pt idx="257">
                  <c:v>32521</c:v>
                </c:pt>
                <c:pt idx="258">
                  <c:v>32522</c:v>
                </c:pt>
                <c:pt idx="259">
                  <c:v>32523</c:v>
                </c:pt>
                <c:pt idx="260">
                  <c:v>32524</c:v>
                </c:pt>
                <c:pt idx="261">
                  <c:v>32525</c:v>
                </c:pt>
                <c:pt idx="262">
                  <c:v>32526</c:v>
                </c:pt>
                <c:pt idx="263">
                  <c:v>32527</c:v>
                </c:pt>
                <c:pt idx="264">
                  <c:v>32528</c:v>
                </c:pt>
                <c:pt idx="265">
                  <c:v>32529</c:v>
                </c:pt>
                <c:pt idx="266">
                  <c:v>32530</c:v>
                </c:pt>
                <c:pt idx="267">
                  <c:v>32531</c:v>
                </c:pt>
                <c:pt idx="268">
                  <c:v>32532</c:v>
                </c:pt>
                <c:pt idx="269">
                  <c:v>32533</c:v>
                </c:pt>
                <c:pt idx="270">
                  <c:v>32534</c:v>
                </c:pt>
                <c:pt idx="271">
                  <c:v>32535</c:v>
                </c:pt>
                <c:pt idx="272">
                  <c:v>32536</c:v>
                </c:pt>
                <c:pt idx="273">
                  <c:v>32537</c:v>
                </c:pt>
                <c:pt idx="274">
                  <c:v>32538</c:v>
                </c:pt>
                <c:pt idx="275">
                  <c:v>32539</c:v>
                </c:pt>
                <c:pt idx="276">
                  <c:v>32540</c:v>
                </c:pt>
                <c:pt idx="277">
                  <c:v>32541</c:v>
                </c:pt>
                <c:pt idx="278">
                  <c:v>32542</c:v>
                </c:pt>
                <c:pt idx="279">
                  <c:v>32543</c:v>
                </c:pt>
                <c:pt idx="280">
                  <c:v>32544</c:v>
                </c:pt>
                <c:pt idx="281">
                  <c:v>32545</c:v>
                </c:pt>
                <c:pt idx="282">
                  <c:v>32546</c:v>
                </c:pt>
                <c:pt idx="283">
                  <c:v>32547</c:v>
                </c:pt>
                <c:pt idx="284">
                  <c:v>32548</c:v>
                </c:pt>
                <c:pt idx="285">
                  <c:v>32549</c:v>
                </c:pt>
                <c:pt idx="286">
                  <c:v>32550</c:v>
                </c:pt>
                <c:pt idx="287">
                  <c:v>32551</c:v>
                </c:pt>
                <c:pt idx="288">
                  <c:v>32552</c:v>
                </c:pt>
                <c:pt idx="289">
                  <c:v>32553</c:v>
                </c:pt>
                <c:pt idx="290">
                  <c:v>32554</c:v>
                </c:pt>
                <c:pt idx="291">
                  <c:v>32555</c:v>
                </c:pt>
                <c:pt idx="292">
                  <c:v>32556</c:v>
                </c:pt>
                <c:pt idx="293">
                  <c:v>32557</c:v>
                </c:pt>
                <c:pt idx="294">
                  <c:v>32558</c:v>
                </c:pt>
                <c:pt idx="295">
                  <c:v>32559</c:v>
                </c:pt>
                <c:pt idx="296">
                  <c:v>32560</c:v>
                </c:pt>
                <c:pt idx="297">
                  <c:v>32561</c:v>
                </c:pt>
                <c:pt idx="298">
                  <c:v>32562</c:v>
                </c:pt>
                <c:pt idx="299">
                  <c:v>32563</c:v>
                </c:pt>
                <c:pt idx="300">
                  <c:v>32564</c:v>
                </c:pt>
                <c:pt idx="301">
                  <c:v>32565</c:v>
                </c:pt>
                <c:pt idx="302">
                  <c:v>32566</c:v>
                </c:pt>
                <c:pt idx="303">
                  <c:v>32567</c:v>
                </c:pt>
                <c:pt idx="304">
                  <c:v>32568</c:v>
                </c:pt>
                <c:pt idx="305">
                  <c:v>32569</c:v>
                </c:pt>
                <c:pt idx="306">
                  <c:v>32570</c:v>
                </c:pt>
                <c:pt idx="307">
                  <c:v>32571</c:v>
                </c:pt>
                <c:pt idx="308">
                  <c:v>32572</c:v>
                </c:pt>
                <c:pt idx="309">
                  <c:v>32573</c:v>
                </c:pt>
                <c:pt idx="310">
                  <c:v>32574</c:v>
                </c:pt>
                <c:pt idx="311">
                  <c:v>32575</c:v>
                </c:pt>
                <c:pt idx="312">
                  <c:v>32576</c:v>
                </c:pt>
                <c:pt idx="313">
                  <c:v>32577</c:v>
                </c:pt>
                <c:pt idx="314">
                  <c:v>32578</c:v>
                </c:pt>
                <c:pt idx="315">
                  <c:v>32579</c:v>
                </c:pt>
                <c:pt idx="316">
                  <c:v>32580</c:v>
                </c:pt>
                <c:pt idx="317">
                  <c:v>32581</c:v>
                </c:pt>
                <c:pt idx="318">
                  <c:v>32582</c:v>
                </c:pt>
                <c:pt idx="319">
                  <c:v>32583</c:v>
                </c:pt>
                <c:pt idx="320">
                  <c:v>32584</c:v>
                </c:pt>
                <c:pt idx="321">
                  <c:v>32585</c:v>
                </c:pt>
                <c:pt idx="322">
                  <c:v>32586</c:v>
                </c:pt>
                <c:pt idx="323">
                  <c:v>32587</c:v>
                </c:pt>
                <c:pt idx="324">
                  <c:v>32588</c:v>
                </c:pt>
                <c:pt idx="325">
                  <c:v>32589</c:v>
                </c:pt>
                <c:pt idx="326">
                  <c:v>32590</c:v>
                </c:pt>
                <c:pt idx="327">
                  <c:v>32591</c:v>
                </c:pt>
                <c:pt idx="328">
                  <c:v>32592</c:v>
                </c:pt>
                <c:pt idx="329">
                  <c:v>32593</c:v>
                </c:pt>
                <c:pt idx="330">
                  <c:v>32594</c:v>
                </c:pt>
                <c:pt idx="331">
                  <c:v>32595</c:v>
                </c:pt>
                <c:pt idx="332">
                  <c:v>32596</c:v>
                </c:pt>
                <c:pt idx="333">
                  <c:v>32597</c:v>
                </c:pt>
                <c:pt idx="334">
                  <c:v>32598</c:v>
                </c:pt>
                <c:pt idx="335">
                  <c:v>32599</c:v>
                </c:pt>
                <c:pt idx="336">
                  <c:v>32600</c:v>
                </c:pt>
                <c:pt idx="337">
                  <c:v>32601</c:v>
                </c:pt>
                <c:pt idx="338">
                  <c:v>32602</c:v>
                </c:pt>
                <c:pt idx="339">
                  <c:v>32603</c:v>
                </c:pt>
                <c:pt idx="340">
                  <c:v>32604</c:v>
                </c:pt>
                <c:pt idx="341">
                  <c:v>32605</c:v>
                </c:pt>
                <c:pt idx="342">
                  <c:v>32606</c:v>
                </c:pt>
                <c:pt idx="343">
                  <c:v>32607</c:v>
                </c:pt>
                <c:pt idx="344">
                  <c:v>32608</c:v>
                </c:pt>
                <c:pt idx="345">
                  <c:v>32609</c:v>
                </c:pt>
                <c:pt idx="346">
                  <c:v>32610</c:v>
                </c:pt>
                <c:pt idx="347">
                  <c:v>32611</c:v>
                </c:pt>
                <c:pt idx="348">
                  <c:v>32612</c:v>
                </c:pt>
                <c:pt idx="349">
                  <c:v>32613</c:v>
                </c:pt>
                <c:pt idx="350">
                  <c:v>32614</c:v>
                </c:pt>
                <c:pt idx="351">
                  <c:v>32615</c:v>
                </c:pt>
                <c:pt idx="352">
                  <c:v>32616</c:v>
                </c:pt>
                <c:pt idx="353">
                  <c:v>32617</c:v>
                </c:pt>
                <c:pt idx="354">
                  <c:v>32618</c:v>
                </c:pt>
                <c:pt idx="355">
                  <c:v>32619</c:v>
                </c:pt>
                <c:pt idx="356">
                  <c:v>32620</c:v>
                </c:pt>
                <c:pt idx="357">
                  <c:v>32621</c:v>
                </c:pt>
                <c:pt idx="358">
                  <c:v>32622</c:v>
                </c:pt>
                <c:pt idx="359">
                  <c:v>32623</c:v>
                </c:pt>
                <c:pt idx="360">
                  <c:v>32624</c:v>
                </c:pt>
                <c:pt idx="361">
                  <c:v>32625</c:v>
                </c:pt>
                <c:pt idx="362">
                  <c:v>32626</c:v>
                </c:pt>
                <c:pt idx="363">
                  <c:v>32627</c:v>
                </c:pt>
                <c:pt idx="364">
                  <c:v>32628</c:v>
                </c:pt>
              </c:numCache>
            </c:numRef>
          </c:xVal>
          <c:yVal>
            <c:numRef>
              <c:f>Herm8889!$C$4:$C$368</c:f>
              <c:numCache>
                <c:formatCode>General</c:formatCode>
                <c:ptCount val="365"/>
                <c:pt idx="0">
                  <c:v>11.839339256286621</c:v>
                </c:pt>
                <c:pt idx="1">
                  <c:v>11.81685733795166</c:v>
                </c:pt>
                <c:pt idx="2">
                  <c:v>11.794661521911621</c:v>
                </c:pt>
                <c:pt idx="3">
                  <c:v>11.772756576538086</c:v>
                </c:pt>
                <c:pt idx="4">
                  <c:v>11.75114917755127</c:v>
                </c:pt>
                <c:pt idx="5">
                  <c:v>11.729846954345703</c:v>
                </c:pt>
                <c:pt idx="6">
                  <c:v>11.708856582641602</c:v>
                </c:pt>
                <c:pt idx="7">
                  <c:v>11.68818473815918</c:v>
                </c:pt>
                <c:pt idx="8">
                  <c:v>11.667838096618652</c:v>
                </c:pt>
                <c:pt idx="9">
                  <c:v>11.647825241088867</c:v>
                </c:pt>
                <c:pt idx="10">
                  <c:v>11.62814998626709</c:v>
                </c:pt>
                <c:pt idx="11">
                  <c:v>11.608822822570801</c:v>
                </c:pt>
                <c:pt idx="12">
                  <c:v>11.589848518371582</c:v>
                </c:pt>
                <c:pt idx="13">
                  <c:v>11.571234703063965</c:v>
                </c:pt>
                <c:pt idx="14">
                  <c:v>11.55298900604248</c:v>
                </c:pt>
                <c:pt idx="15">
                  <c:v>11.535117149353027</c:v>
                </c:pt>
                <c:pt idx="16">
                  <c:v>11.517627716064453</c:v>
                </c:pt>
                <c:pt idx="17">
                  <c:v>11.50052547454834</c:v>
                </c:pt>
                <c:pt idx="18">
                  <c:v>11.483819007873535</c:v>
                </c:pt>
                <c:pt idx="19">
                  <c:v>11.467514991760254</c:v>
                </c:pt>
                <c:pt idx="20">
                  <c:v>11.451620101928711</c:v>
                </c:pt>
                <c:pt idx="21">
                  <c:v>11.436141014099121</c:v>
                </c:pt>
                <c:pt idx="22">
                  <c:v>11.421084403991699</c:v>
                </c:pt>
                <c:pt idx="23">
                  <c:v>11.40645694732666</c:v>
                </c:pt>
                <c:pt idx="24">
                  <c:v>11.392264366149902</c:v>
                </c:pt>
                <c:pt idx="25">
                  <c:v>11.378515243530273</c:v>
                </c:pt>
                <c:pt idx="26">
                  <c:v>11.365212440490723</c:v>
                </c:pt>
                <c:pt idx="27">
                  <c:v>11.352365493774414</c:v>
                </c:pt>
                <c:pt idx="28">
                  <c:v>11.33997917175293</c:v>
                </c:pt>
                <c:pt idx="29">
                  <c:v>11.328058242797852</c:v>
                </c:pt>
                <c:pt idx="30">
                  <c:v>11.316609382629395</c:v>
                </c:pt>
                <c:pt idx="31">
                  <c:v>11.305638313293457</c:v>
                </c:pt>
                <c:pt idx="32">
                  <c:v>11.295150756835938</c:v>
                </c:pt>
                <c:pt idx="33">
                  <c:v>11.285151481628418</c:v>
                </c:pt>
                <c:pt idx="34">
                  <c:v>11.275646209716797</c:v>
                </c:pt>
                <c:pt idx="35">
                  <c:v>11.26663875579834</c:v>
                </c:pt>
                <c:pt idx="36">
                  <c:v>11.258133888244629</c:v>
                </c:pt>
                <c:pt idx="37">
                  <c:v>11.25013542175293</c:v>
                </c:pt>
                <c:pt idx="38">
                  <c:v>11.242650032043457</c:v>
                </c:pt>
                <c:pt idx="39">
                  <c:v>11.235678672790527</c:v>
                </c:pt>
                <c:pt idx="40">
                  <c:v>11.229226112365723</c:v>
                </c:pt>
                <c:pt idx="41">
                  <c:v>11.223297119140625</c:v>
                </c:pt>
                <c:pt idx="42">
                  <c:v>11.217892646789551</c:v>
                </c:pt>
                <c:pt idx="43">
                  <c:v>11.213017463684082</c:v>
                </c:pt>
                <c:pt idx="44">
                  <c:v>11.208672523498535</c:v>
                </c:pt>
                <c:pt idx="45">
                  <c:v>11.204862594604492</c:v>
                </c:pt>
                <c:pt idx="46">
                  <c:v>11.201587677001953</c:v>
                </c:pt>
                <c:pt idx="47">
                  <c:v>11.198849678039551</c:v>
                </c:pt>
                <c:pt idx="48">
                  <c:v>11.196650505065918</c:v>
                </c:pt>
                <c:pt idx="49">
                  <c:v>11.194992065429688</c:v>
                </c:pt>
                <c:pt idx="50">
                  <c:v>11.193875312805176</c:v>
                </c:pt>
                <c:pt idx="51">
                  <c:v>11.19329833984375</c:v>
                </c:pt>
                <c:pt idx="52">
                  <c:v>11.193264961242676</c:v>
                </c:pt>
                <c:pt idx="53">
                  <c:v>11.19377326965332</c:v>
                </c:pt>
                <c:pt idx="54">
                  <c:v>11.194823265075684</c:v>
                </c:pt>
                <c:pt idx="55">
                  <c:v>11.196413993835449</c:v>
                </c:pt>
                <c:pt idx="56">
                  <c:v>11.198545455932617</c:v>
                </c:pt>
                <c:pt idx="57">
                  <c:v>11.201214790344238</c:v>
                </c:pt>
                <c:pt idx="58">
                  <c:v>11.204423904418945</c:v>
                </c:pt>
                <c:pt idx="59">
                  <c:v>11.20816707611084</c:v>
                </c:pt>
                <c:pt idx="60">
                  <c:v>11.212445259094238</c:v>
                </c:pt>
                <c:pt idx="61">
                  <c:v>11.217254638671875</c:v>
                </c:pt>
                <c:pt idx="62">
                  <c:v>11.222592353820801</c:v>
                </c:pt>
                <c:pt idx="63">
                  <c:v>11.228456497192383</c:v>
                </c:pt>
                <c:pt idx="64">
                  <c:v>11.234843254089355</c:v>
                </c:pt>
                <c:pt idx="65">
                  <c:v>11.24174976348877</c:v>
                </c:pt>
                <c:pt idx="66">
                  <c:v>11.249172210693359</c:v>
                </c:pt>
                <c:pt idx="67">
                  <c:v>11.257105827331543</c:v>
                </c:pt>
                <c:pt idx="68">
                  <c:v>11.265547752380371</c:v>
                </c:pt>
                <c:pt idx="69">
                  <c:v>11.274493217468262</c:v>
                </c:pt>
                <c:pt idx="70">
                  <c:v>11.283936500549316</c:v>
                </c:pt>
                <c:pt idx="71">
                  <c:v>11.293874740600586</c:v>
                </c:pt>
                <c:pt idx="72">
                  <c:v>11.304302215576172</c:v>
                </c:pt>
                <c:pt idx="73">
                  <c:v>11.315212249755859</c:v>
                </c:pt>
                <c:pt idx="74">
                  <c:v>11.326601028442383</c:v>
                </c:pt>
                <c:pt idx="75">
                  <c:v>11.338462829589844</c:v>
                </c:pt>
                <c:pt idx="76">
                  <c:v>11.350791931152344</c:v>
                </c:pt>
                <c:pt idx="77">
                  <c:v>11.363581657409668</c:v>
                </c:pt>
                <c:pt idx="78">
                  <c:v>11.376827239990234</c:v>
                </c:pt>
                <c:pt idx="79">
                  <c:v>11.390522003173828</c:v>
                </c:pt>
                <c:pt idx="80">
                  <c:v>11.404659271240234</c:v>
                </c:pt>
                <c:pt idx="81">
                  <c:v>11.419232368469238</c:v>
                </c:pt>
                <c:pt idx="82">
                  <c:v>11.434235572814941</c:v>
                </c:pt>
                <c:pt idx="83">
                  <c:v>11.449663162231445</c:v>
                </c:pt>
                <c:pt idx="84">
                  <c:v>11.465506553649902</c:v>
                </c:pt>
                <c:pt idx="85">
                  <c:v>11.481759071350098</c:v>
                </c:pt>
                <c:pt idx="86">
                  <c:v>11.498415946960449</c:v>
                </c:pt>
                <c:pt idx="87">
                  <c:v>11.515468597412109</c:v>
                </c:pt>
                <c:pt idx="88">
                  <c:v>11.532910346984863</c:v>
                </c:pt>
                <c:pt idx="89">
                  <c:v>11.550734519958496</c:v>
                </c:pt>
                <c:pt idx="90">
                  <c:v>11.568934440612793</c:v>
                </c:pt>
                <c:pt idx="91">
                  <c:v>11.587502479553223</c:v>
                </c:pt>
                <c:pt idx="92">
                  <c:v>11.60643196105957</c:v>
                </c:pt>
                <c:pt idx="93">
                  <c:v>11.625716209411621</c:v>
                </c:pt>
                <c:pt idx="94">
                  <c:v>11.645346641540527</c:v>
                </c:pt>
                <c:pt idx="95">
                  <c:v>11.665318489074707</c:v>
                </c:pt>
                <c:pt idx="96">
                  <c:v>11.685623168945312</c:v>
                </c:pt>
                <c:pt idx="97">
                  <c:v>11.706254959106445</c:v>
                </c:pt>
                <c:pt idx="98">
                  <c:v>11.727206230163574</c:v>
                </c:pt>
                <c:pt idx="99">
                  <c:v>11.748470306396484</c:v>
                </c:pt>
                <c:pt idx="100">
                  <c:v>11.770038604736328</c:v>
                </c:pt>
                <c:pt idx="101">
                  <c:v>11.79190731048584</c:v>
                </c:pt>
                <c:pt idx="102">
                  <c:v>11.814066886901855</c:v>
                </c:pt>
                <c:pt idx="103">
                  <c:v>11.836512565612793</c:v>
                </c:pt>
                <c:pt idx="104">
                  <c:v>11.859238624572754</c:v>
                </c:pt>
                <c:pt idx="105">
                  <c:v>11.882235527038574</c:v>
                </c:pt>
                <c:pt idx="106">
                  <c:v>11.905496597290039</c:v>
                </c:pt>
                <c:pt idx="107">
                  <c:v>11.929018974304199</c:v>
                </c:pt>
                <c:pt idx="108">
                  <c:v>11.952793121337891</c:v>
                </c:pt>
                <c:pt idx="109">
                  <c:v>11.976814270019531</c:v>
                </c:pt>
                <c:pt idx="110">
                  <c:v>12.00107479095459</c:v>
                </c:pt>
                <c:pt idx="111">
                  <c:v>12.025569915771484</c:v>
                </c:pt>
                <c:pt idx="112">
                  <c:v>12.050292015075684</c:v>
                </c:pt>
                <c:pt idx="113">
                  <c:v>12.075237274169922</c:v>
                </c:pt>
                <c:pt idx="114">
                  <c:v>12.100397109985352</c:v>
                </c:pt>
                <c:pt idx="115">
                  <c:v>12.125766754150391</c:v>
                </c:pt>
                <c:pt idx="116">
                  <c:v>12.151340484619141</c:v>
                </c:pt>
                <c:pt idx="117">
                  <c:v>12.177112579345703</c:v>
                </c:pt>
                <c:pt idx="118">
                  <c:v>12.203076362609863</c:v>
                </c:pt>
                <c:pt idx="119">
                  <c:v>12.229228019714355</c:v>
                </c:pt>
                <c:pt idx="120">
                  <c:v>12.255560874938965</c:v>
                </c:pt>
                <c:pt idx="121">
                  <c:v>12.282068252563477</c:v>
                </c:pt>
                <c:pt idx="122">
                  <c:v>12.308746337890625</c:v>
                </c:pt>
                <c:pt idx="123">
                  <c:v>12.335589408874512</c:v>
                </c:pt>
                <c:pt idx="124">
                  <c:v>12.362591743469238</c:v>
                </c:pt>
                <c:pt idx="125">
                  <c:v>12.389748573303223</c:v>
                </c:pt>
                <c:pt idx="126">
                  <c:v>12.41705322265625</c:v>
                </c:pt>
                <c:pt idx="127">
                  <c:v>12.444502830505371</c:v>
                </c:pt>
                <c:pt idx="128">
                  <c:v>12.472089767456055</c:v>
                </c:pt>
                <c:pt idx="129">
                  <c:v>12.499810218811035</c:v>
                </c:pt>
                <c:pt idx="130">
                  <c:v>12.527658462524414</c:v>
                </c:pt>
                <c:pt idx="131">
                  <c:v>12.555629730224609</c:v>
                </c:pt>
                <c:pt idx="132">
                  <c:v>12.583719253540039</c:v>
                </c:pt>
                <c:pt idx="133">
                  <c:v>12.611922264099121</c:v>
                </c:pt>
                <c:pt idx="134">
                  <c:v>12.640232086181641</c:v>
                </c:pt>
                <c:pt idx="135">
                  <c:v>12.668645858764648</c:v>
                </c:pt>
                <c:pt idx="136">
                  <c:v>12.697155952453613</c:v>
                </c:pt>
                <c:pt idx="137">
                  <c:v>12.725759506225586</c:v>
                </c:pt>
                <c:pt idx="138">
                  <c:v>12.754450798034668</c:v>
                </c:pt>
                <c:pt idx="139">
                  <c:v>12.783225059509277</c:v>
                </c:pt>
                <c:pt idx="140">
                  <c:v>12.812076568603516</c:v>
                </c:pt>
                <c:pt idx="141">
                  <c:v>12.841000556945801</c:v>
                </c:pt>
                <c:pt idx="142">
                  <c:v>12.869991302490234</c:v>
                </c:pt>
                <c:pt idx="143">
                  <c:v>12.899044990539551</c:v>
                </c:pt>
                <c:pt idx="144">
                  <c:v>12.928155899047852</c:v>
                </c:pt>
                <c:pt idx="145">
                  <c:v>12.957317352294922</c:v>
                </c:pt>
                <c:pt idx="146">
                  <c:v>12.986526489257812</c:v>
                </c:pt>
                <c:pt idx="147">
                  <c:v>13.015775680541992</c:v>
                </c:pt>
                <c:pt idx="148">
                  <c:v>13.045061111450195</c:v>
                </c:pt>
                <c:pt idx="149">
                  <c:v>13.074377059936523</c:v>
                </c:pt>
                <c:pt idx="150">
                  <c:v>13.103716850280762</c:v>
                </c:pt>
                <c:pt idx="151">
                  <c:v>13.133075714111328</c:v>
                </c:pt>
                <c:pt idx="152">
                  <c:v>13.162447929382324</c:v>
                </c:pt>
                <c:pt idx="153">
                  <c:v>13.191826820373535</c:v>
                </c:pt>
                <c:pt idx="154">
                  <c:v>13.221207618713379</c:v>
                </c:pt>
                <c:pt idx="155">
                  <c:v>13.250583648681641</c:v>
                </c:pt>
                <c:pt idx="156">
                  <c:v>13.279947280883789</c:v>
                </c:pt>
                <c:pt idx="157">
                  <c:v>13.309296607971191</c:v>
                </c:pt>
                <c:pt idx="158">
                  <c:v>13.338621139526367</c:v>
                </c:pt>
                <c:pt idx="159">
                  <c:v>13.367915153503418</c:v>
                </c:pt>
                <c:pt idx="160">
                  <c:v>13.397173881530762</c:v>
                </c:pt>
                <c:pt idx="161">
                  <c:v>13.426387786865234</c:v>
                </c:pt>
                <c:pt idx="162">
                  <c:v>13.45555305480957</c:v>
                </c:pt>
                <c:pt idx="163">
                  <c:v>13.484659194946289</c:v>
                </c:pt>
                <c:pt idx="164">
                  <c:v>13.513702392578125</c:v>
                </c:pt>
                <c:pt idx="165">
                  <c:v>13.542673110961914</c:v>
                </c:pt>
                <c:pt idx="166">
                  <c:v>13.571564674377441</c:v>
                </c:pt>
                <c:pt idx="167">
                  <c:v>13.600369453430176</c:v>
                </c:pt>
                <c:pt idx="168">
                  <c:v>13.62907886505127</c:v>
                </c:pt>
                <c:pt idx="169">
                  <c:v>13.657685279846191</c:v>
                </c:pt>
                <c:pt idx="170">
                  <c:v>13.68618106842041</c:v>
                </c:pt>
                <c:pt idx="171">
                  <c:v>13.714558601379395</c:v>
                </c:pt>
                <c:pt idx="172">
                  <c:v>13.742806434631348</c:v>
                </c:pt>
                <c:pt idx="173">
                  <c:v>13.770918846130371</c:v>
                </c:pt>
                <c:pt idx="174">
                  <c:v>13.798886299133301</c:v>
                </c:pt>
                <c:pt idx="175">
                  <c:v>13.826700210571289</c:v>
                </c:pt>
                <c:pt idx="176">
                  <c:v>13.854349136352539</c:v>
                </c:pt>
                <c:pt idx="177">
                  <c:v>13.881826400756836</c:v>
                </c:pt>
                <c:pt idx="178">
                  <c:v>13.909121513366699</c:v>
                </c:pt>
                <c:pt idx="179">
                  <c:v>13.936223983764648</c:v>
                </c:pt>
                <c:pt idx="180">
                  <c:v>13.963125228881836</c:v>
                </c:pt>
                <c:pt idx="181">
                  <c:v>13.989814758300781</c:v>
                </c:pt>
                <c:pt idx="182">
                  <c:v>14.016282081604004</c:v>
                </c:pt>
                <c:pt idx="183">
                  <c:v>14.042518615722656</c:v>
                </c:pt>
                <c:pt idx="184">
                  <c:v>14.068510055541992</c:v>
                </c:pt>
                <c:pt idx="185">
                  <c:v>14.094249725341797</c:v>
                </c:pt>
                <c:pt idx="186">
                  <c:v>14.119725227355957</c:v>
                </c:pt>
                <c:pt idx="187">
                  <c:v>14.144926071166992</c:v>
                </c:pt>
                <c:pt idx="188">
                  <c:v>14.169839859008789</c:v>
                </c:pt>
                <c:pt idx="189">
                  <c:v>14.1944580078125</c:v>
                </c:pt>
                <c:pt idx="190">
                  <c:v>14.218767166137695</c:v>
                </c:pt>
                <c:pt idx="191">
                  <c:v>14.242757797241211</c:v>
                </c:pt>
                <c:pt idx="192">
                  <c:v>14.266415596008301</c:v>
                </c:pt>
                <c:pt idx="193">
                  <c:v>14.289731979370117</c:v>
                </c:pt>
                <c:pt idx="194">
                  <c:v>14.312694549560547</c:v>
                </c:pt>
                <c:pt idx="195">
                  <c:v>14.33528995513916</c:v>
                </c:pt>
                <c:pt idx="196">
                  <c:v>14.357508659362793</c:v>
                </c:pt>
                <c:pt idx="197">
                  <c:v>14.379337310791016</c:v>
                </c:pt>
                <c:pt idx="198">
                  <c:v>14.400766372680664</c:v>
                </c:pt>
                <c:pt idx="199">
                  <c:v>14.421782493591309</c:v>
                </c:pt>
                <c:pt idx="200">
                  <c:v>14.442374229431152</c:v>
                </c:pt>
                <c:pt idx="201">
                  <c:v>14.462529182434082</c:v>
                </c:pt>
                <c:pt idx="202">
                  <c:v>14.482237815856934</c:v>
                </c:pt>
                <c:pt idx="203">
                  <c:v>14.501485824584961</c:v>
                </c:pt>
                <c:pt idx="204">
                  <c:v>14.520264625549316</c:v>
                </c:pt>
                <c:pt idx="205">
                  <c:v>14.538559913635254</c:v>
                </c:pt>
                <c:pt idx="206">
                  <c:v>14.556362152099609</c:v>
                </c:pt>
                <c:pt idx="207">
                  <c:v>14.573660850524902</c:v>
                </c:pt>
                <c:pt idx="208">
                  <c:v>14.59044361114502</c:v>
                </c:pt>
                <c:pt idx="209">
                  <c:v>14.606698989868164</c:v>
                </c:pt>
                <c:pt idx="210">
                  <c:v>14.622417449951172</c:v>
                </c:pt>
                <c:pt idx="211">
                  <c:v>14.637589454650879</c:v>
                </c:pt>
                <c:pt idx="212">
                  <c:v>14.652203559875488</c:v>
                </c:pt>
                <c:pt idx="213">
                  <c:v>14.666251182556152</c:v>
                </c:pt>
                <c:pt idx="214">
                  <c:v>14.679719924926758</c:v>
                </c:pt>
                <c:pt idx="215">
                  <c:v>14.69260311126709</c:v>
                </c:pt>
                <c:pt idx="216">
                  <c:v>14.704891204833984</c:v>
                </c:pt>
                <c:pt idx="217">
                  <c:v>14.716574668884277</c:v>
                </c:pt>
                <c:pt idx="218">
                  <c:v>14.727644920349121</c:v>
                </c:pt>
                <c:pt idx="219">
                  <c:v>14.738094329833984</c:v>
                </c:pt>
                <c:pt idx="220">
                  <c:v>14.747916221618652</c:v>
                </c:pt>
                <c:pt idx="221">
                  <c:v>14.757102966308594</c:v>
                </c:pt>
                <c:pt idx="222">
                  <c:v>14.765645980834961</c:v>
                </c:pt>
                <c:pt idx="223">
                  <c:v>14.773540496826172</c:v>
                </c:pt>
                <c:pt idx="224">
                  <c:v>14.780780792236328</c:v>
                </c:pt>
                <c:pt idx="225">
                  <c:v>14.787361145019531</c:v>
                </c:pt>
                <c:pt idx="226">
                  <c:v>14.793275833129883</c:v>
                </c:pt>
                <c:pt idx="227">
                  <c:v>14.798521041870117</c:v>
                </c:pt>
                <c:pt idx="228">
                  <c:v>14.803092002868652</c:v>
                </c:pt>
                <c:pt idx="229">
                  <c:v>14.806985855102539</c:v>
                </c:pt>
                <c:pt idx="230">
                  <c:v>14.810199737548828</c:v>
                </c:pt>
                <c:pt idx="231">
                  <c:v>14.81273078918457</c:v>
                </c:pt>
                <c:pt idx="232">
                  <c:v>14.814576148986816</c:v>
                </c:pt>
                <c:pt idx="233">
                  <c:v>14.815735816955566</c:v>
                </c:pt>
                <c:pt idx="234">
                  <c:v>14.816208839416504</c:v>
                </c:pt>
                <c:pt idx="235">
                  <c:v>14.815993309020996</c:v>
                </c:pt>
                <c:pt idx="236">
                  <c:v>14.815092086791992</c:v>
                </c:pt>
                <c:pt idx="237">
                  <c:v>14.813502311706543</c:v>
                </c:pt>
                <c:pt idx="238">
                  <c:v>14.81122875213623</c:v>
                </c:pt>
                <c:pt idx="239">
                  <c:v>14.808270454406738</c:v>
                </c:pt>
                <c:pt idx="240">
                  <c:v>14.804632186889648</c:v>
                </c:pt>
                <c:pt idx="241">
                  <c:v>14.800313949584961</c:v>
                </c:pt>
                <c:pt idx="242">
                  <c:v>14.795320510864258</c:v>
                </c:pt>
                <c:pt idx="243">
                  <c:v>14.789657592773437</c:v>
                </c:pt>
                <c:pt idx="244">
                  <c:v>14.783326148986816</c:v>
                </c:pt>
                <c:pt idx="245">
                  <c:v>14.781639099121094</c:v>
                </c:pt>
                <c:pt idx="246">
                  <c:v>14.774481773376465</c:v>
                </c:pt>
                <c:pt idx="247">
                  <c:v>14.766668319702148</c:v>
                </c:pt>
                <c:pt idx="248">
                  <c:v>14.758205413818359</c:v>
                </c:pt>
                <c:pt idx="249">
                  <c:v>14.749099731445312</c:v>
                </c:pt>
                <c:pt idx="250">
                  <c:v>14.739356994628906</c:v>
                </c:pt>
                <c:pt idx="251">
                  <c:v>14.728984832763672</c:v>
                </c:pt>
                <c:pt idx="252">
                  <c:v>14.717991828918457</c:v>
                </c:pt>
                <c:pt idx="253">
                  <c:v>14.706384658813477</c:v>
                </c:pt>
                <c:pt idx="254">
                  <c:v>14.694171905517578</c:v>
                </c:pt>
                <c:pt idx="255">
                  <c:v>14.681363105773926</c:v>
                </c:pt>
                <c:pt idx="256">
                  <c:v>14.667965888977051</c:v>
                </c:pt>
                <c:pt idx="257">
                  <c:v>14.65399169921875</c:v>
                </c:pt>
                <c:pt idx="258">
                  <c:v>14.639448165893555</c:v>
                </c:pt>
                <c:pt idx="259">
                  <c:v>14.624344825744629</c:v>
                </c:pt>
                <c:pt idx="260">
                  <c:v>14.608694076538086</c:v>
                </c:pt>
                <c:pt idx="261">
                  <c:v>14.592504501342773</c:v>
                </c:pt>
                <c:pt idx="262">
                  <c:v>14.575786590576172</c:v>
                </c:pt>
                <c:pt idx="263">
                  <c:v>14.558552742004395</c:v>
                </c:pt>
                <c:pt idx="264">
                  <c:v>14.540812492370605</c:v>
                </c:pt>
                <c:pt idx="265">
                  <c:v>14.522577285766602</c:v>
                </c:pt>
                <c:pt idx="266">
                  <c:v>14.503859519958496</c:v>
                </c:pt>
                <c:pt idx="267">
                  <c:v>14.48466968536377</c:v>
                </c:pt>
                <c:pt idx="268">
                  <c:v>14.465018272399902</c:v>
                </c:pt>
                <c:pt idx="269">
                  <c:v>14.444917678833008</c:v>
                </c:pt>
                <c:pt idx="270">
                  <c:v>14.424380302429199</c:v>
                </c:pt>
                <c:pt idx="271">
                  <c:v>14.403416633605957</c:v>
                </c:pt>
                <c:pt idx="272">
                  <c:v>14.382039070129395</c:v>
                </c:pt>
                <c:pt idx="273">
                  <c:v>14.360259056091309</c:v>
                </c:pt>
                <c:pt idx="274">
                  <c:v>14.338088035583496</c:v>
                </c:pt>
                <c:pt idx="275">
                  <c:v>14.31553840637207</c:v>
                </c:pt>
                <c:pt idx="276">
                  <c:v>14.292621612548828</c:v>
                </c:pt>
                <c:pt idx="277">
                  <c:v>14.269349098205566</c:v>
                </c:pt>
                <c:pt idx="278">
                  <c:v>14.245733261108398</c:v>
                </c:pt>
                <c:pt idx="279">
                  <c:v>14.221783638000488</c:v>
                </c:pt>
                <c:pt idx="280">
                  <c:v>14.197514533996582</c:v>
                </c:pt>
                <c:pt idx="281">
                  <c:v>14.172933578491211</c:v>
                </c:pt>
                <c:pt idx="282">
                  <c:v>14.148056983947754</c:v>
                </c:pt>
                <c:pt idx="283">
                  <c:v>14.122890472412109</c:v>
                </c:pt>
                <c:pt idx="284">
                  <c:v>14.09744930267334</c:v>
                </c:pt>
                <c:pt idx="285">
                  <c:v>14.071742057800293</c:v>
                </c:pt>
                <c:pt idx="286">
                  <c:v>14.045780181884766</c:v>
                </c:pt>
                <c:pt idx="287">
                  <c:v>14.019575119018555</c:v>
                </c:pt>
                <c:pt idx="288">
                  <c:v>13.993136405944824</c:v>
                </c:pt>
                <c:pt idx="289">
                  <c:v>13.966473579406738</c:v>
                </c:pt>
                <c:pt idx="290">
                  <c:v>13.939598083496094</c:v>
                </c:pt>
                <c:pt idx="291">
                  <c:v>13.912519454956055</c:v>
                </c:pt>
                <c:pt idx="292">
                  <c:v>13.885248184204102</c:v>
                </c:pt>
                <c:pt idx="293">
                  <c:v>13.857793807983398</c:v>
                </c:pt>
                <c:pt idx="294">
                  <c:v>13.830164909362793</c:v>
                </c:pt>
                <c:pt idx="295">
                  <c:v>13.802371978759766</c:v>
                </c:pt>
                <c:pt idx="296">
                  <c:v>13.774423599243164</c:v>
                </c:pt>
                <c:pt idx="297">
                  <c:v>13.746328353881836</c:v>
                </c:pt>
                <c:pt idx="298">
                  <c:v>13.718095779418945</c:v>
                </c:pt>
                <c:pt idx="299">
                  <c:v>13.689735412597656</c:v>
                </c:pt>
                <c:pt idx="300">
                  <c:v>13.661253929138184</c:v>
                </c:pt>
                <c:pt idx="301">
                  <c:v>13.632660865783691</c:v>
                </c:pt>
                <c:pt idx="302">
                  <c:v>13.603962898254395</c:v>
                </c:pt>
                <c:pt idx="303">
                  <c:v>13.575170516967773</c:v>
                </c:pt>
                <c:pt idx="304">
                  <c:v>13.54628849029541</c:v>
                </c:pt>
                <c:pt idx="305">
                  <c:v>13.517327308654785</c:v>
                </c:pt>
                <c:pt idx="306">
                  <c:v>13.488293647766113</c:v>
                </c:pt>
                <c:pt idx="307">
                  <c:v>13.459195137023926</c:v>
                </c:pt>
                <c:pt idx="308">
                  <c:v>13.430037498474121</c:v>
                </c:pt>
                <c:pt idx="309">
                  <c:v>13.400827407836914</c:v>
                </c:pt>
                <c:pt idx="310">
                  <c:v>13.371575355529785</c:v>
                </c:pt>
                <c:pt idx="311">
                  <c:v>13.342284202575684</c:v>
                </c:pt>
                <c:pt idx="312">
                  <c:v>13.312963485717773</c:v>
                </c:pt>
                <c:pt idx="313">
                  <c:v>13.283617973327637</c:v>
                </c:pt>
                <c:pt idx="314">
                  <c:v>13.254254341125488</c:v>
                </c:pt>
                <c:pt idx="315">
                  <c:v>13.224880218505859</c:v>
                </c:pt>
                <c:pt idx="316">
                  <c:v>13.195499420166016</c:v>
                </c:pt>
                <c:pt idx="317">
                  <c:v>13.166119575500488</c:v>
                </c:pt>
                <c:pt idx="318">
                  <c:v>13.136747360229492</c:v>
                </c:pt>
                <c:pt idx="319">
                  <c:v>13.107385635375977</c:v>
                </c:pt>
                <c:pt idx="320">
                  <c:v>13.078042984008789</c:v>
                </c:pt>
                <c:pt idx="321">
                  <c:v>13.048725128173828</c:v>
                </c:pt>
                <c:pt idx="322">
                  <c:v>13.019434928894043</c:v>
                </c:pt>
                <c:pt idx="323">
                  <c:v>12.990180969238281</c:v>
                </c:pt>
                <c:pt idx="324">
                  <c:v>12.960967063903809</c:v>
                </c:pt>
                <c:pt idx="325">
                  <c:v>12.931797981262207</c:v>
                </c:pt>
                <c:pt idx="326">
                  <c:v>12.902681350708008</c:v>
                </c:pt>
                <c:pt idx="327">
                  <c:v>12.873620986938477</c:v>
                </c:pt>
                <c:pt idx="328">
                  <c:v>12.844620704650879</c:v>
                </c:pt>
                <c:pt idx="329">
                  <c:v>12.815688133239746</c:v>
                </c:pt>
                <c:pt idx="330">
                  <c:v>12.786827087402344</c:v>
                </c:pt>
                <c:pt idx="331">
                  <c:v>12.758044242858887</c:v>
                </c:pt>
                <c:pt idx="332">
                  <c:v>12.729341506958008</c:v>
                </c:pt>
                <c:pt idx="333">
                  <c:v>12.700726509094238</c:v>
                </c:pt>
                <c:pt idx="334">
                  <c:v>12.67220401763916</c:v>
                </c:pt>
                <c:pt idx="335">
                  <c:v>12.643778800964355</c:v>
                </c:pt>
                <c:pt idx="336">
                  <c:v>12.61545467376709</c:v>
                </c:pt>
                <c:pt idx="337">
                  <c:v>12.587239265441895</c:v>
                </c:pt>
                <c:pt idx="338">
                  <c:v>12.559135437011719</c:v>
                </c:pt>
                <c:pt idx="339">
                  <c:v>12.531148910522461</c:v>
                </c:pt>
                <c:pt idx="340">
                  <c:v>12.503284454345703</c:v>
                </c:pt>
                <c:pt idx="341">
                  <c:v>12.475546836853027</c:v>
                </c:pt>
                <c:pt idx="342">
                  <c:v>12.447943687438965</c:v>
                </c:pt>
                <c:pt idx="343">
                  <c:v>12.420476913452148</c:v>
                </c:pt>
                <c:pt idx="344">
                  <c:v>12.393153190612793</c:v>
                </c:pt>
                <c:pt idx="345">
                  <c:v>12.365978240966797</c:v>
                </c:pt>
                <c:pt idx="346">
                  <c:v>12.338955879211426</c:v>
                </c:pt>
                <c:pt idx="347">
                  <c:v>12.312092781066895</c:v>
                </c:pt>
                <c:pt idx="348">
                  <c:v>12.285393714904785</c:v>
                </c:pt>
                <c:pt idx="349">
                  <c:v>12.258864402770996</c:v>
                </c:pt>
                <c:pt idx="350">
                  <c:v>12.232509613037109</c:v>
                </c:pt>
                <c:pt idx="351">
                  <c:v>12.20633602142334</c:v>
                </c:pt>
                <c:pt idx="352">
                  <c:v>12.180347442626953</c:v>
                </c:pt>
                <c:pt idx="353">
                  <c:v>12.15455150604248</c:v>
                </c:pt>
                <c:pt idx="354">
                  <c:v>12.128952026367188</c:v>
                </c:pt>
                <c:pt idx="355">
                  <c:v>12.103556632995605</c:v>
                </c:pt>
                <c:pt idx="356">
                  <c:v>12.078370094299316</c:v>
                </c:pt>
                <c:pt idx="357">
                  <c:v>12.053399085998535</c:v>
                </c:pt>
                <c:pt idx="358">
                  <c:v>12.028648376464844</c:v>
                </c:pt>
                <c:pt idx="359">
                  <c:v>12.004123687744141</c:v>
                </c:pt>
                <c:pt idx="360">
                  <c:v>11.979833602905273</c:v>
                </c:pt>
                <c:pt idx="361">
                  <c:v>11.955782890319824</c:v>
                </c:pt>
                <c:pt idx="362">
                  <c:v>11.931977272033691</c:v>
                </c:pt>
                <c:pt idx="363">
                  <c:v>11.90842342376709</c:v>
                </c:pt>
                <c:pt idx="364">
                  <c:v>11.885128021240234</c:v>
                </c:pt>
              </c:numCache>
            </c:numRef>
          </c:yVal>
        </c:ser>
        <c:axId val="137008640"/>
        <c:axId val="137010176"/>
      </c:scatterChart>
      <c:scatterChart>
        <c:scatterStyle val="lineMarker"/>
        <c:ser>
          <c:idx val="1"/>
          <c:order val="1"/>
          <c:tx>
            <c:strRef>
              <c:f>Herm8889!$J$3</c:f>
              <c:strCache>
                <c:ptCount val="1"/>
                <c:pt idx="0">
                  <c:v>TT</c:v>
                </c:pt>
              </c:strCache>
            </c:strRef>
          </c:tx>
          <c:marker>
            <c:symbol val="none"/>
          </c:marker>
          <c:xVal>
            <c:numRef>
              <c:f>Herm8889!$A$4:$A$368</c:f>
              <c:numCache>
                <c:formatCode>d\-mmm\-yy</c:formatCode>
                <c:ptCount val="365"/>
                <c:pt idx="0">
                  <c:v>32264</c:v>
                </c:pt>
                <c:pt idx="1">
                  <c:v>32265</c:v>
                </c:pt>
                <c:pt idx="2">
                  <c:v>32266</c:v>
                </c:pt>
                <c:pt idx="3">
                  <c:v>32267</c:v>
                </c:pt>
                <c:pt idx="4">
                  <c:v>32268</c:v>
                </c:pt>
                <c:pt idx="5">
                  <c:v>32269</c:v>
                </c:pt>
                <c:pt idx="6">
                  <c:v>32270</c:v>
                </c:pt>
                <c:pt idx="7">
                  <c:v>32271</c:v>
                </c:pt>
                <c:pt idx="8">
                  <c:v>32272</c:v>
                </c:pt>
                <c:pt idx="9">
                  <c:v>32273</c:v>
                </c:pt>
                <c:pt idx="10">
                  <c:v>32274</c:v>
                </c:pt>
                <c:pt idx="11">
                  <c:v>32275</c:v>
                </c:pt>
                <c:pt idx="12">
                  <c:v>32276</c:v>
                </c:pt>
                <c:pt idx="13">
                  <c:v>32277</c:v>
                </c:pt>
                <c:pt idx="14">
                  <c:v>32278</c:v>
                </c:pt>
                <c:pt idx="15">
                  <c:v>32279</c:v>
                </c:pt>
                <c:pt idx="16">
                  <c:v>32280</c:v>
                </c:pt>
                <c:pt idx="17">
                  <c:v>32281</c:v>
                </c:pt>
                <c:pt idx="18">
                  <c:v>32282</c:v>
                </c:pt>
                <c:pt idx="19">
                  <c:v>32283</c:v>
                </c:pt>
                <c:pt idx="20">
                  <c:v>32284</c:v>
                </c:pt>
                <c:pt idx="21">
                  <c:v>32285</c:v>
                </c:pt>
                <c:pt idx="22">
                  <c:v>32286</c:v>
                </c:pt>
                <c:pt idx="23">
                  <c:v>32287</c:v>
                </c:pt>
                <c:pt idx="24">
                  <c:v>32288</c:v>
                </c:pt>
                <c:pt idx="25">
                  <c:v>32289</c:v>
                </c:pt>
                <c:pt idx="26">
                  <c:v>32290</c:v>
                </c:pt>
                <c:pt idx="27">
                  <c:v>32291</c:v>
                </c:pt>
                <c:pt idx="28">
                  <c:v>32292</c:v>
                </c:pt>
                <c:pt idx="29">
                  <c:v>32293</c:v>
                </c:pt>
                <c:pt idx="30">
                  <c:v>32294</c:v>
                </c:pt>
                <c:pt idx="31">
                  <c:v>32295</c:v>
                </c:pt>
                <c:pt idx="32">
                  <c:v>32296</c:v>
                </c:pt>
                <c:pt idx="33">
                  <c:v>32297</c:v>
                </c:pt>
                <c:pt idx="34">
                  <c:v>32298</c:v>
                </c:pt>
                <c:pt idx="35">
                  <c:v>32299</c:v>
                </c:pt>
                <c:pt idx="36">
                  <c:v>32300</c:v>
                </c:pt>
                <c:pt idx="37">
                  <c:v>32301</c:v>
                </c:pt>
                <c:pt idx="38">
                  <c:v>32302</c:v>
                </c:pt>
                <c:pt idx="39">
                  <c:v>32303</c:v>
                </c:pt>
                <c:pt idx="40">
                  <c:v>32304</c:v>
                </c:pt>
                <c:pt idx="41">
                  <c:v>32305</c:v>
                </c:pt>
                <c:pt idx="42">
                  <c:v>32306</c:v>
                </c:pt>
                <c:pt idx="43">
                  <c:v>32307</c:v>
                </c:pt>
                <c:pt idx="44">
                  <c:v>32308</c:v>
                </c:pt>
                <c:pt idx="45">
                  <c:v>32309</c:v>
                </c:pt>
                <c:pt idx="46">
                  <c:v>32310</c:v>
                </c:pt>
                <c:pt idx="47">
                  <c:v>32311</c:v>
                </c:pt>
                <c:pt idx="48">
                  <c:v>32312</c:v>
                </c:pt>
                <c:pt idx="49">
                  <c:v>32313</c:v>
                </c:pt>
                <c:pt idx="50">
                  <c:v>32314</c:v>
                </c:pt>
                <c:pt idx="51">
                  <c:v>32315</c:v>
                </c:pt>
                <c:pt idx="52">
                  <c:v>32316</c:v>
                </c:pt>
                <c:pt idx="53">
                  <c:v>32317</c:v>
                </c:pt>
                <c:pt idx="54">
                  <c:v>32318</c:v>
                </c:pt>
                <c:pt idx="55">
                  <c:v>32319</c:v>
                </c:pt>
                <c:pt idx="56">
                  <c:v>32320</c:v>
                </c:pt>
                <c:pt idx="57">
                  <c:v>32321</c:v>
                </c:pt>
                <c:pt idx="58">
                  <c:v>32322</c:v>
                </c:pt>
                <c:pt idx="59">
                  <c:v>32323</c:v>
                </c:pt>
                <c:pt idx="60">
                  <c:v>32324</c:v>
                </c:pt>
                <c:pt idx="61">
                  <c:v>32325</c:v>
                </c:pt>
                <c:pt idx="62">
                  <c:v>32326</c:v>
                </c:pt>
                <c:pt idx="63">
                  <c:v>32327</c:v>
                </c:pt>
                <c:pt idx="64">
                  <c:v>32328</c:v>
                </c:pt>
                <c:pt idx="65">
                  <c:v>32329</c:v>
                </c:pt>
                <c:pt idx="66">
                  <c:v>32330</c:v>
                </c:pt>
                <c:pt idx="67">
                  <c:v>32331</c:v>
                </c:pt>
                <c:pt idx="68">
                  <c:v>32332</c:v>
                </c:pt>
                <c:pt idx="69">
                  <c:v>32333</c:v>
                </c:pt>
                <c:pt idx="70">
                  <c:v>32334</c:v>
                </c:pt>
                <c:pt idx="71">
                  <c:v>32335</c:v>
                </c:pt>
                <c:pt idx="72">
                  <c:v>32336</c:v>
                </c:pt>
                <c:pt idx="73">
                  <c:v>32337</c:v>
                </c:pt>
                <c:pt idx="74">
                  <c:v>32338</c:v>
                </c:pt>
                <c:pt idx="75">
                  <c:v>32339</c:v>
                </c:pt>
                <c:pt idx="76">
                  <c:v>32340</c:v>
                </c:pt>
                <c:pt idx="77">
                  <c:v>32341</c:v>
                </c:pt>
                <c:pt idx="78">
                  <c:v>32342</c:v>
                </c:pt>
                <c:pt idx="79">
                  <c:v>32343</c:v>
                </c:pt>
                <c:pt idx="80">
                  <c:v>32344</c:v>
                </c:pt>
                <c:pt idx="81">
                  <c:v>32345</c:v>
                </c:pt>
                <c:pt idx="82">
                  <c:v>32346</c:v>
                </c:pt>
                <c:pt idx="83">
                  <c:v>32347</c:v>
                </c:pt>
                <c:pt idx="84">
                  <c:v>32348</c:v>
                </c:pt>
                <c:pt idx="85">
                  <c:v>32349</c:v>
                </c:pt>
                <c:pt idx="86">
                  <c:v>32350</c:v>
                </c:pt>
                <c:pt idx="87">
                  <c:v>32351</c:v>
                </c:pt>
                <c:pt idx="88">
                  <c:v>32352</c:v>
                </c:pt>
                <c:pt idx="89">
                  <c:v>32353</c:v>
                </c:pt>
                <c:pt idx="90">
                  <c:v>32354</c:v>
                </c:pt>
                <c:pt idx="91">
                  <c:v>32355</c:v>
                </c:pt>
                <c:pt idx="92">
                  <c:v>32356</c:v>
                </c:pt>
                <c:pt idx="93">
                  <c:v>32357</c:v>
                </c:pt>
                <c:pt idx="94">
                  <c:v>32358</c:v>
                </c:pt>
                <c:pt idx="95">
                  <c:v>32359</c:v>
                </c:pt>
                <c:pt idx="96">
                  <c:v>32360</c:v>
                </c:pt>
                <c:pt idx="97">
                  <c:v>32361</c:v>
                </c:pt>
                <c:pt idx="98">
                  <c:v>32362</c:v>
                </c:pt>
                <c:pt idx="99">
                  <c:v>32363</c:v>
                </c:pt>
                <c:pt idx="100">
                  <c:v>32364</c:v>
                </c:pt>
                <c:pt idx="101">
                  <c:v>32365</c:v>
                </c:pt>
                <c:pt idx="102">
                  <c:v>32366</c:v>
                </c:pt>
                <c:pt idx="103">
                  <c:v>32367</c:v>
                </c:pt>
                <c:pt idx="104">
                  <c:v>32368</c:v>
                </c:pt>
                <c:pt idx="105">
                  <c:v>32369</c:v>
                </c:pt>
                <c:pt idx="106">
                  <c:v>32370</c:v>
                </c:pt>
                <c:pt idx="107">
                  <c:v>32371</c:v>
                </c:pt>
                <c:pt idx="108">
                  <c:v>32372</c:v>
                </c:pt>
                <c:pt idx="109">
                  <c:v>32373</c:v>
                </c:pt>
                <c:pt idx="110">
                  <c:v>32374</c:v>
                </c:pt>
                <c:pt idx="111">
                  <c:v>32375</c:v>
                </c:pt>
                <c:pt idx="112">
                  <c:v>32376</c:v>
                </c:pt>
                <c:pt idx="113">
                  <c:v>32377</c:v>
                </c:pt>
                <c:pt idx="114">
                  <c:v>32378</c:v>
                </c:pt>
                <c:pt idx="115">
                  <c:v>32379</c:v>
                </c:pt>
                <c:pt idx="116">
                  <c:v>32380</c:v>
                </c:pt>
                <c:pt idx="117">
                  <c:v>32381</c:v>
                </c:pt>
                <c:pt idx="118">
                  <c:v>32382</c:v>
                </c:pt>
                <c:pt idx="119">
                  <c:v>32383</c:v>
                </c:pt>
                <c:pt idx="120">
                  <c:v>32384</c:v>
                </c:pt>
                <c:pt idx="121">
                  <c:v>32385</c:v>
                </c:pt>
                <c:pt idx="122">
                  <c:v>32386</c:v>
                </c:pt>
                <c:pt idx="123">
                  <c:v>32387</c:v>
                </c:pt>
                <c:pt idx="124">
                  <c:v>32388</c:v>
                </c:pt>
                <c:pt idx="125">
                  <c:v>32389</c:v>
                </c:pt>
                <c:pt idx="126">
                  <c:v>32390</c:v>
                </c:pt>
                <c:pt idx="127">
                  <c:v>32391</c:v>
                </c:pt>
                <c:pt idx="128">
                  <c:v>32392</c:v>
                </c:pt>
                <c:pt idx="129">
                  <c:v>32393</c:v>
                </c:pt>
                <c:pt idx="130">
                  <c:v>32394</c:v>
                </c:pt>
                <c:pt idx="131">
                  <c:v>32395</c:v>
                </c:pt>
                <c:pt idx="132">
                  <c:v>32396</c:v>
                </c:pt>
                <c:pt idx="133">
                  <c:v>32397</c:v>
                </c:pt>
                <c:pt idx="134">
                  <c:v>32398</c:v>
                </c:pt>
                <c:pt idx="135">
                  <c:v>32399</c:v>
                </c:pt>
                <c:pt idx="136">
                  <c:v>32400</c:v>
                </c:pt>
                <c:pt idx="137">
                  <c:v>32401</c:v>
                </c:pt>
                <c:pt idx="138">
                  <c:v>32402</c:v>
                </c:pt>
                <c:pt idx="139">
                  <c:v>32403</c:v>
                </c:pt>
                <c:pt idx="140">
                  <c:v>32404</c:v>
                </c:pt>
                <c:pt idx="141">
                  <c:v>32405</c:v>
                </c:pt>
                <c:pt idx="142">
                  <c:v>32406</c:v>
                </c:pt>
                <c:pt idx="143">
                  <c:v>32407</c:v>
                </c:pt>
                <c:pt idx="144">
                  <c:v>32408</c:v>
                </c:pt>
                <c:pt idx="145">
                  <c:v>32409</c:v>
                </c:pt>
                <c:pt idx="146">
                  <c:v>32410</c:v>
                </c:pt>
                <c:pt idx="147">
                  <c:v>32411</c:v>
                </c:pt>
                <c:pt idx="148">
                  <c:v>32412</c:v>
                </c:pt>
                <c:pt idx="149">
                  <c:v>32413</c:v>
                </c:pt>
                <c:pt idx="150">
                  <c:v>32414</c:v>
                </c:pt>
                <c:pt idx="151">
                  <c:v>32415</c:v>
                </c:pt>
                <c:pt idx="152">
                  <c:v>32416</c:v>
                </c:pt>
                <c:pt idx="153">
                  <c:v>32417</c:v>
                </c:pt>
                <c:pt idx="154">
                  <c:v>32418</c:v>
                </c:pt>
                <c:pt idx="155">
                  <c:v>32419</c:v>
                </c:pt>
                <c:pt idx="156">
                  <c:v>32420</c:v>
                </c:pt>
                <c:pt idx="157">
                  <c:v>32421</c:v>
                </c:pt>
                <c:pt idx="158">
                  <c:v>32422</c:v>
                </c:pt>
                <c:pt idx="159">
                  <c:v>32423</c:v>
                </c:pt>
                <c:pt idx="160">
                  <c:v>32424</c:v>
                </c:pt>
                <c:pt idx="161">
                  <c:v>32425</c:v>
                </c:pt>
                <c:pt idx="162">
                  <c:v>32426</c:v>
                </c:pt>
                <c:pt idx="163">
                  <c:v>32427</c:v>
                </c:pt>
                <c:pt idx="164">
                  <c:v>32428</c:v>
                </c:pt>
                <c:pt idx="165">
                  <c:v>32429</c:v>
                </c:pt>
                <c:pt idx="166">
                  <c:v>32430</c:v>
                </c:pt>
                <c:pt idx="167">
                  <c:v>32431</c:v>
                </c:pt>
                <c:pt idx="168">
                  <c:v>32432</c:v>
                </c:pt>
                <c:pt idx="169">
                  <c:v>32433</c:v>
                </c:pt>
                <c:pt idx="170">
                  <c:v>32434</c:v>
                </c:pt>
                <c:pt idx="171">
                  <c:v>32435</c:v>
                </c:pt>
                <c:pt idx="172">
                  <c:v>32436</c:v>
                </c:pt>
                <c:pt idx="173">
                  <c:v>32437</c:v>
                </c:pt>
                <c:pt idx="174">
                  <c:v>32438</c:v>
                </c:pt>
                <c:pt idx="175">
                  <c:v>32439</c:v>
                </c:pt>
                <c:pt idx="176">
                  <c:v>32440</c:v>
                </c:pt>
                <c:pt idx="177">
                  <c:v>32441</c:v>
                </c:pt>
                <c:pt idx="178">
                  <c:v>32442</c:v>
                </c:pt>
                <c:pt idx="179">
                  <c:v>32443</c:v>
                </c:pt>
                <c:pt idx="180">
                  <c:v>32444</c:v>
                </c:pt>
                <c:pt idx="181">
                  <c:v>32445</c:v>
                </c:pt>
                <c:pt idx="182">
                  <c:v>32446</c:v>
                </c:pt>
                <c:pt idx="183">
                  <c:v>32447</c:v>
                </c:pt>
                <c:pt idx="184">
                  <c:v>32448</c:v>
                </c:pt>
                <c:pt idx="185">
                  <c:v>32449</c:v>
                </c:pt>
                <c:pt idx="186">
                  <c:v>32450</c:v>
                </c:pt>
                <c:pt idx="187">
                  <c:v>32451</c:v>
                </c:pt>
                <c:pt idx="188">
                  <c:v>32452</c:v>
                </c:pt>
                <c:pt idx="189">
                  <c:v>32453</c:v>
                </c:pt>
                <c:pt idx="190">
                  <c:v>32454</c:v>
                </c:pt>
                <c:pt idx="191">
                  <c:v>32455</c:v>
                </c:pt>
                <c:pt idx="192">
                  <c:v>32456</c:v>
                </c:pt>
                <c:pt idx="193">
                  <c:v>32457</c:v>
                </c:pt>
                <c:pt idx="194">
                  <c:v>32458</c:v>
                </c:pt>
                <c:pt idx="195">
                  <c:v>32459</c:v>
                </c:pt>
                <c:pt idx="196">
                  <c:v>32460</c:v>
                </c:pt>
                <c:pt idx="197">
                  <c:v>32461</c:v>
                </c:pt>
                <c:pt idx="198">
                  <c:v>32462</c:v>
                </c:pt>
                <c:pt idx="199">
                  <c:v>32463</c:v>
                </c:pt>
                <c:pt idx="200">
                  <c:v>32464</c:v>
                </c:pt>
                <c:pt idx="201">
                  <c:v>32465</c:v>
                </c:pt>
                <c:pt idx="202">
                  <c:v>32466</c:v>
                </c:pt>
                <c:pt idx="203">
                  <c:v>32467</c:v>
                </c:pt>
                <c:pt idx="204">
                  <c:v>32468</c:v>
                </c:pt>
                <c:pt idx="205">
                  <c:v>32469</c:v>
                </c:pt>
                <c:pt idx="206">
                  <c:v>32470</c:v>
                </c:pt>
                <c:pt idx="207">
                  <c:v>32471</c:v>
                </c:pt>
                <c:pt idx="208">
                  <c:v>32472</c:v>
                </c:pt>
                <c:pt idx="209">
                  <c:v>32473</c:v>
                </c:pt>
                <c:pt idx="210">
                  <c:v>32474</c:v>
                </c:pt>
                <c:pt idx="211">
                  <c:v>32475</c:v>
                </c:pt>
                <c:pt idx="212">
                  <c:v>32476</c:v>
                </c:pt>
                <c:pt idx="213">
                  <c:v>32477</c:v>
                </c:pt>
                <c:pt idx="214">
                  <c:v>32478</c:v>
                </c:pt>
                <c:pt idx="215">
                  <c:v>32479</c:v>
                </c:pt>
                <c:pt idx="216">
                  <c:v>32480</c:v>
                </c:pt>
                <c:pt idx="217">
                  <c:v>32481</c:v>
                </c:pt>
                <c:pt idx="218">
                  <c:v>32482</c:v>
                </c:pt>
                <c:pt idx="219">
                  <c:v>32483</c:v>
                </c:pt>
                <c:pt idx="220">
                  <c:v>32484</c:v>
                </c:pt>
                <c:pt idx="221">
                  <c:v>32485</c:v>
                </c:pt>
                <c:pt idx="222">
                  <c:v>32486</c:v>
                </c:pt>
                <c:pt idx="223">
                  <c:v>32487</c:v>
                </c:pt>
                <c:pt idx="224">
                  <c:v>32488</c:v>
                </c:pt>
                <c:pt idx="225">
                  <c:v>32489</c:v>
                </c:pt>
                <c:pt idx="226">
                  <c:v>32490</c:v>
                </c:pt>
                <c:pt idx="227">
                  <c:v>32491</c:v>
                </c:pt>
                <c:pt idx="228">
                  <c:v>32492</c:v>
                </c:pt>
                <c:pt idx="229">
                  <c:v>32493</c:v>
                </c:pt>
                <c:pt idx="230">
                  <c:v>32494</c:v>
                </c:pt>
                <c:pt idx="231">
                  <c:v>32495</c:v>
                </c:pt>
                <c:pt idx="232">
                  <c:v>32496</c:v>
                </c:pt>
                <c:pt idx="233">
                  <c:v>32497</c:v>
                </c:pt>
                <c:pt idx="234">
                  <c:v>32498</c:v>
                </c:pt>
                <c:pt idx="235">
                  <c:v>32499</c:v>
                </c:pt>
                <c:pt idx="236">
                  <c:v>32500</c:v>
                </c:pt>
                <c:pt idx="237">
                  <c:v>32501</c:v>
                </c:pt>
                <c:pt idx="238">
                  <c:v>32502</c:v>
                </c:pt>
                <c:pt idx="239">
                  <c:v>32503</c:v>
                </c:pt>
                <c:pt idx="240">
                  <c:v>32504</c:v>
                </c:pt>
                <c:pt idx="241">
                  <c:v>32505</c:v>
                </c:pt>
                <c:pt idx="242">
                  <c:v>32506</c:v>
                </c:pt>
                <c:pt idx="243">
                  <c:v>32507</c:v>
                </c:pt>
                <c:pt idx="244">
                  <c:v>32508</c:v>
                </c:pt>
                <c:pt idx="245">
                  <c:v>32509</c:v>
                </c:pt>
                <c:pt idx="246">
                  <c:v>32510</c:v>
                </c:pt>
                <c:pt idx="247">
                  <c:v>32511</c:v>
                </c:pt>
                <c:pt idx="248">
                  <c:v>32512</c:v>
                </c:pt>
                <c:pt idx="249">
                  <c:v>32513</c:v>
                </c:pt>
                <c:pt idx="250">
                  <c:v>32514</c:v>
                </c:pt>
                <c:pt idx="251">
                  <c:v>32515</c:v>
                </c:pt>
                <c:pt idx="252">
                  <c:v>32516</c:v>
                </c:pt>
                <c:pt idx="253">
                  <c:v>32517</c:v>
                </c:pt>
                <c:pt idx="254">
                  <c:v>32518</c:v>
                </c:pt>
                <c:pt idx="255">
                  <c:v>32519</c:v>
                </c:pt>
                <c:pt idx="256">
                  <c:v>32520</c:v>
                </c:pt>
                <c:pt idx="257">
                  <c:v>32521</c:v>
                </c:pt>
                <c:pt idx="258">
                  <c:v>32522</c:v>
                </c:pt>
                <c:pt idx="259">
                  <c:v>32523</c:v>
                </c:pt>
                <c:pt idx="260">
                  <c:v>32524</c:v>
                </c:pt>
                <c:pt idx="261">
                  <c:v>32525</c:v>
                </c:pt>
                <c:pt idx="262">
                  <c:v>32526</c:v>
                </c:pt>
                <c:pt idx="263">
                  <c:v>32527</c:v>
                </c:pt>
                <c:pt idx="264">
                  <c:v>32528</c:v>
                </c:pt>
                <c:pt idx="265">
                  <c:v>32529</c:v>
                </c:pt>
                <c:pt idx="266">
                  <c:v>32530</c:v>
                </c:pt>
                <c:pt idx="267">
                  <c:v>32531</c:v>
                </c:pt>
                <c:pt idx="268">
                  <c:v>32532</c:v>
                </c:pt>
                <c:pt idx="269">
                  <c:v>32533</c:v>
                </c:pt>
                <c:pt idx="270">
                  <c:v>32534</c:v>
                </c:pt>
                <c:pt idx="271">
                  <c:v>32535</c:v>
                </c:pt>
                <c:pt idx="272">
                  <c:v>32536</c:v>
                </c:pt>
                <c:pt idx="273">
                  <c:v>32537</c:v>
                </c:pt>
                <c:pt idx="274">
                  <c:v>32538</c:v>
                </c:pt>
                <c:pt idx="275">
                  <c:v>32539</c:v>
                </c:pt>
                <c:pt idx="276">
                  <c:v>32540</c:v>
                </c:pt>
                <c:pt idx="277">
                  <c:v>32541</c:v>
                </c:pt>
                <c:pt idx="278">
                  <c:v>32542</c:v>
                </c:pt>
                <c:pt idx="279">
                  <c:v>32543</c:v>
                </c:pt>
                <c:pt idx="280">
                  <c:v>32544</c:v>
                </c:pt>
                <c:pt idx="281">
                  <c:v>32545</c:v>
                </c:pt>
                <c:pt idx="282">
                  <c:v>32546</c:v>
                </c:pt>
                <c:pt idx="283">
                  <c:v>32547</c:v>
                </c:pt>
                <c:pt idx="284">
                  <c:v>32548</c:v>
                </c:pt>
                <c:pt idx="285">
                  <c:v>32549</c:v>
                </c:pt>
                <c:pt idx="286">
                  <c:v>32550</c:v>
                </c:pt>
                <c:pt idx="287">
                  <c:v>32551</c:v>
                </c:pt>
                <c:pt idx="288">
                  <c:v>32552</c:v>
                </c:pt>
                <c:pt idx="289">
                  <c:v>32553</c:v>
                </c:pt>
                <c:pt idx="290">
                  <c:v>32554</c:v>
                </c:pt>
                <c:pt idx="291">
                  <c:v>32555</c:v>
                </c:pt>
                <c:pt idx="292">
                  <c:v>32556</c:v>
                </c:pt>
                <c:pt idx="293">
                  <c:v>32557</c:v>
                </c:pt>
                <c:pt idx="294">
                  <c:v>32558</c:v>
                </c:pt>
                <c:pt idx="295">
                  <c:v>32559</c:v>
                </c:pt>
                <c:pt idx="296">
                  <c:v>32560</c:v>
                </c:pt>
                <c:pt idx="297">
                  <c:v>32561</c:v>
                </c:pt>
                <c:pt idx="298">
                  <c:v>32562</c:v>
                </c:pt>
                <c:pt idx="299">
                  <c:v>32563</c:v>
                </c:pt>
                <c:pt idx="300">
                  <c:v>32564</c:v>
                </c:pt>
                <c:pt idx="301">
                  <c:v>32565</c:v>
                </c:pt>
                <c:pt idx="302">
                  <c:v>32566</c:v>
                </c:pt>
                <c:pt idx="303">
                  <c:v>32567</c:v>
                </c:pt>
                <c:pt idx="304">
                  <c:v>32568</c:v>
                </c:pt>
                <c:pt idx="305">
                  <c:v>32569</c:v>
                </c:pt>
                <c:pt idx="306">
                  <c:v>32570</c:v>
                </c:pt>
                <c:pt idx="307">
                  <c:v>32571</c:v>
                </c:pt>
                <c:pt idx="308">
                  <c:v>32572</c:v>
                </c:pt>
                <c:pt idx="309">
                  <c:v>32573</c:v>
                </c:pt>
                <c:pt idx="310">
                  <c:v>32574</c:v>
                </c:pt>
                <c:pt idx="311">
                  <c:v>32575</c:v>
                </c:pt>
                <c:pt idx="312">
                  <c:v>32576</c:v>
                </c:pt>
                <c:pt idx="313">
                  <c:v>32577</c:v>
                </c:pt>
                <c:pt idx="314">
                  <c:v>32578</c:v>
                </c:pt>
                <c:pt idx="315">
                  <c:v>32579</c:v>
                </c:pt>
                <c:pt idx="316">
                  <c:v>32580</c:v>
                </c:pt>
                <c:pt idx="317">
                  <c:v>32581</c:v>
                </c:pt>
                <c:pt idx="318">
                  <c:v>32582</c:v>
                </c:pt>
                <c:pt idx="319">
                  <c:v>32583</c:v>
                </c:pt>
                <c:pt idx="320">
                  <c:v>32584</c:v>
                </c:pt>
                <c:pt idx="321">
                  <c:v>32585</c:v>
                </c:pt>
                <c:pt idx="322">
                  <c:v>32586</c:v>
                </c:pt>
                <c:pt idx="323">
                  <c:v>32587</c:v>
                </c:pt>
                <c:pt idx="324">
                  <c:v>32588</c:v>
                </c:pt>
                <c:pt idx="325">
                  <c:v>32589</c:v>
                </c:pt>
                <c:pt idx="326">
                  <c:v>32590</c:v>
                </c:pt>
                <c:pt idx="327">
                  <c:v>32591</c:v>
                </c:pt>
                <c:pt idx="328">
                  <c:v>32592</c:v>
                </c:pt>
                <c:pt idx="329">
                  <c:v>32593</c:v>
                </c:pt>
                <c:pt idx="330">
                  <c:v>32594</c:v>
                </c:pt>
                <c:pt idx="331">
                  <c:v>32595</c:v>
                </c:pt>
                <c:pt idx="332">
                  <c:v>32596</c:v>
                </c:pt>
                <c:pt idx="333">
                  <c:v>32597</c:v>
                </c:pt>
                <c:pt idx="334">
                  <c:v>32598</c:v>
                </c:pt>
                <c:pt idx="335">
                  <c:v>32599</c:v>
                </c:pt>
                <c:pt idx="336">
                  <c:v>32600</c:v>
                </c:pt>
                <c:pt idx="337">
                  <c:v>32601</c:v>
                </c:pt>
                <c:pt idx="338">
                  <c:v>32602</c:v>
                </c:pt>
                <c:pt idx="339">
                  <c:v>32603</c:v>
                </c:pt>
                <c:pt idx="340">
                  <c:v>32604</c:v>
                </c:pt>
                <c:pt idx="341">
                  <c:v>32605</c:v>
                </c:pt>
                <c:pt idx="342">
                  <c:v>32606</c:v>
                </c:pt>
                <c:pt idx="343">
                  <c:v>32607</c:v>
                </c:pt>
                <c:pt idx="344">
                  <c:v>32608</c:v>
                </c:pt>
                <c:pt idx="345">
                  <c:v>32609</c:v>
                </c:pt>
                <c:pt idx="346">
                  <c:v>32610</c:v>
                </c:pt>
                <c:pt idx="347">
                  <c:v>32611</c:v>
                </c:pt>
                <c:pt idx="348">
                  <c:v>32612</c:v>
                </c:pt>
                <c:pt idx="349">
                  <c:v>32613</c:v>
                </c:pt>
                <c:pt idx="350">
                  <c:v>32614</c:v>
                </c:pt>
                <c:pt idx="351">
                  <c:v>32615</c:v>
                </c:pt>
                <c:pt idx="352">
                  <c:v>32616</c:v>
                </c:pt>
                <c:pt idx="353">
                  <c:v>32617</c:v>
                </c:pt>
                <c:pt idx="354">
                  <c:v>32618</c:v>
                </c:pt>
                <c:pt idx="355">
                  <c:v>32619</c:v>
                </c:pt>
                <c:pt idx="356">
                  <c:v>32620</c:v>
                </c:pt>
                <c:pt idx="357">
                  <c:v>32621</c:v>
                </c:pt>
                <c:pt idx="358">
                  <c:v>32622</c:v>
                </c:pt>
                <c:pt idx="359">
                  <c:v>32623</c:v>
                </c:pt>
                <c:pt idx="360">
                  <c:v>32624</c:v>
                </c:pt>
                <c:pt idx="361">
                  <c:v>32625</c:v>
                </c:pt>
                <c:pt idx="362">
                  <c:v>32626</c:v>
                </c:pt>
                <c:pt idx="363">
                  <c:v>32627</c:v>
                </c:pt>
                <c:pt idx="364">
                  <c:v>32628</c:v>
                </c:pt>
              </c:numCache>
            </c:numRef>
          </c:xVal>
          <c:yVal>
            <c:numRef>
              <c:f>Herm8889!$J$4:$J$368</c:f>
              <c:numCache>
                <c:formatCode>General</c:formatCode>
                <c:ptCount val="365"/>
                <c:pt idx="0">
                  <c:v>9.3092581580912217</c:v>
                </c:pt>
                <c:pt idx="1">
                  <c:v>10.325003181677307</c:v>
                </c:pt>
                <c:pt idx="2">
                  <c:v>9.4873095227044981</c:v>
                </c:pt>
                <c:pt idx="3">
                  <c:v>9.6362125348686245</c:v>
                </c:pt>
                <c:pt idx="4">
                  <c:v>8.8588958672344784</c:v>
                </c:pt>
                <c:pt idx="5">
                  <c:v>8.4040899120846699</c:v>
                </c:pt>
                <c:pt idx="6">
                  <c:v>7.42353784553569</c:v>
                </c:pt>
                <c:pt idx="7">
                  <c:v>8.0596413641453015</c:v>
                </c:pt>
                <c:pt idx="8">
                  <c:v>6.708376670894391</c:v>
                </c:pt>
                <c:pt idx="9">
                  <c:v>6.0828279724459033</c:v>
                </c:pt>
                <c:pt idx="10">
                  <c:v>6.2673904230455353</c:v>
                </c:pt>
                <c:pt idx="11">
                  <c:v>6.8035624581773302</c:v>
                </c:pt>
                <c:pt idx="12">
                  <c:v>7.2647615656310043</c:v>
                </c:pt>
                <c:pt idx="13">
                  <c:v>6.9055362298260148</c:v>
                </c:pt>
                <c:pt idx="14">
                  <c:v>6.3407510534339426</c:v>
                </c:pt>
                <c:pt idx="15">
                  <c:v>6.4055691634434515</c:v>
                </c:pt>
                <c:pt idx="16">
                  <c:v>7.529300992404024</c:v>
                </c:pt>
                <c:pt idx="17">
                  <c:v>7.8872306718518796</c:v>
                </c:pt>
                <c:pt idx="18">
                  <c:v>6.0049972425500782</c:v>
                </c:pt>
                <c:pt idx="19">
                  <c:v>4.7070810133638705</c:v>
                </c:pt>
                <c:pt idx="20">
                  <c:v>6.2056977902799932</c:v>
                </c:pt>
                <c:pt idx="21">
                  <c:v>4.3314780068709187</c:v>
                </c:pt>
                <c:pt idx="22">
                  <c:v>5.8430617569992416</c:v>
                </c:pt>
                <c:pt idx="23">
                  <c:v>6.5600298523464478</c:v>
                </c:pt>
                <c:pt idx="24">
                  <c:v>4.439177874990099</c:v>
                </c:pt>
                <c:pt idx="25">
                  <c:v>6.0682740999161178</c:v>
                </c:pt>
                <c:pt idx="26">
                  <c:v>6.7339831394006708</c:v>
                </c:pt>
                <c:pt idx="27">
                  <c:v>6.578929722675694</c:v>
                </c:pt>
                <c:pt idx="28">
                  <c:v>4.8631487049636197</c:v>
                </c:pt>
                <c:pt idx="29">
                  <c:v>4.5188290191583249</c:v>
                </c:pt>
                <c:pt idx="30">
                  <c:v>5.7517008016244784</c:v>
                </c:pt>
                <c:pt idx="31">
                  <c:v>5.7349266659841609</c:v>
                </c:pt>
                <c:pt idx="32">
                  <c:v>6.632154956822399</c:v>
                </c:pt>
                <c:pt idx="33">
                  <c:v>6.8746255724653711</c:v>
                </c:pt>
                <c:pt idx="34">
                  <c:v>7.5059859689542954</c:v>
                </c:pt>
                <c:pt idx="35">
                  <c:v>7.4014265931370256</c:v>
                </c:pt>
                <c:pt idx="36">
                  <c:v>6.3509999524659566</c:v>
                </c:pt>
                <c:pt idx="37">
                  <c:v>5.1556905405581395</c:v>
                </c:pt>
                <c:pt idx="38">
                  <c:v>3.7088151565274239</c:v>
                </c:pt>
                <c:pt idx="39">
                  <c:v>3.9585210186778066</c:v>
                </c:pt>
                <c:pt idx="40">
                  <c:v>4.3787162172566241</c:v>
                </c:pt>
                <c:pt idx="41">
                  <c:v>5.7577025431310762</c:v>
                </c:pt>
                <c:pt idx="42">
                  <c:v>3.5985359682977101</c:v>
                </c:pt>
                <c:pt idx="43">
                  <c:v>3.0765165521817162</c:v>
                </c:pt>
                <c:pt idx="44">
                  <c:v>3.844253585180383</c:v>
                </c:pt>
                <c:pt idx="45">
                  <c:v>4.4342657716216527</c:v>
                </c:pt>
                <c:pt idx="46">
                  <c:v>5.1933462136020703</c:v>
                </c:pt>
                <c:pt idx="47">
                  <c:v>5.5706648301037953</c:v>
                </c:pt>
                <c:pt idx="48">
                  <c:v>5.4614224598508949</c:v>
                </c:pt>
                <c:pt idx="49">
                  <c:v>4.9299410148437293</c:v>
                </c:pt>
                <c:pt idx="50">
                  <c:v>4.3573074547961319</c:v>
                </c:pt>
                <c:pt idx="51">
                  <c:v>5.3928876915975152</c:v>
                </c:pt>
                <c:pt idx="52">
                  <c:v>3.9335995723568877</c:v>
                </c:pt>
                <c:pt idx="53">
                  <c:v>4.8436648387193619</c:v>
                </c:pt>
                <c:pt idx="54">
                  <c:v>5.0354969916909722</c:v>
                </c:pt>
                <c:pt idx="55">
                  <c:v>5.3128941939245928</c:v>
                </c:pt>
                <c:pt idx="56">
                  <c:v>5.9090663414212123</c:v>
                </c:pt>
                <c:pt idx="57">
                  <c:v>4.3450038132591757</c:v>
                </c:pt>
                <c:pt idx="58">
                  <c:v>3.9670190076386653</c:v>
                </c:pt>
                <c:pt idx="59">
                  <c:v>3.9074247651190235</c:v>
                </c:pt>
                <c:pt idx="60">
                  <c:v>4.3585311788692405</c:v>
                </c:pt>
                <c:pt idx="61">
                  <c:v>3.5127457131729463</c:v>
                </c:pt>
                <c:pt idx="62">
                  <c:v>4.9250794519582293</c:v>
                </c:pt>
                <c:pt idx="63">
                  <c:v>5.7018068625026741</c:v>
                </c:pt>
                <c:pt idx="64">
                  <c:v>5.7118006167487261</c:v>
                </c:pt>
                <c:pt idx="65">
                  <c:v>6.3227252892655015</c:v>
                </c:pt>
                <c:pt idx="66">
                  <c:v>5.669771425998209</c:v>
                </c:pt>
                <c:pt idx="67">
                  <c:v>4.842630886962354</c:v>
                </c:pt>
                <c:pt idx="68">
                  <c:v>4.3575712060301441</c:v>
                </c:pt>
                <c:pt idx="69">
                  <c:v>3.5680186322349936</c:v>
                </c:pt>
                <c:pt idx="70">
                  <c:v>4.3575657066990257</c:v>
                </c:pt>
                <c:pt idx="71">
                  <c:v>6.6081516110204799</c:v>
                </c:pt>
                <c:pt idx="72">
                  <c:v>5.6238924359136044</c:v>
                </c:pt>
                <c:pt idx="73">
                  <c:v>5.727704224681621</c:v>
                </c:pt>
                <c:pt idx="74">
                  <c:v>5.6573221035947112</c:v>
                </c:pt>
                <c:pt idx="75">
                  <c:v>4.5092644390923713</c:v>
                </c:pt>
                <c:pt idx="76">
                  <c:v>4.0825499131572842</c:v>
                </c:pt>
                <c:pt idx="77">
                  <c:v>6.1554292543887135</c:v>
                </c:pt>
                <c:pt idx="78">
                  <c:v>4.643638375169405</c:v>
                </c:pt>
                <c:pt idx="79">
                  <c:v>4.4817734225571275</c:v>
                </c:pt>
                <c:pt idx="80">
                  <c:v>4.7219334030954183</c:v>
                </c:pt>
                <c:pt idx="81">
                  <c:v>5.8402935440677695</c:v>
                </c:pt>
                <c:pt idx="82">
                  <c:v>6.8773978095094828</c:v>
                </c:pt>
                <c:pt idx="83">
                  <c:v>4.8670242071654899</c:v>
                </c:pt>
                <c:pt idx="84">
                  <c:v>4.4092378140911537</c:v>
                </c:pt>
                <c:pt idx="85">
                  <c:v>3.4916018572770429</c:v>
                </c:pt>
                <c:pt idx="86">
                  <c:v>5.4540011567404152</c:v>
                </c:pt>
                <c:pt idx="87">
                  <c:v>5.4310915041793582</c:v>
                </c:pt>
                <c:pt idx="88">
                  <c:v>3.5498364880294542</c:v>
                </c:pt>
                <c:pt idx="89">
                  <c:v>5.4783659262010254</c:v>
                </c:pt>
                <c:pt idx="90">
                  <c:v>4.1270203613759238</c:v>
                </c:pt>
                <c:pt idx="91">
                  <c:v>4.7545576483482082</c:v>
                </c:pt>
                <c:pt idx="92">
                  <c:v>4.1174466224003536</c:v>
                </c:pt>
                <c:pt idx="93">
                  <c:v>5.4601099158868083</c:v>
                </c:pt>
                <c:pt idx="94">
                  <c:v>5.4855890062224031</c:v>
                </c:pt>
                <c:pt idx="95">
                  <c:v>5.7977655404769903</c:v>
                </c:pt>
                <c:pt idx="96">
                  <c:v>6.352769090561118</c:v>
                </c:pt>
                <c:pt idx="97">
                  <c:v>7.6358616099998233</c:v>
                </c:pt>
                <c:pt idx="98">
                  <c:v>4.6472807554404323</c:v>
                </c:pt>
                <c:pt idx="99">
                  <c:v>4.6213243047172288</c:v>
                </c:pt>
                <c:pt idx="100">
                  <c:v>2.5770997168496481</c:v>
                </c:pt>
                <c:pt idx="101">
                  <c:v>3.4758823732042687</c:v>
                </c:pt>
                <c:pt idx="102">
                  <c:v>5.4061436126905251</c:v>
                </c:pt>
                <c:pt idx="103">
                  <c:v>6.1774785821327116</c:v>
                </c:pt>
                <c:pt idx="104">
                  <c:v>5.8594769441635659</c:v>
                </c:pt>
                <c:pt idx="105">
                  <c:v>6.26497830415006</c:v>
                </c:pt>
                <c:pt idx="106">
                  <c:v>6.070067664221197</c:v>
                </c:pt>
                <c:pt idx="107">
                  <c:v>6.8857321368272668</c:v>
                </c:pt>
                <c:pt idx="108">
                  <c:v>5.6995482227066754</c:v>
                </c:pt>
                <c:pt idx="109">
                  <c:v>7.3910701320113752</c:v>
                </c:pt>
                <c:pt idx="110">
                  <c:v>7.4546830221346108</c:v>
                </c:pt>
                <c:pt idx="111">
                  <c:v>5.8135243004093118</c:v>
                </c:pt>
                <c:pt idx="112">
                  <c:v>7.7133321817597809</c:v>
                </c:pt>
                <c:pt idx="113">
                  <c:v>8.69282596857248</c:v>
                </c:pt>
                <c:pt idx="114">
                  <c:v>9.5248015495190828</c:v>
                </c:pt>
                <c:pt idx="115">
                  <c:v>6.5935988223693123</c:v>
                </c:pt>
                <c:pt idx="116">
                  <c:v>3.3137956764596761</c:v>
                </c:pt>
                <c:pt idx="117">
                  <c:v>5.9955738772149232</c:v>
                </c:pt>
                <c:pt idx="118">
                  <c:v>7.124608036704319</c:v>
                </c:pt>
                <c:pt idx="119">
                  <c:v>7.511257288203443</c:v>
                </c:pt>
                <c:pt idx="120">
                  <c:v>4.1673069355029346</c:v>
                </c:pt>
                <c:pt idx="121">
                  <c:v>4.6244205052910212</c:v>
                </c:pt>
                <c:pt idx="122">
                  <c:v>6.9166744452338857</c:v>
                </c:pt>
                <c:pt idx="123">
                  <c:v>8.4083895049721935</c:v>
                </c:pt>
                <c:pt idx="124">
                  <c:v>7.6779571585802406</c:v>
                </c:pt>
                <c:pt idx="125">
                  <c:v>7.4116721983471017</c:v>
                </c:pt>
                <c:pt idx="126">
                  <c:v>9.4580690292966398</c:v>
                </c:pt>
                <c:pt idx="127">
                  <c:v>10.094774563739094</c:v>
                </c:pt>
                <c:pt idx="128">
                  <c:v>8.2010855263406057</c:v>
                </c:pt>
                <c:pt idx="129">
                  <c:v>8.7804499525906738</c:v>
                </c:pt>
                <c:pt idx="130">
                  <c:v>8.9382700911883415</c:v>
                </c:pt>
                <c:pt idx="131">
                  <c:v>9.3261368945299665</c:v>
                </c:pt>
                <c:pt idx="132">
                  <c:v>9.2287063929205626</c:v>
                </c:pt>
                <c:pt idx="133">
                  <c:v>8.8987492637342704</c:v>
                </c:pt>
                <c:pt idx="134">
                  <c:v>11.410474548410301</c:v>
                </c:pt>
                <c:pt idx="135">
                  <c:v>7.8484949192872184</c:v>
                </c:pt>
                <c:pt idx="136">
                  <c:v>7.446983779183336</c:v>
                </c:pt>
                <c:pt idx="137">
                  <c:v>7.8661083354389065</c:v>
                </c:pt>
                <c:pt idx="138">
                  <c:v>8.0224877754304025</c:v>
                </c:pt>
                <c:pt idx="139">
                  <c:v>9.10208670531979</c:v>
                </c:pt>
                <c:pt idx="140">
                  <c:v>10.460580537566782</c:v>
                </c:pt>
                <c:pt idx="141">
                  <c:v>7.4772758464011329</c:v>
                </c:pt>
                <c:pt idx="142">
                  <c:v>7.5125514661788522</c:v>
                </c:pt>
                <c:pt idx="143">
                  <c:v>5.5774744045251934</c:v>
                </c:pt>
                <c:pt idx="144">
                  <c:v>7.704760527930703</c:v>
                </c:pt>
                <c:pt idx="145">
                  <c:v>8.1687522252652176</c:v>
                </c:pt>
                <c:pt idx="146">
                  <c:v>9.0976402466027917</c:v>
                </c:pt>
                <c:pt idx="147">
                  <c:v>9.5097007125815782</c:v>
                </c:pt>
                <c:pt idx="148">
                  <c:v>11.258694305254362</c:v>
                </c:pt>
                <c:pt idx="149">
                  <c:v>11.060150546253862</c:v>
                </c:pt>
                <c:pt idx="150">
                  <c:v>10.796641735414111</c:v>
                </c:pt>
                <c:pt idx="151">
                  <c:v>9.995838276793851</c:v>
                </c:pt>
                <c:pt idx="152">
                  <c:v>11.397432530242535</c:v>
                </c:pt>
                <c:pt idx="153">
                  <c:v>15.155771071364038</c:v>
                </c:pt>
                <c:pt idx="154">
                  <c:v>10.414007412589148</c:v>
                </c:pt>
                <c:pt idx="155">
                  <c:v>9.3713011681852567</c:v>
                </c:pt>
                <c:pt idx="156">
                  <c:v>11.338442993831681</c:v>
                </c:pt>
                <c:pt idx="157">
                  <c:v>14.224862168544833</c:v>
                </c:pt>
                <c:pt idx="158">
                  <c:v>15.357119397820481</c:v>
                </c:pt>
                <c:pt idx="159">
                  <c:v>13.563084247478287</c:v>
                </c:pt>
                <c:pt idx="160">
                  <c:v>10.973460630903578</c:v>
                </c:pt>
                <c:pt idx="161">
                  <c:v>13.215223873463243</c:v>
                </c:pt>
                <c:pt idx="162">
                  <c:v>11.754009654381456</c:v>
                </c:pt>
                <c:pt idx="163">
                  <c:v>9.6192664271634136</c:v>
                </c:pt>
                <c:pt idx="164">
                  <c:v>11.150699851398535</c:v>
                </c:pt>
                <c:pt idx="165">
                  <c:v>12.926795033806849</c:v>
                </c:pt>
                <c:pt idx="166">
                  <c:v>14.381568246927278</c:v>
                </c:pt>
                <c:pt idx="167">
                  <c:v>15.036018808219826</c:v>
                </c:pt>
                <c:pt idx="168">
                  <c:v>14.547331118254153</c:v>
                </c:pt>
                <c:pt idx="169">
                  <c:v>14.545662186575051</c:v>
                </c:pt>
                <c:pt idx="170">
                  <c:v>11.475914983079042</c:v>
                </c:pt>
                <c:pt idx="171">
                  <c:v>11.415695534540136</c:v>
                </c:pt>
                <c:pt idx="172">
                  <c:v>12.243579142057641</c:v>
                </c:pt>
                <c:pt idx="173">
                  <c:v>13.825387705180216</c:v>
                </c:pt>
                <c:pt idx="174">
                  <c:v>13.645531599294824</c:v>
                </c:pt>
                <c:pt idx="175">
                  <c:v>13.125476377225622</c:v>
                </c:pt>
                <c:pt idx="176">
                  <c:v>15.294718305917394</c:v>
                </c:pt>
                <c:pt idx="177">
                  <c:v>12.875808111825174</c:v>
                </c:pt>
                <c:pt idx="178">
                  <c:v>13.0934359254443</c:v>
                </c:pt>
                <c:pt idx="179">
                  <c:v>12.155727014272481</c:v>
                </c:pt>
                <c:pt idx="180">
                  <c:v>13.601004807663561</c:v>
                </c:pt>
                <c:pt idx="181">
                  <c:v>14.822787769461661</c:v>
                </c:pt>
                <c:pt idx="182">
                  <c:v>13.967164240007524</c:v>
                </c:pt>
                <c:pt idx="183">
                  <c:v>14.661298579998089</c:v>
                </c:pt>
                <c:pt idx="184">
                  <c:v>15.477921345899752</c:v>
                </c:pt>
                <c:pt idx="185">
                  <c:v>16.525943893392295</c:v>
                </c:pt>
                <c:pt idx="186">
                  <c:v>15.142785930300203</c:v>
                </c:pt>
                <c:pt idx="187">
                  <c:v>15.915763644029663</c:v>
                </c:pt>
                <c:pt idx="188">
                  <c:v>16.30975433114935</c:v>
                </c:pt>
                <c:pt idx="189">
                  <c:v>15.211165073055083</c:v>
                </c:pt>
                <c:pt idx="190">
                  <c:v>10.426886154581906</c:v>
                </c:pt>
                <c:pt idx="191">
                  <c:v>13.068685203831597</c:v>
                </c:pt>
                <c:pt idx="192">
                  <c:v>12.338804692642418</c:v>
                </c:pt>
                <c:pt idx="193">
                  <c:v>15.618442046467406</c:v>
                </c:pt>
                <c:pt idx="194">
                  <c:v>16.567126760948927</c:v>
                </c:pt>
                <c:pt idx="195">
                  <c:v>15.403286642259308</c:v>
                </c:pt>
                <c:pt idx="196">
                  <c:v>14.080303901844015</c:v>
                </c:pt>
                <c:pt idx="197">
                  <c:v>14.03986759873124</c:v>
                </c:pt>
                <c:pt idx="198">
                  <c:v>14.737077983811451</c:v>
                </c:pt>
                <c:pt idx="199">
                  <c:v>15.111892197842012</c:v>
                </c:pt>
                <c:pt idx="200">
                  <c:v>10.907183261607253</c:v>
                </c:pt>
                <c:pt idx="201">
                  <c:v>11.004818440183278</c:v>
                </c:pt>
                <c:pt idx="202">
                  <c:v>14.008118798029443</c:v>
                </c:pt>
                <c:pt idx="203">
                  <c:v>17.488079444777846</c:v>
                </c:pt>
                <c:pt idx="204">
                  <c:v>15.298199287577599</c:v>
                </c:pt>
                <c:pt idx="205">
                  <c:v>17.401216175107599</c:v>
                </c:pt>
                <c:pt idx="206">
                  <c:v>14.4543858634297</c:v>
                </c:pt>
                <c:pt idx="207">
                  <c:v>16.891750405725944</c:v>
                </c:pt>
                <c:pt idx="208">
                  <c:v>16.262931364065512</c:v>
                </c:pt>
                <c:pt idx="209">
                  <c:v>15.595470551831658</c:v>
                </c:pt>
                <c:pt idx="210">
                  <c:v>16.026322406836162</c:v>
                </c:pt>
                <c:pt idx="211">
                  <c:v>12.719588413249483</c:v>
                </c:pt>
                <c:pt idx="212">
                  <c:v>14.141044408667254</c:v>
                </c:pt>
                <c:pt idx="213">
                  <c:v>14.009116520118523</c:v>
                </c:pt>
                <c:pt idx="214">
                  <c:v>17.138544156629806</c:v>
                </c:pt>
                <c:pt idx="215">
                  <c:v>16.874473849635049</c:v>
                </c:pt>
                <c:pt idx="216">
                  <c:v>17.074005970795188</c:v>
                </c:pt>
                <c:pt idx="217">
                  <c:v>16.292428609576262</c:v>
                </c:pt>
                <c:pt idx="218">
                  <c:v>16.627315693696083</c:v>
                </c:pt>
                <c:pt idx="219">
                  <c:v>16.021118273241967</c:v>
                </c:pt>
                <c:pt idx="220">
                  <c:v>17.169020578311208</c:v>
                </c:pt>
                <c:pt idx="221">
                  <c:v>17.315156517520741</c:v>
                </c:pt>
                <c:pt idx="222">
                  <c:v>17.981386835816831</c:v>
                </c:pt>
                <c:pt idx="223">
                  <c:v>19.640323783997339</c:v>
                </c:pt>
                <c:pt idx="224">
                  <c:v>19.582160804204861</c:v>
                </c:pt>
                <c:pt idx="225">
                  <c:v>18.072159028546647</c:v>
                </c:pt>
                <c:pt idx="226">
                  <c:v>15.723174886891295</c:v>
                </c:pt>
                <c:pt idx="227">
                  <c:v>14.231124119237826</c:v>
                </c:pt>
                <c:pt idx="228">
                  <c:v>15.04548513929385</c:v>
                </c:pt>
                <c:pt idx="229">
                  <c:v>16.860361235007357</c:v>
                </c:pt>
                <c:pt idx="230">
                  <c:v>17.443177757642587</c:v>
                </c:pt>
                <c:pt idx="231">
                  <c:v>16.253459608258581</c:v>
                </c:pt>
                <c:pt idx="232">
                  <c:v>17.103839421339362</c:v>
                </c:pt>
                <c:pt idx="233">
                  <c:v>18.377123123131884</c:v>
                </c:pt>
                <c:pt idx="234">
                  <c:v>19.198400125283325</c:v>
                </c:pt>
                <c:pt idx="235">
                  <c:v>17.794275237273659</c:v>
                </c:pt>
                <c:pt idx="236">
                  <c:v>18.943177157796516</c:v>
                </c:pt>
                <c:pt idx="237">
                  <c:v>19.041997582041677</c:v>
                </c:pt>
                <c:pt idx="238">
                  <c:v>18.292021874878259</c:v>
                </c:pt>
                <c:pt idx="239">
                  <c:v>18.147258370271636</c:v>
                </c:pt>
                <c:pt idx="240">
                  <c:v>19.330617594052331</c:v>
                </c:pt>
                <c:pt idx="241">
                  <c:v>15.310728515932469</c:v>
                </c:pt>
                <c:pt idx="242">
                  <c:v>17.857752513541584</c:v>
                </c:pt>
                <c:pt idx="243">
                  <c:v>17.177982714733865</c:v>
                </c:pt>
                <c:pt idx="244">
                  <c:v>17.513085194254263</c:v>
                </c:pt>
                <c:pt idx="245">
                  <c:v>16.31982843256861</c:v>
                </c:pt>
                <c:pt idx="246">
                  <c:v>16.577081625125903</c:v>
                </c:pt>
                <c:pt idx="247">
                  <c:v>17.139620593355261</c:v>
                </c:pt>
                <c:pt idx="248">
                  <c:v>16.818968629888147</c:v>
                </c:pt>
                <c:pt idx="249">
                  <c:v>18.181890738562846</c:v>
                </c:pt>
                <c:pt idx="250">
                  <c:v>17.59009135780904</c:v>
                </c:pt>
                <c:pt idx="251">
                  <c:v>17.573062890576285</c:v>
                </c:pt>
                <c:pt idx="252">
                  <c:v>17.401376746135934</c:v>
                </c:pt>
                <c:pt idx="253">
                  <c:v>16.504714894482138</c:v>
                </c:pt>
                <c:pt idx="254">
                  <c:v>17.949550355966327</c:v>
                </c:pt>
                <c:pt idx="255">
                  <c:v>16.612056472450345</c:v>
                </c:pt>
                <c:pt idx="256">
                  <c:v>17.167326483794557</c:v>
                </c:pt>
                <c:pt idx="257">
                  <c:v>17.89750893915306</c:v>
                </c:pt>
                <c:pt idx="258">
                  <c:v>15.448110912242454</c:v>
                </c:pt>
                <c:pt idx="259">
                  <c:v>15.122122531878885</c:v>
                </c:pt>
                <c:pt idx="260">
                  <c:v>16.079525322072488</c:v>
                </c:pt>
                <c:pt idx="261">
                  <c:v>15.67621080404898</c:v>
                </c:pt>
                <c:pt idx="262">
                  <c:v>16.025627234550871</c:v>
                </c:pt>
                <c:pt idx="263">
                  <c:v>17.440569422261998</c:v>
                </c:pt>
                <c:pt idx="264">
                  <c:v>18.062014043612749</c:v>
                </c:pt>
                <c:pt idx="265">
                  <c:v>18.481970999890656</c:v>
                </c:pt>
                <c:pt idx="266">
                  <c:v>17.67068641816368</c:v>
                </c:pt>
                <c:pt idx="267">
                  <c:v>16.992905270845117</c:v>
                </c:pt>
                <c:pt idx="268">
                  <c:v>15.247165118469146</c:v>
                </c:pt>
                <c:pt idx="269">
                  <c:v>15.36323781997282</c:v>
                </c:pt>
                <c:pt idx="270">
                  <c:v>14.144836735452531</c:v>
                </c:pt>
                <c:pt idx="271">
                  <c:v>14.039301428844315</c:v>
                </c:pt>
                <c:pt idx="272">
                  <c:v>15.076058739588486</c:v>
                </c:pt>
                <c:pt idx="273">
                  <c:v>12.797403233261406</c:v>
                </c:pt>
                <c:pt idx="274">
                  <c:v>14.63758495904165</c:v>
                </c:pt>
                <c:pt idx="275">
                  <c:v>17.383295594657646</c:v>
                </c:pt>
                <c:pt idx="276">
                  <c:v>16.407101922020065</c:v>
                </c:pt>
                <c:pt idx="277">
                  <c:v>16.16581784661739</c:v>
                </c:pt>
                <c:pt idx="278">
                  <c:v>15.070295162077876</c:v>
                </c:pt>
                <c:pt idx="279">
                  <c:v>14.740211374497248</c:v>
                </c:pt>
                <c:pt idx="280">
                  <c:v>14.013728413274764</c:v>
                </c:pt>
                <c:pt idx="281">
                  <c:v>13.182350639950229</c:v>
                </c:pt>
                <c:pt idx="282">
                  <c:v>13.971036512751857</c:v>
                </c:pt>
                <c:pt idx="283">
                  <c:v>14.217207824492592</c:v>
                </c:pt>
                <c:pt idx="284">
                  <c:v>15.817951833015499</c:v>
                </c:pt>
                <c:pt idx="285">
                  <c:v>16.436491749168962</c:v>
                </c:pt>
                <c:pt idx="286">
                  <c:v>16.184723036196907</c:v>
                </c:pt>
                <c:pt idx="287">
                  <c:v>16.098855747653111</c:v>
                </c:pt>
                <c:pt idx="288">
                  <c:v>15.695666999157538</c:v>
                </c:pt>
                <c:pt idx="289">
                  <c:v>15.997276240192699</c:v>
                </c:pt>
                <c:pt idx="290">
                  <c:v>15.45494035330614</c:v>
                </c:pt>
                <c:pt idx="291">
                  <c:v>15.543978538888407</c:v>
                </c:pt>
                <c:pt idx="292">
                  <c:v>14.865617541022914</c:v>
                </c:pt>
                <c:pt idx="293">
                  <c:v>14.815477164757759</c:v>
                </c:pt>
                <c:pt idx="294">
                  <c:v>14.937711979351509</c:v>
                </c:pt>
                <c:pt idx="295">
                  <c:v>15.299461421389697</c:v>
                </c:pt>
                <c:pt idx="296">
                  <c:v>15.726489414022964</c:v>
                </c:pt>
                <c:pt idx="297">
                  <c:v>16.590763889219627</c:v>
                </c:pt>
                <c:pt idx="298">
                  <c:v>14.659629348974613</c:v>
                </c:pt>
                <c:pt idx="299">
                  <c:v>14.572276593232132</c:v>
                </c:pt>
                <c:pt idx="300">
                  <c:v>14.112465302237414</c:v>
                </c:pt>
                <c:pt idx="301">
                  <c:v>13.924993171263246</c:v>
                </c:pt>
                <c:pt idx="302">
                  <c:v>13.83891028436191</c:v>
                </c:pt>
                <c:pt idx="303">
                  <c:v>13.551936718469292</c:v>
                </c:pt>
                <c:pt idx="304">
                  <c:v>11.899758238901404</c:v>
                </c:pt>
                <c:pt idx="305">
                  <c:v>13.181543465577239</c:v>
                </c:pt>
                <c:pt idx="306">
                  <c:v>13.791141138815389</c:v>
                </c:pt>
                <c:pt idx="307">
                  <c:v>13.34105583524974</c:v>
                </c:pt>
                <c:pt idx="308">
                  <c:v>13.779654133412</c:v>
                </c:pt>
                <c:pt idx="309">
                  <c:v>14.606070679433138</c:v>
                </c:pt>
                <c:pt idx="310">
                  <c:v>15.017952881559539</c:v>
                </c:pt>
                <c:pt idx="311">
                  <c:v>13.481652459737639</c:v>
                </c:pt>
                <c:pt idx="312">
                  <c:v>13.296411923365554</c:v>
                </c:pt>
                <c:pt idx="313">
                  <c:v>13.48961718703802</c:v>
                </c:pt>
                <c:pt idx="314">
                  <c:v>13.935834313376736</c:v>
                </c:pt>
                <c:pt idx="315">
                  <c:v>14.093595738037278</c:v>
                </c:pt>
                <c:pt idx="316">
                  <c:v>13.970353807785797</c:v>
                </c:pt>
                <c:pt idx="317">
                  <c:v>14.059270645492303</c:v>
                </c:pt>
                <c:pt idx="318">
                  <c:v>13.194811899289943</c:v>
                </c:pt>
                <c:pt idx="319">
                  <c:v>14.27267043911729</c:v>
                </c:pt>
                <c:pt idx="320">
                  <c:v>13.435468510344931</c:v>
                </c:pt>
                <c:pt idx="321">
                  <c:v>11.885704434222429</c:v>
                </c:pt>
                <c:pt idx="322">
                  <c:v>12.727989243803558</c:v>
                </c:pt>
                <c:pt idx="323">
                  <c:v>12.977699773110324</c:v>
                </c:pt>
                <c:pt idx="324">
                  <c:v>12.306099705269308</c:v>
                </c:pt>
                <c:pt idx="325">
                  <c:v>12.493206290734756</c:v>
                </c:pt>
                <c:pt idx="326">
                  <c:v>14.353287389287834</c:v>
                </c:pt>
                <c:pt idx="327">
                  <c:v>14.134486253363864</c:v>
                </c:pt>
                <c:pt idx="328">
                  <c:v>13.520407371720889</c:v>
                </c:pt>
                <c:pt idx="329">
                  <c:v>12.051759819295826</c:v>
                </c:pt>
                <c:pt idx="330">
                  <c:v>10.804018581001667</c:v>
                </c:pt>
                <c:pt idx="331">
                  <c:v>10.663577852111473</c:v>
                </c:pt>
                <c:pt idx="332">
                  <c:v>12.292685857149065</c:v>
                </c:pt>
                <c:pt idx="333">
                  <c:v>11.763983312993549</c:v>
                </c:pt>
                <c:pt idx="334">
                  <c:v>11.706931587893472</c:v>
                </c:pt>
                <c:pt idx="335">
                  <c:v>11.853243304290933</c:v>
                </c:pt>
                <c:pt idx="336">
                  <c:v>11.419378861172985</c:v>
                </c:pt>
                <c:pt idx="337">
                  <c:v>11.420751029709903</c:v>
                </c:pt>
                <c:pt idx="338">
                  <c:v>11.679220766149379</c:v>
                </c:pt>
                <c:pt idx="339">
                  <c:v>11.50736205500448</c:v>
                </c:pt>
                <c:pt idx="340">
                  <c:v>11.081622832559807</c:v>
                </c:pt>
                <c:pt idx="341">
                  <c:v>11.251843037387552</c:v>
                </c:pt>
                <c:pt idx="342">
                  <c:v>11.307656895041864</c:v>
                </c:pt>
                <c:pt idx="343">
                  <c:v>11.027425292506555</c:v>
                </c:pt>
                <c:pt idx="344">
                  <c:v>10.582905664532284</c:v>
                </c:pt>
                <c:pt idx="345">
                  <c:v>11.468981698935378</c:v>
                </c:pt>
                <c:pt idx="346">
                  <c:v>9.8435310419428497</c:v>
                </c:pt>
                <c:pt idx="347">
                  <c:v>11.352772341771995</c:v>
                </c:pt>
                <c:pt idx="348">
                  <c:v>9.0631589964358188</c:v>
                </c:pt>
                <c:pt idx="349">
                  <c:v>8.5836520826327209</c:v>
                </c:pt>
                <c:pt idx="350">
                  <c:v>9.4826456659434086</c:v>
                </c:pt>
                <c:pt idx="351">
                  <c:v>9.4877109299035585</c:v>
                </c:pt>
                <c:pt idx="352">
                  <c:v>9.0124718935653387</c:v>
                </c:pt>
                <c:pt idx="353">
                  <c:v>10.876239035711592</c:v>
                </c:pt>
                <c:pt idx="354">
                  <c:v>9.7911913209498458</c:v>
                </c:pt>
                <c:pt idx="355">
                  <c:v>9.7934835569214869</c:v>
                </c:pt>
                <c:pt idx="356">
                  <c:v>10.239570734342648</c:v>
                </c:pt>
                <c:pt idx="357">
                  <c:v>9.4594502602840009</c:v>
                </c:pt>
                <c:pt idx="358">
                  <c:v>9.2817487582888756</c:v>
                </c:pt>
                <c:pt idx="359">
                  <c:v>9.8773493124438012</c:v>
                </c:pt>
                <c:pt idx="360">
                  <c:v>8.8288879104628446</c:v>
                </c:pt>
                <c:pt idx="361">
                  <c:v>9.7514253324547902</c:v>
                </c:pt>
                <c:pt idx="362">
                  <c:v>9.195257765111517</c:v>
                </c:pt>
                <c:pt idx="363">
                  <c:v>8.2413715809515775</c:v>
                </c:pt>
                <c:pt idx="364">
                  <c:v>8.2749917722711821</c:v>
                </c:pt>
              </c:numCache>
            </c:numRef>
          </c:yVal>
        </c:ser>
        <c:axId val="137013504"/>
        <c:axId val="137011968"/>
      </c:scatterChart>
      <c:valAx>
        <c:axId val="137008640"/>
        <c:scaling>
          <c:orientation val="minMax"/>
        </c:scaling>
        <c:axPos val="b"/>
        <c:numFmt formatCode="d\-mmm\-yy" sourceLinked="1"/>
        <c:tickLblPos val="nextTo"/>
        <c:crossAx val="137010176"/>
        <c:crosses val="autoZero"/>
        <c:crossBetween val="midCat"/>
      </c:valAx>
      <c:valAx>
        <c:axId val="137010176"/>
        <c:scaling>
          <c:orientation val="minMax"/>
        </c:scaling>
        <c:axPos val="l"/>
        <c:majorGridlines/>
        <c:numFmt formatCode="General" sourceLinked="1"/>
        <c:tickLblPos val="nextTo"/>
        <c:crossAx val="137008640"/>
        <c:crosses val="autoZero"/>
        <c:crossBetween val="midCat"/>
      </c:valAx>
      <c:valAx>
        <c:axId val="137011968"/>
        <c:scaling>
          <c:orientation val="minMax"/>
        </c:scaling>
        <c:axPos val="r"/>
        <c:numFmt formatCode="General" sourceLinked="1"/>
        <c:tickLblPos val="nextTo"/>
        <c:crossAx val="137013504"/>
        <c:crosses val="max"/>
        <c:crossBetween val="midCat"/>
      </c:valAx>
      <c:valAx>
        <c:axId val="137013504"/>
        <c:scaling>
          <c:orientation val="minMax"/>
        </c:scaling>
        <c:delete val="1"/>
        <c:axPos val="b"/>
        <c:numFmt formatCode="d\-mmm\-yy" sourceLinked="1"/>
        <c:tickLblPos val="none"/>
        <c:crossAx val="137011968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AU"/>
  <c:chart>
    <c:plotArea>
      <c:layout/>
      <c:scatterChart>
        <c:scatterStyle val="lineMarker"/>
        <c:ser>
          <c:idx val="0"/>
          <c:order val="0"/>
          <c:spPr>
            <a:ln w="28575">
              <a:noFill/>
            </a:ln>
          </c:spPr>
          <c:xVal>
            <c:numRef>
              <c:f>Herm8889!$AO$4:$AO$6</c:f>
              <c:numCache>
                <c:formatCode>General</c:formatCode>
                <c:ptCount val="3"/>
              </c:numCache>
            </c:numRef>
          </c:xVal>
          <c:yVal>
            <c:numRef>
              <c:f>Herm8889!$W$4:$W$6</c:f>
              <c:numCache>
                <c:formatCode>General</c:formatCode>
                <c:ptCount val="3"/>
              </c:numCache>
            </c:numRef>
          </c:yVal>
        </c:ser>
        <c:ser>
          <c:idx val="1"/>
          <c:order val="1"/>
          <c:spPr>
            <a:ln w="28575">
              <a:noFill/>
            </a:ln>
          </c:spPr>
          <c:xVal>
            <c:numRef>
              <c:f>Herm8889!$AO$7:$AO$9</c:f>
              <c:numCache>
                <c:formatCode>General</c:formatCode>
                <c:ptCount val="3"/>
              </c:numCache>
            </c:numRef>
          </c:xVal>
          <c:yVal>
            <c:numRef>
              <c:f>Herm8889!$W$7:$W$9</c:f>
              <c:numCache>
                <c:formatCode>General</c:formatCode>
                <c:ptCount val="3"/>
              </c:numCache>
            </c:numRef>
          </c:yVal>
        </c:ser>
        <c:ser>
          <c:idx val="2"/>
          <c:order val="2"/>
          <c:spPr>
            <a:ln w="28575">
              <a:noFill/>
            </a:ln>
          </c:spPr>
          <c:xVal>
            <c:numRef>
              <c:f>Herm8889!$AO$10:$AO$12</c:f>
              <c:numCache>
                <c:formatCode>General</c:formatCode>
                <c:ptCount val="3"/>
              </c:numCache>
            </c:numRef>
          </c:xVal>
          <c:yVal>
            <c:numRef>
              <c:f>Herm8889!$W$10:$W$12</c:f>
              <c:numCache>
                <c:formatCode>General</c:formatCode>
                <c:ptCount val="3"/>
              </c:numCache>
            </c:numRef>
          </c:yVal>
        </c:ser>
        <c:ser>
          <c:idx val="3"/>
          <c:order val="3"/>
          <c:spPr>
            <a:ln w="28575">
              <a:noFill/>
            </a:ln>
          </c:spPr>
          <c:xVal>
            <c:numRef>
              <c:f>Herm8889!$AO$13:$AO$15</c:f>
              <c:numCache>
                <c:formatCode>General</c:formatCode>
                <c:ptCount val="3"/>
              </c:numCache>
            </c:numRef>
          </c:xVal>
          <c:yVal>
            <c:numRef>
              <c:f>Herm8889!$W$13:$W$15</c:f>
              <c:numCache>
                <c:formatCode>General</c:formatCode>
                <c:ptCount val="3"/>
              </c:numCache>
            </c:numRef>
          </c:yVal>
        </c:ser>
        <c:axId val="137068544"/>
        <c:axId val="137070080"/>
      </c:scatterChart>
      <c:valAx>
        <c:axId val="137068544"/>
        <c:scaling>
          <c:orientation val="minMax"/>
        </c:scaling>
        <c:axPos val="b"/>
        <c:numFmt formatCode="General" sourceLinked="1"/>
        <c:tickLblPos val="nextTo"/>
        <c:crossAx val="137070080"/>
        <c:crosses val="autoZero"/>
        <c:crossBetween val="midCat"/>
      </c:valAx>
      <c:valAx>
        <c:axId val="137070080"/>
        <c:scaling>
          <c:orientation val="minMax"/>
        </c:scaling>
        <c:axPos val="l"/>
        <c:majorGridlines/>
        <c:numFmt formatCode="General" sourceLinked="1"/>
        <c:tickLblPos val="nextTo"/>
        <c:crossAx val="137068544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AU"/>
  <c:chart>
    <c:plotArea>
      <c:layout/>
      <c:scatterChart>
        <c:scatterStyle val="lineMarker"/>
        <c:ser>
          <c:idx val="0"/>
          <c:order val="0"/>
          <c:spPr>
            <a:ln w="28575">
              <a:noFill/>
            </a:ln>
          </c:spPr>
          <c:xVal>
            <c:numRef>
              <c:f>Herm8889!$AO$4:$AO$6</c:f>
              <c:numCache>
                <c:formatCode>General</c:formatCode>
                <c:ptCount val="3"/>
              </c:numCache>
            </c:numRef>
          </c:xVal>
          <c:yVal>
            <c:numRef>
              <c:f>Herm8889!$AF$4:$AF$6</c:f>
              <c:numCache>
                <c:formatCode>General</c:formatCode>
                <c:ptCount val="3"/>
              </c:numCache>
            </c:numRef>
          </c:yVal>
        </c:ser>
        <c:ser>
          <c:idx val="1"/>
          <c:order val="1"/>
          <c:spPr>
            <a:ln w="28575">
              <a:noFill/>
            </a:ln>
          </c:spPr>
          <c:xVal>
            <c:numRef>
              <c:f>Herm8889!$AO$7:$AO$9</c:f>
              <c:numCache>
                <c:formatCode>General</c:formatCode>
                <c:ptCount val="3"/>
              </c:numCache>
            </c:numRef>
          </c:xVal>
          <c:yVal>
            <c:numRef>
              <c:f>Herm8889!$AF$7:$AF$9</c:f>
              <c:numCache>
                <c:formatCode>General</c:formatCode>
                <c:ptCount val="3"/>
              </c:numCache>
            </c:numRef>
          </c:yVal>
        </c:ser>
        <c:ser>
          <c:idx val="2"/>
          <c:order val="2"/>
          <c:spPr>
            <a:ln w="28575">
              <a:noFill/>
            </a:ln>
          </c:spPr>
          <c:xVal>
            <c:numRef>
              <c:f>Herm8889!$AO$10:$AO$12</c:f>
              <c:numCache>
                <c:formatCode>General</c:formatCode>
                <c:ptCount val="3"/>
              </c:numCache>
            </c:numRef>
          </c:xVal>
          <c:yVal>
            <c:numRef>
              <c:f>Herm8889!$AF$10:$AF$12</c:f>
              <c:numCache>
                <c:formatCode>General</c:formatCode>
                <c:ptCount val="3"/>
              </c:numCache>
            </c:numRef>
          </c:yVal>
        </c:ser>
        <c:ser>
          <c:idx val="3"/>
          <c:order val="3"/>
          <c:spPr>
            <a:ln w="28575">
              <a:noFill/>
            </a:ln>
          </c:spPr>
          <c:xVal>
            <c:numRef>
              <c:f>Herm8889!$AO$13:$AO$15</c:f>
              <c:numCache>
                <c:formatCode>General</c:formatCode>
                <c:ptCount val="3"/>
              </c:numCache>
            </c:numRef>
          </c:xVal>
          <c:yVal>
            <c:numRef>
              <c:f>Herm8889!$AF$13:$AF$15</c:f>
              <c:numCache>
                <c:formatCode>General</c:formatCode>
                <c:ptCount val="3"/>
              </c:numCache>
            </c:numRef>
          </c:yVal>
        </c:ser>
        <c:axId val="137096192"/>
        <c:axId val="137106176"/>
      </c:scatterChart>
      <c:valAx>
        <c:axId val="137096192"/>
        <c:scaling>
          <c:orientation val="minMax"/>
        </c:scaling>
        <c:axPos val="b"/>
        <c:numFmt formatCode="General" sourceLinked="1"/>
        <c:tickLblPos val="nextTo"/>
        <c:crossAx val="137106176"/>
        <c:crosses val="autoZero"/>
        <c:crossBetween val="midCat"/>
      </c:valAx>
      <c:valAx>
        <c:axId val="137106176"/>
        <c:scaling>
          <c:orientation val="minMax"/>
        </c:scaling>
        <c:axPos val="l"/>
        <c:majorGridlines/>
        <c:numFmt formatCode="General" sourceLinked="1"/>
        <c:tickLblPos val="nextTo"/>
        <c:crossAx val="137096192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111" l="0.70000000000000062" r="0.70000000000000062" t="0.75000000000000111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AU"/>
  <c:chart>
    <c:autoTitleDeleted val="1"/>
    <c:plotArea>
      <c:layout/>
      <c:scatterChart>
        <c:scatterStyle val="lineMarker"/>
        <c:ser>
          <c:idx val="0"/>
          <c:order val="0"/>
          <c:tx>
            <c:strRef>
              <c:f>Tamworth!$P$4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circle"/>
            <c:size val="7"/>
          </c:marker>
          <c:xVal>
            <c:numRef>
              <c:f>Tamworth!$AO$4:$AO$6</c:f>
              <c:numCache>
                <c:formatCode>General</c:formatCode>
                <c:ptCount val="3"/>
              </c:numCache>
            </c:numRef>
          </c:xVal>
          <c:yVal>
            <c:numRef>
              <c:f>Tamworth!$AP$4:$AP$6</c:f>
              <c:numCache>
                <c:formatCode>General</c:formatCode>
                <c:ptCount val="3"/>
              </c:numCache>
            </c:numRef>
          </c:yVal>
        </c:ser>
        <c:ser>
          <c:idx val="1"/>
          <c:order val="1"/>
          <c:tx>
            <c:strRef>
              <c:f>Tamworth!$P$7</c:f>
              <c:strCache>
                <c:ptCount val="1"/>
              </c:strCache>
            </c:strRef>
          </c:tx>
          <c:spPr>
            <a:ln w="28575">
              <a:noFill/>
            </a:ln>
          </c:spPr>
          <c:xVal>
            <c:numRef>
              <c:f>Tamworth!$AO$7:$AO$9</c:f>
              <c:numCache>
                <c:formatCode>General</c:formatCode>
                <c:ptCount val="3"/>
              </c:numCache>
            </c:numRef>
          </c:xVal>
          <c:yVal>
            <c:numRef>
              <c:f>Tamworth!$AP$7:$AP$9</c:f>
              <c:numCache>
                <c:formatCode>General</c:formatCode>
                <c:ptCount val="3"/>
              </c:numCache>
            </c:numRef>
          </c:yVal>
        </c:ser>
        <c:ser>
          <c:idx val="2"/>
          <c:order val="2"/>
          <c:tx>
            <c:strRef>
              <c:f>Tamworth!$P$10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circle"/>
            <c:size val="7"/>
          </c:marker>
          <c:xVal>
            <c:numRef>
              <c:f>Tamworth!$AO$10:$AO$12</c:f>
              <c:numCache>
                <c:formatCode>General</c:formatCode>
                <c:ptCount val="3"/>
              </c:numCache>
            </c:numRef>
          </c:xVal>
          <c:yVal>
            <c:numRef>
              <c:f>Tamworth!$AP$10:$AP$12</c:f>
              <c:numCache>
                <c:formatCode>General</c:formatCode>
                <c:ptCount val="3"/>
              </c:numCache>
            </c:numRef>
          </c:yVal>
        </c:ser>
        <c:ser>
          <c:idx val="3"/>
          <c:order val="3"/>
          <c:tx>
            <c:strRef>
              <c:f>Tamworth!$P$13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circle"/>
            <c:size val="7"/>
          </c:marker>
          <c:xVal>
            <c:numRef>
              <c:f>Tamworth!$AO$13:$AO$15</c:f>
              <c:numCache>
                <c:formatCode>General</c:formatCode>
                <c:ptCount val="3"/>
              </c:numCache>
            </c:numRef>
          </c:xVal>
          <c:yVal>
            <c:numRef>
              <c:f>Tamworth!$AP$13:$AP$15</c:f>
              <c:numCache>
                <c:formatCode>General</c:formatCode>
                <c:ptCount val="3"/>
              </c:numCache>
            </c:numRef>
          </c:yVal>
        </c:ser>
        <c:ser>
          <c:idx val="4"/>
          <c:order val="4"/>
          <c:spPr>
            <a:ln w="285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Herm8889!#REF!</c:f>
            </c:numRef>
          </c:xVal>
          <c:yVal>
            <c:numRef>
              <c:f>Herm8889!#REF!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</c:ser>
        <c:ser>
          <c:idx val="5"/>
          <c:order val="5"/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Herm8889!#REF!</c:f>
            </c:numRef>
          </c:xVal>
          <c:yVal>
            <c:numRef>
              <c:f>Herm8889!#REF!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</c:ser>
        <c:ser>
          <c:idx val="6"/>
          <c:order val="6"/>
          <c:spPr>
            <a:ln w="28575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Herm8889!#REF!</c:f>
            </c:numRef>
          </c:xVal>
          <c:yVal>
            <c:numRef>
              <c:f>Herm8889!#REF!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</c:ser>
        <c:ser>
          <c:idx val="7"/>
          <c:order val="7"/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Herm8889!#REF!</c:f>
            </c:numRef>
          </c:xVal>
          <c:yVal>
            <c:numRef>
              <c:f>Herm8889!#REF!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</c:ser>
        <c:axId val="137398144"/>
        <c:axId val="137399680"/>
      </c:scatterChart>
      <c:valAx>
        <c:axId val="137398144"/>
        <c:scaling>
          <c:orientation val="minMax"/>
          <c:max val="14"/>
          <c:min val="11"/>
        </c:scaling>
        <c:axPos val="b"/>
        <c:numFmt formatCode="General" sourceLinked="1"/>
        <c:tickLblPos val="nextTo"/>
        <c:crossAx val="137399680"/>
        <c:crosses val="autoZero"/>
        <c:crossBetween val="midCat"/>
      </c:valAx>
      <c:valAx>
        <c:axId val="137399680"/>
        <c:scaling>
          <c:orientation val="minMax"/>
          <c:max val="600"/>
        </c:scaling>
        <c:axPos val="l"/>
        <c:majorGridlines/>
        <c:numFmt formatCode="General" sourceLinked="1"/>
        <c:tickLblPos val="nextTo"/>
        <c:crossAx val="137398144"/>
        <c:crosses val="autoZero"/>
        <c:crossBetween val="midCat"/>
      </c:valAx>
    </c:plotArea>
    <c:legend>
      <c:legendPos val="r"/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7"/>
        <c:delete val="1"/>
      </c:legendEntry>
    </c:legend>
    <c:plotVisOnly val="1"/>
  </c:chart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AU"/>
  <c:chart>
    <c:title>
      <c:tx>
        <c:rich>
          <a:bodyPr/>
          <a:lstStyle/>
          <a:p>
            <a:pPr>
              <a:defRPr/>
            </a:pPr>
            <a:r>
              <a:rPr lang="en-AU"/>
              <a:t>Final</a:t>
            </a:r>
            <a:r>
              <a:rPr lang="en-AU" baseline="0"/>
              <a:t> Leaf Number</a:t>
            </a:r>
            <a:endParaRPr lang="en-AU"/>
          </a:p>
        </c:rich>
      </c:tx>
    </c:title>
    <c:plotArea>
      <c:layout>
        <c:manualLayout>
          <c:layoutTarget val="inner"/>
          <c:xMode val="edge"/>
          <c:yMode val="edge"/>
          <c:x val="0.11705432146185001"/>
          <c:y val="0.21072332174694391"/>
          <c:w val="0.78177133346136662"/>
          <c:h val="0.66389302688515406"/>
        </c:manualLayout>
      </c:layout>
      <c:scatterChart>
        <c:scatterStyle val="lineMarker"/>
        <c:ser>
          <c:idx val="0"/>
          <c:order val="0"/>
          <c:tx>
            <c:strRef>
              <c:f>Tamworth!$AK$3</c:f>
              <c:strCache>
                <c:ptCount val="1"/>
              </c:strCache>
            </c:strRef>
          </c:tx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layout>
                <c:manualLayout>
                  <c:x val="0.3578822178477708"/>
                  <c:y val="0.39646557338227695"/>
                </c:manualLayout>
              </c:layout>
              <c:numFmt formatCode="General" sourceLinked="0"/>
            </c:trendlineLbl>
          </c:trendline>
          <c:xVal>
            <c:numRef>
              <c:f>Tamworth!$W$4:$W$15</c:f>
              <c:numCache>
                <c:formatCode>General</c:formatCode>
                <c:ptCount val="12"/>
              </c:numCache>
            </c:numRef>
          </c:xVal>
          <c:yVal>
            <c:numRef>
              <c:f>Tamworth!$AK$4:$AK$15</c:f>
              <c:numCache>
                <c:formatCode>General</c:formatCode>
                <c:ptCount val="12"/>
              </c:numCache>
            </c:numRef>
          </c:yVal>
        </c:ser>
        <c:ser>
          <c:idx val="1"/>
          <c:order val="1"/>
          <c:spPr>
            <a:ln w="285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Tamworth!$O$1</c:f>
              <c:numCache>
                <c:formatCode>General</c:formatCode>
                <c:ptCount val="1"/>
              </c:numCache>
            </c:numRef>
          </c:xVal>
          <c:yVal>
            <c:numRef>
              <c:f>Tamworth!$P$1</c:f>
              <c:numCache>
                <c:formatCode>General</c:formatCode>
                <c:ptCount val="1"/>
              </c:numCache>
            </c:numRef>
          </c:yVal>
        </c:ser>
        <c:axId val="137173248"/>
        <c:axId val="137187328"/>
      </c:scatterChart>
      <c:valAx>
        <c:axId val="137173248"/>
        <c:scaling>
          <c:orientation val="minMax"/>
        </c:scaling>
        <c:axPos val="b"/>
        <c:numFmt formatCode="General" sourceLinked="1"/>
        <c:tickLblPos val="nextTo"/>
        <c:crossAx val="137187328"/>
        <c:crosses val="autoZero"/>
        <c:crossBetween val="midCat"/>
      </c:valAx>
      <c:valAx>
        <c:axId val="137187328"/>
        <c:scaling>
          <c:orientation val="minMax"/>
        </c:scaling>
        <c:axPos val="l"/>
        <c:majorGridlines/>
        <c:numFmt formatCode="General" sourceLinked="1"/>
        <c:tickLblPos val="nextTo"/>
        <c:crossAx val="137173248"/>
        <c:crosses val="autoZero"/>
        <c:crossBetween val="midCat"/>
      </c:valAx>
    </c:plotArea>
    <c:plotVisOnly val="1"/>
  </c:chart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AU"/>
  <c:chart>
    <c:title/>
    <c:plotArea>
      <c:layout/>
      <c:scatterChart>
        <c:scatterStyle val="lineMarker"/>
        <c:ser>
          <c:idx val="0"/>
          <c:order val="0"/>
          <c:tx>
            <c:strRef>
              <c:f>Herm8889!#REF!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xVal>
            <c:numRef>
              <c:f>Tamworth!$BA$2:$BA$18</c:f>
              <c:numCache>
                <c:formatCode>General</c:formatCode>
                <c:ptCount val="17"/>
              </c:numCache>
            </c:numRef>
          </c:xVal>
          <c:yVal>
            <c:numRef>
              <c:f>Herm8889!#REF!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</c:ser>
        <c:axId val="137202688"/>
        <c:axId val="137224960"/>
      </c:scatterChart>
      <c:valAx>
        <c:axId val="137202688"/>
        <c:scaling>
          <c:orientation val="minMax"/>
        </c:scaling>
        <c:axPos val="b"/>
        <c:numFmt formatCode="General" sourceLinked="1"/>
        <c:tickLblPos val="nextTo"/>
        <c:crossAx val="137224960"/>
        <c:crosses val="autoZero"/>
        <c:crossBetween val="midCat"/>
      </c:valAx>
      <c:valAx>
        <c:axId val="137224960"/>
        <c:scaling>
          <c:orientation val="minMax"/>
        </c:scaling>
        <c:axPos val="l"/>
        <c:majorGridlines/>
        <c:numFmt formatCode="General" sourceLinked="1"/>
        <c:tickLblPos val="nextTo"/>
        <c:crossAx val="137202688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AU"/>
  <c:chart>
    <c:plotArea>
      <c:layout/>
      <c:scatterChart>
        <c:scatterStyle val="lineMarker"/>
        <c:ser>
          <c:idx val="0"/>
          <c:order val="0"/>
          <c:tx>
            <c:strRef>
              <c:f>Tamworth!$C$3</c:f>
              <c:strCache>
                <c:ptCount val="1"/>
                <c:pt idx="0">
                  <c:v>PP</c:v>
                </c:pt>
              </c:strCache>
            </c:strRef>
          </c:tx>
          <c:marker>
            <c:symbol val="none"/>
          </c:marker>
          <c:xVal>
            <c:numRef>
              <c:f>Tamworth!$A$4:$A$368</c:f>
              <c:numCache>
                <c:formatCode>d\-mmm\-yy</c:formatCode>
                <c:ptCount val="365"/>
                <c:pt idx="0">
                  <c:v>32629</c:v>
                </c:pt>
                <c:pt idx="1">
                  <c:v>32630</c:v>
                </c:pt>
                <c:pt idx="2">
                  <c:v>32631</c:v>
                </c:pt>
                <c:pt idx="3">
                  <c:v>32632</c:v>
                </c:pt>
                <c:pt idx="4">
                  <c:v>32633</c:v>
                </c:pt>
                <c:pt idx="5">
                  <c:v>32634</c:v>
                </c:pt>
                <c:pt idx="6">
                  <c:v>32635</c:v>
                </c:pt>
                <c:pt idx="7">
                  <c:v>32636</c:v>
                </c:pt>
                <c:pt idx="8">
                  <c:v>32637</c:v>
                </c:pt>
                <c:pt idx="9">
                  <c:v>32638</c:v>
                </c:pt>
                <c:pt idx="10">
                  <c:v>32639</c:v>
                </c:pt>
                <c:pt idx="11">
                  <c:v>32640</c:v>
                </c:pt>
                <c:pt idx="12">
                  <c:v>32641</c:v>
                </c:pt>
                <c:pt idx="13">
                  <c:v>32642</c:v>
                </c:pt>
                <c:pt idx="14">
                  <c:v>32643</c:v>
                </c:pt>
                <c:pt idx="15">
                  <c:v>32644</c:v>
                </c:pt>
                <c:pt idx="16">
                  <c:v>32645</c:v>
                </c:pt>
                <c:pt idx="17">
                  <c:v>32646</c:v>
                </c:pt>
                <c:pt idx="18">
                  <c:v>32647</c:v>
                </c:pt>
                <c:pt idx="19">
                  <c:v>32648</c:v>
                </c:pt>
                <c:pt idx="20">
                  <c:v>32649</c:v>
                </c:pt>
                <c:pt idx="21">
                  <c:v>32650</c:v>
                </c:pt>
                <c:pt idx="22">
                  <c:v>32651</c:v>
                </c:pt>
                <c:pt idx="23">
                  <c:v>32652</c:v>
                </c:pt>
                <c:pt idx="24">
                  <c:v>32653</c:v>
                </c:pt>
                <c:pt idx="25">
                  <c:v>32654</c:v>
                </c:pt>
                <c:pt idx="26">
                  <c:v>32655</c:v>
                </c:pt>
                <c:pt idx="27">
                  <c:v>32656</c:v>
                </c:pt>
                <c:pt idx="28">
                  <c:v>32657</c:v>
                </c:pt>
                <c:pt idx="29">
                  <c:v>32658</c:v>
                </c:pt>
                <c:pt idx="30">
                  <c:v>32659</c:v>
                </c:pt>
                <c:pt idx="31">
                  <c:v>32660</c:v>
                </c:pt>
                <c:pt idx="32">
                  <c:v>32661</c:v>
                </c:pt>
                <c:pt idx="33">
                  <c:v>32662</c:v>
                </c:pt>
                <c:pt idx="34">
                  <c:v>32663</c:v>
                </c:pt>
                <c:pt idx="35">
                  <c:v>32664</c:v>
                </c:pt>
                <c:pt idx="36">
                  <c:v>32665</c:v>
                </c:pt>
                <c:pt idx="37">
                  <c:v>32666</c:v>
                </c:pt>
                <c:pt idx="38">
                  <c:v>32667</c:v>
                </c:pt>
                <c:pt idx="39">
                  <c:v>32668</c:v>
                </c:pt>
                <c:pt idx="40">
                  <c:v>32669</c:v>
                </c:pt>
                <c:pt idx="41">
                  <c:v>32670</c:v>
                </c:pt>
                <c:pt idx="42">
                  <c:v>32671</c:v>
                </c:pt>
                <c:pt idx="43">
                  <c:v>32672</c:v>
                </c:pt>
                <c:pt idx="44">
                  <c:v>32673</c:v>
                </c:pt>
                <c:pt idx="45">
                  <c:v>32674</c:v>
                </c:pt>
                <c:pt idx="46">
                  <c:v>32675</c:v>
                </c:pt>
                <c:pt idx="47">
                  <c:v>32676</c:v>
                </c:pt>
                <c:pt idx="48">
                  <c:v>32677</c:v>
                </c:pt>
                <c:pt idx="49">
                  <c:v>32678</c:v>
                </c:pt>
                <c:pt idx="50">
                  <c:v>32679</c:v>
                </c:pt>
                <c:pt idx="51">
                  <c:v>32680</c:v>
                </c:pt>
                <c:pt idx="52">
                  <c:v>32681</c:v>
                </c:pt>
                <c:pt idx="53">
                  <c:v>32682</c:v>
                </c:pt>
                <c:pt idx="54">
                  <c:v>32683</c:v>
                </c:pt>
                <c:pt idx="55">
                  <c:v>32684</c:v>
                </c:pt>
                <c:pt idx="56">
                  <c:v>32685</c:v>
                </c:pt>
                <c:pt idx="57">
                  <c:v>32686</c:v>
                </c:pt>
                <c:pt idx="58">
                  <c:v>32687</c:v>
                </c:pt>
                <c:pt idx="59">
                  <c:v>32688</c:v>
                </c:pt>
                <c:pt idx="60">
                  <c:v>32689</c:v>
                </c:pt>
                <c:pt idx="61">
                  <c:v>32690</c:v>
                </c:pt>
                <c:pt idx="62">
                  <c:v>32691</c:v>
                </c:pt>
                <c:pt idx="63">
                  <c:v>32692</c:v>
                </c:pt>
                <c:pt idx="64">
                  <c:v>32693</c:v>
                </c:pt>
                <c:pt idx="65">
                  <c:v>32694</c:v>
                </c:pt>
                <c:pt idx="66">
                  <c:v>32695</c:v>
                </c:pt>
                <c:pt idx="67">
                  <c:v>32696</c:v>
                </c:pt>
                <c:pt idx="68">
                  <c:v>32697</c:v>
                </c:pt>
                <c:pt idx="69">
                  <c:v>32698</c:v>
                </c:pt>
                <c:pt idx="70">
                  <c:v>32699</c:v>
                </c:pt>
                <c:pt idx="71">
                  <c:v>32700</c:v>
                </c:pt>
                <c:pt idx="72">
                  <c:v>32701</c:v>
                </c:pt>
                <c:pt idx="73">
                  <c:v>32702</c:v>
                </c:pt>
                <c:pt idx="74">
                  <c:v>32703</c:v>
                </c:pt>
                <c:pt idx="75">
                  <c:v>32704</c:v>
                </c:pt>
                <c:pt idx="76">
                  <c:v>32705</c:v>
                </c:pt>
                <c:pt idx="77">
                  <c:v>32706</c:v>
                </c:pt>
                <c:pt idx="78">
                  <c:v>32707</c:v>
                </c:pt>
                <c:pt idx="79">
                  <c:v>32708</c:v>
                </c:pt>
                <c:pt idx="80">
                  <c:v>32709</c:v>
                </c:pt>
                <c:pt idx="81">
                  <c:v>32710</c:v>
                </c:pt>
                <c:pt idx="82">
                  <c:v>32711</c:v>
                </c:pt>
                <c:pt idx="83">
                  <c:v>32712</c:v>
                </c:pt>
                <c:pt idx="84">
                  <c:v>32713</c:v>
                </c:pt>
                <c:pt idx="85">
                  <c:v>32714</c:v>
                </c:pt>
                <c:pt idx="86">
                  <c:v>32715</c:v>
                </c:pt>
                <c:pt idx="87">
                  <c:v>32716</c:v>
                </c:pt>
                <c:pt idx="88">
                  <c:v>32717</c:v>
                </c:pt>
                <c:pt idx="89">
                  <c:v>32718</c:v>
                </c:pt>
                <c:pt idx="90">
                  <c:v>32719</c:v>
                </c:pt>
                <c:pt idx="91">
                  <c:v>32720</c:v>
                </c:pt>
                <c:pt idx="92">
                  <c:v>32721</c:v>
                </c:pt>
                <c:pt idx="93">
                  <c:v>32722</c:v>
                </c:pt>
                <c:pt idx="94">
                  <c:v>32723</c:v>
                </c:pt>
                <c:pt idx="95">
                  <c:v>32724</c:v>
                </c:pt>
                <c:pt idx="96">
                  <c:v>32725</c:v>
                </c:pt>
                <c:pt idx="97">
                  <c:v>32726</c:v>
                </c:pt>
                <c:pt idx="98">
                  <c:v>32727</c:v>
                </c:pt>
                <c:pt idx="99">
                  <c:v>32728</c:v>
                </c:pt>
                <c:pt idx="100">
                  <c:v>32729</c:v>
                </c:pt>
                <c:pt idx="101">
                  <c:v>32730</c:v>
                </c:pt>
                <c:pt idx="102">
                  <c:v>32731</c:v>
                </c:pt>
                <c:pt idx="103">
                  <c:v>32732</c:v>
                </c:pt>
                <c:pt idx="104">
                  <c:v>32733</c:v>
                </c:pt>
                <c:pt idx="105">
                  <c:v>32734</c:v>
                </c:pt>
                <c:pt idx="106">
                  <c:v>32735</c:v>
                </c:pt>
                <c:pt idx="107">
                  <c:v>32736</c:v>
                </c:pt>
                <c:pt idx="108">
                  <c:v>32737</c:v>
                </c:pt>
                <c:pt idx="109">
                  <c:v>32738</c:v>
                </c:pt>
                <c:pt idx="110">
                  <c:v>32739</c:v>
                </c:pt>
                <c:pt idx="111">
                  <c:v>32740</c:v>
                </c:pt>
                <c:pt idx="112">
                  <c:v>32741</c:v>
                </c:pt>
                <c:pt idx="113">
                  <c:v>32742</c:v>
                </c:pt>
                <c:pt idx="114">
                  <c:v>32743</c:v>
                </c:pt>
                <c:pt idx="115">
                  <c:v>32744</c:v>
                </c:pt>
                <c:pt idx="116">
                  <c:v>32745</c:v>
                </c:pt>
                <c:pt idx="117">
                  <c:v>32746</c:v>
                </c:pt>
                <c:pt idx="118">
                  <c:v>32747</c:v>
                </c:pt>
                <c:pt idx="119">
                  <c:v>32748</c:v>
                </c:pt>
                <c:pt idx="120">
                  <c:v>32749</c:v>
                </c:pt>
                <c:pt idx="121">
                  <c:v>32750</c:v>
                </c:pt>
                <c:pt idx="122">
                  <c:v>32751</c:v>
                </c:pt>
                <c:pt idx="123">
                  <c:v>32752</c:v>
                </c:pt>
                <c:pt idx="124">
                  <c:v>32753</c:v>
                </c:pt>
                <c:pt idx="125">
                  <c:v>32754</c:v>
                </c:pt>
                <c:pt idx="126">
                  <c:v>32755</c:v>
                </c:pt>
                <c:pt idx="127">
                  <c:v>32756</c:v>
                </c:pt>
                <c:pt idx="128">
                  <c:v>32757</c:v>
                </c:pt>
                <c:pt idx="129">
                  <c:v>32758</c:v>
                </c:pt>
                <c:pt idx="130">
                  <c:v>32759</c:v>
                </c:pt>
                <c:pt idx="131">
                  <c:v>32760</c:v>
                </c:pt>
                <c:pt idx="132">
                  <c:v>32761</c:v>
                </c:pt>
                <c:pt idx="133">
                  <c:v>32762</c:v>
                </c:pt>
                <c:pt idx="134">
                  <c:v>32763</c:v>
                </c:pt>
                <c:pt idx="135">
                  <c:v>32764</c:v>
                </c:pt>
                <c:pt idx="136">
                  <c:v>32765</c:v>
                </c:pt>
                <c:pt idx="137">
                  <c:v>32766</c:v>
                </c:pt>
                <c:pt idx="138">
                  <c:v>32767</c:v>
                </c:pt>
                <c:pt idx="139">
                  <c:v>32768</c:v>
                </c:pt>
                <c:pt idx="140">
                  <c:v>32769</c:v>
                </c:pt>
                <c:pt idx="141">
                  <c:v>32770</c:v>
                </c:pt>
                <c:pt idx="142">
                  <c:v>32771</c:v>
                </c:pt>
                <c:pt idx="143">
                  <c:v>32772</c:v>
                </c:pt>
                <c:pt idx="144">
                  <c:v>32773</c:v>
                </c:pt>
                <c:pt idx="145">
                  <c:v>32774</c:v>
                </c:pt>
                <c:pt idx="146">
                  <c:v>32775</c:v>
                </c:pt>
                <c:pt idx="147">
                  <c:v>32776</c:v>
                </c:pt>
                <c:pt idx="148">
                  <c:v>32777</c:v>
                </c:pt>
                <c:pt idx="149">
                  <c:v>32778</c:v>
                </c:pt>
                <c:pt idx="150">
                  <c:v>32779</c:v>
                </c:pt>
                <c:pt idx="151">
                  <c:v>32780</c:v>
                </c:pt>
                <c:pt idx="152">
                  <c:v>32781</c:v>
                </c:pt>
                <c:pt idx="153">
                  <c:v>32782</c:v>
                </c:pt>
                <c:pt idx="154">
                  <c:v>32783</c:v>
                </c:pt>
                <c:pt idx="155">
                  <c:v>32784</c:v>
                </c:pt>
                <c:pt idx="156">
                  <c:v>32785</c:v>
                </c:pt>
                <c:pt idx="157">
                  <c:v>32786</c:v>
                </c:pt>
                <c:pt idx="158">
                  <c:v>32787</c:v>
                </c:pt>
                <c:pt idx="159">
                  <c:v>32788</c:v>
                </c:pt>
                <c:pt idx="160">
                  <c:v>32789</c:v>
                </c:pt>
                <c:pt idx="161">
                  <c:v>32790</c:v>
                </c:pt>
                <c:pt idx="162">
                  <c:v>32791</c:v>
                </c:pt>
                <c:pt idx="163">
                  <c:v>32792</c:v>
                </c:pt>
                <c:pt idx="164">
                  <c:v>32793</c:v>
                </c:pt>
                <c:pt idx="165">
                  <c:v>32794</c:v>
                </c:pt>
                <c:pt idx="166">
                  <c:v>32795</c:v>
                </c:pt>
                <c:pt idx="167">
                  <c:v>32796</c:v>
                </c:pt>
                <c:pt idx="168">
                  <c:v>32797</c:v>
                </c:pt>
                <c:pt idx="169">
                  <c:v>32798</c:v>
                </c:pt>
                <c:pt idx="170">
                  <c:v>32799</c:v>
                </c:pt>
                <c:pt idx="171">
                  <c:v>32800</c:v>
                </c:pt>
                <c:pt idx="172">
                  <c:v>32801</c:v>
                </c:pt>
                <c:pt idx="173">
                  <c:v>32802</c:v>
                </c:pt>
                <c:pt idx="174">
                  <c:v>32803</c:v>
                </c:pt>
                <c:pt idx="175">
                  <c:v>32804</c:v>
                </c:pt>
                <c:pt idx="176">
                  <c:v>32805</c:v>
                </c:pt>
                <c:pt idx="177">
                  <c:v>32806</c:v>
                </c:pt>
                <c:pt idx="178">
                  <c:v>32807</c:v>
                </c:pt>
                <c:pt idx="179">
                  <c:v>32808</c:v>
                </c:pt>
                <c:pt idx="180">
                  <c:v>32809</c:v>
                </c:pt>
                <c:pt idx="181">
                  <c:v>32810</c:v>
                </c:pt>
                <c:pt idx="182">
                  <c:v>32811</c:v>
                </c:pt>
                <c:pt idx="183">
                  <c:v>32812</c:v>
                </c:pt>
                <c:pt idx="184">
                  <c:v>32813</c:v>
                </c:pt>
                <c:pt idx="185">
                  <c:v>32814</c:v>
                </c:pt>
                <c:pt idx="186">
                  <c:v>32815</c:v>
                </c:pt>
                <c:pt idx="187">
                  <c:v>32816</c:v>
                </c:pt>
                <c:pt idx="188">
                  <c:v>32817</c:v>
                </c:pt>
                <c:pt idx="189">
                  <c:v>32818</c:v>
                </c:pt>
                <c:pt idx="190">
                  <c:v>32819</c:v>
                </c:pt>
                <c:pt idx="191">
                  <c:v>32820</c:v>
                </c:pt>
                <c:pt idx="192">
                  <c:v>32821</c:v>
                </c:pt>
                <c:pt idx="193">
                  <c:v>32822</c:v>
                </c:pt>
                <c:pt idx="194">
                  <c:v>32823</c:v>
                </c:pt>
                <c:pt idx="195">
                  <c:v>32824</c:v>
                </c:pt>
                <c:pt idx="196">
                  <c:v>32825</c:v>
                </c:pt>
                <c:pt idx="197">
                  <c:v>32826</c:v>
                </c:pt>
                <c:pt idx="198">
                  <c:v>32827</c:v>
                </c:pt>
                <c:pt idx="199">
                  <c:v>32828</c:v>
                </c:pt>
                <c:pt idx="200">
                  <c:v>32829</c:v>
                </c:pt>
                <c:pt idx="201">
                  <c:v>32830</c:v>
                </c:pt>
                <c:pt idx="202">
                  <c:v>32831</c:v>
                </c:pt>
                <c:pt idx="203">
                  <c:v>32832</c:v>
                </c:pt>
                <c:pt idx="204">
                  <c:v>32833</c:v>
                </c:pt>
                <c:pt idx="205">
                  <c:v>32834</c:v>
                </c:pt>
                <c:pt idx="206">
                  <c:v>32835</c:v>
                </c:pt>
                <c:pt idx="207">
                  <c:v>32836</c:v>
                </c:pt>
                <c:pt idx="208">
                  <c:v>32837</c:v>
                </c:pt>
                <c:pt idx="209">
                  <c:v>32838</c:v>
                </c:pt>
                <c:pt idx="210">
                  <c:v>32839</c:v>
                </c:pt>
                <c:pt idx="211">
                  <c:v>32840</c:v>
                </c:pt>
                <c:pt idx="212">
                  <c:v>32841</c:v>
                </c:pt>
                <c:pt idx="213">
                  <c:v>32842</c:v>
                </c:pt>
              </c:numCache>
            </c:numRef>
          </c:xVal>
          <c:yVal>
            <c:numRef>
              <c:f>Tamworth!$C$4:$C$368</c:f>
              <c:numCache>
                <c:formatCode>General</c:formatCode>
                <c:ptCount val="365"/>
                <c:pt idx="0">
                  <c:v>11.756546974182129</c:v>
                </c:pt>
                <c:pt idx="1">
                  <c:v>11.730808258056641</c:v>
                </c:pt>
                <c:pt idx="2">
                  <c:v>11.705378532409668</c:v>
                </c:pt>
                <c:pt idx="3">
                  <c:v>11.680267333984375</c:v>
                </c:pt>
                <c:pt idx="4">
                  <c:v>11.655481338500977</c:v>
                </c:pt>
                <c:pt idx="5">
                  <c:v>11.631028175354004</c:v>
                </c:pt>
                <c:pt idx="6">
                  <c:v>11.606916427612305</c:v>
                </c:pt>
                <c:pt idx="7">
                  <c:v>11.58315372467041</c:v>
                </c:pt>
                <c:pt idx="8">
                  <c:v>11.559748649597168</c:v>
                </c:pt>
                <c:pt idx="9">
                  <c:v>11.536706924438477</c:v>
                </c:pt>
                <c:pt idx="10">
                  <c:v>11.514039039611816</c:v>
                </c:pt>
                <c:pt idx="11">
                  <c:v>11.491752624511719</c:v>
                </c:pt>
                <c:pt idx="12">
                  <c:v>11.469853401184082</c:v>
                </c:pt>
                <c:pt idx="13">
                  <c:v>11.448352813720703</c:v>
                </c:pt>
                <c:pt idx="14">
                  <c:v>11.42725658416748</c:v>
                </c:pt>
                <c:pt idx="15">
                  <c:v>11.406574249267578</c:v>
                </c:pt>
                <c:pt idx="16">
                  <c:v>11.386312484741211</c:v>
                </c:pt>
                <c:pt idx="17">
                  <c:v>11.366480827331543</c:v>
                </c:pt>
                <c:pt idx="18">
                  <c:v>11.347085952758789</c:v>
                </c:pt>
                <c:pt idx="19">
                  <c:v>11.328137397766113</c:v>
                </c:pt>
                <c:pt idx="20">
                  <c:v>11.30964183807373</c:v>
                </c:pt>
                <c:pt idx="21">
                  <c:v>11.291608810424805</c:v>
                </c:pt>
                <c:pt idx="22">
                  <c:v>11.274044036865234</c:v>
                </c:pt>
                <c:pt idx="23">
                  <c:v>11.256957054138184</c:v>
                </c:pt>
                <c:pt idx="24">
                  <c:v>11.240352630615234</c:v>
                </c:pt>
                <c:pt idx="25">
                  <c:v>11.2242431640625</c:v>
                </c:pt>
                <c:pt idx="26">
                  <c:v>11.20863151550293</c:v>
                </c:pt>
                <c:pt idx="27">
                  <c:v>11.193528175354004</c:v>
                </c:pt>
                <c:pt idx="28">
                  <c:v>11.178937911987305</c:v>
                </c:pt>
                <c:pt idx="29">
                  <c:v>11.16486930847168</c:v>
                </c:pt>
                <c:pt idx="30">
                  <c:v>11.151329040527344</c:v>
                </c:pt>
                <c:pt idx="31">
                  <c:v>11.138323783874512</c:v>
                </c:pt>
                <c:pt idx="32">
                  <c:v>11.125859260559082</c:v>
                </c:pt>
                <c:pt idx="33">
                  <c:v>11.113943099975586</c:v>
                </c:pt>
                <c:pt idx="34">
                  <c:v>11.102580070495605</c:v>
                </c:pt>
                <c:pt idx="35">
                  <c:v>11.091776847839355</c:v>
                </c:pt>
                <c:pt idx="36">
                  <c:v>11.081538200378418</c:v>
                </c:pt>
                <c:pt idx="37">
                  <c:v>11.071870803833008</c:v>
                </c:pt>
                <c:pt idx="38">
                  <c:v>11.062779426574707</c:v>
                </c:pt>
                <c:pt idx="39">
                  <c:v>11.054268836975098</c:v>
                </c:pt>
                <c:pt idx="40">
                  <c:v>11.046342849731445</c:v>
                </c:pt>
                <c:pt idx="41">
                  <c:v>11.039006233215332</c:v>
                </c:pt>
                <c:pt idx="42">
                  <c:v>11.03226375579834</c:v>
                </c:pt>
                <c:pt idx="43">
                  <c:v>11.026118278503418</c:v>
                </c:pt>
                <c:pt idx="44">
                  <c:v>11.020573616027832</c:v>
                </c:pt>
                <c:pt idx="45">
                  <c:v>11.015633583068848</c:v>
                </c:pt>
                <c:pt idx="46">
                  <c:v>11.011299133300781</c:v>
                </c:pt>
                <c:pt idx="47">
                  <c:v>11.007575035095215</c:v>
                </c:pt>
                <c:pt idx="48">
                  <c:v>11.004461288452148</c:v>
                </c:pt>
                <c:pt idx="49">
                  <c:v>11.001959800720215</c:v>
                </c:pt>
                <c:pt idx="50">
                  <c:v>11.000073432922363</c:v>
                </c:pt>
                <c:pt idx="51">
                  <c:v>10.998802185058594</c:v>
                </c:pt>
                <c:pt idx="52">
                  <c:v>10.998147010803223</c:v>
                </c:pt>
                <c:pt idx="53">
                  <c:v>10.99810791015625</c:v>
                </c:pt>
                <c:pt idx="54">
                  <c:v>10.998686790466309</c:v>
                </c:pt>
                <c:pt idx="55">
                  <c:v>10.999880790710449</c:v>
                </c:pt>
                <c:pt idx="56">
                  <c:v>11.001689910888672</c:v>
                </c:pt>
                <c:pt idx="57">
                  <c:v>11.004114151000977</c:v>
                </c:pt>
                <c:pt idx="58">
                  <c:v>11.007152557373047</c:v>
                </c:pt>
                <c:pt idx="59">
                  <c:v>11.010800361633301</c:v>
                </c:pt>
                <c:pt idx="60">
                  <c:v>11.015058517456055</c:v>
                </c:pt>
                <c:pt idx="61">
                  <c:v>11.019924163818359</c:v>
                </c:pt>
                <c:pt idx="62">
                  <c:v>11.025392532348633</c:v>
                </c:pt>
                <c:pt idx="63">
                  <c:v>11.031462669372559</c:v>
                </c:pt>
                <c:pt idx="64">
                  <c:v>11.038130760192871</c:v>
                </c:pt>
                <c:pt idx="65">
                  <c:v>11.045392990112305</c:v>
                </c:pt>
                <c:pt idx="66">
                  <c:v>11.053244590759277</c:v>
                </c:pt>
                <c:pt idx="67">
                  <c:v>11.061683654785156</c:v>
                </c:pt>
                <c:pt idx="68">
                  <c:v>11.07070255279541</c:v>
                </c:pt>
                <c:pt idx="69">
                  <c:v>11.080299377441406</c:v>
                </c:pt>
                <c:pt idx="70">
                  <c:v>11.090465545654297</c:v>
                </c:pt>
                <c:pt idx="71">
                  <c:v>11.101198196411133</c:v>
                </c:pt>
                <c:pt idx="72">
                  <c:v>11.112491607666016</c:v>
                </c:pt>
                <c:pt idx="73">
                  <c:v>11.124340057373047</c:v>
                </c:pt>
                <c:pt idx="74">
                  <c:v>11.136735916137695</c:v>
                </c:pt>
                <c:pt idx="75">
                  <c:v>11.149674415588379</c:v>
                </c:pt>
                <c:pt idx="76">
                  <c:v>11.163147926330566</c:v>
                </c:pt>
                <c:pt idx="77">
                  <c:v>11.177150726318359</c:v>
                </c:pt>
                <c:pt idx="78">
                  <c:v>11.191676139831543</c:v>
                </c:pt>
                <c:pt idx="79">
                  <c:v>11.20671558380127</c:v>
                </c:pt>
                <c:pt idx="80">
                  <c:v>11.222264289855957</c:v>
                </c:pt>
                <c:pt idx="81">
                  <c:v>11.238311767578125</c:v>
                </c:pt>
                <c:pt idx="82">
                  <c:v>11.254855155944824</c:v>
                </c:pt>
                <c:pt idx="83">
                  <c:v>11.271882057189941</c:v>
                </c:pt>
                <c:pt idx="84">
                  <c:v>11.289387702941895</c:v>
                </c:pt>
                <c:pt idx="85">
                  <c:v>11.30736255645752</c:v>
                </c:pt>
                <c:pt idx="86">
                  <c:v>11.325800895690918</c:v>
                </c:pt>
                <c:pt idx="87">
                  <c:v>11.344694137573242</c:v>
                </c:pt>
                <c:pt idx="88">
                  <c:v>11.364032745361328</c:v>
                </c:pt>
                <c:pt idx="89">
                  <c:v>11.383810043334961</c:v>
                </c:pt>
                <c:pt idx="90">
                  <c:v>11.404018402099609</c:v>
                </c:pt>
                <c:pt idx="91">
                  <c:v>11.424649238586426</c:v>
                </c:pt>
                <c:pt idx="92">
                  <c:v>11.445693016052246</c:v>
                </c:pt>
                <c:pt idx="93">
                  <c:v>11.467144966125488</c:v>
                </c:pt>
                <c:pt idx="94">
                  <c:v>11.488992691040039</c:v>
                </c:pt>
                <c:pt idx="95">
                  <c:v>11.511232376098633</c:v>
                </c:pt>
                <c:pt idx="96">
                  <c:v>11.533852577209473</c:v>
                </c:pt>
                <c:pt idx="97">
                  <c:v>11.55684757232666</c:v>
                </c:pt>
                <c:pt idx="98">
                  <c:v>11.580208778381348</c:v>
                </c:pt>
                <c:pt idx="99">
                  <c:v>11.603927612304688</c:v>
                </c:pt>
                <c:pt idx="100">
                  <c:v>11.627995491027832</c:v>
                </c:pt>
                <c:pt idx="101">
                  <c:v>11.652406692504883</c:v>
                </c:pt>
                <c:pt idx="102">
                  <c:v>11.677150726318359</c:v>
                </c:pt>
                <c:pt idx="103">
                  <c:v>11.702221870422363</c:v>
                </c:pt>
                <c:pt idx="104">
                  <c:v>11.727612495422363</c:v>
                </c:pt>
                <c:pt idx="105">
                  <c:v>11.753313064575195</c:v>
                </c:pt>
                <c:pt idx="106">
                  <c:v>11.779317855834961</c:v>
                </c:pt>
                <c:pt idx="107">
                  <c:v>11.805618286132812</c:v>
                </c:pt>
                <c:pt idx="108">
                  <c:v>11.832207679748535</c:v>
                </c:pt>
                <c:pt idx="109">
                  <c:v>11.859078407287598</c:v>
                </c:pt>
                <c:pt idx="110">
                  <c:v>11.886222839355469</c:v>
                </c:pt>
                <c:pt idx="111">
                  <c:v>11.91363525390625</c:v>
                </c:pt>
                <c:pt idx="112">
                  <c:v>11.941307067871094</c:v>
                </c:pt>
                <c:pt idx="113">
                  <c:v>11.969231605529785</c:v>
                </c:pt>
                <c:pt idx="114">
                  <c:v>11.997402191162109</c:v>
                </c:pt>
                <c:pt idx="115">
                  <c:v>12.025812149047852</c:v>
                </c:pt>
                <c:pt idx="116">
                  <c:v>12.05445384979248</c:v>
                </c:pt>
                <c:pt idx="117">
                  <c:v>12.083322525024414</c:v>
                </c:pt>
                <c:pt idx="118">
                  <c:v>12.112409591674805</c:v>
                </c:pt>
                <c:pt idx="119">
                  <c:v>12.14171028137207</c:v>
                </c:pt>
                <c:pt idx="120">
                  <c:v>12.171217918395996</c:v>
                </c:pt>
                <c:pt idx="121">
                  <c:v>12.200924873352051</c:v>
                </c:pt>
                <c:pt idx="122">
                  <c:v>12.230826377868652</c:v>
                </c:pt>
                <c:pt idx="123">
                  <c:v>12.26091480255127</c:v>
                </c:pt>
                <c:pt idx="124">
                  <c:v>12.291186332702637</c:v>
                </c:pt>
                <c:pt idx="125">
                  <c:v>12.321632385253906</c:v>
                </c:pt>
                <c:pt idx="126">
                  <c:v>12.352249145507813</c:v>
                </c:pt>
                <c:pt idx="127">
                  <c:v>12.383028030395508</c:v>
                </c:pt>
                <c:pt idx="128">
                  <c:v>12.413966178894043</c:v>
                </c:pt>
                <c:pt idx="129">
                  <c:v>12.445055961608887</c:v>
                </c:pt>
                <c:pt idx="130">
                  <c:v>12.476293563842773</c:v>
                </c:pt>
                <c:pt idx="131">
                  <c:v>12.507671356201172</c:v>
                </c:pt>
                <c:pt idx="132">
                  <c:v>12.539183616638184</c:v>
                </c:pt>
                <c:pt idx="133">
                  <c:v>12.570826530456543</c:v>
                </c:pt>
                <c:pt idx="134">
                  <c:v>12.602592468261719</c:v>
                </c:pt>
                <c:pt idx="135">
                  <c:v>12.634476661682129</c:v>
                </c:pt>
                <c:pt idx="136">
                  <c:v>12.666473388671875</c:v>
                </c:pt>
                <c:pt idx="137">
                  <c:v>12.698578834533691</c:v>
                </c:pt>
                <c:pt idx="138">
                  <c:v>12.73078441619873</c:v>
                </c:pt>
                <c:pt idx="139">
                  <c:v>12.763086318969727</c:v>
                </c:pt>
                <c:pt idx="140">
                  <c:v>12.795478820800781</c:v>
                </c:pt>
                <c:pt idx="141">
                  <c:v>12.827956199645996</c:v>
                </c:pt>
                <c:pt idx="142">
                  <c:v>12.860511779785156</c:v>
                </c:pt>
                <c:pt idx="143">
                  <c:v>12.893142700195313</c:v>
                </c:pt>
                <c:pt idx="144">
                  <c:v>12.925840377807617</c:v>
                </c:pt>
                <c:pt idx="145">
                  <c:v>12.958600997924805</c:v>
                </c:pt>
                <c:pt idx="146">
                  <c:v>12.99141788482666</c:v>
                </c:pt>
                <c:pt idx="147">
                  <c:v>13.024284362792969</c:v>
                </c:pt>
                <c:pt idx="148">
                  <c:v>13.057195663452148</c:v>
                </c:pt>
                <c:pt idx="149">
                  <c:v>13.090147972106934</c:v>
                </c:pt>
                <c:pt idx="150">
                  <c:v>13.123129844665527</c:v>
                </c:pt>
                <c:pt idx="151">
                  <c:v>13.156140327453613</c:v>
                </c:pt>
                <c:pt idx="152">
                  <c:v>13.189170837402344</c:v>
                </c:pt>
                <c:pt idx="153">
                  <c:v>13.22221565246582</c:v>
                </c:pt>
                <c:pt idx="154">
                  <c:v>13.255267143249512</c:v>
                </c:pt>
                <c:pt idx="155">
                  <c:v>13.288320541381836</c:v>
                </c:pt>
                <c:pt idx="156">
                  <c:v>13.321368217468262</c:v>
                </c:pt>
                <c:pt idx="157">
                  <c:v>13.354403495788574</c:v>
                </c:pt>
                <c:pt idx="158">
                  <c:v>13.387419700622559</c:v>
                </c:pt>
                <c:pt idx="159">
                  <c:v>13.42041015625</c:v>
                </c:pt>
                <c:pt idx="160">
                  <c:v>13.453367233276367</c:v>
                </c:pt>
                <c:pt idx="161">
                  <c:v>13.486283302307129</c:v>
                </c:pt>
                <c:pt idx="162">
                  <c:v>13.51915168762207</c:v>
                </c:pt>
                <c:pt idx="163">
                  <c:v>13.551963806152344</c:v>
                </c:pt>
                <c:pt idx="164">
                  <c:v>13.584713935852051</c:v>
                </c:pt>
                <c:pt idx="165">
                  <c:v>13.617391586303711</c:v>
                </c:pt>
                <c:pt idx="166">
                  <c:v>13.649990081787109</c:v>
                </c:pt>
                <c:pt idx="167">
                  <c:v>13.682500839233398</c:v>
                </c:pt>
                <c:pt idx="168">
                  <c:v>13.71491527557373</c:v>
                </c:pt>
                <c:pt idx="169">
                  <c:v>13.747224807739258</c:v>
                </c:pt>
                <c:pt idx="170">
                  <c:v>13.779419898986816</c:v>
                </c:pt>
                <c:pt idx="171">
                  <c:v>13.811493873596191</c:v>
                </c:pt>
                <c:pt idx="172">
                  <c:v>13.843435287475586</c:v>
                </c:pt>
                <c:pt idx="173">
                  <c:v>13.875235557556152</c:v>
                </c:pt>
                <c:pt idx="174">
                  <c:v>13.906883239746094</c:v>
                </c:pt>
                <c:pt idx="175">
                  <c:v>13.938371658325195</c:v>
                </c:pt>
                <c:pt idx="176">
                  <c:v>13.96968936920166</c:v>
                </c:pt>
                <c:pt idx="177">
                  <c:v>14.000824928283691</c:v>
                </c:pt>
                <c:pt idx="178">
                  <c:v>14.031770706176758</c:v>
                </c:pt>
                <c:pt idx="179">
                  <c:v>14.062512397766113</c:v>
                </c:pt>
                <c:pt idx="180">
                  <c:v>14.093042373657227</c:v>
                </c:pt>
                <c:pt idx="181">
                  <c:v>14.123348236083984</c:v>
                </c:pt>
                <c:pt idx="182">
                  <c:v>14.153419494628906</c:v>
                </c:pt>
                <c:pt idx="183">
                  <c:v>14.183243751525879</c:v>
                </c:pt>
                <c:pt idx="184">
                  <c:v>14.212810516357422</c:v>
                </c:pt>
                <c:pt idx="185">
                  <c:v>14.242106437683105</c:v>
                </c:pt>
                <c:pt idx="186">
                  <c:v>14.271121025085449</c:v>
                </c:pt>
                <c:pt idx="187">
                  <c:v>14.29984188079834</c:v>
                </c:pt>
                <c:pt idx="188">
                  <c:v>14.328255653381348</c:v>
                </c:pt>
                <c:pt idx="189">
                  <c:v>14.356352806091309</c:v>
                </c:pt>
                <c:pt idx="190">
                  <c:v>14.38411808013916</c:v>
                </c:pt>
                <c:pt idx="191">
                  <c:v>14.411539077758789</c:v>
                </c:pt>
                <c:pt idx="192">
                  <c:v>14.438602447509766</c:v>
                </c:pt>
                <c:pt idx="193">
                  <c:v>14.465297698974609</c:v>
                </c:pt>
                <c:pt idx="194">
                  <c:v>14.491610527038574</c:v>
                </c:pt>
                <c:pt idx="195">
                  <c:v>14.517526626586914</c:v>
                </c:pt>
                <c:pt idx="196">
                  <c:v>14.543034553527832</c:v>
                </c:pt>
                <c:pt idx="197">
                  <c:v>14.568119049072266</c:v>
                </c:pt>
                <c:pt idx="198">
                  <c:v>14.592768669128418</c:v>
                </c:pt>
                <c:pt idx="199">
                  <c:v>14.616969108581543</c:v>
                </c:pt>
                <c:pt idx="200">
                  <c:v>14.640707015991211</c:v>
                </c:pt>
                <c:pt idx="201">
                  <c:v>14.663969993591309</c:v>
                </c:pt>
                <c:pt idx="202">
                  <c:v>14.686742782592773</c:v>
                </c:pt>
                <c:pt idx="203">
                  <c:v>14.709013938903809</c:v>
                </c:pt>
                <c:pt idx="204">
                  <c:v>14.730769157409668</c:v>
                </c:pt>
                <c:pt idx="205">
                  <c:v>14.751996040344238</c:v>
                </c:pt>
                <c:pt idx="206">
                  <c:v>14.772680282592773</c:v>
                </c:pt>
                <c:pt idx="207">
                  <c:v>14.79280948638916</c:v>
                </c:pt>
                <c:pt idx="208">
                  <c:v>14.812371253967285</c:v>
                </c:pt>
                <c:pt idx="209">
                  <c:v>14.831353187561035</c:v>
                </c:pt>
                <c:pt idx="210">
                  <c:v>14.849742889404297</c:v>
                </c:pt>
                <c:pt idx="211">
                  <c:v>14.867527008056641</c:v>
                </c:pt>
                <c:pt idx="212">
                  <c:v>14.88469409942627</c:v>
                </c:pt>
                <c:pt idx="213">
                  <c:v>14.901232719421387</c:v>
                </c:pt>
              </c:numCache>
            </c:numRef>
          </c:yVal>
        </c:ser>
        <c:axId val="137435008"/>
        <c:axId val="137436544"/>
      </c:scatterChart>
      <c:scatterChart>
        <c:scatterStyle val="lineMarker"/>
        <c:ser>
          <c:idx val="1"/>
          <c:order val="1"/>
          <c:tx>
            <c:strRef>
              <c:f>Tamworth!$J$3</c:f>
              <c:strCache>
                <c:ptCount val="1"/>
                <c:pt idx="0">
                  <c:v>TT</c:v>
                </c:pt>
              </c:strCache>
            </c:strRef>
          </c:tx>
          <c:marker>
            <c:symbol val="none"/>
          </c:marker>
          <c:xVal>
            <c:numRef>
              <c:f>Tamworth!$A$4:$A$368</c:f>
              <c:numCache>
                <c:formatCode>d\-mmm\-yy</c:formatCode>
                <c:ptCount val="365"/>
                <c:pt idx="0">
                  <c:v>32629</c:v>
                </c:pt>
                <c:pt idx="1">
                  <c:v>32630</c:v>
                </c:pt>
                <c:pt idx="2">
                  <c:v>32631</c:v>
                </c:pt>
                <c:pt idx="3">
                  <c:v>32632</c:v>
                </c:pt>
                <c:pt idx="4">
                  <c:v>32633</c:v>
                </c:pt>
                <c:pt idx="5">
                  <c:v>32634</c:v>
                </c:pt>
                <c:pt idx="6">
                  <c:v>32635</c:v>
                </c:pt>
                <c:pt idx="7">
                  <c:v>32636</c:v>
                </c:pt>
                <c:pt idx="8">
                  <c:v>32637</c:v>
                </c:pt>
                <c:pt idx="9">
                  <c:v>32638</c:v>
                </c:pt>
                <c:pt idx="10">
                  <c:v>32639</c:v>
                </c:pt>
                <c:pt idx="11">
                  <c:v>32640</c:v>
                </c:pt>
                <c:pt idx="12">
                  <c:v>32641</c:v>
                </c:pt>
                <c:pt idx="13">
                  <c:v>32642</c:v>
                </c:pt>
                <c:pt idx="14">
                  <c:v>32643</c:v>
                </c:pt>
                <c:pt idx="15">
                  <c:v>32644</c:v>
                </c:pt>
                <c:pt idx="16">
                  <c:v>32645</c:v>
                </c:pt>
                <c:pt idx="17">
                  <c:v>32646</c:v>
                </c:pt>
                <c:pt idx="18">
                  <c:v>32647</c:v>
                </c:pt>
                <c:pt idx="19">
                  <c:v>32648</c:v>
                </c:pt>
                <c:pt idx="20">
                  <c:v>32649</c:v>
                </c:pt>
                <c:pt idx="21">
                  <c:v>32650</c:v>
                </c:pt>
                <c:pt idx="22">
                  <c:v>32651</c:v>
                </c:pt>
                <c:pt idx="23">
                  <c:v>32652</c:v>
                </c:pt>
                <c:pt idx="24">
                  <c:v>32653</c:v>
                </c:pt>
                <c:pt idx="25">
                  <c:v>32654</c:v>
                </c:pt>
                <c:pt idx="26">
                  <c:v>32655</c:v>
                </c:pt>
                <c:pt idx="27">
                  <c:v>32656</c:v>
                </c:pt>
                <c:pt idx="28">
                  <c:v>32657</c:v>
                </c:pt>
                <c:pt idx="29">
                  <c:v>32658</c:v>
                </c:pt>
                <c:pt idx="30">
                  <c:v>32659</c:v>
                </c:pt>
                <c:pt idx="31">
                  <c:v>32660</c:v>
                </c:pt>
                <c:pt idx="32">
                  <c:v>32661</c:v>
                </c:pt>
                <c:pt idx="33">
                  <c:v>32662</c:v>
                </c:pt>
                <c:pt idx="34">
                  <c:v>32663</c:v>
                </c:pt>
                <c:pt idx="35">
                  <c:v>32664</c:v>
                </c:pt>
                <c:pt idx="36">
                  <c:v>32665</c:v>
                </c:pt>
                <c:pt idx="37">
                  <c:v>32666</c:v>
                </c:pt>
                <c:pt idx="38">
                  <c:v>32667</c:v>
                </c:pt>
                <c:pt idx="39">
                  <c:v>32668</c:v>
                </c:pt>
                <c:pt idx="40">
                  <c:v>32669</c:v>
                </c:pt>
                <c:pt idx="41">
                  <c:v>32670</c:v>
                </c:pt>
                <c:pt idx="42">
                  <c:v>32671</c:v>
                </c:pt>
                <c:pt idx="43">
                  <c:v>32672</c:v>
                </c:pt>
                <c:pt idx="44">
                  <c:v>32673</c:v>
                </c:pt>
                <c:pt idx="45">
                  <c:v>32674</c:v>
                </c:pt>
                <c:pt idx="46">
                  <c:v>32675</c:v>
                </c:pt>
                <c:pt idx="47">
                  <c:v>32676</c:v>
                </c:pt>
                <c:pt idx="48">
                  <c:v>32677</c:v>
                </c:pt>
                <c:pt idx="49">
                  <c:v>32678</c:v>
                </c:pt>
                <c:pt idx="50">
                  <c:v>32679</c:v>
                </c:pt>
                <c:pt idx="51">
                  <c:v>32680</c:v>
                </c:pt>
                <c:pt idx="52">
                  <c:v>32681</c:v>
                </c:pt>
                <c:pt idx="53">
                  <c:v>32682</c:v>
                </c:pt>
                <c:pt idx="54">
                  <c:v>32683</c:v>
                </c:pt>
                <c:pt idx="55">
                  <c:v>32684</c:v>
                </c:pt>
                <c:pt idx="56">
                  <c:v>32685</c:v>
                </c:pt>
                <c:pt idx="57">
                  <c:v>32686</c:v>
                </c:pt>
                <c:pt idx="58">
                  <c:v>32687</c:v>
                </c:pt>
                <c:pt idx="59">
                  <c:v>32688</c:v>
                </c:pt>
                <c:pt idx="60">
                  <c:v>32689</c:v>
                </c:pt>
                <c:pt idx="61">
                  <c:v>32690</c:v>
                </c:pt>
                <c:pt idx="62">
                  <c:v>32691</c:v>
                </c:pt>
                <c:pt idx="63">
                  <c:v>32692</c:v>
                </c:pt>
                <c:pt idx="64">
                  <c:v>32693</c:v>
                </c:pt>
                <c:pt idx="65">
                  <c:v>32694</c:v>
                </c:pt>
                <c:pt idx="66">
                  <c:v>32695</c:v>
                </c:pt>
                <c:pt idx="67">
                  <c:v>32696</c:v>
                </c:pt>
                <c:pt idx="68">
                  <c:v>32697</c:v>
                </c:pt>
                <c:pt idx="69">
                  <c:v>32698</c:v>
                </c:pt>
                <c:pt idx="70">
                  <c:v>32699</c:v>
                </c:pt>
                <c:pt idx="71">
                  <c:v>32700</c:v>
                </c:pt>
                <c:pt idx="72">
                  <c:v>32701</c:v>
                </c:pt>
                <c:pt idx="73">
                  <c:v>32702</c:v>
                </c:pt>
                <c:pt idx="74">
                  <c:v>32703</c:v>
                </c:pt>
                <c:pt idx="75">
                  <c:v>32704</c:v>
                </c:pt>
                <c:pt idx="76">
                  <c:v>32705</c:v>
                </c:pt>
                <c:pt idx="77">
                  <c:v>32706</c:v>
                </c:pt>
                <c:pt idx="78">
                  <c:v>32707</c:v>
                </c:pt>
                <c:pt idx="79">
                  <c:v>32708</c:v>
                </c:pt>
                <c:pt idx="80">
                  <c:v>32709</c:v>
                </c:pt>
                <c:pt idx="81">
                  <c:v>32710</c:v>
                </c:pt>
                <c:pt idx="82">
                  <c:v>32711</c:v>
                </c:pt>
                <c:pt idx="83">
                  <c:v>32712</c:v>
                </c:pt>
                <c:pt idx="84">
                  <c:v>32713</c:v>
                </c:pt>
                <c:pt idx="85">
                  <c:v>32714</c:v>
                </c:pt>
                <c:pt idx="86">
                  <c:v>32715</c:v>
                </c:pt>
                <c:pt idx="87">
                  <c:v>32716</c:v>
                </c:pt>
                <c:pt idx="88">
                  <c:v>32717</c:v>
                </c:pt>
                <c:pt idx="89">
                  <c:v>32718</c:v>
                </c:pt>
                <c:pt idx="90">
                  <c:v>32719</c:v>
                </c:pt>
                <c:pt idx="91">
                  <c:v>32720</c:v>
                </c:pt>
                <c:pt idx="92">
                  <c:v>32721</c:v>
                </c:pt>
                <c:pt idx="93">
                  <c:v>32722</c:v>
                </c:pt>
                <c:pt idx="94">
                  <c:v>32723</c:v>
                </c:pt>
                <c:pt idx="95">
                  <c:v>32724</c:v>
                </c:pt>
                <c:pt idx="96">
                  <c:v>32725</c:v>
                </c:pt>
                <c:pt idx="97">
                  <c:v>32726</c:v>
                </c:pt>
                <c:pt idx="98">
                  <c:v>32727</c:v>
                </c:pt>
                <c:pt idx="99">
                  <c:v>32728</c:v>
                </c:pt>
                <c:pt idx="100">
                  <c:v>32729</c:v>
                </c:pt>
                <c:pt idx="101">
                  <c:v>32730</c:v>
                </c:pt>
                <c:pt idx="102">
                  <c:v>32731</c:v>
                </c:pt>
                <c:pt idx="103">
                  <c:v>32732</c:v>
                </c:pt>
                <c:pt idx="104">
                  <c:v>32733</c:v>
                </c:pt>
                <c:pt idx="105">
                  <c:v>32734</c:v>
                </c:pt>
                <c:pt idx="106">
                  <c:v>32735</c:v>
                </c:pt>
                <c:pt idx="107">
                  <c:v>32736</c:v>
                </c:pt>
                <c:pt idx="108">
                  <c:v>32737</c:v>
                </c:pt>
                <c:pt idx="109">
                  <c:v>32738</c:v>
                </c:pt>
                <c:pt idx="110">
                  <c:v>32739</c:v>
                </c:pt>
                <c:pt idx="111">
                  <c:v>32740</c:v>
                </c:pt>
                <c:pt idx="112">
                  <c:v>32741</c:v>
                </c:pt>
                <c:pt idx="113">
                  <c:v>32742</c:v>
                </c:pt>
                <c:pt idx="114">
                  <c:v>32743</c:v>
                </c:pt>
                <c:pt idx="115">
                  <c:v>32744</c:v>
                </c:pt>
                <c:pt idx="116">
                  <c:v>32745</c:v>
                </c:pt>
                <c:pt idx="117">
                  <c:v>32746</c:v>
                </c:pt>
                <c:pt idx="118">
                  <c:v>32747</c:v>
                </c:pt>
                <c:pt idx="119">
                  <c:v>32748</c:v>
                </c:pt>
                <c:pt idx="120">
                  <c:v>32749</c:v>
                </c:pt>
                <c:pt idx="121">
                  <c:v>32750</c:v>
                </c:pt>
                <c:pt idx="122">
                  <c:v>32751</c:v>
                </c:pt>
                <c:pt idx="123">
                  <c:v>32752</c:v>
                </c:pt>
                <c:pt idx="124">
                  <c:v>32753</c:v>
                </c:pt>
                <c:pt idx="125">
                  <c:v>32754</c:v>
                </c:pt>
                <c:pt idx="126">
                  <c:v>32755</c:v>
                </c:pt>
                <c:pt idx="127">
                  <c:v>32756</c:v>
                </c:pt>
                <c:pt idx="128">
                  <c:v>32757</c:v>
                </c:pt>
                <c:pt idx="129">
                  <c:v>32758</c:v>
                </c:pt>
                <c:pt idx="130">
                  <c:v>32759</c:v>
                </c:pt>
                <c:pt idx="131">
                  <c:v>32760</c:v>
                </c:pt>
                <c:pt idx="132">
                  <c:v>32761</c:v>
                </c:pt>
                <c:pt idx="133">
                  <c:v>32762</c:v>
                </c:pt>
                <c:pt idx="134">
                  <c:v>32763</c:v>
                </c:pt>
                <c:pt idx="135">
                  <c:v>32764</c:v>
                </c:pt>
                <c:pt idx="136">
                  <c:v>32765</c:v>
                </c:pt>
                <c:pt idx="137">
                  <c:v>32766</c:v>
                </c:pt>
                <c:pt idx="138">
                  <c:v>32767</c:v>
                </c:pt>
                <c:pt idx="139">
                  <c:v>32768</c:v>
                </c:pt>
                <c:pt idx="140">
                  <c:v>32769</c:v>
                </c:pt>
                <c:pt idx="141">
                  <c:v>32770</c:v>
                </c:pt>
                <c:pt idx="142">
                  <c:v>32771</c:v>
                </c:pt>
                <c:pt idx="143">
                  <c:v>32772</c:v>
                </c:pt>
                <c:pt idx="144">
                  <c:v>32773</c:v>
                </c:pt>
                <c:pt idx="145">
                  <c:v>32774</c:v>
                </c:pt>
                <c:pt idx="146">
                  <c:v>32775</c:v>
                </c:pt>
                <c:pt idx="147">
                  <c:v>32776</c:v>
                </c:pt>
                <c:pt idx="148">
                  <c:v>32777</c:v>
                </c:pt>
                <c:pt idx="149">
                  <c:v>32778</c:v>
                </c:pt>
                <c:pt idx="150">
                  <c:v>32779</c:v>
                </c:pt>
                <c:pt idx="151">
                  <c:v>32780</c:v>
                </c:pt>
                <c:pt idx="152">
                  <c:v>32781</c:v>
                </c:pt>
                <c:pt idx="153">
                  <c:v>32782</c:v>
                </c:pt>
                <c:pt idx="154">
                  <c:v>32783</c:v>
                </c:pt>
                <c:pt idx="155">
                  <c:v>32784</c:v>
                </c:pt>
                <c:pt idx="156">
                  <c:v>32785</c:v>
                </c:pt>
                <c:pt idx="157">
                  <c:v>32786</c:v>
                </c:pt>
                <c:pt idx="158">
                  <c:v>32787</c:v>
                </c:pt>
                <c:pt idx="159">
                  <c:v>32788</c:v>
                </c:pt>
                <c:pt idx="160">
                  <c:v>32789</c:v>
                </c:pt>
                <c:pt idx="161">
                  <c:v>32790</c:v>
                </c:pt>
                <c:pt idx="162">
                  <c:v>32791</c:v>
                </c:pt>
                <c:pt idx="163">
                  <c:v>32792</c:v>
                </c:pt>
                <c:pt idx="164">
                  <c:v>32793</c:v>
                </c:pt>
                <c:pt idx="165">
                  <c:v>32794</c:v>
                </c:pt>
                <c:pt idx="166">
                  <c:v>32795</c:v>
                </c:pt>
                <c:pt idx="167">
                  <c:v>32796</c:v>
                </c:pt>
                <c:pt idx="168">
                  <c:v>32797</c:v>
                </c:pt>
                <c:pt idx="169">
                  <c:v>32798</c:v>
                </c:pt>
                <c:pt idx="170">
                  <c:v>32799</c:v>
                </c:pt>
                <c:pt idx="171">
                  <c:v>32800</c:v>
                </c:pt>
                <c:pt idx="172">
                  <c:v>32801</c:v>
                </c:pt>
                <c:pt idx="173">
                  <c:v>32802</c:v>
                </c:pt>
                <c:pt idx="174">
                  <c:v>32803</c:v>
                </c:pt>
                <c:pt idx="175">
                  <c:v>32804</c:v>
                </c:pt>
                <c:pt idx="176">
                  <c:v>32805</c:v>
                </c:pt>
                <c:pt idx="177">
                  <c:v>32806</c:v>
                </c:pt>
                <c:pt idx="178">
                  <c:v>32807</c:v>
                </c:pt>
                <c:pt idx="179">
                  <c:v>32808</c:v>
                </c:pt>
                <c:pt idx="180">
                  <c:v>32809</c:v>
                </c:pt>
                <c:pt idx="181">
                  <c:v>32810</c:v>
                </c:pt>
                <c:pt idx="182">
                  <c:v>32811</c:v>
                </c:pt>
                <c:pt idx="183">
                  <c:v>32812</c:v>
                </c:pt>
                <c:pt idx="184">
                  <c:v>32813</c:v>
                </c:pt>
                <c:pt idx="185">
                  <c:v>32814</c:v>
                </c:pt>
                <c:pt idx="186">
                  <c:v>32815</c:v>
                </c:pt>
                <c:pt idx="187">
                  <c:v>32816</c:v>
                </c:pt>
                <c:pt idx="188">
                  <c:v>32817</c:v>
                </c:pt>
                <c:pt idx="189">
                  <c:v>32818</c:v>
                </c:pt>
                <c:pt idx="190">
                  <c:v>32819</c:v>
                </c:pt>
                <c:pt idx="191">
                  <c:v>32820</c:v>
                </c:pt>
                <c:pt idx="192">
                  <c:v>32821</c:v>
                </c:pt>
                <c:pt idx="193">
                  <c:v>32822</c:v>
                </c:pt>
                <c:pt idx="194">
                  <c:v>32823</c:v>
                </c:pt>
                <c:pt idx="195">
                  <c:v>32824</c:v>
                </c:pt>
                <c:pt idx="196">
                  <c:v>32825</c:v>
                </c:pt>
                <c:pt idx="197">
                  <c:v>32826</c:v>
                </c:pt>
                <c:pt idx="198">
                  <c:v>32827</c:v>
                </c:pt>
                <c:pt idx="199">
                  <c:v>32828</c:v>
                </c:pt>
                <c:pt idx="200">
                  <c:v>32829</c:v>
                </c:pt>
                <c:pt idx="201">
                  <c:v>32830</c:v>
                </c:pt>
                <c:pt idx="202">
                  <c:v>32831</c:v>
                </c:pt>
                <c:pt idx="203">
                  <c:v>32832</c:v>
                </c:pt>
                <c:pt idx="204">
                  <c:v>32833</c:v>
                </c:pt>
                <c:pt idx="205">
                  <c:v>32834</c:v>
                </c:pt>
                <c:pt idx="206">
                  <c:v>32835</c:v>
                </c:pt>
                <c:pt idx="207">
                  <c:v>32836</c:v>
                </c:pt>
                <c:pt idx="208">
                  <c:v>32837</c:v>
                </c:pt>
                <c:pt idx="209">
                  <c:v>32838</c:v>
                </c:pt>
                <c:pt idx="210">
                  <c:v>32839</c:v>
                </c:pt>
                <c:pt idx="211">
                  <c:v>32840</c:v>
                </c:pt>
                <c:pt idx="212">
                  <c:v>32841</c:v>
                </c:pt>
                <c:pt idx="213">
                  <c:v>32842</c:v>
                </c:pt>
              </c:numCache>
            </c:numRef>
          </c:xVal>
          <c:yVal>
            <c:numRef>
              <c:f>Tamworth!$J$4:$J$368</c:f>
              <c:numCache>
                <c:formatCode>General</c:formatCode>
                <c:ptCount val="365"/>
                <c:pt idx="0">
                  <c:v>8.043199427385499</c:v>
                </c:pt>
                <c:pt idx="1">
                  <c:v>7.7067015007364423</c:v>
                </c:pt>
                <c:pt idx="2">
                  <c:v>8.0125990772318847</c:v>
                </c:pt>
                <c:pt idx="3">
                  <c:v>7.288303584986247</c:v>
                </c:pt>
                <c:pt idx="4">
                  <c:v>7.9097280218419073</c:v>
                </c:pt>
                <c:pt idx="5">
                  <c:v>9.0337917139991095</c:v>
                </c:pt>
                <c:pt idx="6">
                  <c:v>8.2912246603749971</c:v>
                </c:pt>
                <c:pt idx="7">
                  <c:v>8.7072904140069927</c:v>
                </c:pt>
                <c:pt idx="8">
                  <c:v>8.5704885925942058</c:v>
                </c:pt>
                <c:pt idx="9">
                  <c:v>7.8173843085688945</c:v>
                </c:pt>
                <c:pt idx="10">
                  <c:v>7.7100727332228693</c:v>
                </c:pt>
                <c:pt idx="11">
                  <c:v>7.8629406396761246</c:v>
                </c:pt>
                <c:pt idx="12">
                  <c:v>8.1084118322113667</c:v>
                </c:pt>
                <c:pt idx="13">
                  <c:v>6.9755250432888971</c:v>
                </c:pt>
                <c:pt idx="14">
                  <c:v>8.2917517864947055</c:v>
                </c:pt>
                <c:pt idx="15">
                  <c:v>7.4924348358634134</c:v>
                </c:pt>
                <c:pt idx="16">
                  <c:v>7.9898086876171295</c:v>
                </c:pt>
                <c:pt idx="17">
                  <c:v>6.8783989739433471</c:v>
                </c:pt>
                <c:pt idx="18">
                  <c:v>8.1284372195205172</c:v>
                </c:pt>
                <c:pt idx="19">
                  <c:v>7.0719908891312455</c:v>
                </c:pt>
                <c:pt idx="20">
                  <c:v>7.0210450429560556</c:v>
                </c:pt>
                <c:pt idx="21">
                  <c:v>6.0460209722258975</c:v>
                </c:pt>
                <c:pt idx="22">
                  <c:v>5.0115481546021297</c:v>
                </c:pt>
                <c:pt idx="23">
                  <c:v>3.2016527124839538</c:v>
                </c:pt>
                <c:pt idx="24">
                  <c:v>4.3945624297235648</c:v>
                </c:pt>
                <c:pt idx="25">
                  <c:v>5.4681149785728342</c:v>
                </c:pt>
                <c:pt idx="26">
                  <c:v>6.5789241461654013</c:v>
                </c:pt>
                <c:pt idx="27">
                  <c:v>6.6010067514228403</c:v>
                </c:pt>
                <c:pt idx="28">
                  <c:v>5.6333310994567309</c:v>
                </c:pt>
                <c:pt idx="29">
                  <c:v>6.6904991520439818</c:v>
                </c:pt>
                <c:pt idx="30">
                  <c:v>6.2984395635017032</c:v>
                </c:pt>
                <c:pt idx="31">
                  <c:v>2.7409223001780672</c:v>
                </c:pt>
                <c:pt idx="32">
                  <c:v>3.5443974011892601</c:v>
                </c:pt>
                <c:pt idx="33">
                  <c:v>4.9662123757218861</c:v>
                </c:pt>
                <c:pt idx="34">
                  <c:v>3.9801191910335061</c:v>
                </c:pt>
                <c:pt idx="35">
                  <c:v>5.4809402606701667</c:v>
                </c:pt>
                <c:pt idx="36">
                  <c:v>5.1884437004600912</c:v>
                </c:pt>
                <c:pt idx="37">
                  <c:v>3.5015731263581893</c:v>
                </c:pt>
                <c:pt idx="38">
                  <c:v>2.5082738318196918</c:v>
                </c:pt>
                <c:pt idx="39">
                  <c:v>4.0227126734224532</c:v>
                </c:pt>
                <c:pt idx="40">
                  <c:v>3.5029736256483561</c:v>
                </c:pt>
                <c:pt idx="41">
                  <c:v>2.3883802735138313</c:v>
                </c:pt>
                <c:pt idx="42">
                  <c:v>2.9171564019005451</c:v>
                </c:pt>
                <c:pt idx="43">
                  <c:v>3.933930586690527</c:v>
                </c:pt>
                <c:pt idx="44">
                  <c:v>4.5663793580912708</c:v>
                </c:pt>
                <c:pt idx="45">
                  <c:v>4.7737312119617261</c:v>
                </c:pt>
                <c:pt idx="46">
                  <c:v>4.8329925734630139</c:v>
                </c:pt>
                <c:pt idx="47">
                  <c:v>6.2061019014008059</c:v>
                </c:pt>
                <c:pt idx="48">
                  <c:v>6.202312612239429</c:v>
                </c:pt>
                <c:pt idx="49">
                  <c:v>4.6337210504972868</c:v>
                </c:pt>
                <c:pt idx="50">
                  <c:v>4.2515471734254318</c:v>
                </c:pt>
                <c:pt idx="51">
                  <c:v>3.1088413320594528</c:v>
                </c:pt>
                <c:pt idx="52">
                  <c:v>3.2779995764018364</c:v>
                </c:pt>
                <c:pt idx="53">
                  <c:v>3.9976102343934157</c:v>
                </c:pt>
                <c:pt idx="54">
                  <c:v>3.8295175336495633</c:v>
                </c:pt>
                <c:pt idx="55">
                  <c:v>1.6666646773687226</c:v>
                </c:pt>
                <c:pt idx="56">
                  <c:v>1.9105340359510221</c:v>
                </c:pt>
                <c:pt idx="57">
                  <c:v>2.2793449703699622</c:v>
                </c:pt>
                <c:pt idx="58">
                  <c:v>3.8609489742051437</c:v>
                </c:pt>
                <c:pt idx="59">
                  <c:v>4.7781005393682179</c:v>
                </c:pt>
                <c:pt idx="60">
                  <c:v>4.8900602813703467</c:v>
                </c:pt>
                <c:pt idx="61">
                  <c:v>5.4287884233866306</c:v>
                </c:pt>
                <c:pt idx="62">
                  <c:v>5.9271516340204515</c:v>
                </c:pt>
                <c:pt idx="63">
                  <c:v>5.6804512924518313</c:v>
                </c:pt>
                <c:pt idx="64">
                  <c:v>6.439146423196104</c:v>
                </c:pt>
                <c:pt idx="65">
                  <c:v>4.179428719616646</c:v>
                </c:pt>
                <c:pt idx="66">
                  <c:v>2.0039423280484803</c:v>
                </c:pt>
                <c:pt idx="67">
                  <c:v>2.7118731735444466</c:v>
                </c:pt>
                <c:pt idx="68">
                  <c:v>1.8834412172725898</c:v>
                </c:pt>
                <c:pt idx="69">
                  <c:v>2.8760390961541353</c:v>
                </c:pt>
                <c:pt idx="70">
                  <c:v>3.8372598103644453</c:v>
                </c:pt>
                <c:pt idx="71">
                  <c:v>3.0867024081636938</c:v>
                </c:pt>
                <c:pt idx="72">
                  <c:v>2.5067740422048468</c:v>
                </c:pt>
                <c:pt idx="73">
                  <c:v>2.0331163675903539</c:v>
                </c:pt>
                <c:pt idx="74">
                  <c:v>1.1429787683800774</c:v>
                </c:pt>
                <c:pt idx="75">
                  <c:v>1.5830473248142478</c:v>
                </c:pt>
                <c:pt idx="76">
                  <c:v>2.6702081304624059</c:v>
                </c:pt>
                <c:pt idx="77">
                  <c:v>1.9484810873731635</c:v>
                </c:pt>
                <c:pt idx="78">
                  <c:v>3.132789169977058</c:v>
                </c:pt>
                <c:pt idx="79">
                  <c:v>1.6500061256174419</c:v>
                </c:pt>
                <c:pt idx="80">
                  <c:v>2.1483678507797803</c:v>
                </c:pt>
                <c:pt idx="81">
                  <c:v>1.2512828686806849</c:v>
                </c:pt>
                <c:pt idx="82">
                  <c:v>1.7222548922171022</c:v>
                </c:pt>
                <c:pt idx="83">
                  <c:v>2.2410950140873682</c:v>
                </c:pt>
                <c:pt idx="84">
                  <c:v>2.272803041645211</c:v>
                </c:pt>
                <c:pt idx="85">
                  <c:v>1.4605392337292102</c:v>
                </c:pt>
                <c:pt idx="86">
                  <c:v>2.8186643715323485</c:v>
                </c:pt>
                <c:pt idx="87">
                  <c:v>4.6026198443994506</c:v>
                </c:pt>
                <c:pt idx="88">
                  <c:v>4.7380136895276328</c:v>
                </c:pt>
                <c:pt idx="89">
                  <c:v>5.3390853502510236</c:v>
                </c:pt>
                <c:pt idx="90">
                  <c:v>6.0622901883341562</c:v>
                </c:pt>
                <c:pt idx="91">
                  <c:v>5.0590369890532028</c:v>
                </c:pt>
                <c:pt idx="92">
                  <c:v>4.2350874928810294</c:v>
                </c:pt>
                <c:pt idx="93">
                  <c:v>2.3873210335968054</c:v>
                </c:pt>
                <c:pt idx="94">
                  <c:v>4.0607607164472705</c:v>
                </c:pt>
                <c:pt idx="95">
                  <c:v>4.0083318159612276</c:v>
                </c:pt>
                <c:pt idx="96">
                  <c:v>4.0753615967046937</c:v>
                </c:pt>
                <c:pt idx="97">
                  <c:v>4.0949414588581892</c:v>
                </c:pt>
                <c:pt idx="98">
                  <c:v>3.9937571372530969</c:v>
                </c:pt>
                <c:pt idx="99">
                  <c:v>3.6727365450993252</c:v>
                </c:pt>
                <c:pt idx="100">
                  <c:v>3.2019473631688293</c:v>
                </c:pt>
                <c:pt idx="101">
                  <c:v>4.1757624800871103</c:v>
                </c:pt>
                <c:pt idx="102">
                  <c:v>3.949694140980847</c:v>
                </c:pt>
                <c:pt idx="103">
                  <c:v>3.4732809176727661</c:v>
                </c:pt>
                <c:pt idx="104">
                  <c:v>3.6154217064825125</c:v>
                </c:pt>
                <c:pt idx="105">
                  <c:v>3.7088666819007989</c:v>
                </c:pt>
                <c:pt idx="106">
                  <c:v>5.0374004714858156</c:v>
                </c:pt>
                <c:pt idx="107">
                  <c:v>4.4301579368030559</c:v>
                </c:pt>
                <c:pt idx="108">
                  <c:v>5.0888833469950292</c:v>
                </c:pt>
                <c:pt idx="109">
                  <c:v>5.3962482481276171</c:v>
                </c:pt>
                <c:pt idx="110">
                  <c:v>5.5267477577894528</c:v>
                </c:pt>
                <c:pt idx="111">
                  <c:v>6.7178491637369451</c:v>
                </c:pt>
                <c:pt idx="112">
                  <c:v>7.1419749762280098</c:v>
                </c:pt>
                <c:pt idx="113">
                  <c:v>5.6124858614578068</c:v>
                </c:pt>
                <c:pt idx="114">
                  <c:v>4.6705637528451946</c:v>
                </c:pt>
                <c:pt idx="115">
                  <c:v>3.9561595449474214</c:v>
                </c:pt>
                <c:pt idx="116">
                  <c:v>3.4463480192760962</c:v>
                </c:pt>
                <c:pt idx="117">
                  <c:v>3.330874658592256</c:v>
                </c:pt>
                <c:pt idx="118">
                  <c:v>5.303279896886151</c:v>
                </c:pt>
                <c:pt idx="119">
                  <c:v>3.4729466255631238</c:v>
                </c:pt>
                <c:pt idx="120">
                  <c:v>4.4649718272110395</c:v>
                </c:pt>
                <c:pt idx="121">
                  <c:v>5.195066887037866</c:v>
                </c:pt>
                <c:pt idx="122">
                  <c:v>5.3583721594037854</c:v>
                </c:pt>
                <c:pt idx="123">
                  <c:v>7.7489080882135326</c:v>
                </c:pt>
                <c:pt idx="124">
                  <c:v>6.3522673240909819</c:v>
                </c:pt>
                <c:pt idx="125">
                  <c:v>6.3845863554655624</c:v>
                </c:pt>
                <c:pt idx="126">
                  <c:v>6.4169786985926338</c:v>
                </c:pt>
                <c:pt idx="127">
                  <c:v>5.8886190303548736</c:v>
                </c:pt>
                <c:pt idx="128">
                  <c:v>5.9183090651373531</c:v>
                </c:pt>
                <c:pt idx="129">
                  <c:v>6.6844711446205336</c:v>
                </c:pt>
                <c:pt idx="130">
                  <c:v>6.4048114488846934</c:v>
                </c:pt>
                <c:pt idx="131">
                  <c:v>7.0089074355497747</c:v>
                </c:pt>
                <c:pt idx="132">
                  <c:v>9.1999580628099995</c:v>
                </c:pt>
                <c:pt idx="133">
                  <c:v>11.556818227578079</c:v>
                </c:pt>
                <c:pt idx="134">
                  <c:v>8.5360794229126</c:v>
                </c:pt>
                <c:pt idx="135">
                  <c:v>6.3896668466874109</c:v>
                </c:pt>
                <c:pt idx="136">
                  <c:v>5.8637668433274115</c:v>
                </c:pt>
                <c:pt idx="137">
                  <c:v>4.4486234060009524</c:v>
                </c:pt>
                <c:pt idx="138">
                  <c:v>5.6542262994768206</c:v>
                </c:pt>
                <c:pt idx="139">
                  <c:v>6.1275484180000799</c:v>
                </c:pt>
                <c:pt idx="140">
                  <c:v>7.023532646651983</c:v>
                </c:pt>
                <c:pt idx="141">
                  <c:v>8.1379183081263928</c:v>
                </c:pt>
                <c:pt idx="142">
                  <c:v>8.1763100720539761</c:v>
                </c:pt>
                <c:pt idx="143">
                  <c:v>7.7296513870043713</c:v>
                </c:pt>
                <c:pt idx="144">
                  <c:v>8.4356479697035311</c:v>
                </c:pt>
                <c:pt idx="145">
                  <c:v>10.555128978229424</c:v>
                </c:pt>
                <c:pt idx="146">
                  <c:v>7.2227890816306459</c:v>
                </c:pt>
                <c:pt idx="147">
                  <c:v>7.7189115623368867</c:v>
                </c:pt>
                <c:pt idx="148">
                  <c:v>11.785959989855932</c:v>
                </c:pt>
                <c:pt idx="149">
                  <c:v>4.4863703248675604</c:v>
                </c:pt>
                <c:pt idx="150">
                  <c:v>6.7909308203684153</c:v>
                </c:pt>
                <c:pt idx="151">
                  <c:v>9.1157006983682649</c:v>
                </c:pt>
                <c:pt idx="152">
                  <c:v>10.102986643874232</c:v>
                </c:pt>
                <c:pt idx="153">
                  <c:v>10.97156712554276</c:v>
                </c:pt>
                <c:pt idx="154">
                  <c:v>12.038209879699922</c:v>
                </c:pt>
                <c:pt idx="155">
                  <c:v>8.6356702433274908</c:v>
                </c:pt>
                <c:pt idx="156">
                  <c:v>8.3833816674303758</c:v>
                </c:pt>
                <c:pt idx="157">
                  <c:v>11.450853162266595</c:v>
                </c:pt>
                <c:pt idx="158">
                  <c:v>11.855098986153228</c:v>
                </c:pt>
                <c:pt idx="159">
                  <c:v>10.082869743689054</c:v>
                </c:pt>
                <c:pt idx="160">
                  <c:v>12.900348648960154</c:v>
                </c:pt>
                <c:pt idx="161">
                  <c:v>9.7064674714929726</c:v>
                </c:pt>
                <c:pt idx="162">
                  <c:v>8.9883598806566294</c:v>
                </c:pt>
                <c:pt idx="163">
                  <c:v>8.4292534226679408</c:v>
                </c:pt>
                <c:pt idx="164">
                  <c:v>9.8232350408169733</c:v>
                </c:pt>
                <c:pt idx="165">
                  <c:v>11.327604118343015</c:v>
                </c:pt>
                <c:pt idx="166">
                  <c:v>13.277865574982355</c:v>
                </c:pt>
                <c:pt idx="167">
                  <c:v>11.146447565731176</c:v>
                </c:pt>
                <c:pt idx="168">
                  <c:v>13.817351159551032</c:v>
                </c:pt>
                <c:pt idx="169">
                  <c:v>15.646816741321002</c:v>
                </c:pt>
                <c:pt idx="170">
                  <c:v>13.682824599846121</c:v>
                </c:pt>
                <c:pt idx="171">
                  <c:v>17.079400514507483</c:v>
                </c:pt>
                <c:pt idx="172">
                  <c:v>16.25989235470799</c:v>
                </c:pt>
                <c:pt idx="173">
                  <c:v>10.125024786505278</c:v>
                </c:pt>
                <c:pt idx="174">
                  <c:v>9.9885253045972053</c:v>
                </c:pt>
                <c:pt idx="175">
                  <c:v>13.479621105324895</c:v>
                </c:pt>
                <c:pt idx="176">
                  <c:v>13.352532316375671</c:v>
                </c:pt>
                <c:pt idx="177">
                  <c:v>15.868564307286864</c:v>
                </c:pt>
                <c:pt idx="178">
                  <c:v>12.534783135236182</c:v>
                </c:pt>
                <c:pt idx="179">
                  <c:v>12.6461617723738</c:v>
                </c:pt>
                <c:pt idx="180">
                  <c:v>8.2941535907229884</c:v>
                </c:pt>
                <c:pt idx="181">
                  <c:v>9.1668709693659682</c:v>
                </c:pt>
                <c:pt idx="182">
                  <c:v>11.600803839330677</c:v>
                </c:pt>
                <c:pt idx="183">
                  <c:v>12.665657710830475</c:v>
                </c:pt>
                <c:pt idx="184">
                  <c:v>13.593979914878149</c:v>
                </c:pt>
                <c:pt idx="185">
                  <c:v>11.064887703190864</c:v>
                </c:pt>
                <c:pt idx="186">
                  <c:v>13.173864550320912</c:v>
                </c:pt>
                <c:pt idx="187">
                  <c:v>12.278617116655493</c:v>
                </c:pt>
                <c:pt idx="188">
                  <c:v>14.077826880811347</c:v>
                </c:pt>
                <c:pt idx="189">
                  <c:v>15.705840064130724</c:v>
                </c:pt>
                <c:pt idx="190">
                  <c:v>13.793900374775651</c:v>
                </c:pt>
                <c:pt idx="191">
                  <c:v>10.600155360998871</c:v>
                </c:pt>
                <c:pt idx="192">
                  <c:v>12.229610624907332</c:v>
                </c:pt>
                <c:pt idx="193">
                  <c:v>15.180542868976712</c:v>
                </c:pt>
                <c:pt idx="194">
                  <c:v>13.755577329425277</c:v>
                </c:pt>
                <c:pt idx="195">
                  <c:v>13.349515649566404</c:v>
                </c:pt>
                <c:pt idx="196">
                  <c:v>12.867117422903769</c:v>
                </c:pt>
                <c:pt idx="197">
                  <c:v>13.671368527781853</c:v>
                </c:pt>
                <c:pt idx="198">
                  <c:v>16.657701476863259</c:v>
                </c:pt>
                <c:pt idx="199">
                  <c:v>15.473572344146813</c:v>
                </c:pt>
                <c:pt idx="200">
                  <c:v>16.69466847417813</c:v>
                </c:pt>
                <c:pt idx="201">
                  <c:v>18.21743687049268</c:v>
                </c:pt>
                <c:pt idx="202">
                  <c:v>15.125787783028034</c:v>
                </c:pt>
                <c:pt idx="203">
                  <c:v>14.297693837709378</c:v>
                </c:pt>
                <c:pt idx="204">
                  <c:v>10.996749057194966</c:v>
                </c:pt>
                <c:pt idx="205">
                  <c:v>13.978151440043584</c:v>
                </c:pt>
                <c:pt idx="206">
                  <c:v>15.84350751494671</c:v>
                </c:pt>
                <c:pt idx="207">
                  <c:v>17.037623955025545</c:v>
                </c:pt>
                <c:pt idx="208">
                  <c:v>16.275718112234063</c:v>
                </c:pt>
                <c:pt idx="209">
                  <c:v>16.604592689587836</c:v>
                </c:pt>
                <c:pt idx="210">
                  <c:v>13.531659455404045</c:v>
                </c:pt>
                <c:pt idx="211">
                  <c:v>14.044547043888731</c:v>
                </c:pt>
                <c:pt idx="212">
                  <c:v>15.657508726709715</c:v>
                </c:pt>
                <c:pt idx="213">
                  <c:v>16.438884165289505</c:v>
                </c:pt>
              </c:numCache>
            </c:numRef>
          </c:yVal>
        </c:ser>
        <c:axId val="137448064"/>
        <c:axId val="137446528"/>
      </c:scatterChart>
      <c:valAx>
        <c:axId val="137435008"/>
        <c:scaling>
          <c:orientation val="minMax"/>
        </c:scaling>
        <c:axPos val="b"/>
        <c:numFmt formatCode="d\-mmm\-yy" sourceLinked="1"/>
        <c:tickLblPos val="nextTo"/>
        <c:crossAx val="137436544"/>
        <c:crosses val="autoZero"/>
        <c:crossBetween val="midCat"/>
      </c:valAx>
      <c:valAx>
        <c:axId val="137436544"/>
        <c:scaling>
          <c:orientation val="minMax"/>
        </c:scaling>
        <c:axPos val="l"/>
        <c:majorGridlines/>
        <c:numFmt formatCode="General" sourceLinked="1"/>
        <c:tickLblPos val="nextTo"/>
        <c:crossAx val="137435008"/>
        <c:crosses val="autoZero"/>
        <c:crossBetween val="midCat"/>
      </c:valAx>
      <c:valAx>
        <c:axId val="137446528"/>
        <c:scaling>
          <c:orientation val="minMax"/>
        </c:scaling>
        <c:axPos val="r"/>
        <c:numFmt formatCode="General" sourceLinked="1"/>
        <c:tickLblPos val="nextTo"/>
        <c:crossAx val="137448064"/>
        <c:crosses val="max"/>
        <c:crossBetween val="midCat"/>
      </c:valAx>
      <c:valAx>
        <c:axId val="137448064"/>
        <c:scaling>
          <c:orientation val="minMax"/>
        </c:scaling>
        <c:delete val="1"/>
        <c:axPos val="b"/>
        <c:numFmt formatCode="d\-mmm\-yy" sourceLinked="1"/>
        <c:tickLblPos val="none"/>
        <c:crossAx val="137446528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122" l="0.70000000000000062" r="0.70000000000000062" t="0.75000000000000122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AU"/>
  <c:chart>
    <c:plotArea>
      <c:layout/>
      <c:scatterChart>
        <c:scatterStyle val="lineMarker"/>
        <c:ser>
          <c:idx val="0"/>
          <c:order val="0"/>
          <c:spPr>
            <a:ln w="28575">
              <a:noFill/>
            </a:ln>
          </c:spPr>
          <c:xVal>
            <c:numRef>
              <c:f>Tamworth!$AO$4:$AO$6</c:f>
              <c:numCache>
                <c:formatCode>General</c:formatCode>
                <c:ptCount val="3"/>
              </c:numCache>
            </c:numRef>
          </c:xVal>
          <c:yVal>
            <c:numRef>
              <c:f>Tamworth!$W$4:$W$6</c:f>
              <c:numCache>
                <c:formatCode>General</c:formatCode>
                <c:ptCount val="3"/>
              </c:numCache>
            </c:numRef>
          </c:yVal>
        </c:ser>
        <c:ser>
          <c:idx val="1"/>
          <c:order val="1"/>
          <c:spPr>
            <a:ln w="28575">
              <a:noFill/>
            </a:ln>
          </c:spPr>
          <c:xVal>
            <c:numRef>
              <c:f>Tamworth!$AO$7:$AO$9</c:f>
              <c:numCache>
                <c:formatCode>General</c:formatCode>
                <c:ptCount val="3"/>
              </c:numCache>
            </c:numRef>
          </c:xVal>
          <c:yVal>
            <c:numRef>
              <c:f>Tamworth!$W$7:$W$9</c:f>
              <c:numCache>
                <c:formatCode>General</c:formatCode>
                <c:ptCount val="3"/>
              </c:numCache>
            </c:numRef>
          </c:yVal>
        </c:ser>
        <c:ser>
          <c:idx val="2"/>
          <c:order val="2"/>
          <c:spPr>
            <a:ln w="28575">
              <a:noFill/>
            </a:ln>
          </c:spPr>
          <c:xVal>
            <c:numRef>
              <c:f>Tamworth!$AO$10:$AO$12</c:f>
              <c:numCache>
                <c:formatCode>General</c:formatCode>
                <c:ptCount val="3"/>
              </c:numCache>
            </c:numRef>
          </c:xVal>
          <c:yVal>
            <c:numRef>
              <c:f>Tamworth!$W$10:$W$12</c:f>
              <c:numCache>
                <c:formatCode>General</c:formatCode>
                <c:ptCount val="3"/>
              </c:numCache>
            </c:numRef>
          </c:yVal>
        </c:ser>
        <c:ser>
          <c:idx val="3"/>
          <c:order val="3"/>
          <c:spPr>
            <a:ln w="28575">
              <a:noFill/>
            </a:ln>
          </c:spPr>
          <c:xVal>
            <c:numRef>
              <c:f>Tamworth!$AO$13:$AO$15</c:f>
              <c:numCache>
                <c:formatCode>General</c:formatCode>
                <c:ptCount val="3"/>
              </c:numCache>
            </c:numRef>
          </c:xVal>
          <c:yVal>
            <c:numRef>
              <c:f>Tamworth!$W$13:$W$15</c:f>
              <c:numCache>
                <c:formatCode>General</c:formatCode>
                <c:ptCount val="3"/>
              </c:numCache>
            </c:numRef>
          </c:yVal>
        </c:ser>
        <c:axId val="137490816"/>
        <c:axId val="137492352"/>
      </c:scatterChart>
      <c:valAx>
        <c:axId val="137490816"/>
        <c:scaling>
          <c:orientation val="minMax"/>
        </c:scaling>
        <c:axPos val="b"/>
        <c:numFmt formatCode="General" sourceLinked="1"/>
        <c:tickLblPos val="nextTo"/>
        <c:crossAx val="137492352"/>
        <c:crosses val="autoZero"/>
        <c:crossBetween val="midCat"/>
      </c:valAx>
      <c:valAx>
        <c:axId val="137492352"/>
        <c:scaling>
          <c:orientation val="minMax"/>
        </c:scaling>
        <c:axPos val="l"/>
        <c:majorGridlines/>
        <c:numFmt formatCode="General" sourceLinked="1"/>
        <c:tickLblPos val="nextTo"/>
        <c:crossAx val="137490816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111" l="0.70000000000000062" r="0.70000000000000062" t="0.75000000000000111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AU"/>
  <c:chart>
    <c:plotArea>
      <c:layout/>
      <c:scatterChart>
        <c:scatterStyle val="lineMarker"/>
        <c:ser>
          <c:idx val="0"/>
          <c:order val="0"/>
          <c:spPr>
            <a:ln w="28575">
              <a:noFill/>
            </a:ln>
          </c:spPr>
          <c:xVal>
            <c:numRef>
              <c:f>Tamworth!$AO$4:$AO$6</c:f>
              <c:numCache>
                <c:formatCode>General</c:formatCode>
                <c:ptCount val="3"/>
              </c:numCache>
            </c:numRef>
          </c:xVal>
          <c:yVal>
            <c:numRef>
              <c:f>Tamworth!$AF$4:$AF$6</c:f>
              <c:numCache>
                <c:formatCode>General</c:formatCode>
                <c:ptCount val="3"/>
              </c:numCache>
            </c:numRef>
          </c:yVal>
        </c:ser>
        <c:ser>
          <c:idx val="1"/>
          <c:order val="1"/>
          <c:spPr>
            <a:ln w="28575">
              <a:noFill/>
            </a:ln>
          </c:spPr>
          <c:xVal>
            <c:numRef>
              <c:f>Tamworth!$AO$7:$AO$9</c:f>
              <c:numCache>
                <c:formatCode>General</c:formatCode>
                <c:ptCount val="3"/>
              </c:numCache>
            </c:numRef>
          </c:xVal>
          <c:yVal>
            <c:numRef>
              <c:f>Tamworth!$AF$7:$AF$9</c:f>
              <c:numCache>
                <c:formatCode>General</c:formatCode>
                <c:ptCount val="3"/>
              </c:numCache>
            </c:numRef>
          </c:yVal>
        </c:ser>
        <c:ser>
          <c:idx val="2"/>
          <c:order val="2"/>
          <c:spPr>
            <a:ln w="28575">
              <a:noFill/>
            </a:ln>
          </c:spPr>
          <c:xVal>
            <c:numRef>
              <c:f>Tamworth!$AO$10:$AO$12</c:f>
              <c:numCache>
                <c:formatCode>General</c:formatCode>
                <c:ptCount val="3"/>
              </c:numCache>
            </c:numRef>
          </c:xVal>
          <c:yVal>
            <c:numRef>
              <c:f>Tamworth!$AF$10:$AF$12</c:f>
              <c:numCache>
                <c:formatCode>General</c:formatCode>
                <c:ptCount val="3"/>
              </c:numCache>
            </c:numRef>
          </c:yVal>
        </c:ser>
        <c:ser>
          <c:idx val="3"/>
          <c:order val="3"/>
          <c:spPr>
            <a:ln w="28575">
              <a:noFill/>
            </a:ln>
          </c:spPr>
          <c:xVal>
            <c:numRef>
              <c:f>Tamworth!$AO$13:$AO$15</c:f>
              <c:numCache>
                <c:formatCode>General</c:formatCode>
                <c:ptCount val="3"/>
              </c:numCache>
            </c:numRef>
          </c:xVal>
          <c:yVal>
            <c:numRef>
              <c:f>Tamworth!$AF$13:$AF$15</c:f>
              <c:numCache>
                <c:formatCode>General</c:formatCode>
                <c:ptCount val="3"/>
              </c:numCache>
            </c:numRef>
          </c:yVal>
        </c:ser>
        <c:axId val="137534848"/>
        <c:axId val="137548928"/>
      </c:scatterChart>
      <c:valAx>
        <c:axId val="137534848"/>
        <c:scaling>
          <c:orientation val="minMax"/>
        </c:scaling>
        <c:axPos val="b"/>
        <c:numFmt formatCode="General" sourceLinked="1"/>
        <c:tickLblPos val="nextTo"/>
        <c:crossAx val="137548928"/>
        <c:crosses val="autoZero"/>
        <c:crossBetween val="midCat"/>
      </c:valAx>
      <c:valAx>
        <c:axId val="137548928"/>
        <c:scaling>
          <c:orientation val="minMax"/>
        </c:scaling>
        <c:axPos val="l"/>
        <c:majorGridlines/>
        <c:numFmt formatCode="General" sourceLinked="1"/>
        <c:tickLblPos val="nextTo"/>
        <c:crossAx val="137534848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AU"/>
  <c:chart>
    <c:autoTitleDeleted val="1"/>
    <c:plotArea>
      <c:layout/>
      <c:scatterChart>
        <c:scatterStyle val="lineMarker"/>
        <c:ser>
          <c:idx val="0"/>
          <c:order val="0"/>
          <c:tx>
            <c:strRef>
              <c:f>Ayr!$P$4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circle"/>
            <c:size val="7"/>
          </c:marker>
          <c:xVal>
            <c:numRef>
              <c:f>Ayr!$AO$4:$AO$6</c:f>
              <c:numCache>
                <c:formatCode>General</c:formatCode>
                <c:ptCount val="3"/>
              </c:numCache>
            </c:numRef>
          </c:xVal>
          <c:yVal>
            <c:numRef>
              <c:f>Ayr!$AP$4:$AP$6</c:f>
              <c:numCache>
                <c:formatCode>General</c:formatCode>
                <c:ptCount val="3"/>
              </c:numCache>
            </c:numRef>
          </c:yVal>
        </c:ser>
        <c:ser>
          <c:idx val="1"/>
          <c:order val="1"/>
          <c:tx>
            <c:strRef>
              <c:f>Ayr!$P$7</c:f>
              <c:strCache>
                <c:ptCount val="1"/>
              </c:strCache>
            </c:strRef>
          </c:tx>
          <c:spPr>
            <a:ln w="28575">
              <a:noFill/>
            </a:ln>
          </c:spPr>
          <c:xVal>
            <c:numRef>
              <c:f>Ayr!$AO$7:$AO$9</c:f>
              <c:numCache>
                <c:formatCode>General</c:formatCode>
                <c:ptCount val="3"/>
              </c:numCache>
            </c:numRef>
          </c:xVal>
          <c:yVal>
            <c:numRef>
              <c:f>Ayr!$AP$7:$AP$9</c:f>
              <c:numCache>
                <c:formatCode>General</c:formatCode>
                <c:ptCount val="3"/>
              </c:numCache>
            </c:numRef>
          </c:yVal>
        </c:ser>
        <c:ser>
          <c:idx val="2"/>
          <c:order val="2"/>
          <c:tx>
            <c:strRef>
              <c:f>Ayr!$P$10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circle"/>
            <c:size val="7"/>
          </c:marker>
          <c:xVal>
            <c:numRef>
              <c:f>Ayr!$AO$10:$AO$12</c:f>
              <c:numCache>
                <c:formatCode>General</c:formatCode>
                <c:ptCount val="3"/>
              </c:numCache>
            </c:numRef>
          </c:xVal>
          <c:yVal>
            <c:numRef>
              <c:f>Ayr!$AP$10:$AP$12</c:f>
              <c:numCache>
                <c:formatCode>General</c:formatCode>
                <c:ptCount val="3"/>
              </c:numCache>
            </c:numRef>
          </c:yVal>
        </c:ser>
        <c:ser>
          <c:idx val="3"/>
          <c:order val="3"/>
          <c:tx>
            <c:strRef>
              <c:f>Ayr!$P$13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circle"/>
            <c:size val="7"/>
          </c:marker>
          <c:xVal>
            <c:numRef>
              <c:f>Ayr!$AO$13:$AO$15</c:f>
              <c:numCache>
                <c:formatCode>General</c:formatCode>
                <c:ptCount val="3"/>
              </c:numCache>
            </c:numRef>
          </c:xVal>
          <c:yVal>
            <c:numRef>
              <c:f>Ayr!$AP$13:$AP$15</c:f>
              <c:numCache>
                <c:formatCode>General</c:formatCode>
                <c:ptCount val="3"/>
              </c:numCache>
            </c:numRef>
          </c:yVal>
        </c:ser>
        <c:ser>
          <c:idx val="4"/>
          <c:order val="4"/>
          <c:spPr>
            <a:ln w="285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Herm8889!#REF!</c:f>
            </c:numRef>
          </c:xVal>
          <c:yVal>
            <c:numRef>
              <c:f>Herm8889!#REF!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</c:ser>
        <c:ser>
          <c:idx val="5"/>
          <c:order val="5"/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Herm8889!#REF!</c:f>
            </c:numRef>
          </c:xVal>
          <c:yVal>
            <c:numRef>
              <c:f>Herm8889!#REF!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</c:ser>
        <c:ser>
          <c:idx val="6"/>
          <c:order val="6"/>
          <c:spPr>
            <a:ln w="28575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Herm8889!#REF!</c:f>
            </c:numRef>
          </c:xVal>
          <c:yVal>
            <c:numRef>
              <c:f>Herm8889!#REF!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</c:ser>
        <c:ser>
          <c:idx val="7"/>
          <c:order val="7"/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Herm8889!#REF!</c:f>
            </c:numRef>
          </c:xVal>
          <c:yVal>
            <c:numRef>
              <c:f>Herm8889!#REF!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</c:ser>
        <c:axId val="137816320"/>
        <c:axId val="137560064"/>
      </c:scatterChart>
      <c:valAx>
        <c:axId val="137816320"/>
        <c:scaling>
          <c:orientation val="minMax"/>
          <c:max val="14"/>
          <c:min val="11"/>
        </c:scaling>
        <c:axPos val="b"/>
        <c:numFmt formatCode="General" sourceLinked="1"/>
        <c:tickLblPos val="nextTo"/>
        <c:crossAx val="137560064"/>
        <c:crosses val="autoZero"/>
        <c:crossBetween val="midCat"/>
      </c:valAx>
      <c:valAx>
        <c:axId val="137560064"/>
        <c:scaling>
          <c:orientation val="minMax"/>
          <c:max val="600"/>
        </c:scaling>
        <c:axPos val="l"/>
        <c:majorGridlines/>
        <c:numFmt formatCode="General" sourceLinked="1"/>
        <c:tickLblPos val="nextTo"/>
        <c:crossAx val="137816320"/>
        <c:crosses val="autoZero"/>
        <c:crossBetween val="midCat"/>
      </c:valAx>
    </c:plotArea>
    <c:legend>
      <c:legendPos val="r"/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7"/>
        <c:delete val="1"/>
      </c:legendEntry>
    </c:legend>
    <c:plotVisOnly val="1"/>
  </c:chart>
  <c:printSettings>
    <c:headerFooter/>
    <c:pageMargins b="0.75000000000000222" l="0.70000000000000062" r="0.70000000000000062" t="0.75000000000000222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AU"/>
  <c:chart>
    <c:title>
      <c:tx>
        <c:rich>
          <a:bodyPr/>
          <a:lstStyle/>
          <a:p>
            <a:pPr>
              <a:defRPr/>
            </a:pPr>
            <a:r>
              <a:rPr lang="en-AU"/>
              <a:t>Final</a:t>
            </a:r>
            <a:r>
              <a:rPr lang="en-AU" baseline="0"/>
              <a:t> Leaf Number</a:t>
            </a:r>
            <a:endParaRPr lang="en-AU"/>
          </a:p>
        </c:rich>
      </c:tx>
    </c:title>
    <c:plotArea>
      <c:layout>
        <c:manualLayout>
          <c:layoutTarget val="inner"/>
          <c:xMode val="edge"/>
          <c:yMode val="edge"/>
          <c:x val="0.11705432146185005"/>
          <c:y val="0.21072332174694391"/>
          <c:w val="0.78177133346136662"/>
          <c:h val="0.6638930268851545"/>
        </c:manualLayout>
      </c:layout>
      <c:scatterChart>
        <c:scatterStyle val="lineMarker"/>
        <c:ser>
          <c:idx val="0"/>
          <c:order val="0"/>
          <c:tx>
            <c:strRef>
              <c:f>Ayr!$AK$3</c:f>
              <c:strCache>
                <c:ptCount val="1"/>
              </c:strCache>
            </c:strRef>
          </c:tx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layout>
                <c:manualLayout>
                  <c:x val="0.35788221784777102"/>
                  <c:y val="0.39646557338227728"/>
                </c:manualLayout>
              </c:layout>
              <c:numFmt formatCode="General" sourceLinked="0"/>
            </c:trendlineLbl>
          </c:trendline>
          <c:xVal>
            <c:numRef>
              <c:f>Ayr!$W$4:$W$15</c:f>
              <c:numCache>
                <c:formatCode>General</c:formatCode>
                <c:ptCount val="12"/>
              </c:numCache>
            </c:numRef>
          </c:xVal>
          <c:yVal>
            <c:numRef>
              <c:f>Ayr!$AK$4:$AK$15</c:f>
              <c:numCache>
                <c:formatCode>General</c:formatCode>
                <c:ptCount val="12"/>
              </c:numCache>
            </c:numRef>
          </c:yVal>
        </c:ser>
        <c:ser>
          <c:idx val="1"/>
          <c:order val="1"/>
          <c:spPr>
            <a:ln w="285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Ayr!$O$1</c:f>
              <c:numCache>
                <c:formatCode>General</c:formatCode>
                <c:ptCount val="1"/>
              </c:numCache>
            </c:numRef>
          </c:xVal>
          <c:yVal>
            <c:numRef>
              <c:f>Ayr!$P$1</c:f>
              <c:numCache>
                <c:formatCode>General</c:formatCode>
                <c:ptCount val="1"/>
              </c:numCache>
            </c:numRef>
          </c:yVal>
        </c:ser>
        <c:axId val="137579136"/>
        <c:axId val="137601408"/>
      </c:scatterChart>
      <c:valAx>
        <c:axId val="137579136"/>
        <c:scaling>
          <c:orientation val="minMax"/>
        </c:scaling>
        <c:axPos val="b"/>
        <c:numFmt formatCode="General" sourceLinked="1"/>
        <c:tickLblPos val="nextTo"/>
        <c:crossAx val="137601408"/>
        <c:crosses val="autoZero"/>
        <c:crossBetween val="midCat"/>
      </c:valAx>
      <c:valAx>
        <c:axId val="137601408"/>
        <c:scaling>
          <c:orientation val="minMax"/>
        </c:scaling>
        <c:axPos val="l"/>
        <c:majorGridlines/>
        <c:numFmt formatCode="General" sourceLinked="1"/>
        <c:tickLblPos val="nextTo"/>
        <c:crossAx val="137579136"/>
        <c:crosses val="autoZero"/>
        <c:crossBetween val="midCat"/>
      </c:valAx>
    </c:plotArea>
    <c:plotVisOnly val="1"/>
  </c:chart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AU"/>
  <c:chart>
    <c:title/>
    <c:plotArea>
      <c:layout/>
      <c:scatterChart>
        <c:scatterStyle val="lineMarker"/>
        <c:ser>
          <c:idx val="0"/>
          <c:order val="0"/>
          <c:tx>
            <c:strRef>
              <c:f>Herm8889!#REF!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xVal>
            <c:numRef>
              <c:f>Ayr!$BA$2:$BA$18</c:f>
              <c:numCache>
                <c:formatCode>General</c:formatCode>
                <c:ptCount val="17"/>
              </c:numCache>
            </c:numRef>
          </c:xVal>
          <c:yVal>
            <c:numRef>
              <c:f>Herm8889!#REF!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</c:ser>
        <c:axId val="137608576"/>
        <c:axId val="137618560"/>
      </c:scatterChart>
      <c:valAx>
        <c:axId val="137608576"/>
        <c:scaling>
          <c:orientation val="minMax"/>
        </c:scaling>
        <c:axPos val="b"/>
        <c:numFmt formatCode="General" sourceLinked="1"/>
        <c:tickLblPos val="nextTo"/>
        <c:crossAx val="137618560"/>
        <c:crosses val="autoZero"/>
        <c:crossBetween val="midCat"/>
      </c:valAx>
      <c:valAx>
        <c:axId val="137618560"/>
        <c:scaling>
          <c:orientation val="minMax"/>
        </c:scaling>
        <c:axPos val="l"/>
        <c:majorGridlines/>
        <c:numFmt formatCode="General" sourceLinked="1"/>
        <c:tickLblPos val="nextTo"/>
        <c:crossAx val="137608576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AU"/>
  <c:chart>
    <c:plotArea>
      <c:layout/>
      <c:scatterChart>
        <c:scatterStyle val="lineMarker"/>
        <c:ser>
          <c:idx val="0"/>
          <c:order val="0"/>
          <c:tx>
            <c:strRef>
              <c:f>Ayr!$C$3</c:f>
              <c:strCache>
                <c:ptCount val="1"/>
                <c:pt idx="0">
                  <c:v>PP</c:v>
                </c:pt>
              </c:strCache>
            </c:strRef>
          </c:tx>
          <c:marker>
            <c:symbol val="none"/>
          </c:marker>
          <c:xVal>
            <c:numRef>
              <c:f>Ayr!$A$4:$A$368</c:f>
              <c:numCache>
                <c:formatCode>d\-mmm\-yy</c:formatCode>
                <c:ptCount val="365"/>
                <c:pt idx="0">
                  <c:v>32633</c:v>
                </c:pt>
                <c:pt idx="1">
                  <c:v>32634</c:v>
                </c:pt>
                <c:pt idx="2">
                  <c:v>32635</c:v>
                </c:pt>
                <c:pt idx="3">
                  <c:v>32636</c:v>
                </c:pt>
                <c:pt idx="4">
                  <c:v>32637</c:v>
                </c:pt>
                <c:pt idx="5">
                  <c:v>32638</c:v>
                </c:pt>
                <c:pt idx="6">
                  <c:v>32639</c:v>
                </c:pt>
                <c:pt idx="7">
                  <c:v>32640</c:v>
                </c:pt>
                <c:pt idx="8">
                  <c:v>32641</c:v>
                </c:pt>
                <c:pt idx="9">
                  <c:v>32642</c:v>
                </c:pt>
                <c:pt idx="10">
                  <c:v>32643</c:v>
                </c:pt>
                <c:pt idx="11">
                  <c:v>32644</c:v>
                </c:pt>
                <c:pt idx="12">
                  <c:v>32645</c:v>
                </c:pt>
                <c:pt idx="13">
                  <c:v>32646</c:v>
                </c:pt>
                <c:pt idx="14">
                  <c:v>32647</c:v>
                </c:pt>
                <c:pt idx="15">
                  <c:v>32648</c:v>
                </c:pt>
                <c:pt idx="16">
                  <c:v>32649</c:v>
                </c:pt>
                <c:pt idx="17">
                  <c:v>32650</c:v>
                </c:pt>
                <c:pt idx="18">
                  <c:v>32651</c:v>
                </c:pt>
                <c:pt idx="19">
                  <c:v>32652</c:v>
                </c:pt>
                <c:pt idx="20">
                  <c:v>32653</c:v>
                </c:pt>
                <c:pt idx="21">
                  <c:v>32654</c:v>
                </c:pt>
                <c:pt idx="22">
                  <c:v>32655</c:v>
                </c:pt>
                <c:pt idx="23">
                  <c:v>32656</c:v>
                </c:pt>
                <c:pt idx="24">
                  <c:v>32657</c:v>
                </c:pt>
                <c:pt idx="25">
                  <c:v>32658</c:v>
                </c:pt>
                <c:pt idx="26">
                  <c:v>32659</c:v>
                </c:pt>
                <c:pt idx="27">
                  <c:v>32660</c:v>
                </c:pt>
                <c:pt idx="28">
                  <c:v>32661</c:v>
                </c:pt>
                <c:pt idx="29">
                  <c:v>32662</c:v>
                </c:pt>
                <c:pt idx="30">
                  <c:v>32663</c:v>
                </c:pt>
                <c:pt idx="31">
                  <c:v>32664</c:v>
                </c:pt>
                <c:pt idx="32">
                  <c:v>32665</c:v>
                </c:pt>
                <c:pt idx="33">
                  <c:v>32666</c:v>
                </c:pt>
                <c:pt idx="34">
                  <c:v>32667</c:v>
                </c:pt>
                <c:pt idx="35">
                  <c:v>32668</c:v>
                </c:pt>
                <c:pt idx="36">
                  <c:v>32669</c:v>
                </c:pt>
                <c:pt idx="37">
                  <c:v>32670</c:v>
                </c:pt>
                <c:pt idx="38">
                  <c:v>32671</c:v>
                </c:pt>
                <c:pt idx="39">
                  <c:v>32672</c:v>
                </c:pt>
                <c:pt idx="40">
                  <c:v>32673</c:v>
                </c:pt>
                <c:pt idx="41">
                  <c:v>32674</c:v>
                </c:pt>
                <c:pt idx="42">
                  <c:v>32675</c:v>
                </c:pt>
                <c:pt idx="43">
                  <c:v>32676</c:v>
                </c:pt>
                <c:pt idx="44">
                  <c:v>32677</c:v>
                </c:pt>
                <c:pt idx="45">
                  <c:v>32678</c:v>
                </c:pt>
                <c:pt idx="46">
                  <c:v>32679</c:v>
                </c:pt>
                <c:pt idx="47">
                  <c:v>32680</c:v>
                </c:pt>
                <c:pt idx="48">
                  <c:v>32681</c:v>
                </c:pt>
                <c:pt idx="49">
                  <c:v>32682</c:v>
                </c:pt>
                <c:pt idx="50">
                  <c:v>32683</c:v>
                </c:pt>
                <c:pt idx="51">
                  <c:v>32684</c:v>
                </c:pt>
                <c:pt idx="52">
                  <c:v>32685</c:v>
                </c:pt>
                <c:pt idx="53">
                  <c:v>32686</c:v>
                </c:pt>
                <c:pt idx="54">
                  <c:v>32687</c:v>
                </c:pt>
                <c:pt idx="55">
                  <c:v>32688</c:v>
                </c:pt>
                <c:pt idx="56">
                  <c:v>32689</c:v>
                </c:pt>
                <c:pt idx="57">
                  <c:v>32690</c:v>
                </c:pt>
                <c:pt idx="58">
                  <c:v>32691</c:v>
                </c:pt>
                <c:pt idx="59">
                  <c:v>32692</c:v>
                </c:pt>
                <c:pt idx="60">
                  <c:v>32693</c:v>
                </c:pt>
                <c:pt idx="61">
                  <c:v>32694</c:v>
                </c:pt>
                <c:pt idx="62">
                  <c:v>32695</c:v>
                </c:pt>
                <c:pt idx="63">
                  <c:v>32696</c:v>
                </c:pt>
                <c:pt idx="64">
                  <c:v>32697</c:v>
                </c:pt>
                <c:pt idx="65">
                  <c:v>32698</c:v>
                </c:pt>
                <c:pt idx="66">
                  <c:v>32699</c:v>
                </c:pt>
                <c:pt idx="67">
                  <c:v>32700</c:v>
                </c:pt>
                <c:pt idx="68">
                  <c:v>32701</c:v>
                </c:pt>
                <c:pt idx="69">
                  <c:v>32702</c:v>
                </c:pt>
                <c:pt idx="70">
                  <c:v>32703</c:v>
                </c:pt>
                <c:pt idx="71">
                  <c:v>32704</c:v>
                </c:pt>
                <c:pt idx="72">
                  <c:v>32705</c:v>
                </c:pt>
                <c:pt idx="73">
                  <c:v>32706</c:v>
                </c:pt>
                <c:pt idx="74">
                  <c:v>32707</c:v>
                </c:pt>
                <c:pt idx="75">
                  <c:v>32708</c:v>
                </c:pt>
                <c:pt idx="76">
                  <c:v>32709</c:v>
                </c:pt>
                <c:pt idx="77">
                  <c:v>32710</c:v>
                </c:pt>
                <c:pt idx="78">
                  <c:v>32711</c:v>
                </c:pt>
                <c:pt idx="79">
                  <c:v>32712</c:v>
                </c:pt>
                <c:pt idx="80">
                  <c:v>32713</c:v>
                </c:pt>
                <c:pt idx="81">
                  <c:v>32714</c:v>
                </c:pt>
                <c:pt idx="82">
                  <c:v>32715</c:v>
                </c:pt>
                <c:pt idx="83">
                  <c:v>32716</c:v>
                </c:pt>
                <c:pt idx="84">
                  <c:v>32717</c:v>
                </c:pt>
                <c:pt idx="85">
                  <c:v>32718</c:v>
                </c:pt>
                <c:pt idx="86">
                  <c:v>32719</c:v>
                </c:pt>
                <c:pt idx="87">
                  <c:v>32720</c:v>
                </c:pt>
                <c:pt idx="88">
                  <c:v>32721</c:v>
                </c:pt>
                <c:pt idx="89">
                  <c:v>32722</c:v>
                </c:pt>
                <c:pt idx="90">
                  <c:v>32723</c:v>
                </c:pt>
                <c:pt idx="91">
                  <c:v>32724</c:v>
                </c:pt>
                <c:pt idx="92">
                  <c:v>32725</c:v>
                </c:pt>
                <c:pt idx="93">
                  <c:v>32726</c:v>
                </c:pt>
                <c:pt idx="94">
                  <c:v>32727</c:v>
                </c:pt>
                <c:pt idx="95">
                  <c:v>32728</c:v>
                </c:pt>
                <c:pt idx="96">
                  <c:v>32729</c:v>
                </c:pt>
                <c:pt idx="97">
                  <c:v>32730</c:v>
                </c:pt>
                <c:pt idx="98">
                  <c:v>32731</c:v>
                </c:pt>
                <c:pt idx="99">
                  <c:v>32732</c:v>
                </c:pt>
                <c:pt idx="100">
                  <c:v>32733</c:v>
                </c:pt>
                <c:pt idx="101">
                  <c:v>32734</c:v>
                </c:pt>
                <c:pt idx="102">
                  <c:v>32735</c:v>
                </c:pt>
                <c:pt idx="103">
                  <c:v>32736</c:v>
                </c:pt>
                <c:pt idx="104">
                  <c:v>32737</c:v>
                </c:pt>
                <c:pt idx="105">
                  <c:v>32738</c:v>
                </c:pt>
                <c:pt idx="106">
                  <c:v>32739</c:v>
                </c:pt>
                <c:pt idx="107">
                  <c:v>32740</c:v>
                </c:pt>
                <c:pt idx="108">
                  <c:v>32741</c:v>
                </c:pt>
                <c:pt idx="109">
                  <c:v>32742</c:v>
                </c:pt>
                <c:pt idx="110">
                  <c:v>32743</c:v>
                </c:pt>
                <c:pt idx="111">
                  <c:v>32744</c:v>
                </c:pt>
                <c:pt idx="112">
                  <c:v>32745</c:v>
                </c:pt>
                <c:pt idx="113">
                  <c:v>32746</c:v>
                </c:pt>
                <c:pt idx="114">
                  <c:v>32747</c:v>
                </c:pt>
                <c:pt idx="115">
                  <c:v>32748</c:v>
                </c:pt>
                <c:pt idx="116">
                  <c:v>32749</c:v>
                </c:pt>
                <c:pt idx="117">
                  <c:v>32750</c:v>
                </c:pt>
                <c:pt idx="118">
                  <c:v>32751</c:v>
                </c:pt>
                <c:pt idx="119">
                  <c:v>32752</c:v>
                </c:pt>
                <c:pt idx="120">
                  <c:v>32753</c:v>
                </c:pt>
                <c:pt idx="121">
                  <c:v>32754</c:v>
                </c:pt>
                <c:pt idx="122">
                  <c:v>32755</c:v>
                </c:pt>
                <c:pt idx="123">
                  <c:v>32756</c:v>
                </c:pt>
                <c:pt idx="124">
                  <c:v>32757</c:v>
                </c:pt>
                <c:pt idx="125">
                  <c:v>32758</c:v>
                </c:pt>
                <c:pt idx="126">
                  <c:v>32759</c:v>
                </c:pt>
                <c:pt idx="127">
                  <c:v>32760</c:v>
                </c:pt>
                <c:pt idx="128">
                  <c:v>32761</c:v>
                </c:pt>
                <c:pt idx="129">
                  <c:v>32762</c:v>
                </c:pt>
                <c:pt idx="130">
                  <c:v>32763</c:v>
                </c:pt>
                <c:pt idx="131">
                  <c:v>32764</c:v>
                </c:pt>
                <c:pt idx="132">
                  <c:v>32765</c:v>
                </c:pt>
                <c:pt idx="133">
                  <c:v>32766</c:v>
                </c:pt>
                <c:pt idx="134">
                  <c:v>32767</c:v>
                </c:pt>
                <c:pt idx="135">
                  <c:v>32768</c:v>
                </c:pt>
                <c:pt idx="136">
                  <c:v>32769</c:v>
                </c:pt>
                <c:pt idx="137">
                  <c:v>32770</c:v>
                </c:pt>
                <c:pt idx="138">
                  <c:v>32771</c:v>
                </c:pt>
                <c:pt idx="139">
                  <c:v>32772</c:v>
                </c:pt>
                <c:pt idx="140">
                  <c:v>32773</c:v>
                </c:pt>
                <c:pt idx="141">
                  <c:v>32774</c:v>
                </c:pt>
                <c:pt idx="142">
                  <c:v>32775</c:v>
                </c:pt>
                <c:pt idx="143">
                  <c:v>32776</c:v>
                </c:pt>
                <c:pt idx="144">
                  <c:v>32777</c:v>
                </c:pt>
                <c:pt idx="145">
                  <c:v>32778</c:v>
                </c:pt>
                <c:pt idx="146">
                  <c:v>32779</c:v>
                </c:pt>
                <c:pt idx="147">
                  <c:v>32780</c:v>
                </c:pt>
                <c:pt idx="148">
                  <c:v>32781</c:v>
                </c:pt>
                <c:pt idx="149">
                  <c:v>32782</c:v>
                </c:pt>
                <c:pt idx="150">
                  <c:v>32783</c:v>
                </c:pt>
                <c:pt idx="151">
                  <c:v>32784</c:v>
                </c:pt>
                <c:pt idx="152">
                  <c:v>32785</c:v>
                </c:pt>
                <c:pt idx="153">
                  <c:v>32786</c:v>
                </c:pt>
                <c:pt idx="154">
                  <c:v>32787</c:v>
                </c:pt>
                <c:pt idx="155">
                  <c:v>32788</c:v>
                </c:pt>
                <c:pt idx="156">
                  <c:v>32789</c:v>
                </c:pt>
                <c:pt idx="157">
                  <c:v>32790</c:v>
                </c:pt>
                <c:pt idx="158">
                  <c:v>32791</c:v>
                </c:pt>
                <c:pt idx="159">
                  <c:v>32792</c:v>
                </c:pt>
                <c:pt idx="160">
                  <c:v>32793</c:v>
                </c:pt>
                <c:pt idx="161">
                  <c:v>32794</c:v>
                </c:pt>
                <c:pt idx="162">
                  <c:v>32795</c:v>
                </c:pt>
                <c:pt idx="163">
                  <c:v>32796</c:v>
                </c:pt>
              </c:numCache>
            </c:numRef>
          </c:xVal>
          <c:yVal>
            <c:numRef>
              <c:f>Ayr!$C$4:$C$368</c:f>
              <c:numCache>
                <c:formatCode>General</c:formatCode>
                <c:ptCount val="365"/>
                <c:pt idx="0">
                  <c:v>12.101004600524902</c:v>
                </c:pt>
                <c:pt idx="1">
                  <c:v>12.087034225463867</c:v>
                </c:pt>
                <c:pt idx="2">
                  <c:v>12.073270797729492</c:v>
                </c:pt>
                <c:pt idx="3">
                  <c:v>12.059717178344727</c:v>
                </c:pt>
                <c:pt idx="4">
                  <c:v>12.04637622833252</c:v>
                </c:pt>
                <c:pt idx="5">
                  <c:v>12.033254623413086</c:v>
                </c:pt>
                <c:pt idx="6">
                  <c:v>12.020354270935059</c:v>
                </c:pt>
                <c:pt idx="7">
                  <c:v>12.007680892944336</c:v>
                </c:pt>
                <c:pt idx="8">
                  <c:v>11.995238304138184</c:v>
                </c:pt>
                <c:pt idx="9">
                  <c:v>11.983030319213867</c:v>
                </c:pt>
                <c:pt idx="10">
                  <c:v>11.971060752868652</c:v>
                </c:pt>
                <c:pt idx="11">
                  <c:v>11.959334373474121</c:v>
                </c:pt>
                <c:pt idx="12">
                  <c:v>11.947854995727539</c:v>
                </c:pt>
                <c:pt idx="13">
                  <c:v>11.936627388000488</c:v>
                </c:pt>
                <c:pt idx="14">
                  <c:v>11.925654411315918</c:v>
                </c:pt>
                <c:pt idx="15">
                  <c:v>11.91494083404541</c:v>
                </c:pt>
                <c:pt idx="16">
                  <c:v>11.90449047088623</c:v>
                </c:pt>
                <c:pt idx="17">
                  <c:v>11.894307136535645</c:v>
                </c:pt>
                <c:pt idx="18">
                  <c:v>11.884396553039551</c:v>
                </c:pt>
                <c:pt idx="19">
                  <c:v>11.874759674072266</c:v>
                </c:pt>
                <c:pt idx="20">
                  <c:v>11.865403175354004</c:v>
                </c:pt>
                <c:pt idx="21">
                  <c:v>11.856328010559082</c:v>
                </c:pt>
                <c:pt idx="22">
                  <c:v>11.847540855407715</c:v>
                </c:pt>
                <c:pt idx="23">
                  <c:v>11.839042663574219</c:v>
                </c:pt>
                <c:pt idx="24">
                  <c:v>11.830838203430176</c:v>
                </c:pt>
                <c:pt idx="25">
                  <c:v>11.822932243347168</c:v>
                </c:pt>
                <c:pt idx="26">
                  <c:v>11.815325736999512</c:v>
                </c:pt>
                <c:pt idx="27">
                  <c:v>11.808023452758789</c:v>
                </c:pt>
                <c:pt idx="28">
                  <c:v>11.801029205322266</c:v>
                </c:pt>
                <c:pt idx="29">
                  <c:v>11.794344902038574</c:v>
                </c:pt>
                <c:pt idx="30">
                  <c:v>11.787975311279297</c:v>
                </c:pt>
                <c:pt idx="31">
                  <c:v>11.781919479370117</c:v>
                </c:pt>
                <c:pt idx="32">
                  <c:v>11.77618408203125</c:v>
                </c:pt>
                <c:pt idx="33">
                  <c:v>11.770770072937012</c:v>
                </c:pt>
                <c:pt idx="34">
                  <c:v>11.765681266784668</c:v>
                </c:pt>
                <c:pt idx="35">
                  <c:v>11.760918617248535</c:v>
                </c:pt>
                <c:pt idx="36">
                  <c:v>11.756484031677246</c:v>
                </c:pt>
                <c:pt idx="37">
                  <c:v>11.752381324768066</c:v>
                </c:pt>
                <c:pt idx="38">
                  <c:v>11.748611450195313</c:v>
                </c:pt>
                <c:pt idx="39">
                  <c:v>11.745176315307617</c:v>
                </c:pt>
                <c:pt idx="40">
                  <c:v>11.742077827453613</c:v>
                </c:pt>
                <c:pt idx="41">
                  <c:v>11.739316940307617</c:v>
                </c:pt>
                <c:pt idx="42">
                  <c:v>11.736895561218262</c:v>
                </c:pt>
                <c:pt idx="43">
                  <c:v>11.734814643859863</c:v>
                </c:pt>
                <c:pt idx="44">
                  <c:v>11.733076095581055</c:v>
                </c:pt>
                <c:pt idx="45">
                  <c:v>11.731679916381836</c:v>
                </c:pt>
                <c:pt idx="46">
                  <c:v>11.730626106262207</c:v>
                </c:pt>
                <c:pt idx="47">
                  <c:v>11.729916572570801</c:v>
                </c:pt>
                <c:pt idx="48">
                  <c:v>11.729550361633301</c:v>
                </c:pt>
                <c:pt idx="49">
                  <c:v>11.729528427124023</c:v>
                </c:pt>
                <c:pt idx="50">
                  <c:v>11.729851722717285</c:v>
                </c:pt>
                <c:pt idx="51">
                  <c:v>11.730518341064453</c:v>
                </c:pt>
                <c:pt idx="52">
                  <c:v>11.731529235839844</c:v>
                </c:pt>
                <c:pt idx="53">
                  <c:v>11.732882499694824</c:v>
                </c:pt>
                <c:pt idx="54">
                  <c:v>11.734579086303711</c:v>
                </c:pt>
                <c:pt idx="55">
                  <c:v>11.736616134643555</c:v>
                </c:pt>
                <c:pt idx="56">
                  <c:v>11.738996505737305</c:v>
                </c:pt>
                <c:pt idx="57">
                  <c:v>11.741713523864746</c:v>
                </c:pt>
                <c:pt idx="58">
                  <c:v>11.744770050048828</c:v>
                </c:pt>
                <c:pt idx="59">
                  <c:v>11.748163223266602</c:v>
                </c:pt>
                <c:pt idx="60">
                  <c:v>11.751891136169434</c:v>
                </c:pt>
                <c:pt idx="61">
                  <c:v>11.755952835083008</c:v>
                </c:pt>
                <c:pt idx="62">
                  <c:v>11.760345458984375</c:v>
                </c:pt>
                <c:pt idx="63">
                  <c:v>11.765067100524902</c:v>
                </c:pt>
                <c:pt idx="64">
                  <c:v>11.770115852355957</c:v>
                </c:pt>
                <c:pt idx="65">
                  <c:v>11.775489807128906</c:v>
                </c:pt>
                <c:pt idx="66">
                  <c:v>11.781186103820801</c:v>
                </c:pt>
                <c:pt idx="67">
                  <c:v>11.787199974060059</c:v>
                </c:pt>
                <c:pt idx="68">
                  <c:v>11.793532371520996</c:v>
                </c:pt>
                <c:pt idx="69">
                  <c:v>11.800177574157715</c:v>
                </c:pt>
                <c:pt idx="70">
                  <c:v>11.807132720947266</c:v>
                </c:pt>
                <c:pt idx="71">
                  <c:v>11.814396858215332</c:v>
                </c:pt>
                <c:pt idx="72">
                  <c:v>11.821964263916016</c:v>
                </c:pt>
                <c:pt idx="73">
                  <c:v>11.829833984375</c:v>
                </c:pt>
                <c:pt idx="74">
                  <c:v>11.838001251220703</c:v>
                </c:pt>
                <c:pt idx="75">
                  <c:v>11.846462249755859</c:v>
                </c:pt>
                <c:pt idx="76">
                  <c:v>11.85521411895752</c:v>
                </c:pt>
                <c:pt idx="77">
                  <c:v>11.864253044128418</c:v>
                </c:pt>
                <c:pt idx="78">
                  <c:v>11.873574256896973</c:v>
                </c:pt>
                <c:pt idx="79">
                  <c:v>11.883175849914551</c:v>
                </c:pt>
                <c:pt idx="80">
                  <c:v>11.89305305480957</c:v>
                </c:pt>
                <c:pt idx="81">
                  <c:v>11.903203010559082</c:v>
                </c:pt>
                <c:pt idx="82">
                  <c:v>11.913619041442871</c:v>
                </c:pt>
                <c:pt idx="83">
                  <c:v>11.924301147460938</c:v>
                </c:pt>
                <c:pt idx="84">
                  <c:v>11.935240745544434</c:v>
                </c:pt>
                <c:pt idx="85">
                  <c:v>11.946437835693359</c:v>
                </c:pt>
                <c:pt idx="86">
                  <c:v>11.9578857421875</c:v>
                </c:pt>
                <c:pt idx="87">
                  <c:v>11.969581604003906</c:v>
                </c:pt>
                <c:pt idx="88">
                  <c:v>11.981520652770996</c:v>
                </c:pt>
                <c:pt idx="89">
                  <c:v>11.993699073791504</c:v>
                </c:pt>
                <c:pt idx="90">
                  <c:v>12.006113052368164</c:v>
                </c:pt>
                <c:pt idx="91">
                  <c:v>12.018757820129395</c:v>
                </c:pt>
                <c:pt idx="92">
                  <c:v>12.03162956237793</c:v>
                </c:pt>
                <c:pt idx="93">
                  <c:v>12.044724464416504</c:v>
                </c:pt>
                <c:pt idx="94">
                  <c:v>12.058036804199219</c:v>
                </c:pt>
                <c:pt idx="95">
                  <c:v>12.071565628051758</c:v>
                </c:pt>
                <c:pt idx="96">
                  <c:v>12.08530330657959</c:v>
                </c:pt>
                <c:pt idx="97">
                  <c:v>12.099246978759766</c:v>
                </c:pt>
                <c:pt idx="98">
                  <c:v>12.113393783569336</c:v>
                </c:pt>
                <c:pt idx="99">
                  <c:v>12.127737998962402</c:v>
                </c:pt>
                <c:pt idx="100">
                  <c:v>12.142275810241699</c:v>
                </c:pt>
                <c:pt idx="101">
                  <c:v>12.157003402709961</c:v>
                </c:pt>
                <c:pt idx="102">
                  <c:v>12.171917915344238</c:v>
                </c:pt>
                <c:pt idx="103">
                  <c:v>12.187013626098633</c:v>
                </c:pt>
                <c:pt idx="104">
                  <c:v>12.202287673950195</c:v>
                </c:pt>
                <c:pt idx="105">
                  <c:v>12.21773624420166</c:v>
                </c:pt>
                <c:pt idx="106">
                  <c:v>12.233355522155762</c:v>
                </c:pt>
                <c:pt idx="107">
                  <c:v>12.249138832092285</c:v>
                </c:pt>
                <c:pt idx="108">
                  <c:v>12.265087127685547</c:v>
                </c:pt>
                <c:pt idx="109">
                  <c:v>12.281192779541016</c:v>
                </c:pt>
                <c:pt idx="110">
                  <c:v>12.297453880310059</c:v>
                </c:pt>
                <c:pt idx="111">
                  <c:v>12.31386661529541</c:v>
                </c:pt>
                <c:pt idx="112">
                  <c:v>12.330426216125488</c:v>
                </c:pt>
                <c:pt idx="113">
                  <c:v>12.347129821777344</c:v>
                </c:pt>
                <c:pt idx="114">
                  <c:v>12.363973617553711</c:v>
                </c:pt>
                <c:pt idx="115">
                  <c:v>12.380954742431641</c:v>
                </c:pt>
                <c:pt idx="116">
                  <c:v>12.398068428039551</c:v>
                </c:pt>
                <c:pt idx="117">
                  <c:v>12.415311813354492</c:v>
                </c:pt>
                <c:pt idx="118">
                  <c:v>12.432680130004883</c:v>
                </c:pt>
                <c:pt idx="119">
                  <c:v>12.45017147064209</c:v>
                </c:pt>
                <c:pt idx="120">
                  <c:v>12.467782020568848</c:v>
                </c:pt>
                <c:pt idx="121">
                  <c:v>12.485507011413574</c:v>
                </c:pt>
                <c:pt idx="122">
                  <c:v>12.50334644317627</c:v>
                </c:pt>
                <c:pt idx="123">
                  <c:v>12.521292686462402</c:v>
                </c:pt>
                <c:pt idx="124">
                  <c:v>12.53934383392334</c:v>
                </c:pt>
                <c:pt idx="125">
                  <c:v>12.557497978210449</c:v>
                </c:pt>
                <c:pt idx="126">
                  <c:v>12.575749397277832</c:v>
                </c:pt>
                <c:pt idx="127">
                  <c:v>12.594096183776855</c:v>
                </c:pt>
                <c:pt idx="128">
                  <c:v>12.61253547668457</c:v>
                </c:pt>
                <c:pt idx="129">
                  <c:v>12.631061553955078</c:v>
                </c:pt>
                <c:pt idx="130">
                  <c:v>12.649673461914063</c:v>
                </c:pt>
                <c:pt idx="131">
                  <c:v>12.668366432189941</c:v>
                </c:pt>
                <c:pt idx="132">
                  <c:v>12.687137603759766</c:v>
                </c:pt>
                <c:pt idx="133">
                  <c:v>12.70598316192627</c:v>
                </c:pt>
                <c:pt idx="134">
                  <c:v>12.724900245666504</c:v>
                </c:pt>
                <c:pt idx="135">
                  <c:v>12.743885040283203</c:v>
                </c:pt>
                <c:pt idx="136">
                  <c:v>12.762934684753418</c:v>
                </c:pt>
                <c:pt idx="137">
                  <c:v>12.782044410705566</c:v>
                </c:pt>
                <c:pt idx="138">
                  <c:v>12.801211357116699</c:v>
                </c:pt>
                <c:pt idx="139">
                  <c:v>12.820432662963867</c:v>
                </c:pt>
                <c:pt idx="140">
                  <c:v>12.839703559875488</c:v>
                </c:pt>
                <c:pt idx="141">
                  <c:v>12.85902214050293</c:v>
                </c:pt>
                <c:pt idx="142">
                  <c:v>12.878382682800293</c:v>
                </c:pt>
                <c:pt idx="143">
                  <c:v>12.897783279418945</c:v>
                </c:pt>
                <c:pt idx="144">
                  <c:v>12.917218208312988</c:v>
                </c:pt>
                <c:pt idx="145">
                  <c:v>12.936685562133789</c:v>
                </c:pt>
                <c:pt idx="146">
                  <c:v>12.956180572509766</c:v>
                </c:pt>
                <c:pt idx="147">
                  <c:v>12.975699424743652</c:v>
                </c:pt>
                <c:pt idx="148">
                  <c:v>12.995237350463867</c:v>
                </c:pt>
                <c:pt idx="149">
                  <c:v>13.014791488647461</c:v>
                </c:pt>
                <c:pt idx="150">
                  <c:v>13.034358024597168</c:v>
                </c:pt>
                <c:pt idx="151">
                  <c:v>13.05393123626709</c:v>
                </c:pt>
                <c:pt idx="152">
                  <c:v>13.073508262634277</c:v>
                </c:pt>
                <c:pt idx="153">
                  <c:v>13.093084335327148</c:v>
                </c:pt>
                <c:pt idx="154">
                  <c:v>13.112654685974121</c:v>
                </c:pt>
                <c:pt idx="155">
                  <c:v>13.13221549987793</c:v>
                </c:pt>
                <c:pt idx="156">
                  <c:v>13.151760101318359</c:v>
                </c:pt>
                <c:pt idx="157">
                  <c:v>13.171286582946777</c:v>
                </c:pt>
                <c:pt idx="158">
                  <c:v>13.190789222717285</c:v>
                </c:pt>
                <c:pt idx="159">
                  <c:v>13.210262298583984</c:v>
                </c:pt>
                <c:pt idx="160">
                  <c:v>13.229701042175293</c:v>
                </c:pt>
                <c:pt idx="161">
                  <c:v>13.249101638793945</c:v>
                </c:pt>
                <c:pt idx="162">
                  <c:v>13.268457412719727</c:v>
                </c:pt>
                <c:pt idx="163">
                  <c:v>13.287764549255371</c:v>
                </c:pt>
              </c:numCache>
            </c:numRef>
          </c:yVal>
        </c:ser>
        <c:axId val="137976064"/>
        <c:axId val="137981952"/>
      </c:scatterChart>
      <c:scatterChart>
        <c:scatterStyle val="lineMarker"/>
        <c:ser>
          <c:idx val="1"/>
          <c:order val="1"/>
          <c:tx>
            <c:strRef>
              <c:f>Ayr!$J$3</c:f>
              <c:strCache>
                <c:ptCount val="1"/>
                <c:pt idx="0">
                  <c:v>TT</c:v>
                </c:pt>
              </c:strCache>
            </c:strRef>
          </c:tx>
          <c:marker>
            <c:symbol val="none"/>
          </c:marker>
          <c:xVal>
            <c:numRef>
              <c:f>Ayr!$A$4:$A$368</c:f>
              <c:numCache>
                <c:formatCode>d\-mmm\-yy</c:formatCode>
                <c:ptCount val="365"/>
                <c:pt idx="0">
                  <c:v>32633</c:v>
                </c:pt>
                <c:pt idx="1">
                  <c:v>32634</c:v>
                </c:pt>
                <c:pt idx="2">
                  <c:v>32635</c:v>
                </c:pt>
                <c:pt idx="3">
                  <c:v>32636</c:v>
                </c:pt>
                <c:pt idx="4">
                  <c:v>32637</c:v>
                </c:pt>
                <c:pt idx="5">
                  <c:v>32638</c:v>
                </c:pt>
                <c:pt idx="6">
                  <c:v>32639</c:v>
                </c:pt>
                <c:pt idx="7">
                  <c:v>32640</c:v>
                </c:pt>
                <c:pt idx="8">
                  <c:v>32641</c:v>
                </c:pt>
                <c:pt idx="9">
                  <c:v>32642</c:v>
                </c:pt>
                <c:pt idx="10">
                  <c:v>32643</c:v>
                </c:pt>
                <c:pt idx="11">
                  <c:v>32644</c:v>
                </c:pt>
                <c:pt idx="12">
                  <c:v>32645</c:v>
                </c:pt>
                <c:pt idx="13">
                  <c:v>32646</c:v>
                </c:pt>
                <c:pt idx="14">
                  <c:v>32647</c:v>
                </c:pt>
                <c:pt idx="15">
                  <c:v>32648</c:v>
                </c:pt>
                <c:pt idx="16">
                  <c:v>32649</c:v>
                </c:pt>
                <c:pt idx="17">
                  <c:v>32650</c:v>
                </c:pt>
                <c:pt idx="18">
                  <c:v>32651</c:v>
                </c:pt>
                <c:pt idx="19">
                  <c:v>32652</c:v>
                </c:pt>
                <c:pt idx="20">
                  <c:v>32653</c:v>
                </c:pt>
                <c:pt idx="21">
                  <c:v>32654</c:v>
                </c:pt>
                <c:pt idx="22">
                  <c:v>32655</c:v>
                </c:pt>
                <c:pt idx="23">
                  <c:v>32656</c:v>
                </c:pt>
                <c:pt idx="24">
                  <c:v>32657</c:v>
                </c:pt>
                <c:pt idx="25">
                  <c:v>32658</c:v>
                </c:pt>
                <c:pt idx="26">
                  <c:v>32659</c:v>
                </c:pt>
                <c:pt idx="27">
                  <c:v>32660</c:v>
                </c:pt>
                <c:pt idx="28">
                  <c:v>32661</c:v>
                </c:pt>
                <c:pt idx="29">
                  <c:v>32662</c:v>
                </c:pt>
                <c:pt idx="30">
                  <c:v>32663</c:v>
                </c:pt>
                <c:pt idx="31">
                  <c:v>32664</c:v>
                </c:pt>
                <c:pt idx="32">
                  <c:v>32665</c:v>
                </c:pt>
                <c:pt idx="33">
                  <c:v>32666</c:v>
                </c:pt>
                <c:pt idx="34">
                  <c:v>32667</c:v>
                </c:pt>
                <c:pt idx="35">
                  <c:v>32668</c:v>
                </c:pt>
                <c:pt idx="36">
                  <c:v>32669</c:v>
                </c:pt>
                <c:pt idx="37">
                  <c:v>32670</c:v>
                </c:pt>
                <c:pt idx="38">
                  <c:v>32671</c:v>
                </c:pt>
                <c:pt idx="39">
                  <c:v>32672</c:v>
                </c:pt>
                <c:pt idx="40">
                  <c:v>32673</c:v>
                </c:pt>
                <c:pt idx="41">
                  <c:v>32674</c:v>
                </c:pt>
                <c:pt idx="42">
                  <c:v>32675</c:v>
                </c:pt>
                <c:pt idx="43">
                  <c:v>32676</c:v>
                </c:pt>
                <c:pt idx="44">
                  <c:v>32677</c:v>
                </c:pt>
                <c:pt idx="45">
                  <c:v>32678</c:v>
                </c:pt>
                <c:pt idx="46">
                  <c:v>32679</c:v>
                </c:pt>
                <c:pt idx="47">
                  <c:v>32680</c:v>
                </c:pt>
                <c:pt idx="48">
                  <c:v>32681</c:v>
                </c:pt>
                <c:pt idx="49">
                  <c:v>32682</c:v>
                </c:pt>
                <c:pt idx="50">
                  <c:v>32683</c:v>
                </c:pt>
                <c:pt idx="51">
                  <c:v>32684</c:v>
                </c:pt>
                <c:pt idx="52">
                  <c:v>32685</c:v>
                </c:pt>
                <c:pt idx="53">
                  <c:v>32686</c:v>
                </c:pt>
                <c:pt idx="54">
                  <c:v>32687</c:v>
                </c:pt>
                <c:pt idx="55">
                  <c:v>32688</c:v>
                </c:pt>
                <c:pt idx="56">
                  <c:v>32689</c:v>
                </c:pt>
                <c:pt idx="57">
                  <c:v>32690</c:v>
                </c:pt>
                <c:pt idx="58">
                  <c:v>32691</c:v>
                </c:pt>
                <c:pt idx="59">
                  <c:v>32692</c:v>
                </c:pt>
                <c:pt idx="60">
                  <c:v>32693</c:v>
                </c:pt>
                <c:pt idx="61">
                  <c:v>32694</c:v>
                </c:pt>
                <c:pt idx="62">
                  <c:v>32695</c:v>
                </c:pt>
                <c:pt idx="63">
                  <c:v>32696</c:v>
                </c:pt>
                <c:pt idx="64">
                  <c:v>32697</c:v>
                </c:pt>
                <c:pt idx="65">
                  <c:v>32698</c:v>
                </c:pt>
                <c:pt idx="66">
                  <c:v>32699</c:v>
                </c:pt>
                <c:pt idx="67">
                  <c:v>32700</c:v>
                </c:pt>
                <c:pt idx="68">
                  <c:v>32701</c:v>
                </c:pt>
                <c:pt idx="69">
                  <c:v>32702</c:v>
                </c:pt>
                <c:pt idx="70">
                  <c:v>32703</c:v>
                </c:pt>
                <c:pt idx="71">
                  <c:v>32704</c:v>
                </c:pt>
                <c:pt idx="72">
                  <c:v>32705</c:v>
                </c:pt>
                <c:pt idx="73">
                  <c:v>32706</c:v>
                </c:pt>
                <c:pt idx="74">
                  <c:v>32707</c:v>
                </c:pt>
                <c:pt idx="75">
                  <c:v>32708</c:v>
                </c:pt>
                <c:pt idx="76">
                  <c:v>32709</c:v>
                </c:pt>
                <c:pt idx="77">
                  <c:v>32710</c:v>
                </c:pt>
                <c:pt idx="78">
                  <c:v>32711</c:v>
                </c:pt>
                <c:pt idx="79">
                  <c:v>32712</c:v>
                </c:pt>
                <c:pt idx="80">
                  <c:v>32713</c:v>
                </c:pt>
                <c:pt idx="81">
                  <c:v>32714</c:v>
                </c:pt>
                <c:pt idx="82">
                  <c:v>32715</c:v>
                </c:pt>
                <c:pt idx="83">
                  <c:v>32716</c:v>
                </c:pt>
                <c:pt idx="84">
                  <c:v>32717</c:v>
                </c:pt>
                <c:pt idx="85">
                  <c:v>32718</c:v>
                </c:pt>
                <c:pt idx="86">
                  <c:v>32719</c:v>
                </c:pt>
                <c:pt idx="87">
                  <c:v>32720</c:v>
                </c:pt>
                <c:pt idx="88">
                  <c:v>32721</c:v>
                </c:pt>
                <c:pt idx="89">
                  <c:v>32722</c:v>
                </c:pt>
                <c:pt idx="90">
                  <c:v>32723</c:v>
                </c:pt>
                <c:pt idx="91">
                  <c:v>32724</c:v>
                </c:pt>
                <c:pt idx="92">
                  <c:v>32725</c:v>
                </c:pt>
                <c:pt idx="93">
                  <c:v>32726</c:v>
                </c:pt>
                <c:pt idx="94">
                  <c:v>32727</c:v>
                </c:pt>
                <c:pt idx="95">
                  <c:v>32728</c:v>
                </c:pt>
                <c:pt idx="96">
                  <c:v>32729</c:v>
                </c:pt>
                <c:pt idx="97">
                  <c:v>32730</c:v>
                </c:pt>
                <c:pt idx="98">
                  <c:v>32731</c:v>
                </c:pt>
                <c:pt idx="99">
                  <c:v>32732</c:v>
                </c:pt>
                <c:pt idx="100">
                  <c:v>32733</c:v>
                </c:pt>
                <c:pt idx="101">
                  <c:v>32734</c:v>
                </c:pt>
                <c:pt idx="102">
                  <c:v>32735</c:v>
                </c:pt>
                <c:pt idx="103">
                  <c:v>32736</c:v>
                </c:pt>
                <c:pt idx="104">
                  <c:v>32737</c:v>
                </c:pt>
                <c:pt idx="105">
                  <c:v>32738</c:v>
                </c:pt>
                <c:pt idx="106">
                  <c:v>32739</c:v>
                </c:pt>
                <c:pt idx="107">
                  <c:v>32740</c:v>
                </c:pt>
                <c:pt idx="108">
                  <c:v>32741</c:v>
                </c:pt>
                <c:pt idx="109">
                  <c:v>32742</c:v>
                </c:pt>
                <c:pt idx="110">
                  <c:v>32743</c:v>
                </c:pt>
                <c:pt idx="111">
                  <c:v>32744</c:v>
                </c:pt>
                <c:pt idx="112">
                  <c:v>32745</c:v>
                </c:pt>
                <c:pt idx="113">
                  <c:v>32746</c:v>
                </c:pt>
                <c:pt idx="114">
                  <c:v>32747</c:v>
                </c:pt>
                <c:pt idx="115">
                  <c:v>32748</c:v>
                </c:pt>
                <c:pt idx="116">
                  <c:v>32749</c:v>
                </c:pt>
                <c:pt idx="117">
                  <c:v>32750</c:v>
                </c:pt>
                <c:pt idx="118">
                  <c:v>32751</c:v>
                </c:pt>
                <c:pt idx="119">
                  <c:v>32752</c:v>
                </c:pt>
                <c:pt idx="120">
                  <c:v>32753</c:v>
                </c:pt>
                <c:pt idx="121">
                  <c:v>32754</c:v>
                </c:pt>
                <c:pt idx="122">
                  <c:v>32755</c:v>
                </c:pt>
                <c:pt idx="123">
                  <c:v>32756</c:v>
                </c:pt>
                <c:pt idx="124">
                  <c:v>32757</c:v>
                </c:pt>
                <c:pt idx="125">
                  <c:v>32758</c:v>
                </c:pt>
                <c:pt idx="126">
                  <c:v>32759</c:v>
                </c:pt>
                <c:pt idx="127">
                  <c:v>32760</c:v>
                </c:pt>
                <c:pt idx="128">
                  <c:v>32761</c:v>
                </c:pt>
                <c:pt idx="129">
                  <c:v>32762</c:v>
                </c:pt>
                <c:pt idx="130">
                  <c:v>32763</c:v>
                </c:pt>
                <c:pt idx="131">
                  <c:v>32764</c:v>
                </c:pt>
                <c:pt idx="132">
                  <c:v>32765</c:v>
                </c:pt>
                <c:pt idx="133">
                  <c:v>32766</c:v>
                </c:pt>
                <c:pt idx="134">
                  <c:v>32767</c:v>
                </c:pt>
                <c:pt idx="135">
                  <c:v>32768</c:v>
                </c:pt>
                <c:pt idx="136">
                  <c:v>32769</c:v>
                </c:pt>
                <c:pt idx="137">
                  <c:v>32770</c:v>
                </c:pt>
                <c:pt idx="138">
                  <c:v>32771</c:v>
                </c:pt>
                <c:pt idx="139">
                  <c:v>32772</c:v>
                </c:pt>
                <c:pt idx="140">
                  <c:v>32773</c:v>
                </c:pt>
                <c:pt idx="141">
                  <c:v>32774</c:v>
                </c:pt>
                <c:pt idx="142">
                  <c:v>32775</c:v>
                </c:pt>
                <c:pt idx="143">
                  <c:v>32776</c:v>
                </c:pt>
                <c:pt idx="144">
                  <c:v>32777</c:v>
                </c:pt>
                <c:pt idx="145">
                  <c:v>32778</c:v>
                </c:pt>
                <c:pt idx="146">
                  <c:v>32779</c:v>
                </c:pt>
                <c:pt idx="147">
                  <c:v>32780</c:v>
                </c:pt>
                <c:pt idx="148">
                  <c:v>32781</c:v>
                </c:pt>
                <c:pt idx="149">
                  <c:v>32782</c:v>
                </c:pt>
                <c:pt idx="150">
                  <c:v>32783</c:v>
                </c:pt>
                <c:pt idx="151">
                  <c:v>32784</c:v>
                </c:pt>
                <c:pt idx="152">
                  <c:v>32785</c:v>
                </c:pt>
                <c:pt idx="153">
                  <c:v>32786</c:v>
                </c:pt>
                <c:pt idx="154">
                  <c:v>32787</c:v>
                </c:pt>
                <c:pt idx="155">
                  <c:v>32788</c:v>
                </c:pt>
                <c:pt idx="156">
                  <c:v>32789</c:v>
                </c:pt>
                <c:pt idx="157">
                  <c:v>32790</c:v>
                </c:pt>
                <c:pt idx="158">
                  <c:v>32791</c:v>
                </c:pt>
                <c:pt idx="159">
                  <c:v>32792</c:v>
                </c:pt>
                <c:pt idx="160">
                  <c:v>32793</c:v>
                </c:pt>
                <c:pt idx="161">
                  <c:v>32794</c:v>
                </c:pt>
                <c:pt idx="162">
                  <c:v>32795</c:v>
                </c:pt>
                <c:pt idx="163">
                  <c:v>32796</c:v>
                </c:pt>
              </c:numCache>
            </c:numRef>
          </c:xVal>
          <c:yVal>
            <c:numRef>
              <c:f>Ayr!$J$4:$J$368</c:f>
              <c:numCache>
                <c:formatCode>General</c:formatCode>
                <c:ptCount val="365"/>
                <c:pt idx="0">
                  <c:v>11.096635913842078</c:v>
                </c:pt>
                <c:pt idx="1">
                  <c:v>11.263640691163536</c:v>
                </c:pt>
                <c:pt idx="2">
                  <c:v>12.043476295062353</c:v>
                </c:pt>
                <c:pt idx="3">
                  <c:v>12.849815947622991</c:v>
                </c:pt>
                <c:pt idx="4">
                  <c:v>11.730736659588695</c:v>
                </c:pt>
                <c:pt idx="5">
                  <c:v>11.856888349337364</c:v>
                </c:pt>
                <c:pt idx="6">
                  <c:v>11.087102251734722</c:v>
                </c:pt>
                <c:pt idx="7">
                  <c:v>11.105995139952519</c:v>
                </c:pt>
                <c:pt idx="8">
                  <c:v>11.387529109457297</c:v>
                </c:pt>
                <c:pt idx="9">
                  <c:v>11.666674295600281</c:v>
                </c:pt>
                <c:pt idx="10">
                  <c:v>11.967166004115866</c:v>
                </c:pt>
                <c:pt idx="11">
                  <c:v>10.405448095664029</c:v>
                </c:pt>
                <c:pt idx="12">
                  <c:v>9.7254066120544085</c:v>
                </c:pt>
                <c:pt idx="13">
                  <c:v>9.9150431943996864</c:v>
                </c:pt>
                <c:pt idx="14">
                  <c:v>10.219526678975065</c:v>
                </c:pt>
                <c:pt idx="15">
                  <c:v>10.706782081120977</c:v>
                </c:pt>
                <c:pt idx="16">
                  <c:v>10.683778880283542</c:v>
                </c:pt>
                <c:pt idx="17">
                  <c:v>10.523949236258453</c:v>
                </c:pt>
                <c:pt idx="18">
                  <c:v>10.891192336622122</c:v>
                </c:pt>
                <c:pt idx="19">
                  <c:v>10.050867514163725</c:v>
                </c:pt>
                <c:pt idx="20">
                  <c:v>10.622162039609792</c:v>
                </c:pt>
                <c:pt idx="21">
                  <c:v>9.5653472293154742</c:v>
                </c:pt>
                <c:pt idx="22">
                  <c:v>9.7309442715331365</c:v>
                </c:pt>
                <c:pt idx="23">
                  <c:v>9.1123962309589128</c:v>
                </c:pt>
                <c:pt idx="24">
                  <c:v>9.034506191829994</c:v>
                </c:pt>
                <c:pt idx="25">
                  <c:v>8.7801023351658731</c:v>
                </c:pt>
                <c:pt idx="26">
                  <c:v>8.9712605449997191</c:v>
                </c:pt>
                <c:pt idx="27">
                  <c:v>8.830778654282847</c:v>
                </c:pt>
                <c:pt idx="28">
                  <c:v>8.8020797117399336</c:v>
                </c:pt>
                <c:pt idx="29">
                  <c:v>8.5331295982174176</c:v>
                </c:pt>
                <c:pt idx="30">
                  <c:v>8.5947471186590256</c:v>
                </c:pt>
                <c:pt idx="31">
                  <c:v>9.2892727873488337</c:v>
                </c:pt>
                <c:pt idx="32">
                  <c:v>7.8281164965882946</c:v>
                </c:pt>
                <c:pt idx="33">
                  <c:v>7.1565501082442529</c:v>
                </c:pt>
                <c:pt idx="34">
                  <c:v>8.1981807902558472</c:v>
                </c:pt>
                <c:pt idx="35">
                  <c:v>8.2861457373752181</c:v>
                </c:pt>
                <c:pt idx="36">
                  <c:v>8.6761124564776875</c:v>
                </c:pt>
                <c:pt idx="37">
                  <c:v>6.3372020427296736</c:v>
                </c:pt>
                <c:pt idx="38">
                  <c:v>5.9383912598530673</c:v>
                </c:pt>
                <c:pt idx="39">
                  <c:v>6.0340690101336802</c:v>
                </c:pt>
                <c:pt idx="40">
                  <c:v>6.770990421409409</c:v>
                </c:pt>
                <c:pt idx="41">
                  <c:v>8.6365538146966152</c:v>
                </c:pt>
                <c:pt idx="42">
                  <c:v>8.197847584577941</c:v>
                </c:pt>
                <c:pt idx="43">
                  <c:v>8.7609708044987169</c:v>
                </c:pt>
                <c:pt idx="44">
                  <c:v>9.1539973639759218</c:v>
                </c:pt>
                <c:pt idx="45">
                  <c:v>9.1231323433638938</c:v>
                </c:pt>
                <c:pt idx="46">
                  <c:v>8.6909080702821129</c:v>
                </c:pt>
                <c:pt idx="47">
                  <c:v>6.7144518816384231</c:v>
                </c:pt>
                <c:pt idx="48">
                  <c:v>5.3555801443240094</c:v>
                </c:pt>
                <c:pt idx="49">
                  <c:v>5.6916483415424848</c:v>
                </c:pt>
                <c:pt idx="50">
                  <c:v>6.8955445250869065</c:v>
                </c:pt>
                <c:pt idx="51">
                  <c:v>6.1330892284902445</c:v>
                </c:pt>
                <c:pt idx="52">
                  <c:v>6.1330314655260167</c:v>
                </c:pt>
                <c:pt idx="53">
                  <c:v>6.7472890096017526</c:v>
                </c:pt>
                <c:pt idx="54">
                  <c:v>7.976397551588585</c:v>
                </c:pt>
                <c:pt idx="55">
                  <c:v>7.4930866137572343</c:v>
                </c:pt>
                <c:pt idx="56">
                  <c:v>8.4929585898749398</c:v>
                </c:pt>
                <c:pt idx="57">
                  <c:v>8.414471743936355</c:v>
                </c:pt>
                <c:pt idx="58">
                  <c:v>9.0371665248359818</c:v>
                </c:pt>
                <c:pt idx="59">
                  <c:v>8.8129409948347117</c:v>
                </c:pt>
                <c:pt idx="60">
                  <c:v>9.2060690347137619</c:v>
                </c:pt>
                <c:pt idx="61">
                  <c:v>8.8350885149538634</c:v>
                </c:pt>
                <c:pt idx="62">
                  <c:v>8.7628032302019143</c:v>
                </c:pt>
                <c:pt idx="63">
                  <c:v>8.969134134165019</c:v>
                </c:pt>
                <c:pt idx="64">
                  <c:v>8.7067525933161516</c:v>
                </c:pt>
                <c:pt idx="65">
                  <c:v>8.0373621361832086</c:v>
                </c:pt>
                <c:pt idx="66">
                  <c:v>9.2348551076038135</c:v>
                </c:pt>
                <c:pt idx="67">
                  <c:v>9.706785070484651</c:v>
                </c:pt>
                <c:pt idx="68">
                  <c:v>8.9955791383778312</c:v>
                </c:pt>
                <c:pt idx="69">
                  <c:v>7.6766453232382634</c:v>
                </c:pt>
                <c:pt idx="70">
                  <c:v>8.5633760438450928</c:v>
                </c:pt>
                <c:pt idx="71">
                  <c:v>7.5645940618170595</c:v>
                </c:pt>
                <c:pt idx="72">
                  <c:v>8.2178587362155415</c:v>
                </c:pt>
                <c:pt idx="73">
                  <c:v>7.6515130544357088</c:v>
                </c:pt>
                <c:pt idx="74">
                  <c:v>7.0826173106393133</c:v>
                </c:pt>
                <c:pt idx="75">
                  <c:v>6.0490122895963676</c:v>
                </c:pt>
                <c:pt idx="76">
                  <c:v>5.4728229347557251</c:v>
                </c:pt>
                <c:pt idx="77">
                  <c:v>5.5575996090945701</c:v>
                </c:pt>
                <c:pt idx="78">
                  <c:v>6.243359891388482</c:v>
                </c:pt>
                <c:pt idx="79">
                  <c:v>7.4696222291656236</c:v>
                </c:pt>
                <c:pt idx="80">
                  <c:v>8.0787584633929228</c:v>
                </c:pt>
                <c:pt idx="81">
                  <c:v>6.8960382299891947</c:v>
                </c:pt>
                <c:pt idx="82">
                  <c:v>6.0430907923085675</c:v>
                </c:pt>
                <c:pt idx="83">
                  <c:v>6.5648227668089998</c:v>
                </c:pt>
                <c:pt idx="84">
                  <c:v>8.7048354761000475</c:v>
                </c:pt>
                <c:pt idx="85">
                  <c:v>8.3296383138470347</c:v>
                </c:pt>
                <c:pt idx="86">
                  <c:v>8.6622365399400003</c:v>
                </c:pt>
                <c:pt idx="87">
                  <c:v>8.4688212159990428</c:v>
                </c:pt>
                <c:pt idx="88">
                  <c:v>8.8288850436358519</c:v>
                </c:pt>
                <c:pt idx="89">
                  <c:v>8.9371646080288869</c:v>
                </c:pt>
                <c:pt idx="90">
                  <c:v>7.8809779563975351</c:v>
                </c:pt>
                <c:pt idx="91">
                  <c:v>7.8461914879721188</c:v>
                </c:pt>
                <c:pt idx="92">
                  <c:v>8.7289855290919736</c:v>
                </c:pt>
                <c:pt idx="93">
                  <c:v>8.7219937968714181</c:v>
                </c:pt>
                <c:pt idx="94">
                  <c:v>8.1215214328945411</c:v>
                </c:pt>
                <c:pt idx="95">
                  <c:v>7.658776887019302</c:v>
                </c:pt>
                <c:pt idx="96">
                  <c:v>6.8322243105423022</c:v>
                </c:pt>
                <c:pt idx="97">
                  <c:v>6.6241704664165413</c:v>
                </c:pt>
                <c:pt idx="98">
                  <c:v>7.7212637063561429</c:v>
                </c:pt>
                <c:pt idx="99">
                  <c:v>7.9048968370163131</c:v>
                </c:pt>
                <c:pt idx="100">
                  <c:v>7.8459929168598954</c:v>
                </c:pt>
                <c:pt idx="101">
                  <c:v>7.4181184797185269</c:v>
                </c:pt>
                <c:pt idx="102">
                  <c:v>9.1336682454272591</c:v>
                </c:pt>
                <c:pt idx="103">
                  <c:v>8.9312937883013976</c:v>
                </c:pt>
                <c:pt idx="104">
                  <c:v>8.926351920452321</c:v>
                </c:pt>
                <c:pt idx="105">
                  <c:v>10.47504369012435</c:v>
                </c:pt>
                <c:pt idx="106">
                  <c:v>7.5057274711601778</c:v>
                </c:pt>
                <c:pt idx="107">
                  <c:v>9.2147289334574314</c:v>
                </c:pt>
                <c:pt idx="108">
                  <c:v>8.9818780567420919</c:v>
                </c:pt>
                <c:pt idx="109">
                  <c:v>9.0278452612792002</c:v>
                </c:pt>
                <c:pt idx="110">
                  <c:v>9.7424989474650481</c:v>
                </c:pt>
                <c:pt idx="111">
                  <c:v>9.9475843386104756</c:v>
                </c:pt>
                <c:pt idx="112">
                  <c:v>10.050705810343493</c:v>
                </c:pt>
                <c:pt idx="113">
                  <c:v>10.102472857745662</c:v>
                </c:pt>
                <c:pt idx="114">
                  <c:v>10.626844811548226</c:v>
                </c:pt>
                <c:pt idx="115">
                  <c:v>12.237718810655442</c:v>
                </c:pt>
                <c:pt idx="116">
                  <c:v>12.963570079868234</c:v>
                </c:pt>
                <c:pt idx="117">
                  <c:v>11.937854573094191</c:v>
                </c:pt>
                <c:pt idx="118">
                  <c:v>12.427887933590469</c:v>
                </c:pt>
                <c:pt idx="119">
                  <c:v>13.164891497003126</c:v>
                </c:pt>
                <c:pt idx="120">
                  <c:v>12.041892683537906</c:v>
                </c:pt>
                <c:pt idx="121">
                  <c:v>12.266883801135913</c:v>
                </c:pt>
                <c:pt idx="122">
                  <c:v>13.395930137787943</c:v>
                </c:pt>
                <c:pt idx="123">
                  <c:v>10.194485816694671</c:v>
                </c:pt>
                <c:pt idx="124">
                  <c:v>10.053153925639236</c:v>
                </c:pt>
                <c:pt idx="125">
                  <c:v>10.104301248947303</c:v>
                </c:pt>
                <c:pt idx="126">
                  <c:v>10.992563935481835</c:v>
                </c:pt>
                <c:pt idx="127">
                  <c:v>10.823841187692373</c:v>
                </c:pt>
                <c:pt idx="128">
                  <c:v>10.962964487667781</c:v>
                </c:pt>
                <c:pt idx="129">
                  <c:v>11.38626220283404</c:v>
                </c:pt>
                <c:pt idx="130">
                  <c:v>12.354168987650917</c:v>
                </c:pt>
                <c:pt idx="131">
                  <c:v>11.15703545739122</c:v>
                </c:pt>
                <c:pt idx="132">
                  <c:v>11.269947502803907</c:v>
                </c:pt>
                <c:pt idx="133">
                  <c:v>11.267897771888627</c:v>
                </c:pt>
                <c:pt idx="134">
                  <c:v>11.555645969050941</c:v>
                </c:pt>
                <c:pt idx="135">
                  <c:v>11.845683504311445</c:v>
                </c:pt>
                <c:pt idx="136">
                  <c:v>12.167316199904379</c:v>
                </c:pt>
                <c:pt idx="137">
                  <c:v>14.170289482957996</c:v>
                </c:pt>
                <c:pt idx="138">
                  <c:v>14.087538233063558</c:v>
                </c:pt>
                <c:pt idx="139">
                  <c:v>13.345823661213048</c:v>
                </c:pt>
                <c:pt idx="140">
                  <c:v>12.869317370557921</c:v>
                </c:pt>
                <c:pt idx="141">
                  <c:v>13.99945291767996</c:v>
                </c:pt>
                <c:pt idx="142">
                  <c:v>13.878608283821347</c:v>
                </c:pt>
                <c:pt idx="143">
                  <c:v>14.155871594916084</c:v>
                </c:pt>
                <c:pt idx="144">
                  <c:v>14.130470791826475</c:v>
                </c:pt>
                <c:pt idx="145">
                  <c:v>14.501828678530485</c:v>
                </c:pt>
                <c:pt idx="146">
                  <c:v>12.755138165432843</c:v>
                </c:pt>
                <c:pt idx="147">
                  <c:v>12.689891105518727</c:v>
                </c:pt>
                <c:pt idx="148">
                  <c:v>12.902524147212079</c:v>
                </c:pt>
                <c:pt idx="149">
                  <c:v>13.178714129200969</c:v>
                </c:pt>
                <c:pt idx="150">
                  <c:v>12.830790433798809</c:v>
                </c:pt>
                <c:pt idx="151">
                  <c:v>13.139182146105718</c:v>
                </c:pt>
                <c:pt idx="152">
                  <c:v>14.238897523832161</c:v>
                </c:pt>
                <c:pt idx="153">
                  <c:v>13.63518367600809</c:v>
                </c:pt>
                <c:pt idx="154">
                  <c:v>14.42674484906985</c:v>
                </c:pt>
                <c:pt idx="155">
                  <c:v>15.10783294199525</c:v>
                </c:pt>
                <c:pt idx="156">
                  <c:v>15.596333476212161</c:v>
                </c:pt>
                <c:pt idx="157">
                  <c:v>16.289241822379243</c:v>
                </c:pt>
                <c:pt idx="158">
                  <c:v>16.454458073486133</c:v>
                </c:pt>
                <c:pt idx="159">
                  <c:v>13.903341178032811</c:v>
                </c:pt>
                <c:pt idx="160">
                  <c:v>14.370009867472696</c:v>
                </c:pt>
                <c:pt idx="161">
                  <c:v>16.396059706758386</c:v>
                </c:pt>
                <c:pt idx="162">
                  <c:v>17.120685965428262</c:v>
                </c:pt>
                <c:pt idx="163">
                  <c:v>16.215045204728902</c:v>
                </c:pt>
              </c:numCache>
            </c:numRef>
          </c:yVal>
        </c:ser>
        <c:axId val="137985024"/>
        <c:axId val="137983488"/>
      </c:scatterChart>
      <c:valAx>
        <c:axId val="137976064"/>
        <c:scaling>
          <c:orientation val="minMax"/>
        </c:scaling>
        <c:axPos val="b"/>
        <c:numFmt formatCode="d\-mmm\-yy" sourceLinked="1"/>
        <c:tickLblPos val="nextTo"/>
        <c:crossAx val="137981952"/>
        <c:crosses val="autoZero"/>
        <c:crossBetween val="midCat"/>
      </c:valAx>
      <c:valAx>
        <c:axId val="137981952"/>
        <c:scaling>
          <c:orientation val="minMax"/>
        </c:scaling>
        <c:axPos val="l"/>
        <c:majorGridlines/>
        <c:numFmt formatCode="General" sourceLinked="1"/>
        <c:tickLblPos val="nextTo"/>
        <c:crossAx val="137976064"/>
        <c:crosses val="autoZero"/>
        <c:crossBetween val="midCat"/>
      </c:valAx>
      <c:valAx>
        <c:axId val="137983488"/>
        <c:scaling>
          <c:orientation val="minMax"/>
        </c:scaling>
        <c:axPos val="r"/>
        <c:numFmt formatCode="General" sourceLinked="1"/>
        <c:tickLblPos val="nextTo"/>
        <c:crossAx val="137985024"/>
        <c:crosses val="max"/>
        <c:crossBetween val="midCat"/>
      </c:valAx>
      <c:valAx>
        <c:axId val="137985024"/>
        <c:scaling>
          <c:orientation val="minMax"/>
        </c:scaling>
        <c:delete val="1"/>
        <c:axPos val="b"/>
        <c:numFmt formatCode="d\-mmm\-yy" sourceLinked="1"/>
        <c:tickLblPos val="none"/>
        <c:crossAx val="137983488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AU"/>
  <c:chart>
    <c:plotArea>
      <c:layout/>
      <c:scatterChart>
        <c:scatterStyle val="lineMarker"/>
        <c:ser>
          <c:idx val="0"/>
          <c:order val="0"/>
          <c:spPr>
            <a:ln w="28575">
              <a:noFill/>
            </a:ln>
          </c:spPr>
          <c:xVal>
            <c:numRef>
              <c:f>Ayr!$AO$4:$AO$6</c:f>
              <c:numCache>
                <c:formatCode>General</c:formatCode>
                <c:ptCount val="3"/>
              </c:numCache>
            </c:numRef>
          </c:xVal>
          <c:yVal>
            <c:numRef>
              <c:f>Ayr!$W$4:$W$6</c:f>
              <c:numCache>
                <c:formatCode>General</c:formatCode>
                <c:ptCount val="3"/>
              </c:numCache>
            </c:numRef>
          </c:yVal>
        </c:ser>
        <c:ser>
          <c:idx val="1"/>
          <c:order val="1"/>
          <c:spPr>
            <a:ln w="28575">
              <a:noFill/>
            </a:ln>
          </c:spPr>
          <c:xVal>
            <c:numRef>
              <c:f>Ayr!$AO$7:$AO$9</c:f>
              <c:numCache>
                <c:formatCode>General</c:formatCode>
                <c:ptCount val="3"/>
              </c:numCache>
            </c:numRef>
          </c:xVal>
          <c:yVal>
            <c:numRef>
              <c:f>Ayr!$W$7:$W$9</c:f>
              <c:numCache>
                <c:formatCode>General</c:formatCode>
                <c:ptCount val="3"/>
              </c:numCache>
            </c:numRef>
          </c:yVal>
        </c:ser>
        <c:ser>
          <c:idx val="2"/>
          <c:order val="2"/>
          <c:spPr>
            <a:ln w="28575">
              <a:noFill/>
            </a:ln>
          </c:spPr>
          <c:xVal>
            <c:numRef>
              <c:f>Ayr!$AO$10:$AO$12</c:f>
              <c:numCache>
                <c:formatCode>General</c:formatCode>
                <c:ptCount val="3"/>
              </c:numCache>
            </c:numRef>
          </c:xVal>
          <c:yVal>
            <c:numRef>
              <c:f>Ayr!$W$10:$W$12</c:f>
              <c:numCache>
                <c:formatCode>General</c:formatCode>
                <c:ptCount val="3"/>
              </c:numCache>
            </c:numRef>
          </c:yVal>
        </c:ser>
        <c:ser>
          <c:idx val="3"/>
          <c:order val="3"/>
          <c:spPr>
            <a:ln w="28575">
              <a:noFill/>
            </a:ln>
          </c:spPr>
          <c:xVal>
            <c:numRef>
              <c:f>Ayr!$AO$13:$AO$15</c:f>
              <c:numCache>
                <c:formatCode>General</c:formatCode>
                <c:ptCount val="3"/>
              </c:numCache>
            </c:numRef>
          </c:xVal>
          <c:yVal>
            <c:numRef>
              <c:f>Ayr!$W$13:$W$15</c:f>
              <c:numCache>
                <c:formatCode>General</c:formatCode>
                <c:ptCount val="3"/>
              </c:numCache>
            </c:numRef>
          </c:yVal>
        </c:ser>
        <c:axId val="138097408"/>
        <c:axId val="138098944"/>
      </c:scatterChart>
      <c:valAx>
        <c:axId val="138097408"/>
        <c:scaling>
          <c:orientation val="minMax"/>
        </c:scaling>
        <c:axPos val="b"/>
        <c:numFmt formatCode="General" sourceLinked="1"/>
        <c:tickLblPos val="nextTo"/>
        <c:crossAx val="138098944"/>
        <c:crosses val="autoZero"/>
        <c:crossBetween val="midCat"/>
      </c:valAx>
      <c:valAx>
        <c:axId val="138098944"/>
        <c:scaling>
          <c:orientation val="minMax"/>
        </c:scaling>
        <c:axPos val="l"/>
        <c:majorGridlines/>
        <c:numFmt formatCode="General" sourceLinked="1"/>
        <c:tickLblPos val="nextTo"/>
        <c:crossAx val="138097408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AU"/>
  <c:chart>
    <c:plotArea>
      <c:layout/>
      <c:scatterChart>
        <c:scatterStyle val="lineMarker"/>
        <c:ser>
          <c:idx val="0"/>
          <c:order val="0"/>
          <c:spPr>
            <a:ln w="28575">
              <a:noFill/>
            </a:ln>
          </c:spPr>
          <c:xVal>
            <c:numRef>
              <c:f>Ayr!$AO$4:$AO$6</c:f>
              <c:numCache>
                <c:formatCode>General</c:formatCode>
                <c:ptCount val="3"/>
              </c:numCache>
            </c:numRef>
          </c:xVal>
          <c:yVal>
            <c:numRef>
              <c:f>Ayr!$AF$4:$AF$6</c:f>
              <c:numCache>
                <c:formatCode>General</c:formatCode>
                <c:ptCount val="3"/>
              </c:numCache>
            </c:numRef>
          </c:yVal>
        </c:ser>
        <c:ser>
          <c:idx val="1"/>
          <c:order val="1"/>
          <c:spPr>
            <a:ln w="28575">
              <a:noFill/>
            </a:ln>
          </c:spPr>
          <c:xVal>
            <c:numRef>
              <c:f>Ayr!$AO$7:$AO$9</c:f>
              <c:numCache>
                <c:formatCode>General</c:formatCode>
                <c:ptCount val="3"/>
              </c:numCache>
            </c:numRef>
          </c:xVal>
          <c:yVal>
            <c:numRef>
              <c:f>Ayr!$AF$7:$AF$9</c:f>
              <c:numCache>
                <c:formatCode>General</c:formatCode>
                <c:ptCount val="3"/>
              </c:numCache>
            </c:numRef>
          </c:yVal>
        </c:ser>
        <c:ser>
          <c:idx val="2"/>
          <c:order val="2"/>
          <c:spPr>
            <a:ln w="28575">
              <a:noFill/>
            </a:ln>
          </c:spPr>
          <c:xVal>
            <c:numRef>
              <c:f>Ayr!$AO$10:$AO$12</c:f>
              <c:numCache>
                <c:formatCode>General</c:formatCode>
                <c:ptCount val="3"/>
              </c:numCache>
            </c:numRef>
          </c:xVal>
          <c:yVal>
            <c:numRef>
              <c:f>Ayr!$AF$10:$AF$12</c:f>
              <c:numCache>
                <c:formatCode>General</c:formatCode>
                <c:ptCount val="3"/>
              </c:numCache>
            </c:numRef>
          </c:yVal>
        </c:ser>
        <c:ser>
          <c:idx val="3"/>
          <c:order val="3"/>
          <c:spPr>
            <a:ln w="28575">
              <a:noFill/>
            </a:ln>
          </c:spPr>
          <c:xVal>
            <c:numRef>
              <c:f>Ayr!$AO$13:$AO$15</c:f>
              <c:numCache>
                <c:formatCode>General</c:formatCode>
                <c:ptCount val="3"/>
              </c:numCache>
            </c:numRef>
          </c:xVal>
          <c:yVal>
            <c:numRef>
              <c:f>Ayr!$AF$13:$AF$15</c:f>
              <c:numCache>
                <c:formatCode>General</c:formatCode>
                <c:ptCount val="3"/>
              </c:numCache>
            </c:numRef>
          </c:yVal>
        </c:ser>
        <c:axId val="138133504"/>
        <c:axId val="138135040"/>
      </c:scatterChart>
      <c:valAx>
        <c:axId val="138133504"/>
        <c:scaling>
          <c:orientation val="minMax"/>
        </c:scaling>
        <c:axPos val="b"/>
        <c:numFmt formatCode="General" sourceLinked="1"/>
        <c:tickLblPos val="nextTo"/>
        <c:crossAx val="138135040"/>
        <c:crosses val="autoZero"/>
        <c:crossBetween val="midCat"/>
      </c:valAx>
      <c:valAx>
        <c:axId val="138135040"/>
        <c:scaling>
          <c:orientation val="minMax"/>
        </c:scaling>
        <c:axPos val="l"/>
        <c:majorGridlines/>
        <c:numFmt formatCode="General" sourceLinked="1"/>
        <c:tickLblPos val="nextTo"/>
        <c:crossAx val="138133504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155" l="0.70000000000000062" r="0.70000000000000062" t="0.75000000000000155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AU"/>
  <c:chart>
    <c:autoTitleDeleted val="1"/>
    <c:plotArea>
      <c:layout/>
      <c:scatterChart>
        <c:scatterStyle val="lineMarker"/>
        <c:ser>
          <c:idx val="0"/>
          <c:order val="0"/>
          <c:tx>
            <c:strRef>
              <c:f>Kununurra!$P$4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circle"/>
            <c:size val="7"/>
          </c:marker>
          <c:xVal>
            <c:numRef>
              <c:f>Kununurra!$AO$4:$AO$6</c:f>
              <c:numCache>
                <c:formatCode>General</c:formatCode>
                <c:ptCount val="3"/>
              </c:numCache>
            </c:numRef>
          </c:xVal>
          <c:yVal>
            <c:numRef>
              <c:f>Kununurra!$AP$4:$AP$6</c:f>
              <c:numCache>
                <c:formatCode>General</c:formatCode>
                <c:ptCount val="3"/>
              </c:numCache>
            </c:numRef>
          </c:yVal>
        </c:ser>
        <c:ser>
          <c:idx val="1"/>
          <c:order val="1"/>
          <c:tx>
            <c:strRef>
              <c:f>Kununurra!$P$7</c:f>
              <c:strCache>
                <c:ptCount val="1"/>
              </c:strCache>
            </c:strRef>
          </c:tx>
          <c:spPr>
            <a:ln w="28575">
              <a:noFill/>
            </a:ln>
          </c:spPr>
          <c:xVal>
            <c:numRef>
              <c:f>Kununurra!$AO$7:$AO$9</c:f>
              <c:numCache>
                <c:formatCode>General</c:formatCode>
                <c:ptCount val="3"/>
              </c:numCache>
            </c:numRef>
          </c:xVal>
          <c:yVal>
            <c:numRef>
              <c:f>Kununurra!$AP$7:$AP$9</c:f>
              <c:numCache>
                <c:formatCode>General</c:formatCode>
                <c:ptCount val="3"/>
              </c:numCache>
            </c:numRef>
          </c:yVal>
        </c:ser>
        <c:ser>
          <c:idx val="2"/>
          <c:order val="2"/>
          <c:tx>
            <c:strRef>
              <c:f>Kununurra!$P$10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circle"/>
            <c:size val="7"/>
          </c:marker>
          <c:xVal>
            <c:numRef>
              <c:f>Kununurra!$AO$10:$AO$12</c:f>
              <c:numCache>
                <c:formatCode>General</c:formatCode>
                <c:ptCount val="3"/>
              </c:numCache>
            </c:numRef>
          </c:xVal>
          <c:yVal>
            <c:numRef>
              <c:f>Kununurra!$AP$10:$AP$12</c:f>
              <c:numCache>
                <c:formatCode>General</c:formatCode>
                <c:ptCount val="3"/>
              </c:numCache>
            </c:numRef>
          </c:yVal>
        </c:ser>
        <c:ser>
          <c:idx val="3"/>
          <c:order val="3"/>
          <c:tx>
            <c:strRef>
              <c:f>Kununurra!$P$13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circle"/>
            <c:size val="7"/>
          </c:marker>
          <c:xVal>
            <c:numRef>
              <c:f>Kununurra!$AO$13:$AO$15</c:f>
              <c:numCache>
                <c:formatCode>General</c:formatCode>
                <c:ptCount val="3"/>
              </c:numCache>
            </c:numRef>
          </c:xVal>
          <c:yVal>
            <c:numRef>
              <c:f>Kununurra!$AP$13:$AP$15</c:f>
              <c:numCache>
                <c:formatCode>General</c:formatCode>
                <c:ptCount val="3"/>
              </c:numCache>
            </c:numRef>
          </c:yVal>
        </c:ser>
        <c:ser>
          <c:idx val="4"/>
          <c:order val="4"/>
          <c:spPr>
            <a:ln w="285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Herm8889!#REF!</c:f>
            </c:numRef>
          </c:xVal>
          <c:yVal>
            <c:numRef>
              <c:f>Herm8889!#REF!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</c:ser>
        <c:ser>
          <c:idx val="5"/>
          <c:order val="5"/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Herm8889!#REF!</c:f>
            </c:numRef>
          </c:xVal>
          <c:yVal>
            <c:numRef>
              <c:f>Herm8889!#REF!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</c:ser>
        <c:ser>
          <c:idx val="6"/>
          <c:order val="6"/>
          <c:spPr>
            <a:ln w="28575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Herm8889!#REF!</c:f>
            </c:numRef>
          </c:xVal>
          <c:yVal>
            <c:numRef>
              <c:f>Herm8889!#REF!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</c:ser>
        <c:ser>
          <c:idx val="7"/>
          <c:order val="7"/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Herm8889!#REF!</c:f>
            </c:numRef>
          </c:xVal>
          <c:yVal>
            <c:numRef>
              <c:f>Herm8889!#REF!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</c:ser>
        <c:axId val="138193536"/>
        <c:axId val="138207616"/>
      </c:scatterChart>
      <c:valAx>
        <c:axId val="138193536"/>
        <c:scaling>
          <c:orientation val="minMax"/>
          <c:max val="14"/>
          <c:min val="11"/>
        </c:scaling>
        <c:axPos val="b"/>
        <c:numFmt formatCode="General" sourceLinked="1"/>
        <c:tickLblPos val="nextTo"/>
        <c:crossAx val="138207616"/>
        <c:crosses val="autoZero"/>
        <c:crossBetween val="midCat"/>
      </c:valAx>
      <c:valAx>
        <c:axId val="138207616"/>
        <c:scaling>
          <c:orientation val="minMax"/>
          <c:max val="600"/>
        </c:scaling>
        <c:axPos val="l"/>
        <c:majorGridlines/>
        <c:numFmt formatCode="General" sourceLinked="1"/>
        <c:tickLblPos val="nextTo"/>
        <c:crossAx val="138193536"/>
        <c:crosses val="autoZero"/>
        <c:crossBetween val="midCat"/>
      </c:valAx>
    </c:plotArea>
    <c:legend>
      <c:legendPos val="r"/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7"/>
        <c:delete val="1"/>
      </c:legendEntry>
    </c:legend>
    <c:plotVisOnly val="1"/>
  </c:chart>
  <c:printSettings>
    <c:headerFooter/>
    <c:pageMargins b="0.75000000000000244" l="0.70000000000000062" r="0.70000000000000062" t="0.75000000000000244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AU"/>
  <c:chart>
    <c:title>
      <c:tx>
        <c:rich>
          <a:bodyPr/>
          <a:lstStyle/>
          <a:p>
            <a:pPr>
              <a:defRPr/>
            </a:pPr>
            <a:r>
              <a:rPr lang="en-AU"/>
              <a:t>Final</a:t>
            </a:r>
            <a:r>
              <a:rPr lang="en-AU" baseline="0"/>
              <a:t> Leaf Number</a:t>
            </a:r>
            <a:endParaRPr lang="en-AU"/>
          </a:p>
        </c:rich>
      </c:tx>
    </c:title>
    <c:plotArea>
      <c:layout>
        <c:manualLayout>
          <c:layoutTarget val="inner"/>
          <c:xMode val="edge"/>
          <c:yMode val="edge"/>
          <c:x val="0.11705432146185009"/>
          <c:y val="0.21072332174694391"/>
          <c:w val="0.78177133346136662"/>
          <c:h val="0.66389302688515484"/>
        </c:manualLayout>
      </c:layout>
      <c:scatterChart>
        <c:scatterStyle val="lineMarker"/>
        <c:ser>
          <c:idx val="0"/>
          <c:order val="0"/>
          <c:tx>
            <c:strRef>
              <c:f>Kununurra!$AK$3</c:f>
              <c:strCache>
                <c:ptCount val="1"/>
              </c:strCache>
            </c:strRef>
          </c:tx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layout>
                <c:manualLayout>
                  <c:x val="0.3578822178477713"/>
                  <c:y val="0.39646557338227761"/>
                </c:manualLayout>
              </c:layout>
              <c:numFmt formatCode="General" sourceLinked="0"/>
            </c:trendlineLbl>
          </c:trendline>
          <c:xVal>
            <c:numRef>
              <c:f>Kununurra!$W$4:$W$15</c:f>
              <c:numCache>
                <c:formatCode>General</c:formatCode>
                <c:ptCount val="12"/>
              </c:numCache>
            </c:numRef>
          </c:xVal>
          <c:yVal>
            <c:numRef>
              <c:f>Kununurra!$AK$4:$AK$15</c:f>
              <c:numCache>
                <c:formatCode>General</c:formatCode>
                <c:ptCount val="12"/>
              </c:numCache>
            </c:numRef>
          </c:yVal>
        </c:ser>
        <c:ser>
          <c:idx val="1"/>
          <c:order val="1"/>
          <c:spPr>
            <a:ln w="285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Kununurra!$O$1</c:f>
              <c:numCache>
                <c:formatCode>General</c:formatCode>
                <c:ptCount val="1"/>
              </c:numCache>
            </c:numRef>
          </c:xVal>
          <c:yVal>
            <c:numRef>
              <c:f>Kununurra!$P$1</c:f>
              <c:numCache>
                <c:formatCode>General</c:formatCode>
                <c:ptCount val="1"/>
              </c:numCache>
            </c:numRef>
          </c:yVal>
        </c:ser>
        <c:axId val="138443776"/>
        <c:axId val="138449664"/>
      </c:scatterChart>
      <c:valAx>
        <c:axId val="138443776"/>
        <c:scaling>
          <c:orientation val="minMax"/>
        </c:scaling>
        <c:axPos val="b"/>
        <c:numFmt formatCode="General" sourceLinked="1"/>
        <c:tickLblPos val="nextTo"/>
        <c:crossAx val="138449664"/>
        <c:crosses val="autoZero"/>
        <c:crossBetween val="midCat"/>
      </c:valAx>
      <c:valAx>
        <c:axId val="138449664"/>
        <c:scaling>
          <c:orientation val="minMax"/>
        </c:scaling>
        <c:axPos val="l"/>
        <c:majorGridlines/>
        <c:numFmt formatCode="General" sourceLinked="1"/>
        <c:tickLblPos val="nextTo"/>
        <c:crossAx val="138443776"/>
        <c:crosses val="autoZero"/>
        <c:crossBetween val="midCat"/>
      </c:valAx>
    </c:plotArea>
    <c:plotVisOnly val="1"/>
  </c:chart>
  <c:printSettings>
    <c:headerFooter/>
    <c:pageMargins b="0.75000000000000222" l="0.70000000000000062" r="0.70000000000000062" t="0.75000000000000222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AU"/>
  <c:chart>
    <c:title/>
    <c:plotArea>
      <c:layout/>
      <c:scatterChart>
        <c:scatterStyle val="lineMarker"/>
        <c:ser>
          <c:idx val="0"/>
          <c:order val="0"/>
          <c:tx>
            <c:strRef>
              <c:f>Herm8889!#REF!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xVal>
            <c:numRef>
              <c:f>Kununurra!$BA$2:$BA$18</c:f>
              <c:numCache>
                <c:formatCode>General</c:formatCode>
                <c:ptCount val="17"/>
              </c:numCache>
            </c:numRef>
          </c:xVal>
          <c:yVal>
            <c:numRef>
              <c:f>Herm8889!#REF!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</c:ser>
        <c:axId val="138543104"/>
        <c:axId val="138544640"/>
      </c:scatterChart>
      <c:valAx>
        <c:axId val="138543104"/>
        <c:scaling>
          <c:orientation val="minMax"/>
        </c:scaling>
        <c:axPos val="b"/>
        <c:numFmt formatCode="General" sourceLinked="1"/>
        <c:tickLblPos val="nextTo"/>
        <c:crossAx val="138544640"/>
        <c:crosses val="autoZero"/>
        <c:crossBetween val="midCat"/>
      </c:valAx>
      <c:valAx>
        <c:axId val="138544640"/>
        <c:scaling>
          <c:orientation val="minMax"/>
        </c:scaling>
        <c:axPos val="l"/>
        <c:majorGridlines/>
        <c:numFmt formatCode="General" sourceLinked="1"/>
        <c:tickLblPos val="nextTo"/>
        <c:crossAx val="138543104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211" l="0.70000000000000062" r="0.70000000000000062" t="0.75000000000000211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AU"/>
  <c:chart>
    <c:plotArea>
      <c:layout/>
      <c:scatterChart>
        <c:scatterStyle val="lineMarker"/>
        <c:ser>
          <c:idx val="0"/>
          <c:order val="0"/>
          <c:tx>
            <c:strRef>
              <c:f>Kununurra!$C$3</c:f>
              <c:strCache>
                <c:ptCount val="1"/>
                <c:pt idx="0">
                  <c:v>PP</c:v>
                </c:pt>
              </c:strCache>
            </c:strRef>
          </c:tx>
          <c:marker>
            <c:symbol val="none"/>
          </c:marker>
          <c:xVal>
            <c:numRef>
              <c:f>Kununurra!$A$4:$A$368</c:f>
              <c:numCache>
                <c:formatCode>d\-mmm\-yy</c:formatCode>
                <c:ptCount val="365"/>
                <c:pt idx="0">
                  <c:v>32629</c:v>
                </c:pt>
                <c:pt idx="1">
                  <c:v>32630</c:v>
                </c:pt>
                <c:pt idx="2">
                  <c:v>32631</c:v>
                </c:pt>
                <c:pt idx="3">
                  <c:v>32632</c:v>
                </c:pt>
                <c:pt idx="4">
                  <c:v>32633</c:v>
                </c:pt>
                <c:pt idx="5">
                  <c:v>32634</c:v>
                </c:pt>
                <c:pt idx="6">
                  <c:v>32635</c:v>
                </c:pt>
                <c:pt idx="7">
                  <c:v>32636</c:v>
                </c:pt>
                <c:pt idx="8">
                  <c:v>32637</c:v>
                </c:pt>
                <c:pt idx="9">
                  <c:v>32638</c:v>
                </c:pt>
                <c:pt idx="10">
                  <c:v>32639</c:v>
                </c:pt>
                <c:pt idx="11">
                  <c:v>32640</c:v>
                </c:pt>
                <c:pt idx="12">
                  <c:v>32641</c:v>
                </c:pt>
                <c:pt idx="13">
                  <c:v>32642</c:v>
                </c:pt>
                <c:pt idx="14">
                  <c:v>32643</c:v>
                </c:pt>
                <c:pt idx="15">
                  <c:v>32644</c:v>
                </c:pt>
                <c:pt idx="16">
                  <c:v>32645</c:v>
                </c:pt>
                <c:pt idx="17">
                  <c:v>32646</c:v>
                </c:pt>
                <c:pt idx="18">
                  <c:v>32647</c:v>
                </c:pt>
                <c:pt idx="19">
                  <c:v>32648</c:v>
                </c:pt>
                <c:pt idx="20">
                  <c:v>32649</c:v>
                </c:pt>
                <c:pt idx="21">
                  <c:v>32650</c:v>
                </c:pt>
                <c:pt idx="22">
                  <c:v>32651</c:v>
                </c:pt>
                <c:pt idx="23">
                  <c:v>32652</c:v>
                </c:pt>
                <c:pt idx="24">
                  <c:v>32653</c:v>
                </c:pt>
                <c:pt idx="25">
                  <c:v>32654</c:v>
                </c:pt>
                <c:pt idx="26">
                  <c:v>32655</c:v>
                </c:pt>
                <c:pt idx="27">
                  <c:v>32656</c:v>
                </c:pt>
                <c:pt idx="28">
                  <c:v>32657</c:v>
                </c:pt>
                <c:pt idx="29">
                  <c:v>32658</c:v>
                </c:pt>
                <c:pt idx="30">
                  <c:v>32659</c:v>
                </c:pt>
                <c:pt idx="31">
                  <c:v>32660</c:v>
                </c:pt>
                <c:pt idx="32">
                  <c:v>32661</c:v>
                </c:pt>
                <c:pt idx="33">
                  <c:v>32662</c:v>
                </c:pt>
                <c:pt idx="34">
                  <c:v>32663</c:v>
                </c:pt>
                <c:pt idx="35">
                  <c:v>32664</c:v>
                </c:pt>
                <c:pt idx="36">
                  <c:v>32665</c:v>
                </c:pt>
                <c:pt idx="37">
                  <c:v>32666</c:v>
                </c:pt>
                <c:pt idx="38">
                  <c:v>32667</c:v>
                </c:pt>
                <c:pt idx="39">
                  <c:v>32668</c:v>
                </c:pt>
                <c:pt idx="40">
                  <c:v>32669</c:v>
                </c:pt>
                <c:pt idx="41">
                  <c:v>32670</c:v>
                </c:pt>
                <c:pt idx="42">
                  <c:v>32671</c:v>
                </c:pt>
                <c:pt idx="43">
                  <c:v>32672</c:v>
                </c:pt>
                <c:pt idx="44">
                  <c:v>32673</c:v>
                </c:pt>
                <c:pt idx="45">
                  <c:v>32674</c:v>
                </c:pt>
                <c:pt idx="46">
                  <c:v>32675</c:v>
                </c:pt>
                <c:pt idx="47">
                  <c:v>32676</c:v>
                </c:pt>
                <c:pt idx="48">
                  <c:v>32677</c:v>
                </c:pt>
                <c:pt idx="49">
                  <c:v>32678</c:v>
                </c:pt>
                <c:pt idx="50">
                  <c:v>32679</c:v>
                </c:pt>
                <c:pt idx="51">
                  <c:v>32680</c:v>
                </c:pt>
                <c:pt idx="52">
                  <c:v>32681</c:v>
                </c:pt>
                <c:pt idx="53">
                  <c:v>32682</c:v>
                </c:pt>
                <c:pt idx="54">
                  <c:v>32683</c:v>
                </c:pt>
                <c:pt idx="55">
                  <c:v>32684</c:v>
                </c:pt>
                <c:pt idx="56">
                  <c:v>32685</c:v>
                </c:pt>
                <c:pt idx="57">
                  <c:v>32686</c:v>
                </c:pt>
                <c:pt idx="58">
                  <c:v>32687</c:v>
                </c:pt>
                <c:pt idx="59">
                  <c:v>32688</c:v>
                </c:pt>
                <c:pt idx="60">
                  <c:v>32689</c:v>
                </c:pt>
                <c:pt idx="61">
                  <c:v>32690</c:v>
                </c:pt>
                <c:pt idx="62">
                  <c:v>32691</c:v>
                </c:pt>
                <c:pt idx="63">
                  <c:v>32692</c:v>
                </c:pt>
                <c:pt idx="64">
                  <c:v>32693</c:v>
                </c:pt>
                <c:pt idx="65">
                  <c:v>32694</c:v>
                </c:pt>
                <c:pt idx="66">
                  <c:v>32695</c:v>
                </c:pt>
                <c:pt idx="67">
                  <c:v>32696</c:v>
                </c:pt>
                <c:pt idx="68">
                  <c:v>32697</c:v>
                </c:pt>
                <c:pt idx="69">
                  <c:v>32698</c:v>
                </c:pt>
                <c:pt idx="70">
                  <c:v>32699</c:v>
                </c:pt>
                <c:pt idx="71">
                  <c:v>32700</c:v>
                </c:pt>
                <c:pt idx="72">
                  <c:v>32701</c:v>
                </c:pt>
                <c:pt idx="73">
                  <c:v>32702</c:v>
                </c:pt>
                <c:pt idx="74">
                  <c:v>32703</c:v>
                </c:pt>
                <c:pt idx="75">
                  <c:v>32704</c:v>
                </c:pt>
                <c:pt idx="76">
                  <c:v>32705</c:v>
                </c:pt>
                <c:pt idx="77">
                  <c:v>32706</c:v>
                </c:pt>
                <c:pt idx="78">
                  <c:v>32707</c:v>
                </c:pt>
                <c:pt idx="79">
                  <c:v>32708</c:v>
                </c:pt>
                <c:pt idx="80">
                  <c:v>32709</c:v>
                </c:pt>
                <c:pt idx="81">
                  <c:v>32710</c:v>
                </c:pt>
                <c:pt idx="82">
                  <c:v>32711</c:v>
                </c:pt>
                <c:pt idx="83">
                  <c:v>32712</c:v>
                </c:pt>
                <c:pt idx="84">
                  <c:v>32713</c:v>
                </c:pt>
                <c:pt idx="85">
                  <c:v>32714</c:v>
                </c:pt>
                <c:pt idx="86">
                  <c:v>32715</c:v>
                </c:pt>
                <c:pt idx="87">
                  <c:v>32716</c:v>
                </c:pt>
                <c:pt idx="88">
                  <c:v>32717</c:v>
                </c:pt>
                <c:pt idx="89">
                  <c:v>32718</c:v>
                </c:pt>
                <c:pt idx="90">
                  <c:v>32719</c:v>
                </c:pt>
                <c:pt idx="91">
                  <c:v>32720</c:v>
                </c:pt>
                <c:pt idx="92">
                  <c:v>32721</c:v>
                </c:pt>
                <c:pt idx="93">
                  <c:v>32722</c:v>
                </c:pt>
                <c:pt idx="94">
                  <c:v>32723</c:v>
                </c:pt>
                <c:pt idx="95">
                  <c:v>32724</c:v>
                </c:pt>
                <c:pt idx="96">
                  <c:v>32725</c:v>
                </c:pt>
                <c:pt idx="97">
                  <c:v>32726</c:v>
                </c:pt>
                <c:pt idx="98">
                  <c:v>32727</c:v>
                </c:pt>
                <c:pt idx="99">
                  <c:v>32728</c:v>
                </c:pt>
                <c:pt idx="100">
                  <c:v>32729</c:v>
                </c:pt>
                <c:pt idx="101">
                  <c:v>32730</c:v>
                </c:pt>
                <c:pt idx="102">
                  <c:v>32731</c:v>
                </c:pt>
                <c:pt idx="103">
                  <c:v>32732</c:v>
                </c:pt>
                <c:pt idx="104">
                  <c:v>32733</c:v>
                </c:pt>
                <c:pt idx="105">
                  <c:v>32734</c:v>
                </c:pt>
                <c:pt idx="106">
                  <c:v>32735</c:v>
                </c:pt>
                <c:pt idx="107">
                  <c:v>32736</c:v>
                </c:pt>
                <c:pt idx="108">
                  <c:v>32737</c:v>
                </c:pt>
                <c:pt idx="109">
                  <c:v>32738</c:v>
                </c:pt>
                <c:pt idx="110">
                  <c:v>32739</c:v>
                </c:pt>
                <c:pt idx="111">
                  <c:v>32740</c:v>
                </c:pt>
                <c:pt idx="112">
                  <c:v>32741</c:v>
                </c:pt>
                <c:pt idx="113">
                  <c:v>32742</c:v>
                </c:pt>
                <c:pt idx="114">
                  <c:v>32743</c:v>
                </c:pt>
                <c:pt idx="115">
                  <c:v>32744</c:v>
                </c:pt>
                <c:pt idx="116">
                  <c:v>32745</c:v>
                </c:pt>
                <c:pt idx="117">
                  <c:v>32746</c:v>
                </c:pt>
                <c:pt idx="118">
                  <c:v>32747</c:v>
                </c:pt>
                <c:pt idx="119">
                  <c:v>32748</c:v>
                </c:pt>
                <c:pt idx="120">
                  <c:v>32749</c:v>
                </c:pt>
                <c:pt idx="121">
                  <c:v>32750</c:v>
                </c:pt>
                <c:pt idx="122">
                  <c:v>32751</c:v>
                </c:pt>
                <c:pt idx="123">
                  <c:v>32752</c:v>
                </c:pt>
                <c:pt idx="124">
                  <c:v>32753</c:v>
                </c:pt>
                <c:pt idx="125">
                  <c:v>32754</c:v>
                </c:pt>
                <c:pt idx="126">
                  <c:v>32755</c:v>
                </c:pt>
                <c:pt idx="127">
                  <c:v>32756</c:v>
                </c:pt>
                <c:pt idx="128">
                  <c:v>32757</c:v>
                </c:pt>
                <c:pt idx="129">
                  <c:v>32758</c:v>
                </c:pt>
                <c:pt idx="130">
                  <c:v>32759</c:v>
                </c:pt>
                <c:pt idx="131">
                  <c:v>32760</c:v>
                </c:pt>
                <c:pt idx="132">
                  <c:v>32761</c:v>
                </c:pt>
                <c:pt idx="133">
                  <c:v>32762</c:v>
                </c:pt>
                <c:pt idx="134">
                  <c:v>32763</c:v>
                </c:pt>
                <c:pt idx="135">
                  <c:v>32764</c:v>
                </c:pt>
                <c:pt idx="136">
                  <c:v>32765</c:v>
                </c:pt>
                <c:pt idx="137">
                  <c:v>32766</c:v>
                </c:pt>
                <c:pt idx="138">
                  <c:v>32767</c:v>
                </c:pt>
                <c:pt idx="139">
                  <c:v>32768</c:v>
                </c:pt>
                <c:pt idx="140">
                  <c:v>32769</c:v>
                </c:pt>
                <c:pt idx="141">
                  <c:v>32770</c:v>
                </c:pt>
                <c:pt idx="142">
                  <c:v>32771</c:v>
                </c:pt>
                <c:pt idx="143">
                  <c:v>32772</c:v>
                </c:pt>
                <c:pt idx="144">
                  <c:v>32773</c:v>
                </c:pt>
                <c:pt idx="145">
                  <c:v>32774</c:v>
                </c:pt>
                <c:pt idx="146">
                  <c:v>32775</c:v>
                </c:pt>
                <c:pt idx="147">
                  <c:v>32776</c:v>
                </c:pt>
                <c:pt idx="148">
                  <c:v>32777</c:v>
                </c:pt>
                <c:pt idx="149">
                  <c:v>32778</c:v>
                </c:pt>
                <c:pt idx="150">
                  <c:v>32779</c:v>
                </c:pt>
                <c:pt idx="151">
                  <c:v>32780</c:v>
                </c:pt>
                <c:pt idx="152">
                  <c:v>32781</c:v>
                </c:pt>
              </c:numCache>
            </c:numRef>
          </c:xVal>
          <c:yVal>
            <c:numRef>
              <c:f>Kununurra!$C$4:$C$368</c:f>
              <c:numCache>
                <c:formatCode>General</c:formatCode>
                <c:ptCount val="365"/>
                <c:pt idx="0">
                  <c:v>12.286604881286621</c:v>
                </c:pt>
                <c:pt idx="1">
                  <c:v>12.275136947631836</c:v>
                </c:pt>
                <c:pt idx="2">
                  <c:v>12.263820648193359</c:v>
                </c:pt>
                <c:pt idx="3">
                  <c:v>12.252659797668457</c:v>
                </c:pt>
                <c:pt idx="4">
                  <c:v>12.241658210754395</c:v>
                </c:pt>
                <c:pt idx="5">
                  <c:v>12.230817794799805</c:v>
                </c:pt>
                <c:pt idx="6">
                  <c:v>12.220141410827637</c:v>
                </c:pt>
                <c:pt idx="7">
                  <c:v>12.209633827209473</c:v>
                </c:pt>
                <c:pt idx="8">
                  <c:v>12.199295997619629</c:v>
                </c:pt>
                <c:pt idx="9">
                  <c:v>12.189130783081055</c:v>
                </c:pt>
                <c:pt idx="10">
                  <c:v>12.179143905639648</c:v>
                </c:pt>
                <c:pt idx="11">
                  <c:v>12.169334411621094</c:v>
                </c:pt>
                <c:pt idx="12">
                  <c:v>12.159708023071289</c:v>
                </c:pt>
                <c:pt idx="13">
                  <c:v>12.1502685546875</c:v>
                </c:pt>
                <c:pt idx="14">
                  <c:v>12.141016006469727</c:v>
                </c:pt>
                <c:pt idx="15">
                  <c:v>12.131955146789551</c:v>
                </c:pt>
                <c:pt idx="16">
                  <c:v>12.123089790344238</c:v>
                </c:pt>
                <c:pt idx="17">
                  <c:v>12.114420890808105</c:v>
                </c:pt>
                <c:pt idx="18">
                  <c:v>12.105952262878418</c:v>
                </c:pt>
                <c:pt idx="19">
                  <c:v>12.097686767578125</c:v>
                </c:pt>
                <c:pt idx="20">
                  <c:v>12.089627265930176</c:v>
                </c:pt>
                <c:pt idx="21">
                  <c:v>12.08177661895752</c:v>
                </c:pt>
                <c:pt idx="22">
                  <c:v>12.074137687683105</c:v>
                </c:pt>
                <c:pt idx="23">
                  <c:v>12.066714286804199</c:v>
                </c:pt>
                <c:pt idx="24">
                  <c:v>12.059507369995117</c:v>
                </c:pt>
                <c:pt idx="25">
                  <c:v>12.052520751953125</c:v>
                </c:pt>
                <c:pt idx="26">
                  <c:v>12.045757293701172</c:v>
                </c:pt>
                <c:pt idx="27">
                  <c:v>12.039218902587891</c:v>
                </c:pt>
                <c:pt idx="28">
                  <c:v>12.03290843963623</c:v>
                </c:pt>
                <c:pt idx="29">
                  <c:v>12.026828765869141</c:v>
                </c:pt>
                <c:pt idx="30">
                  <c:v>12.020980834960938</c:v>
                </c:pt>
                <c:pt idx="31">
                  <c:v>12.015368461608887</c:v>
                </c:pt>
                <c:pt idx="32">
                  <c:v>12.009993553161621</c:v>
                </c:pt>
                <c:pt idx="33">
                  <c:v>12.00485897064209</c:v>
                </c:pt>
                <c:pt idx="34">
                  <c:v>11.999965667724609</c:v>
                </c:pt>
                <c:pt idx="35">
                  <c:v>11.995316505432129</c:v>
                </c:pt>
                <c:pt idx="36">
                  <c:v>11.990912437438965</c:v>
                </c:pt>
                <c:pt idx="37">
                  <c:v>11.986757278442383</c:v>
                </c:pt>
                <c:pt idx="38">
                  <c:v>11.982851028442383</c:v>
                </c:pt>
                <c:pt idx="39">
                  <c:v>11.979196548461914</c:v>
                </c:pt>
                <c:pt idx="40">
                  <c:v>11.975794792175293</c:v>
                </c:pt>
                <c:pt idx="41">
                  <c:v>11.972647666931152</c:v>
                </c:pt>
                <c:pt idx="42">
                  <c:v>11.969756126403809</c:v>
                </c:pt>
                <c:pt idx="43">
                  <c:v>11.967122077941895</c:v>
                </c:pt>
                <c:pt idx="44">
                  <c:v>11.964746475219727</c:v>
                </c:pt>
                <c:pt idx="45">
                  <c:v>11.962630271911621</c:v>
                </c:pt>
                <c:pt idx="46">
                  <c:v>11.960774421691895</c:v>
                </c:pt>
                <c:pt idx="47">
                  <c:v>11.959178924560547</c:v>
                </c:pt>
                <c:pt idx="48">
                  <c:v>11.957846641540527</c:v>
                </c:pt>
                <c:pt idx="49">
                  <c:v>11.956775665283203</c:v>
                </c:pt>
                <c:pt idx="50">
                  <c:v>11.955968856811523</c:v>
                </c:pt>
                <c:pt idx="51">
                  <c:v>11.955423355102539</c:v>
                </c:pt>
                <c:pt idx="52">
                  <c:v>11.955142974853516</c:v>
                </c:pt>
                <c:pt idx="53">
                  <c:v>11.955126762390137</c:v>
                </c:pt>
                <c:pt idx="54">
                  <c:v>11.955374717712402</c:v>
                </c:pt>
                <c:pt idx="55">
                  <c:v>11.955885887145996</c:v>
                </c:pt>
                <c:pt idx="56">
                  <c:v>11.956660270690918</c:v>
                </c:pt>
                <c:pt idx="57">
                  <c:v>11.957697868347168</c:v>
                </c:pt>
                <c:pt idx="58">
                  <c:v>11.958998680114746</c:v>
                </c:pt>
                <c:pt idx="59">
                  <c:v>11.960559844970703</c:v>
                </c:pt>
                <c:pt idx="60">
                  <c:v>11.962383270263672</c:v>
                </c:pt>
                <c:pt idx="61">
                  <c:v>11.964468002319336</c:v>
                </c:pt>
                <c:pt idx="62">
                  <c:v>11.966811180114746</c:v>
                </c:pt>
                <c:pt idx="63">
                  <c:v>11.969412803649902</c:v>
                </c:pt>
                <c:pt idx="64">
                  <c:v>11.972272872924805</c:v>
                </c:pt>
                <c:pt idx="65">
                  <c:v>11.975387573242188</c:v>
                </c:pt>
                <c:pt idx="66">
                  <c:v>11.978757858276367</c:v>
                </c:pt>
                <c:pt idx="67">
                  <c:v>11.982380867004395</c:v>
                </c:pt>
                <c:pt idx="68">
                  <c:v>11.986255645751953</c:v>
                </c:pt>
                <c:pt idx="69">
                  <c:v>11.990379333496094</c:v>
                </c:pt>
                <c:pt idx="70">
                  <c:v>11.994751930236816</c:v>
                </c:pt>
                <c:pt idx="71">
                  <c:v>11.999370574951172</c:v>
                </c:pt>
                <c:pt idx="72">
                  <c:v>12.004234313964844</c:v>
                </c:pt>
                <c:pt idx="73">
                  <c:v>12.00933837890625</c:v>
                </c:pt>
                <c:pt idx="74">
                  <c:v>12.014683723449707</c:v>
                </c:pt>
                <c:pt idx="75">
                  <c:v>12.020265579223633</c:v>
                </c:pt>
                <c:pt idx="76">
                  <c:v>12.026083946228027</c:v>
                </c:pt>
                <c:pt idx="77">
                  <c:v>12.032135963439941</c:v>
                </c:pt>
                <c:pt idx="78">
                  <c:v>12.038417816162109</c:v>
                </c:pt>
                <c:pt idx="79">
                  <c:v>12.044927597045898</c:v>
                </c:pt>
                <c:pt idx="80">
                  <c:v>12.051664352416992</c:v>
                </c:pt>
                <c:pt idx="81">
                  <c:v>12.058622360229492</c:v>
                </c:pt>
                <c:pt idx="82">
                  <c:v>12.065801620483398</c:v>
                </c:pt>
                <c:pt idx="83">
                  <c:v>12.073198318481445</c:v>
                </c:pt>
                <c:pt idx="84">
                  <c:v>12.080810546875</c:v>
                </c:pt>
                <c:pt idx="85">
                  <c:v>12.088634490966797</c:v>
                </c:pt>
                <c:pt idx="86">
                  <c:v>12.096667289733887</c:v>
                </c:pt>
                <c:pt idx="87">
                  <c:v>12.104907035827637</c:v>
                </c:pt>
                <c:pt idx="88">
                  <c:v>12.113350868225098</c:v>
                </c:pt>
                <c:pt idx="89">
                  <c:v>12.121994972229004</c:v>
                </c:pt>
                <c:pt idx="90">
                  <c:v>12.130836486816406</c:v>
                </c:pt>
                <c:pt idx="91">
                  <c:v>12.139872550964355</c:v>
                </c:pt>
                <c:pt idx="92">
                  <c:v>12.149101257324219</c:v>
                </c:pt>
                <c:pt idx="93">
                  <c:v>12.158517837524414</c:v>
                </c:pt>
                <c:pt idx="94">
                  <c:v>12.168121337890625</c:v>
                </c:pt>
                <c:pt idx="95">
                  <c:v>12.177907943725586</c:v>
                </c:pt>
                <c:pt idx="96">
                  <c:v>12.187872886657715</c:v>
                </c:pt>
                <c:pt idx="97">
                  <c:v>12.198016166687012</c:v>
                </c:pt>
                <c:pt idx="98">
                  <c:v>12.208332061767578</c:v>
                </c:pt>
                <c:pt idx="99">
                  <c:v>12.218819618225098</c:v>
                </c:pt>
                <c:pt idx="100">
                  <c:v>12.229475021362305</c:v>
                </c:pt>
                <c:pt idx="101">
                  <c:v>0</c:v>
                </c:pt>
                <c:pt idx="102">
                  <c:v>12.251276016235352</c:v>
                </c:pt>
                <c:pt idx="103">
                  <c:v>12.262416839599609</c:v>
                </c:pt>
                <c:pt idx="104">
                  <c:v>12.273713111877441</c:v>
                </c:pt>
                <c:pt idx="105">
                  <c:v>12.285163879394531</c:v>
                </c:pt>
                <c:pt idx="106">
                  <c:v>12.29676342010498</c:v>
                </c:pt>
                <c:pt idx="107">
                  <c:v>12.308509826660156</c:v>
                </c:pt>
                <c:pt idx="108">
                  <c:v>12.320402145385742</c:v>
                </c:pt>
                <c:pt idx="109">
                  <c:v>12.332433700561523</c:v>
                </c:pt>
                <c:pt idx="110">
                  <c:v>12.344605445861816</c:v>
                </c:pt>
                <c:pt idx="111">
                  <c:v>12.356912612915039</c:v>
                </c:pt>
                <c:pt idx="112">
                  <c:v>12.369352340698242</c:v>
                </c:pt>
                <c:pt idx="113">
                  <c:v>12.381922721862793</c:v>
                </c:pt>
                <c:pt idx="114">
                  <c:v>12.394619941711426</c:v>
                </c:pt>
                <c:pt idx="115">
                  <c:v>12.407441139221191</c:v>
                </c:pt>
                <c:pt idx="116">
                  <c:v>12.420384407043457</c:v>
                </c:pt>
                <c:pt idx="117">
                  <c:v>12.43344783782959</c:v>
                </c:pt>
                <c:pt idx="118">
                  <c:v>12.446626663208008</c:v>
                </c:pt>
                <c:pt idx="119">
                  <c:v>12.459918975830078</c:v>
                </c:pt>
                <c:pt idx="120">
                  <c:v>12.473322868347168</c:v>
                </c:pt>
                <c:pt idx="121">
                  <c:v>12.486834526062012</c:v>
                </c:pt>
                <c:pt idx="122">
                  <c:v>12.500452041625977</c:v>
                </c:pt>
                <c:pt idx="123">
                  <c:v>12.514171600341797</c:v>
                </c:pt>
                <c:pt idx="124">
                  <c:v>12.527992248535156</c:v>
                </c:pt>
                <c:pt idx="125">
                  <c:v>12.541911125183105</c:v>
                </c:pt>
                <c:pt idx="126">
                  <c:v>12.555924415588379</c:v>
                </c:pt>
                <c:pt idx="127">
                  <c:v>12.570029258728027</c:v>
                </c:pt>
                <c:pt idx="128">
                  <c:v>12.584224700927734</c:v>
                </c:pt>
                <c:pt idx="129">
                  <c:v>12.598507881164551</c:v>
                </c:pt>
                <c:pt idx="130">
                  <c:v>12.612874984741211</c:v>
                </c:pt>
                <c:pt idx="131">
                  <c:v>12.627324104309082</c:v>
                </c:pt>
                <c:pt idx="132">
                  <c:v>12.641852378845215</c:v>
                </c:pt>
                <c:pt idx="133">
                  <c:v>12.656457901000977</c:v>
                </c:pt>
                <c:pt idx="134">
                  <c:v>12.671136856079102</c:v>
                </c:pt>
                <c:pt idx="135">
                  <c:v>12.685887336730957</c:v>
                </c:pt>
                <c:pt idx="136">
                  <c:v>12.700706481933594</c:v>
                </c:pt>
                <c:pt idx="137">
                  <c:v>12.715592384338379</c:v>
                </c:pt>
                <c:pt idx="138">
                  <c:v>12.730541229248047</c:v>
                </c:pt>
                <c:pt idx="139">
                  <c:v>12.745550155639648</c:v>
                </c:pt>
                <c:pt idx="140">
                  <c:v>12.760617256164551</c:v>
                </c:pt>
                <c:pt idx="141">
                  <c:v>12.775739669799805</c:v>
                </c:pt>
                <c:pt idx="142">
                  <c:v>12.790914535522461</c:v>
                </c:pt>
                <c:pt idx="143">
                  <c:v>12.806138038635254</c:v>
                </c:pt>
                <c:pt idx="144">
                  <c:v>12.821409225463867</c:v>
                </c:pt>
                <c:pt idx="145">
                  <c:v>12.836723327636719</c:v>
                </c:pt>
                <c:pt idx="146">
                  <c:v>12.852078437805176</c:v>
                </c:pt>
                <c:pt idx="147">
                  <c:v>12.867471694946289</c:v>
                </c:pt>
                <c:pt idx="148">
                  <c:v>12.882899284362793</c:v>
                </c:pt>
                <c:pt idx="149">
                  <c:v>12.898358345031738</c:v>
                </c:pt>
                <c:pt idx="150">
                  <c:v>12.913846969604492</c:v>
                </c:pt>
                <c:pt idx="151">
                  <c:v>12.929359436035156</c:v>
                </c:pt>
                <c:pt idx="152">
                  <c:v>12.944894790649414</c:v>
                </c:pt>
              </c:numCache>
            </c:numRef>
          </c:yVal>
        </c:ser>
        <c:axId val="138570368"/>
        <c:axId val="138576256"/>
      </c:scatterChart>
      <c:scatterChart>
        <c:scatterStyle val="lineMarker"/>
        <c:ser>
          <c:idx val="1"/>
          <c:order val="1"/>
          <c:tx>
            <c:strRef>
              <c:f>Kununurra!$J$3</c:f>
              <c:strCache>
                <c:ptCount val="1"/>
                <c:pt idx="0">
                  <c:v>TT</c:v>
                </c:pt>
              </c:strCache>
            </c:strRef>
          </c:tx>
          <c:marker>
            <c:symbol val="none"/>
          </c:marker>
          <c:xVal>
            <c:numRef>
              <c:f>Kununurra!$A$4:$A$368</c:f>
              <c:numCache>
                <c:formatCode>d\-mmm\-yy</c:formatCode>
                <c:ptCount val="365"/>
                <c:pt idx="0">
                  <c:v>32629</c:v>
                </c:pt>
                <c:pt idx="1">
                  <c:v>32630</c:v>
                </c:pt>
                <c:pt idx="2">
                  <c:v>32631</c:v>
                </c:pt>
                <c:pt idx="3">
                  <c:v>32632</c:v>
                </c:pt>
                <c:pt idx="4">
                  <c:v>32633</c:v>
                </c:pt>
                <c:pt idx="5">
                  <c:v>32634</c:v>
                </c:pt>
                <c:pt idx="6">
                  <c:v>32635</c:v>
                </c:pt>
                <c:pt idx="7">
                  <c:v>32636</c:v>
                </c:pt>
                <c:pt idx="8">
                  <c:v>32637</c:v>
                </c:pt>
                <c:pt idx="9">
                  <c:v>32638</c:v>
                </c:pt>
                <c:pt idx="10">
                  <c:v>32639</c:v>
                </c:pt>
                <c:pt idx="11">
                  <c:v>32640</c:v>
                </c:pt>
                <c:pt idx="12">
                  <c:v>32641</c:v>
                </c:pt>
                <c:pt idx="13">
                  <c:v>32642</c:v>
                </c:pt>
                <c:pt idx="14">
                  <c:v>32643</c:v>
                </c:pt>
                <c:pt idx="15">
                  <c:v>32644</c:v>
                </c:pt>
                <c:pt idx="16">
                  <c:v>32645</c:v>
                </c:pt>
                <c:pt idx="17">
                  <c:v>32646</c:v>
                </c:pt>
                <c:pt idx="18">
                  <c:v>32647</c:v>
                </c:pt>
                <c:pt idx="19">
                  <c:v>32648</c:v>
                </c:pt>
                <c:pt idx="20">
                  <c:v>32649</c:v>
                </c:pt>
                <c:pt idx="21">
                  <c:v>32650</c:v>
                </c:pt>
                <c:pt idx="22">
                  <c:v>32651</c:v>
                </c:pt>
                <c:pt idx="23">
                  <c:v>32652</c:v>
                </c:pt>
                <c:pt idx="24">
                  <c:v>32653</c:v>
                </c:pt>
                <c:pt idx="25">
                  <c:v>32654</c:v>
                </c:pt>
                <c:pt idx="26">
                  <c:v>32655</c:v>
                </c:pt>
                <c:pt idx="27">
                  <c:v>32656</c:v>
                </c:pt>
                <c:pt idx="28">
                  <c:v>32657</c:v>
                </c:pt>
                <c:pt idx="29">
                  <c:v>32658</c:v>
                </c:pt>
                <c:pt idx="30">
                  <c:v>32659</c:v>
                </c:pt>
                <c:pt idx="31">
                  <c:v>32660</c:v>
                </c:pt>
                <c:pt idx="32">
                  <c:v>32661</c:v>
                </c:pt>
                <c:pt idx="33">
                  <c:v>32662</c:v>
                </c:pt>
                <c:pt idx="34">
                  <c:v>32663</c:v>
                </c:pt>
                <c:pt idx="35">
                  <c:v>32664</c:v>
                </c:pt>
                <c:pt idx="36">
                  <c:v>32665</c:v>
                </c:pt>
                <c:pt idx="37">
                  <c:v>32666</c:v>
                </c:pt>
                <c:pt idx="38">
                  <c:v>32667</c:v>
                </c:pt>
                <c:pt idx="39">
                  <c:v>32668</c:v>
                </c:pt>
                <c:pt idx="40">
                  <c:v>32669</c:v>
                </c:pt>
                <c:pt idx="41">
                  <c:v>32670</c:v>
                </c:pt>
                <c:pt idx="42">
                  <c:v>32671</c:v>
                </c:pt>
                <c:pt idx="43">
                  <c:v>32672</c:v>
                </c:pt>
                <c:pt idx="44">
                  <c:v>32673</c:v>
                </c:pt>
                <c:pt idx="45">
                  <c:v>32674</c:v>
                </c:pt>
                <c:pt idx="46">
                  <c:v>32675</c:v>
                </c:pt>
                <c:pt idx="47">
                  <c:v>32676</c:v>
                </c:pt>
                <c:pt idx="48">
                  <c:v>32677</c:v>
                </c:pt>
                <c:pt idx="49">
                  <c:v>32678</c:v>
                </c:pt>
                <c:pt idx="50">
                  <c:v>32679</c:v>
                </c:pt>
                <c:pt idx="51">
                  <c:v>32680</c:v>
                </c:pt>
                <c:pt idx="52">
                  <c:v>32681</c:v>
                </c:pt>
                <c:pt idx="53">
                  <c:v>32682</c:v>
                </c:pt>
                <c:pt idx="54">
                  <c:v>32683</c:v>
                </c:pt>
                <c:pt idx="55">
                  <c:v>32684</c:v>
                </c:pt>
                <c:pt idx="56">
                  <c:v>32685</c:v>
                </c:pt>
                <c:pt idx="57">
                  <c:v>32686</c:v>
                </c:pt>
                <c:pt idx="58">
                  <c:v>32687</c:v>
                </c:pt>
                <c:pt idx="59">
                  <c:v>32688</c:v>
                </c:pt>
                <c:pt idx="60">
                  <c:v>32689</c:v>
                </c:pt>
                <c:pt idx="61">
                  <c:v>32690</c:v>
                </c:pt>
                <c:pt idx="62">
                  <c:v>32691</c:v>
                </c:pt>
                <c:pt idx="63">
                  <c:v>32692</c:v>
                </c:pt>
                <c:pt idx="64">
                  <c:v>32693</c:v>
                </c:pt>
                <c:pt idx="65">
                  <c:v>32694</c:v>
                </c:pt>
                <c:pt idx="66">
                  <c:v>32695</c:v>
                </c:pt>
                <c:pt idx="67">
                  <c:v>32696</c:v>
                </c:pt>
                <c:pt idx="68">
                  <c:v>32697</c:v>
                </c:pt>
                <c:pt idx="69">
                  <c:v>32698</c:v>
                </c:pt>
                <c:pt idx="70">
                  <c:v>32699</c:v>
                </c:pt>
                <c:pt idx="71">
                  <c:v>32700</c:v>
                </c:pt>
                <c:pt idx="72">
                  <c:v>32701</c:v>
                </c:pt>
                <c:pt idx="73">
                  <c:v>32702</c:v>
                </c:pt>
                <c:pt idx="74">
                  <c:v>32703</c:v>
                </c:pt>
                <c:pt idx="75">
                  <c:v>32704</c:v>
                </c:pt>
                <c:pt idx="76">
                  <c:v>32705</c:v>
                </c:pt>
                <c:pt idx="77">
                  <c:v>32706</c:v>
                </c:pt>
                <c:pt idx="78">
                  <c:v>32707</c:v>
                </c:pt>
                <c:pt idx="79">
                  <c:v>32708</c:v>
                </c:pt>
                <c:pt idx="80">
                  <c:v>32709</c:v>
                </c:pt>
                <c:pt idx="81">
                  <c:v>32710</c:v>
                </c:pt>
                <c:pt idx="82">
                  <c:v>32711</c:v>
                </c:pt>
                <c:pt idx="83">
                  <c:v>32712</c:v>
                </c:pt>
                <c:pt idx="84">
                  <c:v>32713</c:v>
                </c:pt>
                <c:pt idx="85">
                  <c:v>32714</c:v>
                </c:pt>
                <c:pt idx="86">
                  <c:v>32715</c:v>
                </c:pt>
                <c:pt idx="87">
                  <c:v>32716</c:v>
                </c:pt>
                <c:pt idx="88">
                  <c:v>32717</c:v>
                </c:pt>
                <c:pt idx="89">
                  <c:v>32718</c:v>
                </c:pt>
                <c:pt idx="90">
                  <c:v>32719</c:v>
                </c:pt>
                <c:pt idx="91">
                  <c:v>32720</c:v>
                </c:pt>
                <c:pt idx="92">
                  <c:v>32721</c:v>
                </c:pt>
                <c:pt idx="93">
                  <c:v>32722</c:v>
                </c:pt>
                <c:pt idx="94">
                  <c:v>32723</c:v>
                </c:pt>
                <c:pt idx="95">
                  <c:v>32724</c:v>
                </c:pt>
                <c:pt idx="96">
                  <c:v>32725</c:v>
                </c:pt>
                <c:pt idx="97">
                  <c:v>32726</c:v>
                </c:pt>
                <c:pt idx="98">
                  <c:v>32727</c:v>
                </c:pt>
                <c:pt idx="99">
                  <c:v>32728</c:v>
                </c:pt>
                <c:pt idx="100">
                  <c:v>32729</c:v>
                </c:pt>
                <c:pt idx="101">
                  <c:v>32730</c:v>
                </c:pt>
                <c:pt idx="102">
                  <c:v>32731</c:v>
                </c:pt>
                <c:pt idx="103">
                  <c:v>32732</c:v>
                </c:pt>
                <c:pt idx="104">
                  <c:v>32733</c:v>
                </c:pt>
                <c:pt idx="105">
                  <c:v>32734</c:v>
                </c:pt>
                <c:pt idx="106">
                  <c:v>32735</c:v>
                </c:pt>
                <c:pt idx="107">
                  <c:v>32736</c:v>
                </c:pt>
                <c:pt idx="108">
                  <c:v>32737</c:v>
                </c:pt>
                <c:pt idx="109">
                  <c:v>32738</c:v>
                </c:pt>
                <c:pt idx="110">
                  <c:v>32739</c:v>
                </c:pt>
                <c:pt idx="111">
                  <c:v>32740</c:v>
                </c:pt>
                <c:pt idx="112">
                  <c:v>32741</c:v>
                </c:pt>
                <c:pt idx="113">
                  <c:v>32742</c:v>
                </c:pt>
                <c:pt idx="114">
                  <c:v>32743</c:v>
                </c:pt>
                <c:pt idx="115">
                  <c:v>32744</c:v>
                </c:pt>
                <c:pt idx="116">
                  <c:v>32745</c:v>
                </c:pt>
                <c:pt idx="117">
                  <c:v>32746</c:v>
                </c:pt>
                <c:pt idx="118">
                  <c:v>32747</c:v>
                </c:pt>
                <c:pt idx="119">
                  <c:v>32748</c:v>
                </c:pt>
                <c:pt idx="120">
                  <c:v>32749</c:v>
                </c:pt>
                <c:pt idx="121">
                  <c:v>32750</c:v>
                </c:pt>
                <c:pt idx="122">
                  <c:v>32751</c:v>
                </c:pt>
                <c:pt idx="123">
                  <c:v>32752</c:v>
                </c:pt>
                <c:pt idx="124">
                  <c:v>32753</c:v>
                </c:pt>
                <c:pt idx="125">
                  <c:v>32754</c:v>
                </c:pt>
                <c:pt idx="126">
                  <c:v>32755</c:v>
                </c:pt>
                <c:pt idx="127">
                  <c:v>32756</c:v>
                </c:pt>
                <c:pt idx="128">
                  <c:v>32757</c:v>
                </c:pt>
                <c:pt idx="129">
                  <c:v>32758</c:v>
                </c:pt>
                <c:pt idx="130">
                  <c:v>32759</c:v>
                </c:pt>
                <c:pt idx="131">
                  <c:v>32760</c:v>
                </c:pt>
                <c:pt idx="132">
                  <c:v>32761</c:v>
                </c:pt>
                <c:pt idx="133">
                  <c:v>32762</c:v>
                </c:pt>
                <c:pt idx="134">
                  <c:v>32763</c:v>
                </c:pt>
                <c:pt idx="135">
                  <c:v>32764</c:v>
                </c:pt>
                <c:pt idx="136">
                  <c:v>32765</c:v>
                </c:pt>
                <c:pt idx="137">
                  <c:v>32766</c:v>
                </c:pt>
                <c:pt idx="138">
                  <c:v>32767</c:v>
                </c:pt>
                <c:pt idx="139">
                  <c:v>32768</c:v>
                </c:pt>
                <c:pt idx="140">
                  <c:v>32769</c:v>
                </c:pt>
                <c:pt idx="141">
                  <c:v>32770</c:v>
                </c:pt>
                <c:pt idx="142">
                  <c:v>32771</c:v>
                </c:pt>
                <c:pt idx="143">
                  <c:v>32772</c:v>
                </c:pt>
                <c:pt idx="144">
                  <c:v>32773</c:v>
                </c:pt>
                <c:pt idx="145">
                  <c:v>32774</c:v>
                </c:pt>
                <c:pt idx="146">
                  <c:v>32775</c:v>
                </c:pt>
                <c:pt idx="147">
                  <c:v>32776</c:v>
                </c:pt>
                <c:pt idx="148">
                  <c:v>32777</c:v>
                </c:pt>
                <c:pt idx="149">
                  <c:v>32778</c:v>
                </c:pt>
                <c:pt idx="150">
                  <c:v>32779</c:v>
                </c:pt>
                <c:pt idx="151">
                  <c:v>32780</c:v>
                </c:pt>
                <c:pt idx="152">
                  <c:v>32781</c:v>
                </c:pt>
              </c:numCache>
            </c:numRef>
          </c:xVal>
          <c:yVal>
            <c:numRef>
              <c:f>Kununurra!$J$4:$J$368</c:f>
              <c:numCache>
                <c:formatCode>General</c:formatCode>
                <c:ptCount val="365"/>
                <c:pt idx="0">
                  <c:v>11.699211133574613</c:v>
                </c:pt>
                <c:pt idx="1">
                  <c:v>11.518555042599104</c:v>
                </c:pt>
                <c:pt idx="2">
                  <c:v>11.372605553385899</c:v>
                </c:pt>
                <c:pt idx="3">
                  <c:v>11.117168437893795</c:v>
                </c:pt>
                <c:pt idx="4">
                  <c:v>10.91858959039668</c:v>
                </c:pt>
                <c:pt idx="5">
                  <c:v>11.655344969253841</c:v>
                </c:pt>
                <c:pt idx="6">
                  <c:v>12.314698531794507</c:v>
                </c:pt>
                <c:pt idx="7">
                  <c:v>12.365101872740988</c:v>
                </c:pt>
                <c:pt idx="8">
                  <c:v>11.570892251160638</c:v>
                </c:pt>
                <c:pt idx="9">
                  <c:v>11.313421950918899</c:v>
                </c:pt>
                <c:pt idx="10">
                  <c:v>10.338699422946137</c:v>
                </c:pt>
                <c:pt idx="11">
                  <c:v>10.531660380181124</c:v>
                </c:pt>
                <c:pt idx="12">
                  <c:v>11.824835010285931</c:v>
                </c:pt>
                <c:pt idx="13">
                  <c:v>11.726902092048142</c:v>
                </c:pt>
                <c:pt idx="14">
                  <c:v>11.333772514778694</c:v>
                </c:pt>
                <c:pt idx="15">
                  <c:v>10.76029452021394</c:v>
                </c:pt>
                <c:pt idx="16">
                  <c:v>10.45053513362436</c:v>
                </c:pt>
                <c:pt idx="17">
                  <c:v>10.57453454532069</c:v>
                </c:pt>
                <c:pt idx="18">
                  <c:v>10.583266674028303</c:v>
                </c:pt>
                <c:pt idx="19">
                  <c:v>11.061441281365854</c:v>
                </c:pt>
                <c:pt idx="20">
                  <c:v>10.458930766941785</c:v>
                </c:pt>
                <c:pt idx="21">
                  <c:v>10.298791383468142</c:v>
                </c:pt>
                <c:pt idx="22">
                  <c:v>10.338450012282797</c:v>
                </c:pt>
                <c:pt idx="23">
                  <c:v>9.9449801786773282</c:v>
                </c:pt>
                <c:pt idx="24">
                  <c:v>9.9537675761644397</c:v>
                </c:pt>
                <c:pt idx="25">
                  <c:v>10.34921298158552</c:v>
                </c:pt>
                <c:pt idx="26">
                  <c:v>10.112296700183403</c:v>
                </c:pt>
                <c:pt idx="27">
                  <c:v>9.9811986465086964</c:v>
                </c:pt>
                <c:pt idx="28">
                  <c:v>9.4451112827222534</c:v>
                </c:pt>
                <c:pt idx="29">
                  <c:v>9.5699186812144301</c:v>
                </c:pt>
                <c:pt idx="30">
                  <c:v>9.3483994873678515</c:v>
                </c:pt>
                <c:pt idx="31">
                  <c:v>9.5130920649751634</c:v>
                </c:pt>
                <c:pt idx="32">
                  <c:v>9.5056077736922795</c:v>
                </c:pt>
                <c:pt idx="33">
                  <c:v>9.7400932614686244</c:v>
                </c:pt>
                <c:pt idx="34">
                  <c:v>10.063753603728696</c:v>
                </c:pt>
                <c:pt idx="35">
                  <c:v>9.7368528067745572</c:v>
                </c:pt>
                <c:pt idx="36">
                  <c:v>10.958165526923116</c:v>
                </c:pt>
                <c:pt idx="37">
                  <c:v>10.415215923287338</c:v>
                </c:pt>
                <c:pt idx="38">
                  <c:v>10.239723276258083</c:v>
                </c:pt>
                <c:pt idx="39">
                  <c:v>10.163713630455012</c:v>
                </c:pt>
                <c:pt idx="40">
                  <c:v>10.44659653265987</c:v>
                </c:pt>
                <c:pt idx="41">
                  <c:v>10.29989075571647</c:v>
                </c:pt>
                <c:pt idx="42">
                  <c:v>9.2837976328794731</c:v>
                </c:pt>
                <c:pt idx="43">
                  <c:v>8.314415988939885</c:v>
                </c:pt>
                <c:pt idx="44">
                  <c:v>8.1557647136374509</c:v>
                </c:pt>
                <c:pt idx="45">
                  <c:v>9.4241290454694226</c:v>
                </c:pt>
                <c:pt idx="46">
                  <c:v>9.7514588970811609</c:v>
                </c:pt>
                <c:pt idx="47">
                  <c:v>9.7067611776729184</c:v>
                </c:pt>
                <c:pt idx="48">
                  <c:v>9.5703932605661226</c:v>
                </c:pt>
                <c:pt idx="49">
                  <c:v>10.031628137647246</c:v>
                </c:pt>
                <c:pt idx="50">
                  <c:v>10.068340862950375</c:v>
                </c:pt>
                <c:pt idx="51">
                  <c:v>8.6074725325457511</c:v>
                </c:pt>
                <c:pt idx="52">
                  <c:v>7.5499725725086932</c:v>
                </c:pt>
                <c:pt idx="53">
                  <c:v>7.8260096286077356</c:v>
                </c:pt>
                <c:pt idx="54">
                  <c:v>7.7648228310944747</c:v>
                </c:pt>
                <c:pt idx="55">
                  <c:v>8.5302639327016472</c:v>
                </c:pt>
                <c:pt idx="56">
                  <c:v>10.511877480983086</c:v>
                </c:pt>
                <c:pt idx="57">
                  <c:v>10.757986952006645</c:v>
                </c:pt>
                <c:pt idx="58">
                  <c:v>9.0159528418493302</c:v>
                </c:pt>
                <c:pt idx="59">
                  <c:v>8.5581088040505673</c:v>
                </c:pt>
                <c:pt idx="60">
                  <c:v>8.5894975143044281</c:v>
                </c:pt>
                <c:pt idx="61">
                  <c:v>8.9628243978556323</c:v>
                </c:pt>
                <c:pt idx="62">
                  <c:v>9.3014543441882953</c:v>
                </c:pt>
                <c:pt idx="63">
                  <c:v>9.5420442439306541</c:v>
                </c:pt>
                <c:pt idx="64">
                  <c:v>9.482178186228607</c:v>
                </c:pt>
                <c:pt idx="65">
                  <c:v>10.444746848946645</c:v>
                </c:pt>
                <c:pt idx="66">
                  <c:v>10.050958418377283</c:v>
                </c:pt>
                <c:pt idx="67">
                  <c:v>8.3508469442815283</c:v>
                </c:pt>
                <c:pt idx="68">
                  <c:v>8.4347032170081739</c:v>
                </c:pt>
                <c:pt idx="69">
                  <c:v>8.0658852043087261</c:v>
                </c:pt>
                <c:pt idx="70">
                  <c:v>9.4739123961865328</c:v>
                </c:pt>
                <c:pt idx="71">
                  <c:v>10.454647610750213</c:v>
                </c:pt>
                <c:pt idx="72">
                  <c:v>10.603463830360218</c:v>
                </c:pt>
                <c:pt idx="73">
                  <c:v>9.9222670769625498</c:v>
                </c:pt>
                <c:pt idx="74">
                  <c:v>10.166295603690134</c:v>
                </c:pt>
                <c:pt idx="75">
                  <c:v>10.893596450094927</c:v>
                </c:pt>
                <c:pt idx="76">
                  <c:v>10.548425848018711</c:v>
                </c:pt>
                <c:pt idx="77">
                  <c:v>9.8531145991557008</c:v>
                </c:pt>
                <c:pt idx="78">
                  <c:v>9.8205161256607472</c:v>
                </c:pt>
                <c:pt idx="79">
                  <c:v>9.6770631684634942</c:v>
                </c:pt>
                <c:pt idx="80">
                  <c:v>9.3319726517423316</c:v>
                </c:pt>
                <c:pt idx="81">
                  <c:v>10.103527783031282</c:v>
                </c:pt>
                <c:pt idx="82">
                  <c:v>10.41289682611502</c:v>
                </c:pt>
                <c:pt idx="83">
                  <c:v>10.450942933118553</c:v>
                </c:pt>
                <c:pt idx="84">
                  <c:v>11.255929093728016</c:v>
                </c:pt>
                <c:pt idx="85">
                  <c:v>10.680193609124153</c:v>
                </c:pt>
                <c:pt idx="86">
                  <c:v>9.9226157720847912</c:v>
                </c:pt>
                <c:pt idx="87">
                  <c:v>9.9186454135287896</c:v>
                </c:pt>
                <c:pt idx="88">
                  <c:v>9.9542316403049629</c:v>
                </c:pt>
                <c:pt idx="89">
                  <c:v>9.6367478382128144</c:v>
                </c:pt>
                <c:pt idx="90">
                  <c:v>9.2895572025230422</c:v>
                </c:pt>
                <c:pt idx="91">
                  <c:v>9.269523794771807</c:v>
                </c:pt>
                <c:pt idx="92">
                  <c:v>10.595930252815581</c:v>
                </c:pt>
                <c:pt idx="93">
                  <c:v>10.603212918784088</c:v>
                </c:pt>
                <c:pt idx="94">
                  <c:v>10.004646914648768</c:v>
                </c:pt>
                <c:pt idx="95">
                  <c:v>10.17784300195742</c:v>
                </c:pt>
                <c:pt idx="96">
                  <c:v>11.144884641056187</c:v>
                </c:pt>
                <c:pt idx="97">
                  <c:v>11.294781589103591</c:v>
                </c:pt>
                <c:pt idx="98">
                  <c:v>11.038593057195442</c:v>
                </c:pt>
                <c:pt idx="99">
                  <c:v>12.307315935111079</c:v>
                </c:pt>
                <c:pt idx="100">
                  <c:v>10.779073239568397</c:v>
                </c:pt>
                <c:pt idx="101">
                  <c:v>10.537658872833836</c:v>
                </c:pt>
                <c:pt idx="102">
                  <c:v>11.107077487472019</c:v>
                </c:pt>
                <c:pt idx="103">
                  <c:v>11.982819923086199</c:v>
                </c:pt>
                <c:pt idx="104">
                  <c:v>10.995870070165603</c:v>
                </c:pt>
                <c:pt idx="105">
                  <c:v>11.251900558185552</c:v>
                </c:pt>
                <c:pt idx="106">
                  <c:v>10.200735954758777</c:v>
                </c:pt>
                <c:pt idx="107">
                  <c:v>12.000495041511824</c:v>
                </c:pt>
                <c:pt idx="108">
                  <c:v>11.195542295698949</c:v>
                </c:pt>
                <c:pt idx="109">
                  <c:v>10.945943920725361</c:v>
                </c:pt>
                <c:pt idx="110">
                  <c:v>9.8967343569718107</c:v>
                </c:pt>
                <c:pt idx="111">
                  <c:v>10.309314086814139</c:v>
                </c:pt>
                <c:pt idx="112">
                  <c:v>10.706718031264961</c:v>
                </c:pt>
                <c:pt idx="113">
                  <c:v>11.710213405351098</c:v>
                </c:pt>
                <c:pt idx="114">
                  <c:v>12.017516997977292</c:v>
                </c:pt>
                <c:pt idx="115">
                  <c:v>10.523384122942756</c:v>
                </c:pt>
                <c:pt idx="116">
                  <c:v>11.131706764483406</c:v>
                </c:pt>
                <c:pt idx="117">
                  <c:v>10.61646463719908</c:v>
                </c:pt>
                <c:pt idx="118">
                  <c:v>11.119129829244436</c:v>
                </c:pt>
                <c:pt idx="119">
                  <c:v>10.806653358176433</c:v>
                </c:pt>
                <c:pt idx="120">
                  <c:v>10.132610628771005</c:v>
                </c:pt>
                <c:pt idx="121">
                  <c:v>11.567487315807316</c:v>
                </c:pt>
                <c:pt idx="122">
                  <c:v>11.569949238147505</c:v>
                </c:pt>
                <c:pt idx="123">
                  <c:v>10.2607635704102</c:v>
                </c:pt>
                <c:pt idx="124">
                  <c:v>11.614051442857413</c:v>
                </c:pt>
                <c:pt idx="125">
                  <c:v>12.288698414070018</c:v>
                </c:pt>
                <c:pt idx="126">
                  <c:v>13.08046029060988</c:v>
                </c:pt>
                <c:pt idx="127">
                  <c:v>13.270051429946037</c:v>
                </c:pt>
                <c:pt idx="128">
                  <c:v>12.736692795493852</c:v>
                </c:pt>
                <c:pt idx="129">
                  <c:v>12.140601979230137</c:v>
                </c:pt>
                <c:pt idx="130">
                  <c:v>11.267594262961055</c:v>
                </c:pt>
                <c:pt idx="131">
                  <c:v>11.052045818381522</c:v>
                </c:pt>
                <c:pt idx="132">
                  <c:v>11.245113367564766</c:v>
                </c:pt>
                <c:pt idx="133">
                  <c:v>10.97514956983607</c:v>
                </c:pt>
                <c:pt idx="134">
                  <c:v>10.94207874705983</c:v>
                </c:pt>
                <c:pt idx="135">
                  <c:v>12.899869095753983</c:v>
                </c:pt>
                <c:pt idx="136">
                  <c:v>12.843226142123795</c:v>
                </c:pt>
                <c:pt idx="137">
                  <c:v>12.974661344190668</c:v>
                </c:pt>
                <c:pt idx="138">
                  <c:v>12.889267556219316</c:v>
                </c:pt>
                <c:pt idx="139">
                  <c:v>12.285364859992415</c:v>
                </c:pt>
                <c:pt idx="140">
                  <c:v>11.547119436373384</c:v>
                </c:pt>
                <c:pt idx="141">
                  <c:v>11.638736904374069</c:v>
                </c:pt>
                <c:pt idx="142">
                  <c:v>10.638241791808213</c:v>
                </c:pt>
                <c:pt idx="143">
                  <c:v>11.716418458732434</c:v>
                </c:pt>
                <c:pt idx="144">
                  <c:v>11.073501813112294</c:v>
                </c:pt>
                <c:pt idx="145">
                  <c:v>11.349517284881406</c:v>
                </c:pt>
                <c:pt idx="146">
                  <c:v>11.23739413834091</c:v>
                </c:pt>
                <c:pt idx="147">
                  <c:v>10.517553710766791</c:v>
                </c:pt>
                <c:pt idx="148">
                  <c:v>12.553445073219091</c:v>
                </c:pt>
                <c:pt idx="149">
                  <c:v>13.300156815666076</c:v>
                </c:pt>
                <c:pt idx="150">
                  <c:v>12.269705696182934</c:v>
                </c:pt>
                <c:pt idx="151">
                  <c:v>11.549028022571981</c:v>
                </c:pt>
                <c:pt idx="152">
                  <c:v>11.79704365421258</c:v>
                </c:pt>
              </c:numCache>
            </c:numRef>
          </c:yVal>
        </c:ser>
        <c:axId val="138579328"/>
        <c:axId val="138577792"/>
      </c:scatterChart>
      <c:valAx>
        <c:axId val="138570368"/>
        <c:scaling>
          <c:orientation val="minMax"/>
        </c:scaling>
        <c:axPos val="b"/>
        <c:numFmt formatCode="d\-mmm\-yy" sourceLinked="1"/>
        <c:tickLblPos val="nextTo"/>
        <c:crossAx val="138576256"/>
        <c:crosses val="autoZero"/>
        <c:crossBetween val="midCat"/>
      </c:valAx>
      <c:valAx>
        <c:axId val="138576256"/>
        <c:scaling>
          <c:orientation val="minMax"/>
        </c:scaling>
        <c:axPos val="l"/>
        <c:majorGridlines/>
        <c:numFmt formatCode="General" sourceLinked="1"/>
        <c:tickLblPos val="nextTo"/>
        <c:crossAx val="138570368"/>
        <c:crosses val="autoZero"/>
        <c:crossBetween val="midCat"/>
      </c:valAx>
      <c:valAx>
        <c:axId val="138577792"/>
        <c:scaling>
          <c:orientation val="minMax"/>
        </c:scaling>
        <c:axPos val="r"/>
        <c:numFmt formatCode="General" sourceLinked="1"/>
        <c:tickLblPos val="nextTo"/>
        <c:crossAx val="138579328"/>
        <c:crosses val="max"/>
        <c:crossBetween val="midCat"/>
      </c:valAx>
      <c:valAx>
        <c:axId val="138579328"/>
        <c:scaling>
          <c:orientation val="minMax"/>
        </c:scaling>
        <c:delete val="1"/>
        <c:axPos val="b"/>
        <c:numFmt formatCode="d\-mmm\-yy" sourceLinked="1"/>
        <c:tickLblPos val="none"/>
        <c:crossAx val="138577792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AU"/>
  <c:chart>
    <c:plotArea>
      <c:layout/>
      <c:scatterChart>
        <c:scatterStyle val="lineMarker"/>
        <c:ser>
          <c:idx val="0"/>
          <c:order val="0"/>
          <c:spPr>
            <a:ln w="28575">
              <a:noFill/>
            </a:ln>
          </c:spPr>
          <c:xVal>
            <c:numRef>
              <c:f>Kununurra!$AO$4:$AO$6</c:f>
              <c:numCache>
                <c:formatCode>General</c:formatCode>
                <c:ptCount val="3"/>
              </c:numCache>
            </c:numRef>
          </c:xVal>
          <c:yVal>
            <c:numRef>
              <c:f>Kununurra!$W$4:$W$6</c:f>
              <c:numCache>
                <c:formatCode>General</c:formatCode>
                <c:ptCount val="3"/>
              </c:numCache>
            </c:numRef>
          </c:yVal>
        </c:ser>
        <c:ser>
          <c:idx val="1"/>
          <c:order val="1"/>
          <c:spPr>
            <a:ln w="28575">
              <a:noFill/>
            </a:ln>
          </c:spPr>
          <c:xVal>
            <c:numRef>
              <c:f>Kununurra!$AO$7:$AO$9</c:f>
              <c:numCache>
                <c:formatCode>General</c:formatCode>
                <c:ptCount val="3"/>
              </c:numCache>
            </c:numRef>
          </c:xVal>
          <c:yVal>
            <c:numRef>
              <c:f>Kununurra!$W$7:$W$9</c:f>
              <c:numCache>
                <c:formatCode>General</c:formatCode>
                <c:ptCount val="3"/>
              </c:numCache>
            </c:numRef>
          </c:yVal>
        </c:ser>
        <c:ser>
          <c:idx val="2"/>
          <c:order val="2"/>
          <c:spPr>
            <a:ln w="28575">
              <a:noFill/>
            </a:ln>
          </c:spPr>
          <c:xVal>
            <c:numRef>
              <c:f>Kununurra!$AO$10:$AO$12</c:f>
              <c:numCache>
                <c:formatCode>General</c:formatCode>
                <c:ptCount val="3"/>
              </c:numCache>
            </c:numRef>
          </c:xVal>
          <c:yVal>
            <c:numRef>
              <c:f>Kununurra!$W$10:$W$12</c:f>
              <c:numCache>
                <c:formatCode>General</c:formatCode>
                <c:ptCount val="3"/>
              </c:numCache>
            </c:numRef>
          </c:yVal>
        </c:ser>
        <c:ser>
          <c:idx val="3"/>
          <c:order val="3"/>
          <c:spPr>
            <a:ln w="28575">
              <a:noFill/>
            </a:ln>
          </c:spPr>
          <c:xVal>
            <c:numRef>
              <c:f>Kununurra!$AO$13:$AO$15</c:f>
              <c:numCache>
                <c:formatCode>General</c:formatCode>
                <c:ptCount val="3"/>
              </c:numCache>
            </c:numRef>
          </c:xVal>
          <c:yVal>
            <c:numRef>
              <c:f>Kununurra!$W$13:$W$15</c:f>
              <c:numCache>
                <c:formatCode>General</c:formatCode>
                <c:ptCount val="3"/>
              </c:numCache>
            </c:numRef>
          </c:yVal>
        </c:ser>
        <c:axId val="138638464"/>
        <c:axId val="138640000"/>
      </c:scatterChart>
      <c:valAx>
        <c:axId val="138638464"/>
        <c:scaling>
          <c:orientation val="minMax"/>
        </c:scaling>
        <c:axPos val="b"/>
        <c:numFmt formatCode="General" sourceLinked="1"/>
        <c:tickLblPos val="nextTo"/>
        <c:crossAx val="138640000"/>
        <c:crosses val="autoZero"/>
        <c:crossBetween val="midCat"/>
      </c:valAx>
      <c:valAx>
        <c:axId val="138640000"/>
        <c:scaling>
          <c:orientation val="minMax"/>
        </c:scaling>
        <c:axPos val="l"/>
        <c:majorGridlines/>
        <c:numFmt formatCode="General" sourceLinked="1"/>
        <c:tickLblPos val="nextTo"/>
        <c:crossAx val="138638464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155" l="0.70000000000000062" r="0.70000000000000062" t="0.75000000000000155" header="0.30000000000000032" footer="0.3000000000000003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AU"/>
  <c:chart>
    <c:plotArea>
      <c:layout/>
      <c:scatterChart>
        <c:scatterStyle val="lineMarker"/>
        <c:ser>
          <c:idx val="0"/>
          <c:order val="0"/>
          <c:spPr>
            <a:ln w="28575">
              <a:noFill/>
            </a:ln>
          </c:spPr>
          <c:xVal>
            <c:numRef>
              <c:f>Kununurra!$AO$4:$AO$6</c:f>
              <c:numCache>
                <c:formatCode>General</c:formatCode>
                <c:ptCount val="3"/>
              </c:numCache>
            </c:numRef>
          </c:xVal>
          <c:yVal>
            <c:numRef>
              <c:f>Kununurra!$AF$4:$AF$6</c:f>
              <c:numCache>
                <c:formatCode>General</c:formatCode>
                <c:ptCount val="3"/>
              </c:numCache>
            </c:numRef>
          </c:yVal>
        </c:ser>
        <c:ser>
          <c:idx val="1"/>
          <c:order val="1"/>
          <c:spPr>
            <a:ln w="28575">
              <a:noFill/>
            </a:ln>
          </c:spPr>
          <c:xVal>
            <c:numRef>
              <c:f>Kununurra!$AO$7:$AO$9</c:f>
              <c:numCache>
                <c:formatCode>General</c:formatCode>
                <c:ptCount val="3"/>
              </c:numCache>
            </c:numRef>
          </c:xVal>
          <c:yVal>
            <c:numRef>
              <c:f>Kununurra!$AF$7:$AF$9</c:f>
              <c:numCache>
                <c:formatCode>General</c:formatCode>
                <c:ptCount val="3"/>
              </c:numCache>
            </c:numRef>
          </c:yVal>
        </c:ser>
        <c:ser>
          <c:idx val="2"/>
          <c:order val="2"/>
          <c:spPr>
            <a:ln w="28575">
              <a:noFill/>
            </a:ln>
          </c:spPr>
          <c:xVal>
            <c:numRef>
              <c:f>Kununurra!$AO$10:$AO$12</c:f>
              <c:numCache>
                <c:formatCode>General</c:formatCode>
                <c:ptCount val="3"/>
              </c:numCache>
            </c:numRef>
          </c:xVal>
          <c:yVal>
            <c:numRef>
              <c:f>Kununurra!$AF$10:$AF$12</c:f>
              <c:numCache>
                <c:formatCode>General</c:formatCode>
                <c:ptCount val="3"/>
              </c:numCache>
            </c:numRef>
          </c:yVal>
        </c:ser>
        <c:ser>
          <c:idx val="3"/>
          <c:order val="3"/>
          <c:spPr>
            <a:ln w="28575">
              <a:noFill/>
            </a:ln>
          </c:spPr>
          <c:xVal>
            <c:numRef>
              <c:f>Kununurra!$AO$13:$AO$15</c:f>
              <c:numCache>
                <c:formatCode>General</c:formatCode>
                <c:ptCount val="3"/>
              </c:numCache>
            </c:numRef>
          </c:xVal>
          <c:yVal>
            <c:numRef>
              <c:f>Kununurra!$AF$13:$AF$15</c:f>
              <c:numCache>
                <c:formatCode>General</c:formatCode>
                <c:ptCount val="3"/>
              </c:numCache>
            </c:numRef>
          </c:yVal>
        </c:ser>
        <c:axId val="138695040"/>
        <c:axId val="138696576"/>
      </c:scatterChart>
      <c:valAx>
        <c:axId val="138695040"/>
        <c:scaling>
          <c:orientation val="minMax"/>
        </c:scaling>
        <c:axPos val="b"/>
        <c:numFmt formatCode="General" sourceLinked="1"/>
        <c:tickLblPos val="nextTo"/>
        <c:crossAx val="138696576"/>
        <c:crosses val="autoZero"/>
        <c:crossBetween val="midCat"/>
      </c:valAx>
      <c:valAx>
        <c:axId val="138696576"/>
        <c:scaling>
          <c:orientation val="minMax"/>
        </c:scaling>
        <c:axPos val="l"/>
        <c:majorGridlines/>
        <c:numFmt formatCode="General" sourceLinked="1"/>
        <c:tickLblPos val="nextTo"/>
        <c:crossAx val="138695040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AU"/>
  <c:chart>
    <c:autoTitleDeleted val="1"/>
    <c:plotArea>
      <c:layout/>
      <c:scatterChart>
        <c:scatterStyle val="lineMarker"/>
        <c:ser>
          <c:idx val="0"/>
          <c:order val="0"/>
          <c:tx>
            <c:strRef>
              <c:f>Beverley!$P$4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circle"/>
            <c:size val="7"/>
          </c:marker>
          <c:xVal>
            <c:numRef>
              <c:f>Beverley!$AO$4:$AO$6</c:f>
              <c:numCache>
                <c:formatCode>General</c:formatCode>
                <c:ptCount val="3"/>
              </c:numCache>
            </c:numRef>
          </c:xVal>
          <c:yVal>
            <c:numRef>
              <c:f>Beverley!$AP$4:$AP$6</c:f>
              <c:numCache>
                <c:formatCode>General</c:formatCode>
                <c:ptCount val="3"/>
              </c:numCache>
            </c:numRef>
          </c:yVal>
        </c:ser>
        <c:ser>
          <c:idx val="1"/>
          <c:order val="1"/>
          <c:tx>
            <c:strRef>
              <c:f>Beverley!$P$7</c:f>
              <c:strCache>
                <c:ptCount val="1"/>
              </c:strCache>
            </c:strRef>
          </c:tx>
          <c:spPr>
            <a:ln w="28575">
              <a:noFill/>
            </a:ln>
          </c:spPr>
          <c:xVal>
            <c:numRef>
              <c:f>Beverley!$AO$7:$AO$9</c:f>
              <c:numCache>
                <c:formatCode>General</c:formatCode>
                <c:ptCount val="3"/>
              </c:numCache>
            </c:numRef>
          </c:xVal>
          <c:yVal>
            <c:numRef>
              <c:f>Beverley!$AP$7:$AP$9</c:f>
              <c:numCache>
                <c:formatCode>General</c:formatCode>
                <c:ptCount val="3"/>
              </c:numCache>
            </c:numRef>
          </c:yVal>
        </c:ser>
        <c:ser>
          <c:idx val="2"/>
          <c:order val="2"/>
          <c:tx>
            <c:strRef>
              <c:f>Beverley!$P$10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circle"/>
            <c:size val="7"/>
          </c:marker>
          <c:xVal>
            <c:numRef>
              <c:f>Beverley!$AO$10:$AO$12</c:f>
              <c:numCache>
                <c:formatCode>General</c:formatCode>
                <c:ptCount val="3"/>
              </c:numCache>
            </c:numRef>
          </c:xVal>
          <c:yVal>
            <c:numRef>
              <c:f>Beverley!$AP$10:$AP$12</c:f>
              <c:numCache>
                <c:formatCode>General</c:formatCode>
                <c:ptCount val="3"/>
              </c:numCache>
            </c:numRef>
          </c:yVal>
        </c:ser>
        <c:ser>
          <c:idx val="3"/>
          <c:order val="3"/>
          <c:tx>
            <c:strRef>
              <c:f>Beverley!$P$13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circle"/>
            <c:size val="7"/>
          </c:marker>
          <c:xVal>
            <c:numRef>
              <c:f>Beverley!$AO$13:$AO$15</c:f>
              <c:numCache>
                <c:formatCode>General</c:formatCode>
                <c:ptCount val="3"/>
              </c:numCache>
            </c:numRef>
          </c:xVal>
          <c:yVal>
            <c:numRef>
              <c:f>Beverley!$AP$13:$AP$15</c:f>
              <c:numCache>
                <c:formatCode>General</c:formatCode>
                <c:ptCount val="3"/>
              </c:numCache>
            </c:numRef>
          </c:yVal>
        </c:ser>
        <c:ser>
          <c:idx val="4"/>
          <c:order val="4"/>
          <c:spPr>
            <a:ln w="285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Herm8889!#REF!</c:f>
            </c:numRef>
          </c:xVal>
          <c:yVal>
            <c:numRef>
              <c:f>Herm8889!#REF!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</c:ser>
        <c:ser>
          <c:idx val="5"/>
          <c:order val="5"/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Herm8889!#REF!</c:f>
            </c:numRef>
          </c:xVal>
          <c:yVal>
            <c:numRef>
              <c:f>Herm8889!#REF!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</c:ser>
        <c:ser>
          <c:idx val="6"/>
          <c:order val="6"/>
          <c:spPr>
            <a:ln w="28575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Herm8889!#REF!</c:f>
            </c:numRef>
          </c:xVal>
          <c:yVal>
            <c:numRef>
              <c:f>Herm8889!#REF!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</c:ser>
        <c:ser>
          <c:idx val="7"/>
          <c:order val="7"/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Herm8889!#REF!</c:f>
            </c:numRef>
          </c:xVal>
          <c:yVal>
            <c:numRef>
              <c:f>Herm8889!#REF!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</c:ser>
        <c:axId val="139017216"/>
        <c:axId val="139031296"/>
      </c:scatterChart>
      <c:valAx>
        <c:axId val="139017216"/>
        <c:scaling>
          <c:orientation val="minMax"/>
          <c:max val="14"/>
          <c:min val="11"/>
        </c:scaling>
        <c:axPos val="b"/>
        <c:numFmt formatCode="General" sourceLinked="1"/>
        <c:tickLblPos val="nextTo"/>
        <c:crossAx val="139031296"/>
        <c:crosses val="autoZero"/>
        <c:crossBetween val="midCat"/>
      </c:valAx>
      <c:valAx>
        <c:axId val="139031296"/>
        <c:scaling>
          <c:orientation val="minMax"/>
          <c:max val="600"/>
        </c:scaling>
        <c:axPos val="l"/>
        <c:majorGridlines/>
        <c:numFmt formatCode="General" sourceLinked="1"/>
        <c:tickLblPos val="nextTo"/>
        <c:crossAx val="139017216"/>
        <c:crosses val="autoZero"/>
        <c:crossBetween val="midCat"/>
      </c:valAx>
    </c:plotArea>
    <c:legend>
      <c:legendPos val="r"/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7"/>
        <c:delete val="1"/>
      </c:legendEntry>
    </c:legend>
    <c:plotVisOnly val="1"/>
  </c:chart>
  <c:printSettings>
    <c:headerFooter/>
    <c:pageMargins b="0.75000000000000266" l="0.70000000000000062" r="0.70000000000000062" t="0.75000000000000266" header="0.30000000000000032" footer="0.30000000000000032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AU"/>
  <c:chart>
    <c:title>
      <c:tx>
        <c:rich>
          <a:bodyPr/>
          <a:lstStyle/>
          <a:p>
            <a:pPr>
              <a:defRPr/>
            </a:pPr>
            <a:r>
              <a:rPr lang="en-AU"/>
              <a:t>Final</a:t>
            </a:r>
            <a:r>
              <a:rPr lang="en-AU" baseline="0"/>
              <a:t> Leaf Number</a:t>
            </a:r>
            <a:endParaRPr lang="en-AU"/>
          </a:p>
        </c:rich>
      </c:tx>
    </c:title>
    <c:plotArea>
      <c:layout>
        <c:manualLayout>
          <c:layoutTarget val="inner"/>
          <c:xMode val="edge"/>
          <c:yMode val="edge"/>
          <c:x val="0.11705432146185012"/>
          <c:y val="0.21072332174694391"/>
          <c:w val="0.78177133346136662"/>
          <c:h val="0.66389302688515506"/>
        </c:manualLayout>
      </c:layout>
      <c:scatterChart>
        <c:scatterStyle val="lineMarker"/>
        <c:ser>
          <c:idx val="0"/>
          <c:order val="0"/>
          <c:tx>
            <c:strRef>
              <c:f>Beverley!$AK$3</c:f>
              <c:strCache>
                <c:ptCount val="1"/>
              </c:strCache>
            </c:strRef>
          </c:tx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layout>
                <c:manualLayout>
                  <c:x val="0.35788221784777152"/>
                  <c:y val="0.39646557338227795"/>
                </c:manualLayout>
              </c:layout>
              <c:numFmt formatCode="General" sourceLinked="0"/>
            </c:trendlineLbl>
          </c:trendline>
          <c:xVal>
            <c:numRef>
              <c:f>Beverley!$W$4:$W$15</c:f>
              <c:numCache>
                <c:formatCode>General</c:formatCode>
                <c:ptCount val="12"/>
              </c:numCache>
            </c:numRef>
          </c:xVal>
          <c:yVal>
            <c:numRef>
              <c:f>Beverley!$AK$4:$AK$15</c:f>
              <c:numCache>
                <c:formatCode>General</c:formatCode>
                <c:ptCount val="12"/>
              </c:numCache>
            </c:numRef>
          </c:yVal>
        </c:ser>
        <c:ser>
          <c:idx val="1"/>
          <c:order val="1"/>
          <c:spPr>
            <a:ln w="285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Beverley!$O$1</c:f>
              <c:numCache>
                <c:formatCode>General</c:formatCode>
                <c:ptCount val="1"/>
              </c:numCache>
            </c:numRef>
          </c:xVal>
          <c:yVal>
            <c:numRef>
              <c:f>Beverley!$P$1</c:f>
              <c:numCache>
                <c:formatCode>General</c:formatCode>
                <c:ptCount val="1"/>
              </c:numCache>
            </c:numRef>
          </c:yVal>
        </c:ser>
        <c:axId val="139058560"/>
        <c:axId val="139084928"/>
      </c:scatterChart>
      <c:valAx>
        <c:axId val="139058560"/>
        <c:scaling>
          <c:orientation val="minMax"/>
        </c:scaling>
        <c:axPos val="b"/>
        <c:numFmt formatCode="General" sourceLinked="1"/>
        <c:tickLblPos val="nextTo"/>
        <c:crossAx val="139084928"/>
        <c:crosses val="autoZero"/>
        <c:crossBetween val="midCat"/>
      </c:valAx>
      <c:valAx>
        <c:axId val="139084928"/>
        <c:scaling>
          <c:orientation val="minMax"/>
        </c:scaling>
        <c:axPos val="l"/>
        <c:majorGridlines/>
        <c:numFmt formatCode="General" sourceLinked="1"/>
        <c:tickLblPos val="nextTo"/>
        <c:crossAx val="139058560"/>
        <c:crosses val="autoZero"/>
        <c:crossBetween val="midCat"/>
      </c:valAx>
    </c:plotArea>
    <c:plotVisOnly val="1"/>
  </c:chart>
  <c:printSettings>
    <c:headerFooter/>
    <c:pageMargins b="0.75000000000000244" l="0.70000000000000062" r="0.70000000000000062" t="0.75000000000000244" header="0.30000000000000032" footer="0.30000000000000032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AU"/>
  <c:chart>
    <c:title/>
    <c:plotArea>
      <c:layout/>
      <c:scatterChart>
        <c:scatterStyle val="lineMarker"/>
        <c:ser>
          <c:idx val="0"/>
          <c:order val="0"/>
          <c:tx>
            <c:strRef>
              <c:f>Herm8889!#REF!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xVal>
            <c:numRef>
              <c:f>Beverley!$BA$2:$BA$18</c:f>
              <c:numCache>
                <c:formatCode>General</c:formatCode>
                <c:ptCount val="17"/>
              </c:numCache>
            </c:numRef>
          </c:xVal>
          <c:yVal>
            <c:numRef>
              <c:f>Herm8889!#REF!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</c:ser>
        <c:axId val="139104640"/>
        <c:axId val="139106176"/>
      </c:scatterChart>
      <c:valAx>
        <c:axId val="139104640"/>
        <c:scaling>
          <c:orientation val="minMax"/>
        </c:scaling>
        <c:axPos val="b"/>
        <c:numFmt formatCode="General" sourceLinked="1"/>
        <c:tickLblPos val="nextTo"/>
        <c:crossAx val="139106176"/>
        <c:crosses val="autoZero"/>
        <c:crossBetween val="midCat"/>
      </c:valAx>
      <c:valAx>
        <c:axId val="139106176"/>
        <c:scaling>
          <c:orientation val="minMax"/>
        </c:scaling>
        <c:axPos val="l"/>
        <c:majorGridlines/>
        <c:numFmt formatCode="General" sourceLinked="1"/>
        <c:tickLblPos val="nextTo"/>
        <c:crossAx val="139104640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AU"/>
  <c:chart>
    <c:plotArea>
      <c:layout/>
      <c:scatterChart>
        <c:scatterStyle val="lineMarker"/>
        <c:ser>
          <c:idx val="0"/>
          <c:order val="0"/>
          <c:tx>
            <c:strRef>
              <c:f>Beverley!$C$3</c:f>
              <c:strCache>
                <c:ptCount val="1"/>
                <c:pt idx="0">
                  <c:v>PP</c:v>
                </c:pt>
              </c:strCache>
            </c:strRef>
          </c:tx>
          <c:marker>
            <c:symbol val="none"/>
          </c:marker>
          <c:xVal>
            <c:numRef>
              <c:f>Beverley!$A$4:$A$368</c:f>
              <c:numCache>
                <c:formatCode>d\-mmm\-yy</c:formatCode>
                <c:ptCount val="365"/>
                <c:pt idx="0">
                  <c:v>32652</c:v>
                </c:pt>
                <c:pt idx="1">
                  <c:v>32653</c:v>
                </c:pt>
                <c:pt idx="2">
                  <c:v>32654</c:v>
                </c:pt>
                <c:pt idx="3">
                  <c:v>32655</c:v>
                </c:pt>
                <c:pt idx="4">
                  <c:v>32656</c:v>
                </c:pt>
                <c:pt idx="5">
                  <c:v>32657</c:v>
                </c:pt>
                <c:pt idx="6">
                  <c:v>32658</c:v>
                </c:pt>
                <c:pt idx="7">
                  <c:v>32659</c:v>
                </c:pt>
                <c:pt idx="8">
                  <c:v>32660</c:v>
                </c:pt>
                <c:pt idx="9">
                  <c:v>32661</c:v>
                </c:pt>
                <c:pt idx="10">
                  <c:v>32662</c:v>
                </c:pt>
                <c:pt idx="11">
                  <c:v>32663</c:v>
                </c:pt>
                <c:pt idx="12">
                  <c:v>32664</c:v>
                </c:pt>
                <c:pt idx="13">
                  <c:v>32665</c:v>
                </c:pt>
                <c:pt idx="14">
                  <c:v>32666</c:v>
                </c:pt>
                <c:pt idx="15">
                  <c:v>32667</c:v>
                </c:pt>
                <c:pt idx="16">
                  <c:v>32668</c:v>
                </c:pt>
                <c:pt idx="17">
                  <c:v>32669</c:v>
                </c:pt>
                <c:pt idx="18">
                  <c:v>32670</c:v>
                </c:pt>
                <c:pt idx="19">
                  <c:v>32671</c:v>
                </c:pt>
                <c:pt idx="20">
                  <c:v>32672</c:v>
                </c:pt>
                <c:pt idx="21">
                  <c:v>32673</c:v>
                </c:pt>
                <c:pt idx="22">
                  <c:v>32674</c:v>
                </c:pt>
                <c:pt idx="23">
                  <c:v>32675</c:v>
                </c:pt>
                <c:pt idx="24">
                  <c:v>32676</c:v>
                </c:pt>
                <c:pt idx="25">
                  <c:v>32677</c:v>
                </c:pt>
                <c:pt idx="26">
                  <c:v>32678</c:v>
                </c:pt>
                <c:pt idx="27">
                  <c:v>32679</c:v>
                </c:pt>
                <c:pt idx="28">
                  <c:v>32680</c:v>
                </c:pt>
                <c:pt idx="29">
                  <c:v>32681</c:v>
                </c:pt>
                <c:pt idx="30">
                  <c:v>32682</c:v>
                </c:pt>
                <c:pt idx="31">
                  <c:v>32683</c:v>
                </c:pt>
                <c:pt idx="32">
                  <c:v>32684</c:v>
                </c:pt>
                <c:pt idx="33">
                  <c:v>32685</c:v>
                </c:pt>
                <c:pt idx="34">
                  <c:v>32686</c:v>
                </c:pt>
                <c:pt idx="35">
                  <c:v>32687</c:v>
                </c:pt>
                <c:pt idx="36">
                  <c:v>32688</c:v>
                </c:pt>
                <c:pt idx="37">
                  <c:v>32689</c:v>
                </c:pt>
                <c:pt idx="38">
                  <c:v>32690</c:v>
                </c:pt>
                <c:pt idx="39">
                  <c:v>32691</c:v>
                </c:pt>
                <c:pt idx="40">
                  <c:v>32692</c:v>
                </c:pt>
                <c:pt idx="41">
                  <c:v>32693</c:v>
                </c:pt>
                <c:pt idx="42">
                  <c:v>32694</c:v>
                </c:pt>
                <c:pt idx="43">
                  <c:v>32695</c:v>
                </c:pt>
                <c:pt idx="44">
                  <c:v>32696</c:v>
                </c:pt>
                <c:pt idx="45">
                  <c:v>32697</c:v>
                </c:pt>
                <c:pt idx="46">
                  <c:v>32698</c:v>
                </c:pt>
                <c:pt idx="47">
                  <c:v>32699</c:v>
                </c:pt>
                <c:pt idx="48">
                  <c:v>32700</c:v>
                </c:pt>
                <c:pt idx="49">
                  <c:v>32701</c:v>
                </c:pt>
                <c:pt idx="50">
                  <c:v>32702</c:v>
                </c:pt>
                <c:pt idx="51">
                  <c:v>32703</c:v>
                </c:pt>
                <c:pt idx="52">
                  <c:v>32704</c:v>
                </c:pt>
                <c:pt idx="53">
                  <c:v>32705</c:v>
                </c:pt>
                <c:pt idx="54">
                  <c:v>32706</c:v>
                </c:pt>
                <c:pt idx="55">
                  <c:v>32707</c:v>
                </c:pt>
                <c:pt idx="56">
                  <c:v>32708</c:v>
                </c:pt>
                <c:pt idx="57">
                  <c:v>32709</c:v>
                </c:pt>
                <c:pt idx="58">
                  <c:v>32710</c:v>
                </c:pt>
                <c:pt idx="59">
                  <c:v>32711</c:v>
                </c:pt>
                <c:pt idx="60">
                  <c:v>32712</c:v>
                </c:pt>
                <c:pt idx="61">
                  <c:v>32713</c:v>
                </c:pt>
                <c:pt idx="62">
                  <c:v>32714</c:v>
                </c:pt>
                <c:pt idx="63">
                  <c:v>32715</c:v>
                </c:pt>
                <c:pt idx="64">
                  <c:v>32716</c:v>
                </c:pt>
                <c:pt idx="65">
                  <c:v>32717</c:v>
                </c:pt>
                <c:pt idx="66">
                  <c:v>32718</c:v>
                </c:pt>
                <c:pt idx="67">
                  <c:v>32719</c:v>
                </c:pt>
                <c:pt idx="68">
                  <c:v>32720</c:v>
                </c:pt>
                <c:pt idx="69">
                  <c:v>32721</c:v>
                </c:pt>
                <c:pt idx="70">
                  <c:v>32722</c:v>
                </c:pt>
                <c:pt idx="71">
                  <c:v>32723</c:v>
                </c:pt>
                <c:pt idx="72">
                  <c:v>32724</c:v>
                </c:pt>
                <c:pt idx="73">
                  <c:v>32725</c:v>
                </c:pt>
                <c:pt idx="74">
                  <c:v>32726</c:v>
                </c:pt>
                <c:pt idx="75">
                  <c:v>32727</c:v>
                </c:pt>
                <c:pt idx="76">
                  <c:v>32728</c:v>
                </c:pt>
                <c:pt idx="77">
                  <c:v>32729</c:v>
                </c:pt>
                <c:pt idx="78">
                  <c:v>32730</c:v>
                </c:pt>
                <c:pt idx="79">
                  <c:v>32731</c:v>
                </c:pt>
                <c:pt idx="80">
                  <c:v>32732</c:v>
                </c:pt>
                <c:pt idx="81">
                  <c:v>32733</c:v>
                </c:pt>
                <c:pt idx="82">
                  <c:v>32734</c:v>
                </c:pt>
                <c:pt idx="83">
                  <c:v>32735</c:v>
                </c:pt>
                <c:pt idx="84">
                  <c:v>32736</c:v>
                </c:pt>
                <c:pt idx="85">
                  <c:v>32737</c:v>
                </c:pt>
                <c:pt idx="86">
                  <c:v>32738</c:v>
                </c:pt>
                <c:pt idx="87">
                  <c:v>32739</c:v>
                </c:pt>
                <c:pt idx="88">
                  <c:v>32740</c:v>
                </c:pt>
                <c:pt idx="89">
                  <c:v>32741</c:v>
                </c:pt>
                <c:pt idx="90">
                  <c:v>32742</c:v>
                </c:pt>
                <c:pt idx="91">
                  <c:v>32743</c:v>
                </c:pt>
                <c:pt idx="92">
                  <c:v>32744</c:v>
                </c:pt>
                <c:pt idx="93">
                  <c:v>32745</c:v>
                </c:pt>
                <c:pt idx="94">
                  <c:v>32746</c:v>
                </c:pt>
                <c:pt idx="95">
                  <c:v>32747</c:v>
                </c:pt>
                <c:pt idx="96">
                  <c:v>32748</c:v>
                </c:pt>
                <c:pt idx="97">
                  <c:v>32749</c:v>
                </c:pt>
                <c:pt idx="98">
                  <c:v>32750</c:v>
                </c:pt>
                <c:pt idx="99">
                  <c:v>32751</c:v>
                </c:pt>
                <c:pt idx="100">
                  <c:v>32752</c:v>
                </c:pt>
                <c:pt idx="101">
                  <c:v>32753</c:v>
                </c:pt>
                <c:pt idx="102">
                  <c:v>32754</c:v>
                </c:pt>
                <c:pt idx="103">
                  <c:v>32755</c:v>
                </c:pt>
                <c:pt idx="104">
                  <c:v>32756</c:v>
                </c:pt>
                <c:pt idx="105">
                  <c:v>32757</c:v>
                </c:pt>
                <c:pt idx="106">
                  <c:v>32758</c:v>
                </c:pt>
                <c:pt idx="107">
                  <c:v>32759</c:v>
                </c:pt>
                <c:pt idx="108">
                  <c:v>32760</c:v>
                </c:pt>
                <c:pt idx="109">
                  <c:v>32761</c:v>
                </c:pt>
                <c:pt idx="110">
                  <c:v>32762</c:v>
                </c:pt>
                <c:pt idx="111">
                  <c:v>32763</c:v>
                </c:pt>
                <c:pt idx="112">
                  <c:v>32764</c:v>
                </c:pt>
                <c:pt idx="113">
                  <c:v>32765</c:v>
                </c:pt>
                <c:pt idx="114">
                  <c:v>32766</c:v>
                </c:pt>
                <c:pt idx="115">
                  <c:v>32767</c:v>
                </c:pt>
                <c:pt idx="116">
                  <c:v>32768</c:v>
                </c:pt>
                <c:pt idx="117">
                  <c:v>32769</c:v>
                </c:pt>
                <c:pt idx="118">
                  <c:v>32770</c:v>
                </c:pt>
                <c:pt idx="119">
                  <c:v>32771</c:v>
                </c:pt>
                <c:pt idx="120">
                  <c:v>32772</c:v>
                </c:pt>
                <c:pt idx="121">
                  <c:v>32773</c:v>
                </c:pt>
                <c:pt idx="122">
                  <c:v>32774</c:v>
                </c:pt>
                <c:pt idx="123">
                  <c:v>32775</c:v>
                </c:pt>
                <c:pt idx="124">
                  <c:v>32776</c:v>
                </c:pt>
                <c:pt idx="125">
                  <c:v>32777</c:v>
                </c:pt>
                <c:pt idx="126">
                  <c:v>32778</c:v>
                </c:pt>
                <c:pt idx="127">
                  <c:v>32779</c:v>
                </c:pt>
                <c:pt idx="128">
                  <c:v>32780</c:v>
                </c:pt>
                <c:pt idx="129">
                  <c:v>32781</c:v>
                </c:pt>
                <c:pt idx="130">
                  <c:v>32782</c:v>
                </c:pt>
                <c:pt idx="131">
                  <c:v>32783</c:v>
                </c:pt>
                <c:pt idx="132">
                  <c:v>32784</c:v>
                </c:pt>
                <c:pt idx="133">
                  <c:v>32785</c:v>
                </c:pt>
                <c:pt idx="134">
                  <c:v>32786</c:v>
                </c:pt>
                <c:pt idx="135">
                  <c:v>32787</c:v>
                </c:pt>
                <c:pt idx="136">
                  <c:v>32788</c:v>
                </c:pt>
                <c:pt idx="137">
                  <c:v>32789</c:v>
                </c:pt>
                <c:pt idx="138">
                  <c:v>32790</c:v>
                </c:pt>
                <c:pt idx="139">
                  <c:v>32791</c:v>
                </c:pt>
                <c:pt idx="140">
                  <c:v>32792</c:v>
                </c:pt>
                <c:pt idx="141">
                  <c:v>32793</c:v>
                </c:pt>
                <c:pt idx="142">
                  <c:v>32794</c:v>
                </c:pt>
                <c:pt idx="143">
                  <c:v>32795</c:v>
                </c:pt>
                <c:pt idx="144">
                  <c:v>32796</c:v>
                </c:pt>
                <c:pt idx="145">
                  <c:v>32797</c:v>
                </c:pt>
                <c:pt idx="146">
                  <c:v>32798</c:v>
                </c:pt>
                <c:pt idx="147">
                  <c:v>32799</c:v>
                </c:pt>
                <c:pt idx="148">
                  <c:v>32800</c:v>
                </c:pt>
                <c:pt idx="149">
                  <c:v>32801</c:v>
                </c:pt>
                <c:pt idx="150">
                  <c:v>32802</c:v>
                </c:pt>
                <c:pt idx="151">
                  <c:v>32803</c:v>
                </c:pt>
                <c:pt idx="152">
                  <c:v>32804</c:v>
                </c:pt>
                <c:pt idx="153">
                  <c:v>32805</c:v>
                </c:pt>
                <c:pt idx="154">
                  <c:v>32806</c:v>
                </c:pt>
                <c:pt idx="155">
                  <c:v>32807</c:v>
                </c:pt>
                <c:pt idx="156">
                  <c:v>32808</c:v>
                </c:pt>
                <c:pt idx="157">
                  <c:v>32809</c:v>
                </c:pt>
                <c:pt idx="158">
                  <c:v>32810</c:v>
                </c:pt>
                <c:pt idx="159">
                  <c:v>32811</c:v>
                </c:pt>
                <c:pt idx="160">
                  <c:v>32812</c:v>
                </c:pt>
                <c:pt idx="161">
                  <c:v>32813</c:v>
                </c:pt>
                <c:pt idx="162">
                  <c:v>32814</c:v>
                </c:pt>
                <c:pt idx="163">
                  <c:v>32815</c:v>
                </c:pt>
                <c:pt idx="164">
                  <c:v>32816</c:v>
                </c:pt>
                <c:pt idx="165">
                  <c:v>32817</c:v>
                </c:pt>
                <c:pt idx="166">
                  <c:v>32818</c:v>
                </c:pt>
                <c:pt idx="167">
                  <c:v>32819</c:v>
                </c:pt>
                <c:pt idx="168">
                  <c:v>32820</c:v>
                </c:pt>
                <c:pt idx="169">
                  <c:v>32821</c:v>
                </c:pt>
                <c:pt idx="170">
                  <c:v>32822</c:v>
                </c:pt>
                <c:pt idx="171">
                  <c:v>32823</c:v>
                </c:pt>
                <c:pt idx="172">
                  <c:v>32824</c:v>
                </c:pt>
                <c:pt idx="173">
                  <c:v>32825</c:v>
                </c:pt>
                <c:pt idx="174">
                  <c:v>32826</c:v>
                </c:pt>
                <c:pt idx="175">
                  <c:v>32827</c:v>
                </c:pt>
                <c:pt idx="176">
                  <c:v>32828</c:v>
                </c:pt>
                <c:pt idx="177">
                  <c:v>32829</c:v>
                </c:pt>
                <c:pt idx="178">
                  <c:v>32830</c:v>
                </c:pt>
                <c:pt idx="179">
                  <c:v>32831</c:v>
                </c:pt>
                <c:pt idx="180">
                  <c:v>32832</c:v>
                </c:pt>
                <c:pt idx="181">
                  <c:v>32833</c:v>
                </c:pt>
                <c:pt idx="182">
                  <c:v>32834</c:v>
                </c:pt>
                <c:pt idx="183">
                  <c:v>32835</c:v>
                </c:pt>
                <c:pt idx="184">
                  <c:v>32836</c:v>
                </c:pt>
                <c:pt idx="185">
                  <c:v>32837</c:v>
                </c:pt>
                <c:pt idx="186">
                  <c:v>32838</c:v>
                </c:pt>
                <c:pt idx="187">
                  <c:v>32839</c:v>
                </c:pt>
                <c:pt idx="188">
                  <c:v>32840</c:v>
                </c:pt>
              </c:numCache>
            </c:numRef>
          </c:xVal>
          <c:yVal>
            <c:numRef>
              <c:f>Beverley!$C$4:$C$368</c:f>
              <c:numCache>
                <c:formatCode>General</c:formatCode>
                <c:ptCount val="365"/>
                <c:pt idx="0">
                  <c:v>11.199742317199707</c:v>
                </c:pt>
                <c:pt idx="1">
                  <c:v>11.182441711425781</c:v>
                </c:pt>
                <c:pt idx="2">
                  <c:v>11.165653228759766</c:v>
                </c:pt>
                <c:pt idx="3">
                  <c:v>11.149385452270508</c:v>
                </c:pt>
                <c:pt idx="4">
                  <c:v>11.133644104003906</c:v>
                </c:pt>
                <c:pt idx="5">
                  <c:v>11.118439674377441</c:v>
                </c:pt>
                <c:pt idx="6">
                  <c:v>11.103777885437012</c:v>
                </c:pt>
                <c:pt idx="7">
                  <c:v>11.089664459228516</c:v>
                </c:pt>
                <c:pt idx="8">
                  <c:v>11.076107978820801</c:v>
                </c:pt>
                <c:pt idx="9">
                  <c:v>11.063116073608398</c:v>
                </c:pt>
                <c:pt idx="10">
                  <c:v>11.050694465637207</c:v>
                </c:pt>
                <c:pt idx="11">
                  <c:v>11.038848876953125</c:v>
                </c:pt>
                <c:pt idx="12">
                  <c:v>11.027586936950684</c:v>
                </c:pt>
                <c:pt idx="13">
                  <c:v>11.016914367675781</c:v>
                </c:pt>
                <c:pt idx="14">
                  <c:v>11.006834983825684</c:v>
                </c:pt>
                <c:pt idx="15">
                  <c:v>10.997356414794922</c:v>
                </c:pt>
                <c:pt idx="16">
                  <c:v>10.988483428955078</c:v>
                </c:pt>
                <c:pt idx="17">
                  <c:v>10.980219841003418</c:v>
                </c:pt>
                <c:pt idx="18">
                  <c:v>10.97257137298584</c:v>
                </c:pt>
                <c:pt idx="19">
                  <c:v>10.965540885925293</c:v>
                </c:pt>
                <c:pt idx="20">
                  <c:v>10.959133148193359</c:v>
                </c:pt>
                <c:pt idx="21">
                  <c:v>10.953351974487305</c:v>
                </c:pt>
                <c:pt idx="22">
                  <c:v>10.948200225830078</c:v>
                </c:pt>
                <c:pt idx="23">
                  <c:v>10.943681716918945</c:v>
                </c:pt>
                <c:pt idx="24">
                  <c:v>10.939796447753906</c:v>
                </c:pt>
                <c:pt idx="25">
                  <c:v>10.936550140380859</c:v>
                </c:pt>
                <c:pt idx="26">
                  <c:v>10.933941841125488</c:v>
                </c:pt>
                <c:pt idx="27">
                  <c:v>10.931974411010742</c:v>
                </c:pt>
                <c:pt idx="28">
                  <c:v>10.930649757385254</c:v>
                </c:pt>
                <c:pt idx="29">
                  <c:v>10.929966926574707</c:v>
                </c:pt>
                <c:pt idx="30">
                  <c:v>10.929926872253418</c:v>
                </c:pt>
                <c:pt idx="31">
                  <c:v>10.93052864074707</c:v>
                </c:pt>
                <c:pt idx="32">
                  <c:v>10.931774139404297</c:v>
                </c:pt>
                <c:pt idx="33">
                  <c:v>10.933661460876465</c:v>
                </c:pt>
                <c:pt idx="34">
                  <c:v>10.936189651489258</c:v>
                </c:pt>
                <c:pt idx="35">
                  <c:v>10.939355850219727</c:v>
                </c:pt>
                <c:pt idx="36">
                  <c:v>10.943161010742188</c:v>
                </c:pt>
                <c:pt idx="37">
                  <c:v>10.947601318359375</c:v>
                </c:pt>
                <c:pt idx="38">
                  <c:v>10.95267391204834</c:v>
                </c:pt>
                <c:pt idx="39">
                  <c:v>10.958376884460449</c:v>
                </c:pt>
                <c:pt idx="40">
                  <c:v>10.964705467224121</c:v>
                </c:pt>
                <c:pt idx="41">
                  <c:v>10.971657752990723</c:v>
                </c:pt>
                <c:pt idx="42">
                  <c:v>10.979229927062988</c:v>
                </c:pt>
                <c:pt idx="43">
                  <c:v>10.98741626739502</c:v>
                </c:pt>
                <c:pt idx="44">
                  <c:v>10.996214866638184</c:v>
                </c:pt>
                <c:pt idx="45">
                  <c:v>11.005618095397949</c:v>
                </c:pt>
                <c:pt idx="46">
                  <c:v>11.015621185302734</c:v>
                </c:pt>
                <c:pt idx="47">
                  <c:v>11.026220321655273</c:v>
                </c:pt>
                <c:pt idx="48">
                  <c:v>11.037408828735352</c:v>
                </c:pt>
                <c:pt idx="49">
                  <c:v>11.049181938171387</c:v>
                </c:pt>
                <c:pt idx="50">
                  <c:v>11.061532020568848</c:v>
                </c:pt>
                <c:pt idx="51">
                  <c:v>11.074453353881836</c:v>
                </c:pt>
                <c:pt idx="52">
                  <c:v>11.087939262390137</c:v>
                </c:pt>
                <c:pt idx="53">
                  <c:v>11.101982116699219</c:v>
                </c:pt>
                <c:pt idx="54">
                  <c:v>11.1165771484375</c:v>
                </c:pt>
                <c:pt idx="55">
                  <c:v>11.131714820861816</c:v>
                </c:pt>
                <c:pt idx="56">
                  <c:v>11.147388458251953</c:v>
                </c:pt>
                <c:pt idx="57">
                  <c:v>11.163591384887695</c:v>
                </c:pt>
                <c:pt idx="58">
                  <c:v>11.180315017700195</c:v>
                </c:pt>
                <c:pt idx="59">
                  <c:v>11.197552680969238</c:v>
                </c:pt>
                <c:pt idx="60">
                  <c:v>11.215293884277344</c:v>
                </c:pt>
                <c:pt idx="61">
                  <c:v>11.233532905578613</c:v>
                </c:pt>
                <c:pt idx="62">
                  <c:v>11.252261161804199</c:v>
                </c:pt>
                <c:pt idx="63">
                  <c:v>11.271470069885254</c:v>
                </c:pt>
                <c:pt idx="64">
                  <c:v>11.29115104675293</c:v>
                </c:pt>
                <c:pt idx="65">
                  <c:v>11.311296463012695</c:v>
                </c:pt>
                <c:pt idx="66">
                  <c:v>11.33189868927002</c:v>
                </c:pt>
                <c:pt idx="67">
                  <c:v>11.352947235107422</c:v>
                </c:pt>
                <c:pt idx="68">
                  <c:v>11.374435424804688</c:v>
                </c:pt>
                <c:pt idx="69">
                  <c:v>11.396352767944336</c:v>
                </c:pt>
                <c:pt idx="70">
                  <c:v>11.418692588806152</c:v>
                </c:pt>
                <c:pt idx="71">
                  <c:v>11.441445350646973</c:v>
                </c:pt>
                <c:pt idx="72">
                  <c:v>11.464603424072266</c:v>
                </c:pt>
                <c:pt idx="73">
                  <c:v>11.4881591796875</c:v>
                </c:pt>
                <c:pt idx="74">
                  <c:v>11.512101173400879</c:v>
                </c:pt>
                <c:pt idx="75">
                  <c:v>11.536422729492188</c:v>
                </c:pt>
                <c:pt idx="76">
                  <c:v>11.561116218566895</c:v>
                </c:pt>
                <c:pt idx="77">
                  <c:v>11.586173057556152</c:v>
                </c:pt>
                <c:pt idx="78">
                  <c:v>11.611583709716797</c:v>
                </c:pt>
                <c:pt idx="79">
                  <c:v>11.637340545654297</c:v>
                </c:pt>
                <c:pt idx="80">
                  <c:v>11.663436889648438</c:v>
                </c:pt>
                <c:pt idx="81">
                  <c:v>11.689863204956055</c:v>
                </c:pt>
                <c:pt idx="82">
                  <c:v>11.716611862182617</c:v>
                </c:pt>
                <c:pt idx="83">
                  <c:v>11.743675231933594</c:v>
                </c:pt>
                <c:pt idx="84">
                  <c:v>11.771044731140137</c:v>
                </c:pt>
                <c:pt idx="85">
                  <c:v>11.798713684082031</c:v>
                </c:pt>
                <c:pt idx="86">
                  <c:v>11.826672554016113</c:v>
                </c:pt>
                <c:pt idx="87">
                  <c:v>11.854917526245117</c:v>
                </c:pt>
                <c:pt idx="88">
                  <c:v>11.883437156677246</c:v>
                </c:pt>
                <c:pt idx="89">
                  <c:v>11.912225723266602</c:v>
                </c:pt>
                <c:pt idx="90">
                  <c:v>11.941276550292969</c:v>
                </c:pt>
                <c:pt idx="91">
                  <c:v>11.9705810546875</c:v>
                </c:pt>
                <c:pt idx="92">
                  <c:v>12.000134468078613</c:v>
                </c:pt>
                <c:pt idx="93">
                  <c:v>12.029927253723145</c:v>
                </c:pt>
                <c:pt idx="94">
                  <c:v>12.059953689575195</c:v>
                </c:pt>
                <c:pt idx="95">
                  <c:v>12.090207099914551</c:v>
                </c:pt>
                <c:pt idx="96">
                  <c:v>12.120680809020996</c:v>
                </c:pt>
                <c:pt idx="97">
                  <c:v>12.1513671875</c:v>
                </c:pt>
                <c:pt idx="98">
                  <c:v>12.182260513305664</c:v>
                </c:pt>
                <c:pt idx="99">
                  <c:v>12.213354110717773</c:v>
                </c:pt>
                <c:pt idx="100">
                  <c:v>12.24464225769043</c:v>
                </c:pt>
                <c:pt idx="101">
                  <c:v>12.276117324829102</c:v>
                </c:pt>
                <c:pt idx="102">
                  <c:v>12.307774543762207</c:v>
                </c:pt>
                <c:pt idx="103">
                  <c:v>12.339606285095215</c:v>
                </c:pt>
                <c:pt idx="104">
                  <c:v>12.371607780456543</c:v>
                </c:pt>
                <c:pt idx="105">
                  <c:v>12.403773307800293</c:v>
                </c:pt>
                <c:pt idx="106">
                  <c:v>12.436094284057617</c:v>
                </c:pt>
                <c:pt idx="107">
                  <c:v>12.46856689453125</c:v>
                </c:pt>
                <c:pt idx="108">
                  <c:v>12.501185417175293</c:v>
                </c:pt>
                <c:pt idx="109">
                  <c:v>12.533942222595215</c:v>
                </c:pt>
                <c:pt idx="110">
                  <c:v>12.566834449768066</c:v>
                </c:pt>
                <c:pt idx="111">
                  <c:v>12.599853515625</c:v>
                </c:pt>
                <c:pt idx="112">
                  <c:v>12.632993698120117</c:v>
                </c:pt>
                <c:pt idx="113">
                  <c:v>12.666251182556152</c:v>
                </c:pt>
                <c:pt idx="114">
                  <c:v>12.699619293212891</c:v>
                </c:pt>
                <c:pt idx="115">
                  <c:v>12.733092308044434</c:v>
                </c:pt>
                <c:pt idx="116">
                  <c:v>12.766664505004883</c:v>
                </c:pt>
                <c:pt idx="117">
                  <c:v>12.800329208374023</c:v>
                </c:pt>
                <c:pt idx="118">
                  <c:v>12.834081649780273</c:v>
                </c:pt>
                <c:pt idx="119">
                  <c:v>12.867917060852051</c:v>
                </c:pt>
                <c:pt idx="120">
                  <c:v>12.901827812194824</c:v>
                </c:pt>
                <c:pt idx="121">
                  <c:v>12.935808181762695</c:v>
                </c:pt>
                <c:pt idx="122">
                  <c:v>12.969852447509766</c:v>
                </c:pt>
                <c:pt idx="123">
                  <c:v>13.003955841064453</c:v>
                </c:pt>
                <c:pt idx="124">
                  <c:v>13.038111686706543</c:v>
                </c:pt>
                <c:pt idx="125">
                  <c:v>13.072312355041504</c:v>
                </c:pt>
                <c:pt idx="126">
                  <c:v>13.106554985046387</c:v>
                </c:pt>
                <c:pt idx="127">
                  <c:v>13.140829086303711</c:v>
                </c:pt>
                <c:pt idx="128">
                  <c:v>13.17513370513916</c:v>
                </c:pt>
                <c:pt idx="129">
                  <c:v>13.209457397460938</c:v>
                </c:pt>
                <c:pt idx="130">
                  <c:v>13.243796348571777</c:v>
                </c:pt>
                <c:pt idx="131">
                  <c:v>13.278142929077148</c:v>
                </c:pt>
                <c:pt idx="132">
                  <c:v>13.312491416931152</c:v>
                </c:pt>
                <c:pt idx="133">
                  <c:v>13.346834182739258</c:v>
                </c:pt>
                <c:pt idx="134">
                  <c:v>13.38116455078125</c:v>
                </c:pt>
                <c:pt idx="135">
                  <c:v>13.415475845336914</c:v>
                </c:pt>
                <c:pt idx="136">
                  <c:v>13.449759483337402</c:v>
                </c:pt>
                <c:pt idx="137">
                  <c:v>13.484009742736816</c:v>
                </c:pt>
                <c:pt idx="138">
                  <c:v>13.518218994140625</c:v>
                </c:pt>
                <c:pt idx="139">
                  <c:v>13.55237865447998</c:v>
                </c:pt>
                <c:pt idx="140">
                  <c:v>13.586480140686035</c:v>
                </c:pt>
                <c:pt idx="141">
                  <c:v>13.620517730712891</c:v>
                </c:pt>
                <c:pt idx="142">
                  <c:v>13.654480934143066</c:v>
                </c:pt>
                <c:pt idx="143">
                  <c:v>13.688362121582031</c:v>
                </c:pt>
                <c:pt idx="144">
                  <c:v>13.72215461730957</c:v>
                </c:pt>
                <c:pt idx="145">
                  <c:v>13.75584602355957</c:v>
                </c:pt>
                <c:pt idx="146">
                  <c:v>13.789430618286133</c:v>
                </c:pt>
                <c:pt idx="147">
                  <c:v>13.822898864746094</c:v>
                </c:pt>
                <c:pt idx="148">
                  <c:v>13.856239318847656</c:v>
                </c:pt>
                <c:pt idx="149">
                  <c:v>13.889444351196289</c:v>
                </c:pt>
                <c:pt idx="150">
                  <c:v>13.922503471374512</c:v>
                </c:pt>
                <c:pt idx="151">
                  <c:v>13.95540714263916</c:v>
                </c:pt>
                <c:pt idx="152">
                  <c:v>13.988144874572754</c:v>
                </c:pt>
                <c:pt idx="153">
                  <c:v>14.020706176757812</c:v>
                </c:pt>
                <c:pt idx="154">
                  <c:v>14.053080558776855</c:v>
                </c:pt>
                <c:pt idx="155">
                  <c:v>14.085257530212402</c:v>
                </c:pt>
                <c:pt idx="156">
                  <c:v>14.117225646972656</c:v>
                </c:pt>
                <c:pt idx="157">
                  <c:v>14.148974418640137</c:v>
                </c:pt>
                <c:pt idx="158">
                  <c:v>14.18049144744873</c:v>
                </c:pt>
                <c:pt idx="159">
                  <c:v>14.211767196655273</c:v>
                </c:pt>
                <c:pt idx="160">
                  <c:v>14.242786407470703</c:v>
                </c:pt>
                <c:pt idx="161">
                  <c:v>14.273538589477539</c:v>
                </c:pt>
                <c:pt idx="162">
                  <c:v>14.304013252258301</c:v>
                </c:pt>
                <c:pt idx="163">
                  <c:v>14.334196090698242</c:v>
                </c:pt>
                <c:pt idx="164">
                  <c:v>14.36407470703125</c:v>
                </c:pt>
                <c:pt idx="165">
                  <c:v>14.393636703491211</c:v>
                </c:pt>
                <c:pt idx="166">
                  <c:v>14.422868728637695</c:v>
                </c:pt>
                <c:pt idx="167">
                  <c:v>14.451757431030273</c:v>
                </c:pt>
                <c:pt idx="168">
                  <c:v>14.480290412902832</c:v>
                </c:pt>
                <c:pt idx="169">
                  <c:v>14.508454322814941</c:v>
                </c:pt>
                <c:pt idx="170">
                  <c:v>14.536235809326172</c:v>
                </c:pt>
                <c:pt idx="171">
                  <c:v>14.563620567321777</c:v>
                </c:pt>
                <c:pt idx="172">
                  <c:v>14.590594291687012</c:v>
                </c:pt>
                <c:pt idx="173">
                  <c:v>14.617144584655762</c:v>
                </c:pt>
                <c:pt idx="174">
                  <c:v>14.643258094787598</c:v>
                </c:pt>
                <c:pt idx="175">
                  <c:v>14.668917655944824</c:v>
                </c:pt>
                <c:pt idx="176">
                  <c:v>14.694112777709961</c:v>
                </c:pt>
                <c:pt idx="177">
                  <c:v>14.718828201293945</c:v>
                </c:pt>
                <c:pt idx="178">
                  <c:v>14.743048667907715</c:v>
                </c:pt>
                <c:pt idx="179">
                  <c:v>14.766763687133789</c:v>
                </c:pt>
                <c:pt idx="180">
                  <c:v>14.789955139160156</c:v>
                </c:pt>
                <c:pt idx="181">
                  <c:v>14.81261157989502</c:v>
                </c:pt>
                <c:pt idx="182">
                  <c:v>14.834718704223633</c:v>
                </c:pt>
                <c:pt idx="183">
                  <c:v>14.85626220703125</c:v>
                </c:pt>
                <c:pt idx="184">
                  <c:v>14.877229690551758</c:v>
                </c:pt>
                <c:pt idx="185">
                  <c:v>14.89760684967041</c:v>
                </c:pt>
                <c:pt idx="186">
                  <c:v>14.91738224029541</c:v>
                </c:pt>
                <c:pt idx="187">
                  <c:v>14.936538696289063</c:v>
                </c:pt>
                <c:pt idx="188">
                  <c:v>14.95506763458252</c:v>
                </c:pt>
              </c:numCache>
            </c:numRef>
          </c:yVal>
        </c:ser>
        <c:axId val="138828800"/>
        <c:axId val="138838784"/>
      </c:scatterChart>
      <c:scatterChart>
        <c:scatterStyle val="lineMarker"/>
        <c:ser>
          <c:idx val="1"/>
          <c:order val="1"/>
          <c:tx>
            <c:strRef>
              <c:f>Beverley!$J$3</c:f>
              <c:strCache>
                <c:ptCount val="1"/>
                <c:pt idx="0">
                  <c:v>TT</c:v>
                </c:pt>
              </c:strCache>
            </c:strRef>
          </c:tx>
          <c:marker>
            <c:symbol val="none"/>
          </c:marker>
          <c:xVal>
            <c:numRef>
              <c:f>Beverley!$A$4:$A$368</c:f>
              <c:numCache>
                <c:formatCode>d\-mmm\-yy</c:formatCode>
                <c:ptCount val="365"/>
                <c:pt idx="0">
                  <c:v>32652</c:v>
                </c:pt>
                <c:pt idx="1">
                  <c:v>32653</c:v>
                </c:pt>
                <c:pt idx="2">
                  <c:v>32654</c:v>
                </c:pt>
                <c:pt idx="3">
                  <c:v>32655</c:v>
                </c:pt>
                <c:pt idx="4">
                  <c:v>32656</c:v>
                </c:pt>
                <c:pt idx="5">
                  <c:v>32657</c:v>
                </c:pt>
                <c:pt idx="6">
                  <c:v>32658</c:v>
                </c:pt>
                <c:pt idx="7">
                  <c:v>32659</c:v>
                </c:pt>
                <c:pt idx="8">
                  <c:v>32660</c:v>
                </c:pt>
                <c:pt idx="9">
                  <c:v>32661</c:v>
                </c:pt>
                <c:pt idx="10">
                  <c:v>32662</c:v>
                </c:pt>
                <c:pt idx="11">
                  <c:v>32663</c:v>
                </c:pt>
                <c:pt idx="12">
                  <c:v>32664</c:v>
                </c:pt>
                <c:pt idx="13">
                  <c:v>32665</c:v>
                </c:pt>
                <c:pt idx="14">
                  <c:v>32666</c:v>
                </c:pt>
                <c:pt idx="15">
                  <c:v>32667</c:v>
                </c:pt>
                <c:pt idx="16">
                  <c:v>32668</c:v>
                </c:pt>
                <c:pt idx="17">
                  <c:v>32669</c:v>
                </c:pt>
                <c:pt idx="18">
                  <c:v>32670</c:v>
                </c:pt>
                <c:pt idx="19">
                  <c:v>32671</c:v>
                </c:pt>
                <c:pt idx="20">
                  <c:v>32672</c:v>
                </c:pt>
                <c:pt idx="21">
                  <c:v>32673</c:v>
                </c:pt>
                <c:pt idx="22">
                  <c:v>32674</c:v>
                </c:pt>
                <c:pt idx="23">
                  <c:v>32675</c:v>
                </c:pt>
                <c:pt idx="24">
                  <c:v>32676</c:v>
                </c:pt>
                <c:pt idx="25">
                  <c:v>32677</c:v>
                </c:pt>
                <c:pt idx="26">
                  <c:v>32678</c:v>
                </c:pt>
                <c:pt idx="27">
                  <c:v>32679</c:v>
                </c:pt>
                <c:pt idx="28">
                  <c:v>32680</c:v>
                </c:pt>
                <c:pt idx="29">
                  <c:v>32681</c:v>
                </c:pt>
                <c:pt idx="30">
                  <c:v>32682</c:v>
                </c:pt>
                <c:pt idx="31">
                  <c:v>32683</c:v>
                </c:pt>
                <c:pt idx="32">
                  <c:v>32684</c:v>
                </c:pt>
                <c:pt idx="33">
                  <c:v>32685</c:v>
                </c:pt>
                <c:pt idx="34">
                  <c:v>32686</c:v>
                </c:pt>
                <c:pt idx="35">
                  <c:v>32687</c:v>
                </c:pt>
                <c:pt idx="36">
                  <c:v>32688</c:v>
                </c:pt>
                <c:pt idx="37">
                  <c:v>32689</c:v>
                </c:pt>
                <c:pt idx="38">
                  <c:v>32690</c:v>
                </c:pt>
                <c:pt idx="39">
                  <c:v>32691</c:v>
                </c:pt>
                <c:pt idx="40">
                  <c:v>32692</c:v>
                </c:pt>
                <c:pt idx="41">
                  <c:v>32693</c:v>
                </c:pt>
                <c:pt idx="42">
                  <c:v>32694</c:v>
                </c:pt>
                <c:pt idx="43">
                  <c:v>32695</c:v>
                </c:pt>
                <c:pt idx="44">
                  <c:v>32696</c:v>
                </c:pt>
                <c:pt idx="45">
                  <c:v>32697</c:v>
                </c:pt>
                <c:pt idx="46">
                  <c:v>32698</c:v>
                </c:pt>
                <c:pt idx="47">
                  <c:v>32699</c:v>
                </c:pt>
                <c:pt idx="48">
                  <c:v>32700</c:v>
                </c:pt>
                <c:pt idx="49">
                  <c:v>32701</c:v>
                </c:pt>
                <c:pt idx="50">
                  <c:v>32702</c:v>
                </c:pt>
                <c:pt idx="51">
                  <c:v>32703</c:v>
                </c:pt>
                <c:pt idx="52">
                  <c:v>32704</c:v>
                </c:pt>
                <c:pt idx="53">
                  <c:v>32705</c:v>
                </c:pt>
                <c:pt idx="54">
                  <c:v>32706</c:v>
                </c:pt>
                <c:pt idx="55">
                  <c:v>32707</c:v>
                </c:pt>
                <c:pt idx="56">
                  <c:v>32708</c:v>
                </c:pt>
                <c:pt idx="57">
                  <c:v>32709</c:v>
                </c:pt>
                <c:pt idx="58">
                  <c:v>32710</c:v>
                </c:pt>
                <c:pt idx="59">
                  <c:v>32711</c:v>
                </c:pt>
                <c:pt idx="60">
                  <c:v>32712</c:v>
                </c:pt>
                <c:pt idx="61">
                  <c:v>32713</c:v>
                </c:pt>
                <c:pt idx="62">
                  <c:v>32714</c:v>
                </c:pt>
                <c:pt idx="63">
                  <c:v>32715</c:v>
                </c:pt>
                <c:pt idx="64">
                  <c:v>32716</c:v>
                </c:pt>
                <c:pt idx="65">
                  <c:v>32717</c:v>
                </c:pt>
                <c:pt idx="66">
                  <c:v>32718</c:v>
                </c:pt>
                <c:pt idx="67">
                  <c:v>32719</c:v>
                </c:pt>
                <c:pt idx="68">
                  <c:v>32720</c:v>
                </c:pt>
                <c:pt idx="69">
                  <c:v>32721</c:v>
                </c:pt>
                <c:pt idx="70">
                  <c:v>32722</c:v>
                </c:pt>
                <c:pt idx="71">
                  <c:v>32723</c:v>
                </c:pt>
                <c:pt idx="72">
                  <c:v>32724</c:v>
                </c:pt>
                <c:pt idx="73">
                  <c:v>32725</c:v>
                </c:pt>
                <c:pt idx="74">
                  <c:v>32726</c:v>
                </c:pt>
                <c:pt idx="75">
                  <c:v>32727</c:v>
                </c:pt>
                <c:pt idx="76">
                  <c:v>32728</c:v>
                </c:pt>
                <c:pt idx="77">
                  <c:v>32729</c:v>
                </c:pt>
                <c:pt idx="78">
                  <c:v>32730</c:v>
                </c:pt>
                <c:pt idx="79">
                  <c:v>32731</c:v>
                </c:pt>
                <c:pt idx="80">
                  <c:v>32732</c:v>
                </c:pt>
                <c:pt idx="81">
                  <c:v>32733</c:v>
                </c:pt>
                <c:pt idx="82">
                  <c:v>32734</c:v>
                </c:pt>
                <c:pt idx="83">
                  <c:v>32735</c:v>
                </c:pt>
                <c:pt idx="84">
                  <c:v>32736</c:v>
                </c:pt>
                <c:pt idx="85">
                  <c:v>32737</c:v>
                </c:pt>
                <c:pt idx="86">
                  <c:v>32738</c:v>
                </c:pt>
                <c:pt idx="87">
                  <c:v>32739</c:v>
                </c:pt>
                <c:pt idx="88">
                  <c:v>32740</c:v>
                </c:pt>
                <c:pt idx="89">
                  <c:v>32741</c:v>
                </c:pt>
                <c:pt idx="90">
                  <c:v>32742</c:v>
                </c:pt>
                <c:pt idx="91">
                  <c:v>32743</c:v>
                </c:pt>
                <c:pt idx="92">
                  <c:v>32744</c:v>
                </c:pt>
                <c:pt idx="93">
                  <c:v>32745</c:v>
                </c:pt>
                <c:pt idx="94">
                  <c:v>32746</c:v>
                </c:pt>
                <c:pt idx="95">
                  <c:v>32747</c:v>
                </c:pt>
                <c:pt idx="96">
                  <c:v>32748</c:v>
                </c:pt>
                <c:pt idx="97">
                  <c:v>32749</c:v>
                </c:pt>
                <c:pt idx="98">
                  <c:v>32750</c:v>
                </c:pt>
                <c:pt idx="99">
                  <c:v>32751</c:v>
                </c:pt>
                <c:pt idx="100">
                  <c:v>32752</c:v>
                </c:pt>
                <c:pt idx="101">
                  <c:v>32753</c:v>
                </c:pt>
                <c:pt idx="102">
                  <c:v>32754</c:v>
                </c:pt>
                <c:pt idx="103">
                  <c:v>32755</c:v>
                </c:pt>
                <c:pt idx="104">
                  <c:v>32756</c:v>
                </c:pt>
                <c:pt idx="105">
                  <c:v>32757</c:v>
                </c:pt>
                <c:pt idx="106">
                  <c:v>32758</c:v>
                </c:pt>
                <c:pt idx="107">
                  <c:v>32759</c:v>
                </c:pt>
                <c:pt idx="108">
                  <c:v>32760</c:v>
                </c:pt>
                <c:pt idx="109">
                  <c:v>32761</c:v>
                </c:pt>
                <c:pt idx="110">
                  <c:v>32762</c:v>
                </c:pt>
                <c:pt idx="111">
                  <c:v>32763</c:v>
                </c:pt>
                <c:pt idx="112">
                  <c:v>32764</c:v>
                </c:pt>
                <c:pt idx="113">
                  <c:v>32765</c:v>
                </c:pt>
                <c:pt idx="114">
                  <c:v>32766</c:v>
                </c:pt>
                <c:pt idx="115">
                  <c:v>32767</c:v>
                </c:pt>
                <c:pt idx="116">
                  <c:v>32768</c:v>
                </c:pt>
                <c:pt idx="117">
                  <c:v>32769</c:v>
                </c:pt>
                <c:pt idx="118">
                  <c:v>32770</c:v>
                </c:pt>
                <c:pt idx="119">
                  <c:v>32771</c:v>
                </c:pt>
                <c:pt idx="120">
                  <c:v>32772</c:v>
                </c:pt>
                <c:pt idx="121">
                  <c:v>32773</c:v>
                </c:pt>
                <c:pt idx="122">
                  <c:v>32774</c:v>
                </c:pt>
                <c:pt idx="123">
                  <c:v>32775</c:v>
                </c:pt>
                <c:pt idx="124">
                  <c:v>32776</c:v>
                </c:pt>
                <c:pt idx="125">
                  <c:v>32777</c:v>
                </c:pt>
                <c:pt idx="126">
                  <c:v>32778</c:v>
                </c:pt>
                <c:pt idx="127">
                  <c:v>32779</c:v>
                </c:pt>
                <c:pt idx="128">
                  <c:v>32780</c:v>
                </c:pt>
                <c:pt idx="129">
                  <c:v>32781</c:v>
                </c:pt>
                <c:pt idx="130">
                  <c:v>32782</c:v>
                </c:pt>
                <c:pt idx="131">
                  <c:v>32783</c:v>
                </c:pt>
                <c:pt idx="132">
                  <c:v>32784</c:v>
                </c:pt>
                <c:pt idx="133">
                  <c:v>32785</c:v>
                </c:pt>
                <c:pt idx="134">
                  <c:v>32786</c:v>
                </c:pt>
                <c:pt idx="135">
                  <c:v>32787</c:v>
                </c:pt>
                <c:pt idx="136">
                  <c:v>32788</c:v>
                </c:pt>
                <c:pt idx="137">
                  <c:v>32789</c:v>
                </c:pt>
                <c:pt idx="138">
                  <c:v>32790</c:v>
                </c:pt>
                <c:pt idx="139">
                  <c:v>32791</c:v>
                </c:pt>
                <c:pt idx="140">
                  <c:v>32792</c:v>
                </c:pt>
                <c:pt idx="141">
                  <c:v>32793</c:v>
                </c:pt>
                <c:pt idx="142">
                  <c:v>32794</c:v>
                </c:pt>
                <c:pt idx="143">
                  <c:v>32795</c:v>
                </c:pt>
                <c:pt idx="144">
                  <c:v>32796</c:v>
                </c:pt>
                <c:pt idx="145">
                  <c:v>32797</c:v>
                </c:pt>
                <c:pt idx="146">
                  <c:v>32798</c:v>
                </c:pt>
                <c:pt idx="147">
                  <c:v>32799</c:v>
                </c:pt>
                <c:pt idx="148">
                  <c:v>32800</c:v>
                </c:pt>
                <c:pt idx="149">
                  <c:v>32801</c:v>
                </c:pt>
                <c:pt idx="150">
                  <c:v>32802</c:v>
                </c:pt>
                <c:pt idx="151">
                  <c:v>32803</c:v>
                </c:pt>
                <c:pt idx="152">
                  <c:v>32804</c:v>
                </c:pt>
                <c:pt idx="153">
                  <c:v>32805</c:v>
                </c:pt>
                <c:pt idx="154">
                  <c:v>32806</c:v>
                </c:pt>
                <c:pt idx="155">
                  <c:v>32807</c:v>
                </c:pt>
                <c:pt idx="156">
                  <c:v>32808</c:v>
                </c:pt>
                <c:pt idx="157">
                  <c:v>32809</c:v>
                </c:pt>
                <c:pt idx="158">
                  <c:v>32810</c:v>
                </c:pt>
                <c:pt idx="159">
                  <c:v>32811</c:v>
                </c:pt>
                <c:pt idx="160">
                  <c:v>32812</c:v>
                </c:pt>
                <c:pt idx="161">
                  <c:v>32813</c:v>
                </c:pt>
                <c:pt idx="162">
                  <c:v>32814</c:v>
                </c:pt>
                <c:pt idx="163">
                  <c:v>32815</c:v>
                </c:pt>
                <c:pt idx="164">
                  <c:v>32816</c:v>
                </c:pt>
                <c:pt idx="165">
                  <c:v>32817</c:v>
                </c:pt>
                <c:pt idx="166">
                  <c:v>32818</c:v>
                </c:pt>
                <c:pt idx="167">
                  <c:v>32819</c:v>
                </c:pt>
                <c:pt idx="168">
                  <c:v>32820</c:v>
                </c:pt>
                <c:pt idx="169">
                  <c:v>32821</c:v>
                </c:pt>
                <c:pt idx="170">
                  <c:v>32822</c:v>
                </c:pt>
                <c:pt idx="171">
                  <c:v>32823</c:v>
                </c:pt>
                <c:pt idx="172">
                  <c:v>32824</c:v>
                </c:pt>
                <c:pt idx="173">
                  <c:v>32825</c:v>
                </c:pt>
                <c:pt idx="174">
                  <c:v>32826</c:v>
                </c:pt>
                <c:pt idx="175">
                  <c:v>32827</c:v>
                </c:pt>
                <c:pt idx="176">
                  <c:v>32828</c:v>
                </c:pt>
                <c:pt idx="177">
                  <c:v>32829</c:v>
                </c:pt>
                <c:pt idx="178">
                  <c:v>32830</c:v>
                </c:pt>
                <c:pt idx="179">
                  <c:v>32831</c:v>
                </c:pt>
                <c:pt idx="180">
                  <c:v>32832</c:v>
                </c:pt>
                <c:pt idx="181">
                  <c:v>32833</c:v>
                </c:pt>
                <c:pt idx="182">
                  <c:v>32834</c:v>
                </c:pt>
                <c:pt idx="183">
                  <c:v>32835</c:v>
                </c:pt>
                <c:pt idx="184">
                  <c:v>32836</c:v>
                </c:pt>
                <c:pt idx="185">
                  <c:v>32837</c:v>
                </c:pt>
                <c:pt idx="186">
                  <c:v>32838</c:v>
                </c:pt>
                <c:pt idx="187">
                  <c:v>32839</c:v>
                </c:pt>
                <c:pt idx="188">
                  <c:v>32840</c:v>
                </c:pt>
              </c:numCache>
            </c:numRef>
          </c:xVal>
          <c:yVal>
            <c:numRef>
              <c:f>Beverley!$J$4:$J$368</c:f>
              <c:numCache>
                <c:formatCode>General</c:formatCode>
                <c:ptCount val="365"/>
                <c:pt idx="0">
                  <c:v>6.2806459812615349</c:v>
                </c:pt>
                <c:pt idx="1">
                  <c:v>5.3107079597261686</c:v>
                </c:pt>
                <c:pt idx="2">
                  <c:v>5.2352256911733255</c:v>
                </c:pt>
                <c:pt idx="3">
                  <c:v>6.7502407382835612</c:v>
                </c:pt>
                <c:pt idx="4">
                  <c:v>7.7880408125525857</c:v>
                </c:pt>
                <c:pt idx="5">
                  <c:v>6.5392057252679381</c:v>
                </c:pt>
                <c:pt idx="6">
                  <c:v>6.2907250402761044</c:v>
                </c:pt>
                <c:pt idx="7">
                  <c:v>5.8768220949071059</c:v>
                </c:pt>
                <c:pt idx="8">
                  <c:v>6.1831659663218703</c:v>
                </c:pt>
                <c:pt idx="9">
                  <c:v>7.6985790676507166</c:v>
                </c:pt>
                <c:pt idx="10">
                  <c:v>6.4329433986608917</c:v>
                </c:pt>
                <c:pt idx="11">
                  <c:v>6.2150185749883278</c:v>
                </c:pt>
                <c:pt idx="12">
                  <c:v>6.3039386193748532</c:v>
                </c:pt>
                <c:pt idx="13">
                  <c:v>6.7888886523630729</c:v>
                </c:pt>
                <c:pt idx="14">
                  <c:v>5.6439656469180433</c:v>
                </c:pt>
                <c:pt idx="15">
                  <c:v>5.5730763548952371</c:v>
                </c:pt>
                <c:pt idx="16">
                  <c:v>4.3057471259122835</c:v>
                </c:pt>
                <c:pt idx="17">
                  <c:v>4.5855990244176965</c:v>
                </c:pt>
                <c:pt idx="18">
                  <c:v>5.5940090003941858</c:v>
                </c:pt>
                <c:pt idx="19">
                  <c:v>5.9577536837868594</c:v>
                </c:pt>
                <c:pt idx="20">
                  <c:v>6.1151033151042853</c:v>
                </c:pt>
                <c:pt idx="21">
                  <c:v>5.6625045334896367</c:v>
                </c:pt>
                <c:pt idx="22">
                  <c:v>4.7643424853470826</c:v>
                </c:pt>
                <c:pt idx="23">
                  <c:v>4.768895064590664</c:v>
                </c:pt>
                <c:pt idx="24">
                  <c:v>3.9484143592636438</c:v>
                </c:pt>
                <c:pt idx="25">
                  <c:v>4.4456222888287806</c:v>
                </c:pt>
                <c:pt idx="26">
                  <c:v>3.6106553096041187</c:v>
                </c:pt>
                <c:pt idx="27">
                  <c:v>3.9738500154514114</c:v>
                </c:pt>
                <c:pt idx="28">
                  <c:v>3.6748680278219021</c:v>
                </c:pt>
                <c:pt idx="29">
                  <c:v>4.2117233869331603</c:v>
                </c:pt>
                <c:pt idx="30">
                  <c:v>5.0300047015771145</c:v>
                </c:pt>
                <c:pt idx="31">
                  <c:v>3.554346537277405</c:v>
                </c:pt>
                <c:pt idx="32">
                  <c:v>3.3921838428381665</c:v>
                </c:pt>
                <c:pt idx="33">
                  <c:v>4.163811137524366</c:v>
                </c:pt>
                <c:pt idx="34">
                  <c:v>4.1747988555932656</c:v>
                </c:pt>
                <c:pt idx="35">
                  <c:v>6.1714517194892773</c:v>
                </c:pt>
                <c:pt idx="36">
                  <c:v>5.0377422530504807</c:v>
                </c:pt>
                <c:pt idx="37">
                  <c:v>4.8334594976444079</c:v>
                </c:pt>
                <c:pt idx="38">
                  <c:v>4.1804557048629691</c:v>
                </c:pt>
                <c:pt idx="39">
                  <c:v>5.1353780893681611</c:v>
                </c:pt>
                <c:pt idx="40">
                  <c:v>5.1049427150727391</c:v>
                </c:pt>
                <c:pt idx="41">
                  <c:v>3.6465446185920203</c:v>
                </c:pt>
                <c:pt idx="42">
                  <c:v>3.4494840168105934</c:v>
                </c:pt>
                <c:pt idx="43">
                  <c:v>4.0189888785615393</c:v>
                </c:pt>
                <c:pt idx="44">
                  <c:v>5.2885039156984393</c:v>
                </c:pt>
                <c:pt idx="45">
                  <c:v>3.9038515522252326</c:v>
                </c:pt>
                <c:pt idx="46">
                  <c:v>3.3491787342370185</c:v>
                </c:pt>
                <c:pt idx="47">
                  <c:v>4.5116030446087763</c:v>
                </c:pt>
                <c:pt idx="48">
                  <c:v>3.4292642138512397</c:v>
                </c:pt>
                <c:pt idx="49">
                  <c:v>4.6125628275301702</c:v>
                </c:pt>
                <c:pt idx="50">
                  <c:v>5.0764737371396338</c:v>
                </c:pt>
                <c:pt idx="51">
                  <c:v>5.0756597868827491</c:v>
                </c:pt>
                <c:pt idx="52">
                  <c:v>3.7009668603060728</c:v>
                </c:pt>
                <c:pt idx="53">
                  <c:v>4.8013619269593546</c:v>
                </c:pt>
                <c:pt idx="54">
                  <c:v>3.5121534351669315</c:v>
                </c:pt>
                <c:pt idx="55">
                  <c:v>3.9158784287952697</c:v>
                </c:pt>
                <c:pt idx="56">
                  <c:v>5.4854770045318411</c:v>
                </c:pt>
                <c:pt idx="57">
                  <c:v>5.7438841092603736</c:v>
                </c:pt>
                <c:pt idx="58">
                  <c:v>4.0943031286839044</c:v>
                </c:pt>
                <c:pt idx="59">
                  <c:v>4.0985483006402301</c:v>
                </c:pt>
                <c:pt idx="60">
                  <c:v>5.208977256242326</c:v>
                </c:pt>
                <c:pt idx="61">
                  <c:v>5.8119976963418107</c:v>
                </c:pt>
                <c:pt idx="62">
                  <c:v>4.5839483319681564</c:v>
                </c:pt>
                <c:pt idx="63">
                  <c:v>4.1215305225352044</c:v>
                </c:pt>
                <c:pt idx="64">
                  <c:v>6.3321842606342358</c:v>
                </c:pt>
                <c:pt idx="65">
                  <c:v>4.8438507379680669</c:v>
                </c:pt>
                <c:pt idx="66">
                  <c:v>5.562389799493241</c:v>
                </c:pt>
                <c:pt idx="67">
                  <c:v>4.842630886962354</c:v>
                </c:pt>
                <c:pt idx="68">
                  <c:v>5.1988834422615824</c:v>
                </c:pt>
                <c:pt idx="69">
                  <c:v>4.9736017297821125</c:v>
                </c:pt>
                <c:pt idx="70">
                  <c:v>4.5310010054772185</c:v>
                </c:pt>
                <c:pt idx="71">
                  <c:v>3.9561959975498779</c:v>
                </c:pt>
                <c:pt idx="72">
                  <c:v>2.8337443344516364</c:v>
                </c:pt>
                <c:pt idx="73">
                  <c:v>4.1099558337100888</c:v>
                </c:pt>
                <c:pt idx="74">
                  <c:v>4.2978103828308907</c:v>
                </c:pt>
                <c:pt idx="75">
                  <c:v>3.5414220699906589</c:v>
                </c:pt>
                <c:pt idx="76">
                  <c:v>3.9060069798651491</c:v>
                </c:pt>
                <c:pt idx="77">
                  <c:v>4.0519551708809383</c:v>
                </c:pt>
                <c:pt idx="78">
                  <c:v>4.7991670913471811</c:v>
                </c:pt>
                <c:pt idx="79">
                  <c:v>4.9500180578857496</c:v>
                </c:pt>
                <c:pt idx="80">
                  <c:v>5.1695095940471179</c:v>
                </c:pt>
                <c:pt idx="81">
                  <c:v>6.042457465674147</c:v>
                </c:pt>
                <c:pt idx="82">
                  <c:v>4.5548664879191598</c:v>
                </c:pt>
                <c:pt idx="83">
                  <c:v>4.7085627952576079</c:v>
                </c:pt>
                <c:pt idx="84">
                  <c:v>4.5683342004074294</c:v>
                </c:pt>
                <c:pt idx="85">
                  <c:v>7.6221899285619283</c:v>
                </c:pt>
                <c:pt idx="86">
                  <c:v>7.1268663653962312</c:v>
                </c:pt>
                <c:pt idx="87">
                  <c:v>4.418515226199486</c:v>
                </c:pt>
                <c:pt idx="88">
                  <c:v>4.8766878028285685</c:v>
                </c:pt>
                <c:pt idx="89">
                  <c:v>6.0122742841218297</c:v>
                </c:pt>
                <c:pt idx="90">
                  <c:v>4.4767678722413562</c:v>
                </c:pt>
                <c:pt idx="91">
                  <c:v>4.7311365386031596</c:v>
                </c:pt>
                <c:pt idx="92">
                  <c:v>6.8937815771159539</c:v>
                </c:pt>
                <c:pt idx="93">
                  <c:v>4.7510051360021643</c:v>
                </c:pt>
                <c:pt idx="94">
                  <c:v>3.9657718014430228</c:v>
                </c:pt>
                <c:pt idx="95">
                  <c:v>6.1556527404566728</c:v>
                </c:pt>
                <c:pt idx="96">
                  <c:v>5.0102969437273916</c:v>
                </c:pt>
                <c:pt idx="97">
                  <c:v>6.0460602569973974</c:v>
                </c:pt>
                <c:pt idx="98">
                  <c:v>5.2766001542498566</c:v>
                </c:pt>
                <c:pt idx="99">
                  <c:v>4.9861652332750843</c:v>
                </c:pt>
                <c:pt idx="100">
                  <c:v>5.6950659171914824</c:v>
                </c:pt>
                <c:pt idx="101">
                  <c:v>7.000542981322508</c:v>
                </c:pt>
                <c:pt idx="102">
                  <c:v>6.2948244707085363</c:v>
                </c:pt>
                <c:pt idx="103">
                  <c:v>6.9713706061999021</c:v>
                </c:pt>
                <c:pt idx="104">
                  <c:v>8.2780687942351427</c:v>
                </c:pt>
                <c:pt idx="105">
                  <c:v>7.3174938141788504</c:v>
                </c:pt>
                <c:pt idx="106">
                  <c:v>5.8685713571193974</c:v>
                </c:pt>
                <c:pt idx="107">
                  <c:v>7.2148294262904074</c:v>
                </c:pt>
                <c:pt idx="108">
                  <c:v>6.6155482054994312</c:v>
                </c:pt>
                <c:pt idx="109">
                  <c:v>6.4703831462032921</c:v>
                </c:pt>
                <c:pt idx="110">
                  <c:v>5.8352171059051026</c:v>
                </c:pt>
                <c:pt idx="111">
                  <c:v>6.4077943898216949</c:v>
                </c:pt>
                <c:pt idx="112">
                  <c:v>6.9861504639389977</c:v>
                </c:pt>
                <c:pt idx="113">
                  <c:v>7.335387946828634</c:v>
                </c:pt>
                <c:pt idx="114">
                  <c:v>7.6355836709465406</c:v>
                </c:pt>
                <c:pt idx="115">
                  <c:v>4.8792631285532906</c:v>
                </c:pt>
                <c:pt idx="116">
                  <c:v>5.0369698125090068</c:v>
                </c:pt>
                <c:pt idx="117">
                  <c:v>8.1273341669651042</c:v>
                </c:pt>
                <c:pt idx="118">
                  <c:v>7.8477827306470616</c:v>
                </c:pt>
                <c:pt idx="119">
                  <c:v>7.9689316168433049</c:v>
                </c:pt>
                <c:pt idx="120">
                  <c:v>7.1710153588540937</c:v>
                </c:pt>
                <c:pt idx="121">
                  <c:v>7.9965945603771624</c:v>
                </c:pt>
                <c:pt idx="122">
                  <c:v>8.3109443077267695</c:v>
                </c:pt>
                <c:pt idx="123">
                  <c:v>6.2101177663707743</c:v>
                </c:pt>
                <c:pt idx="124">
                  <c:v>5.1094318860736854</c:v>
                </c:pt>
                <c:pt idx="125">
                  <c:v>5.5795739286094026</c:v>
                </c:pt>
                <c:pt idx="126">
                  <c:v>8.3141727200743389</c:v>
                </c:pt>
                <c:pt idx="127">
                  <c:v>7.711286125078475</c:v>
                </c:pt>
                <c:pt idx="128">
                  <c:v>5.833762007793081</c:v>
                </c:pt>
                <c:pt idx="129">
                  <c:v>6.3445836237398217</c:v>
                </c:pt>
                <c:pt idx="130">
                  <c:v>6.234015825383322</c:v>
                </c:pt>
                <c:pt idx="131">
                  <c:v>9.1258827393515034</c:v>
                </c:pt>
                <c:pt idx="132">
                  <c:v>7.3887151093746626</c:v>
                </c:pt>
                <c:pt idx="133">
                  <c:v>8.1186643640159719</c:v>
                </c:pt>
                <c:pt idx="134">
                  <c:v>8.0715307661055498</c:v>
                </c:pt>
                <c:pt idx="135">
                  <c:v>9.9200308936786961</c:v>
                </c:pt>
                <c:pt idx="136">
                  <c:v>6.7726513750980208</c:v>
                </c:pt>
                <c:pt idx="137">
                  <c:v>7.1885047687271051</c:v>
                </c:pt>
                <c:pt idx="138">
                  <c:v>6.6015307769307192</c:v>
                </c:pt>
                <c:pt idx="139">
                  <c:v>8.4774341188611739</c:v>
                </c:pt>
                <c:pt idx="140">
                  <c:v>9.3248605929392347</c:v>
                </c:pt>
                <c:pt idx="141">
                  <c:v>8.9787367677247509</c:v>
                </c:pt>
                <c:pt idx="142">
                  <c:v>9.3228041451263195</c:v>
                </c:pt>
                <c:pt idx="143">
                  <c:v>10.639638485318487</c:v>
                </c:pt>
                <c:pt idx="144">
                  <c:v>6.0907199685954394</c:v>
                </c:pt>
                <c:pt idx="145">
                  <c:v>7.465076609922777</c:v>
                </c:pt>
                <c:pt idx="146">
                  <c:v>11.279846483368052</c:v>
                </c:pt>
                <c:pt idx="147">
                  <c:v>10.188962861828433</c:v>
                </c:pt>
                <c:pt idx="148">
                  <c:v>6.8234505204429077</c:v>
                </c:pt>
                <c:pt idx="149">
                  <c:v>8.0692356097794757</c:v>
                </c:pt>
                <c:pt idx="150">
                  <c:v>10.327222529526543</c:v>
                </c:pt>
                <c:pt idx="151">
                  <c:v>8.2355631199426806</c:v>
                </c:pt>
                <c:pt idx="152">
                  <c:v>9.0926883407977659</c:v>
                </c:pt>
                <c:pt idx="153">
                  <c:v>9.6080483950528954</c:v>
                </c:pt>
                <c:pt idx="154">
                  <c:v>10.191077352528373</c:v>
                </c:pt>
                <c:pt idx="155">
                  <c:v>6.4927444204094265</c:v>
                </c:pt>
                <c:pt idx="156">
                  <c:v>8.0300589510549809</c:v>
                </c:pt>
                <c:pt idx="157">
                  <c:v>8.6768435407554261</c:v>
                </c:pt>
                <c:pt idx="158">
                  <c:v>10.948151732043993</c:v>
                </c:pt>
                <c:pt idx="159">
                  <c:v>5.7895193924357997</c:v>
                </c:pt>
                <c:pt idx="160">
                  <c:v>8.5240279660494309</c:v>
                </c:pt>
                <c:pt idx="161">
                  <c:v>11.214905089606754</c:v>
                </c:pt>
                <c:pt idx="162">
                  <c:v>12.577118300599469</c:v>
                </c:pt>
                <c:pt idx="163">
                  <c:v>13.949588269317532</c:v>
                </c:pt>
                <c:pt idx="164">
                  <c:v>11.781245842144655</c:v>
                </c:pt>
                <c:pt idx="165">
                  <c:v>9.5618295184511801</c:v>
                </c:pt>
                <c:pt idx="166">
                  <c:v>10.86978898977168</c:v>
                </c:pt>
                <c:pt idx="167">
                  <c:v>13.093719729589679</c:v>
                </c:pt>
                <c:pt idx="168">
                  <c:v>14.138806709213654</c:v>
                </c:pt>
                <c:pt idx="169">
                  <c:v>13.772250482394464</c:v>
                </c:pt>
                <c:pt idx="170">
                  <c:v>14.939062947960974</c:v>
                </c:pt>
                <c:pt idx="171">
                  <c:v>13.085453205907095</c:v>
                </c:pt>
                <c:pt idx="172">
                  <c:v>12.072579429725483</c:v>
                </c:pt>
                <c:pt idx="173">
                  <c:v>12.321640060455524</c:v>
                </c:pt>
                <c:pt idx="174">
                  <c:v>12.985080990816483</c:v>
                </c:pt>
                <c:pt idx="175">
                  <c:v>12.822921088186773</c:v>
                </c:pt>
                <c:pt idx="176">
                  <c:v>12.901666530402082</c:v>
                </c:pt>
                <c:pt idx="177">
                  <c:v>12.736610982788848</c:v>
                </c:pt>
                <c:pt idx="178">
                  <c:v>14.071081638141797</c:v>
                </c:pt>
                <c:pt idx="179">
                  <c:v>14.373869122146937</c:v>
                </c:pt>
                <c:pt idx="180">
                  <c:v>13.785488300330012</c:v>
                </c:pt>
                <c:pt idx="181">
                  <c:v>12.889985080221884</c:v>
                </c:pt>
                <c:pt idx="182">
                  <c:v>15.366852937887503</c:v>
                </c:pt>
                <c:pt idx="183">
                  <c:v>13.30426343858635</c:v>
                </c:pt>
                <c:pt idx="184">
                  <c:v>14.875087401092459</c:v>
                </c:pt>
                <c:pt idx="185">
                  <c:v>15.652044735251287</c:v>
                </c:pt>
                <c:pt idx="186">
                  <c:v>14.203117804655101</c:v>
                </c:pt>
                <c:pt idx="187">
                  <c:v>16.990331727640282</c:v>
                </c:pt>
                <c:pt idx="188">
                  <c:v>12.205583571922213</c:v>
                </c:pt>
              </c:numCache>
            </c:numRef>
          </c:yVal>
        </c:ser>
        <c:axId val="138842112"/>
        <c:axId val="138840320"/>
      </c:scatterChart>
      <c:valAx>
        <c:axId val="138828800"/>
        <c:scaling>
          <c:orientation val="minMax"/>
        </c:scaling>
        <c:axPos val="b"/>
        <c:numFmt formatCode="d\-mmm\-yy" sourceLinked="1"/>
        <c:tickLblPos val="nextTo"/>
        <c:crossAx val="138838784"/>
        <c:crosses val="autoZero"/>
        <c:crossBetween val="midCat"/>
      </c:valAx>
      <c:valAx>
        <c:axId val="138838784"/>
        <c:scaling>
          <c:orientation val="minMax"/>
        </c:scaling>
        <c:axPos val="l"/>
        <c:majorGridlines/>
        <c:numFmt formatCode="General" sourceLinked="1"/>
        <c:tickLblPos val="nextTo"/>
        <c:crossAx val="138828800"/>
        <c:crosses val="autoZero"/>
        <c:crossBetween val="midCat"/>
      </c:valAx>
      <c:valAx>
        <c:axId val="138840320"/>
        <c:scaling>
          <c:orientation val="minMax"/>
        </c:scaling>
        <c:axPos val="r"/>
        <c:numFmt formatCode="General" sourceLinked="1"/>
        <c:tickLblPos val="nextTo"/>
        <c:crossAx val="138842112"/>
        <c:crosses val="max"/>
        <c:crossBetween val="midCat"/>
      </c:valAx>
      <c:valAx>
        <c:axId val="138842112"/>
        <c:scaling>
          <c:orientation val="minMax"/>
        </c:scaling>
        <c:delete val="1"/>
        <c:axPos val="b"/>
        <c:numFmt formatCode="d\-mmm\-yy" sourceLinked="1"/>
        <c:tickLblPos val="none"/>
        <c:crossAx val="138840320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AU"/>
  <c:chart>
    <c:plotArea>
      <c:layout/>
      <c:scatterChart>
        <c:scatterStyle val="lineMarker"/>
        <c:ser>
          <c:idx val="0"/>
          <c:order val="0"/>
          <c:spPr>
            <a:ln w="28575">
              <a:noFill/>
            </a:ln>
          </c:spPr>
          <c:xVal>
            <c:numRef>
              <c:f>Beverley!$AO$4:$AO$6</c:f>
              <c:numCache>
                <c:formatCode>General</c:formatCode>
                <c:ptCount val="3"/>
              </c:numCache>
            </c:numRef>
          </c:xVal>
          <c:yVal>
            <c:numRef>
              <c:f>Beverley!$W$4:$W$6</c:f>
              <c:numCache>
                <c:formatCode>General</c:formatCode>
                <c:ptCount val="3"/>
              </c:numCache>
            </c:numRef>
          </c:yVal>
        </c:ser>
        <c:ser>
          <c:idx val="1"/>
          <c:order val="1"/>
          <c:spPr>
            <a:ln w="28575">
              <a:noFill/>
            </a:ln>
          </c:spPr>
          <c:xVal>
            <c:numRef>
              <c:f>Beverley!$AO$7:$AO$9</c:f>
              <c:numCache>
                <c:formatCode>General</c:formatCode>
                <c:ptCount val="3"/>
              </c:numCache>
            </c:numRef>
          </c:xVal>
          <c:yVal>
            <c:numRef>
              <c:f>Beverley!$W$7:$W$9</c:f>
              <c:numCache>
                <c:formatCode>General</c:formatCode>
                <c:ptCount val="3"/>
              </c:numCache>
            </c:numRef>
          </c:yVal>
        </c:ser>
        <c:ser>
          <c:idx val="2"/>
          <c:order val="2"/>
          <c:spPr>
            <a:ln w="28575">
              <a:noFill/>
            </a:ln>
          </c:spPr>
          <c:xVal>
            <c:numRef>
              <c:f>Beverley!$AO$10:$AO$12</c:f>
              <c:numCache>
                <c:formatCode>General</c:formatCode>
                <c:ptCount val="3"/>
              </c:numCache>
            </c:numRef>
          </c:xVal>
          <c:yVal>
            <c:numRef>
              <c:f>Beverley!$W$10:$W$12</c:f>
              <c:numCache>
                <c:formatCode>General</c:formatCode>
                <c:ptCount val="3"/>
              </c:numCache>
            </c:numRef>
          </c:yVal>
        </c:ser>
        <c:ser>
          <c:idx val="3"/>
          <c:order val="3"/>
          <c:spPr>
            <a:ln w="28575">
              <a:noFill/>
            </a:ln>
          </c:spPr>
          <c:xVal>
            <c:numRef>
              <c:f>Beverley!$AO$13:$AO$15</c:f>
              <c:numCache>
                <c:formatCode>General</c:formatCode>
                <c:ptCount val="3"/>
              </c:numCache>
            </c:numRef>
          </c:xVal>
          <c:yVal>
            <c:numRef>
              <c:f>Beverley!$W$13:$W$15</c:f>
              <c:numCache>
                <c:formatCode>General</c:formatCode>
                <c:ptCount val="3"/>
              </c:numCache>
            </c:numRef>
          </c:yVal>
        </c:ser>
        <c:axId val="139138560"/>
        <c:axId val="139140096"/>
      </c:scatterChart>
      <c:valAx>
        <c:axId val="139138560"/>
        <c:scaling>
          <c:orientation val="minMax"/>
        </c:scaling>
        <c:axPos val="b"/>
        <c:numFmt formatCode="General" sourceLinked="1"/>
        <c:tickLblPos val="nextTo"/>
        <c:crossAx val="139140096"/>
        <c:crosses val="autoZero"/>
        <c:crossBetween val="midCat"/>
      </c:valAx>
      <c:valAx>
        <c:axId val="139140096"/>
        <c:scaling>
          <c:orientation val="minMax"/>
        </c:scaling>
        <c:axPos val="l"/>
        <c:majorGridlines/>
        <c:numFmt formatCode="General" sourceLinked="1"/>
        <c:tickLblPos val="nextTo"/>
        <c:crossAx val="139138560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AU"/>
  <c:chart>
    <c:plotArea>
      <c:layout/>
      <c:scatterChart>
        <c:scatterStyle val="lineMarker"/>
        <c:ser>
          <c:idx val="0"/>
          <c:order val="0"/>
          <c:spPr>
            <a:ln w="28575">
              <a:noFill/>
            </a:ln>
          </c:spPr>
          <c:xVal>
            <c:numRef>
              <c:f>Beverley!$AO$4:$AO$6</c:f>
              <c:numCache>
                <c:formatCode>General</c:formatCode>
                <c:ptCount val="3"/>
              </c:numCache>
            </c:numRef>
          </c:xVal>
          <c:yVal>
            <c:numRef>
              <c:f>Beverley!$AF$4:$AF$6</c:f>
              <c:numCache>
                <c:formatCode>General</c:formatCode>
                <c:ptCount val="3"/>
              </c:numCache>
            </c:numRef>
          </c:yVal>
        </c:ser>
        <c:ser>
          <c:idx val="1"/>
          <c:order val="1"/>
          <c:spPr>
            <a:ln w="28575">
              <a:noFill/>
            </a:ln>
          </c:spPr>
          <c:xVal>
            <c:numRef>
              <c:f>Beverley!$AO$7:$AO$9</c:f>
              <c:numCache>
                <c:formatCode>General</c:formatCode>
                <c:ptCount val="3"/>
              </c:numCache>
            </c:numRef>
          </c:xVal>
          <c:yVal>
            <c:numRef>
              <c:f>Beverley!$AF$7:$AF$9</c:f>
              <c:numCache>
                <c:formatCode>General</c:formatCode>
                <c:ptCount val="3"/>
              </c:numCache>
            </c:numRef>
          </c:yVal>
        </c:ser>
        <c:ser>
          <c:idx val="2"/>
          <c:order val="2"/>
          <c:spPr>
            <a:ln w="28575">
              <a:noFill/>
            </a:ln>
          </c:spPr>
          <c:xVal>
            <c:numRef>
              <c:f>Beverley!$AO$10:$AO$12</c:f>
              <c:numCache>
                <c:formatCode>General</c:formatCode>
                <c:ptCount val="3"/>
              </c:numCache>
            </c:numRef>
          </c:xVal>
          <c:yVal>
            <c:numRef>
              <c:f>Beverley!$AF$10:$AF$12</c:f>
              <c:numCache>
                <c:formatCode>General</c:formatCode>
                <c:ptCount val="3"/>
              </c:numCache>
            </c:numRef>
          </c:yVal>
        </c:ser>
        <c:ser>
          <c:idx val="3"/>
          <c:order val="3"/>
          <c:spPr>
            <a:ln w="28575">
              <a:noFill/>
            </a:ln>
          </c:spPr>
          <c:xVal>
            <c:numRef>
              <c:f>Beverley!$AO$13:$AO$15</c:f>
              <c:numCache>
                <c:formatCode>General</c:formatCode>
                <c:ptCount val="3"/>
              </c:numCache>
            </c:numRef>
          </c:xVal>
          <c:yVal>
            <c:numRef>
              <c:f>Beverley!$AF$13:$AF$15</c:f>
              <c:numCache>
                <c:formatCode>General</c:formatCode>
                <c:ptCount val="3"/>
              </c:numCache>
            </c:numRef>
          </c:yVal>
        </c:ser>
        <c:axId val="139166464"/>
        <c:axId val="139168000"/>
      </c:scatterChart>
      <c:valAx>
        <c:axId val="139166464"/>
        <c:scaling>
          <c:orientation val="minMax"/>
        </c:scaling>
        <c:axPos val="b"/>
        <c:numFmt formatCode="General" sourceLinked="1"/>
        <c:tickLblPos val="nextTo"/>
        <c:crossAx val="139168000"/>
        <c:crosses val="autoZero"/>
        <c:crossBetween val="midCat"/>
      </c:valAx>
      <c:valAx>
        <c:axId val="139168000"/>
        <c:scaling>
          <c:orientation val="minMax"/>
        </c:scaling>
        <c:axPos val="l"/>
        <c:majorGridlines/>
        <c:numFmt formatCode="General" sourceLinked="1"/>
        <c:tickLblPos val="nextTo"/>
        <c:crossAx val="139166464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AU"/>
  <c:chart>
    <c:autoTitleDeleted val="1"/>
    <c:plotArea>
      <c:layout/>
      <c:scatterChart>
        <c:scatterStyle val="lineMarker"/>
        <c:ser>
          <c:idx val="0"/>
          <c:order val="0"/>
          <c:tx>
            <c:strRef>
              <c:f>Biloela!$P$4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circle"/>
            <c:size val="7"/>
          </c:marker>
          <c:xVal>
            <c:numRef>
              <c:f>Biloela!$AO$4:$AO$6</c:f>
              <c:numCache>
                <c:formatCode>General</c:formatCode>
                <c:ptCount val="3"/>
              </c:numCache>
            </c:numRef>
          </c:xVal>
          <c:yVal>
            <c:numRef>
              <c:f>Biloela!$AP$4:$AP$6</c:f>
              <c:numCache>
                <c:formatCode>General</c:formatCode>
                <c:ptCount val="3"/>
              </c:numCache>
            </c:numRef>
          </c:yVal>
        </c:ser>
        <c:ser>
          <c:idx val="1"/>
          <c:order val="1"/>
          <c:tx>
            <c:strRef>
              <c:f>Biloela!$P$7</c:f>
              <c:strCache>
                <c:ptCount val="1"/>
              </c:strCache>
            </c:strRef>
          </c:tx>
          <c:spPr>
            <a:ln w="28575">
              <a:noFill/>
            </a:ln>
          </c:spPr>
          <c:xVal>
            <c:numRef>
              <c:f>Biloela!$AO$7:$AO$9</c:f>
              <c:numCache>
                <c:formatCode>General</c:formatCode>
                <c:ptCount val="3"/>
              </c:numCache>
            </c:numRef>
          </c:xVal>
          <c:yVal>
            <c:numRef>
              <c:f>Biloela!$AP$7:$AP$9</c:f>
              <c:numCache>
                <c:formatCode>General</c:formatCode>
                <c:ptCount val="3"/>
              </c:numCache>
            </c:numRef>
          </c:yVal>
        </c:ser>
        <c:ser>
          <c:idx val="2"/>
          <c:order val="2"/>
          <c:tx>
            <c:strRef>
              <c:f>Biloela!$P$10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circle"/>
            <c:size val="7"/>
          </c:marker>
          <c:xVal>
            <c:numRef>
              <c:f>Biloela!$AO$10:$AO$12</c:f>
              <c:numCache>
                <c:formatCode>General</c:formatCode>
                <c:ptCount val="3"/>
              </c:numCache>
            </c:numRef>
          </c:xVal>
          <c:yVal>
            <c:numRef>
              <c:f>Biloela!$AP$10:$AP$12</c:f>
              <c:numCache>
                <c:formatCode>General</c:formatCode>
                <c:ptCount val="3"/>
              </c:numCache>
            </c:numRef>
          </c:yVal>
        </c:ser>
        <c:ser>
          <c:idx val="3"/>
          <c:order val="3"/>
          <c:tx>
            <c:strRef>
              <c:f>Biloela!$P$13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circle"/>
            <c:size val="7"/>
          </c:marker>
          <c:xVal>
            <c:numRef>
              <c:f>Biloela!$AO$13:$AO$15</c:f>
              <c:numCache>
                <c:formatCode>General</c:formatCode>
                <c:ptCount val="3"/>
              </c:numCache>
            </c:numRef>
          </c:xVal>
          <c:yVal>
            <c:numRef>
              <c:f>Biloela!$AP$13:$AP$15</c:f>
              <c:numCache>
                <c:formatCode>General</c:formatCode>
                <c:ptCount val="3"/>
              </c:numCache>
            </c:numRef>
          </c:yVal>
        </c:ser>
        <c:ser>
          <c:idx val="4"/>
          <c:order val="4"/>
          <c:spPr>
            <a:ln w="285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Herm8889!#REF!</c:f>
            </c:numRef>
          </c:xVal>
          <c:yVal>
            <c:numRef>
              <c:f>Herm8889!#REF!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</c:ser>
        <c:ser>
          <c:idx val="5"/>
          <c:order val="5"/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Herm8889!#REF!</c:f>
            </c:numRef>
          </c:xVal>
          <c:yVal>
            <c:numRef>
              <c:f>Herm8889!#REF!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</c:ser>
        <c:ser>
          <c:idx val="6"/>
          <c:order val="6"/>
          <c:spPr>
            <a:ln w="28575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Herm8889!#REF!</c:f>
            </c:numRef>
          </c:xVal>
          <c:yVal>
            <c:numRef>
              <c:f>Herm8889!#REF!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</c:ser>
        <c:ser>
          <c:idx val="7"/>
          <c:order val="7"/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Herm8889!#REF!</c:f>
            </c:numRef>
          </c:xVal>
          <c:yVal>
            <c:numRef>
              <c:f>Herm8889!#REF!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</c:ser>
        <c:axId val="139279744"/>
        <c:axId val="139285632"/>
      </c:scatterChart>
      <c:valAx>
        <c:axId val="139279744"/>
        <c:scaling>
          <c:orientation val="minMax"/>
          <c:max val="14"/>
          <c:min val="11"/>
        </c:scaling>
        <c:axPos val="b"/>
        <c:numFmt formatCode="General" sourceLinked="1"/>
        <c:tickLblPos val="nextTo"/>
        <c:crossAx val="139285632"/>
        <c:crosses val="autoZero"/>
        <c:crossBetween val="midCat"/>
      </c:valAx>
      <c:valAx>
        <c:axId val="139285632"/>
        <c:scaling>
          <c:orientation val="minMax"/>
          <c:max val="600"/>
        </c:scaling>
        <c:axPos val="l"/>
        <c:majorGridlines/>
        <c:numFmt formatCode="General" sourceLinked="1"/>
        <c:tickLblPos val="nextTo"/>
        <c:crossAx val="139279744"/>
        <c:crosses val="autoZero"/>
        <c:crossBetween val="midCat"/>
      </c:valAx>
    </c:plotArea>
    <c:legend>
      <c:legendPos val="r"/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7"/>
        <c:delete val="1"/>
      </c:legendEntry>
    </c:legend>
    <c:plotVisOnly val="1"/>
  </c:chart>
  <c:printSettings>
    <c:headerFooter/>
    <c:pageMargins b="0.75000000000000289" l="0.70000000000000062" r="0.70000000000000062" t="0.75000000000000289" header="0.30000000000000032" footer="0.30000000000000032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AU"/>
  <c:chart>
    <c:title>
      <c:tx>
        <c:rich>
          <a:bodyPr/>
          <a:lstStyle/>
          <a:p>
            <a:pPr>
              <a:defRPr/>
            </a:pPr>
            <a:r>
              <a:rPr lang="en-AU"/>
              <a:t>Final</a:t>
            </a:r>
            <a:r>
              <a:rPr lang="en-AU" baseline="0"/>
              <a:t> Leaf Number</a:t>
            </a:r>
            <a:endParaRPr lang="en-AU"/>
          </a:p>
        </c:rich>
      </c:tx>
    </c:title>
    <c:plotArea>
      <c:layout>
        <c:manualLayout>
          <c:layoutTarget val="inner"/>
          <c:xMode val="edge"/>
          <c:yMode val="edge"/>
          <c:x val="0.11705432146185014"/>
          <c:y val="0.21072332174694391"/>
          <c:w val="0.78177133346136662"/>
          <c:h val="0.6638930268851555"/>
        </c:manualLayout>
      </c:layout>
      <c:scatterChart>
        <c:scatterStyle val="lineMarker"/>
        <c:ser>
          <c:idx val="0"/>
          <c:order val="0"/>
          <c:tx>
            <c:strRef>
              <c:f>Biloela!$AK$3</c:f>
              <c:strCache>
                <c:ptCount val="1"/>
              </c:strCache>
            </c:strRef>
          </c:tx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layout>
                <c:manualLayout>
                  <c:x val="0.3578822178477718"/>
                  <c:y val="0.39646557338227828"/>
                </c:manualLayout>
              </c:layout>
              <c:numFmt formatCode="General" sourceLinked="0"/>
            </c:trendlineLbl>
          </c:trendline>
          <c:xVal>
            <c:numRef>
              <c:f>Biloela!$W$4:$W$15</c:f>
              <c:numCache>
                <c:formatCode>General</c:formatCode>
                <c:ptCount val="12"/>
              </c:numCache>
            </c:numRef>
          </c:xVal>
          <c:yVal>
            <c:numRef>
              <c:f>Biloela!$AK$4:$AK$15</c:f>
              <c:numCache>
                <c:formatCode>General</c:formatCode>
                <c:ptCount val="12"/>
              </c:numCache>
            </c:numRef>
          </c:yVal>
        </c:ser>
        <c:ser>
          <c:idx val="1"/>
          <c:order val="1"/>
          <c:spPr>
            <a:ln w="285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Biloela!$O$1</c:f>
              <c:numCache>
                <c:formatCode>General</c:formatCode>
                <c:ptCount val="1"/>
              </c:numCache>
            </c:numRef>
          </c:xVal>
          <c:yVal>
            <c:numRef>
              <c:f>Biloela!$P$1</c:f>
              <c:numCache>
                <c:formatCode>General</c:formatCode>
                <c:ptCount val="1"/>
              </c:numCache>
            </c:numRef>
          </c:yVal>
        </c:ser>
        <c:axId val="139325440"/>
        <c:axId val="139326976"/>
      </c:scatterChart>
      <c:valAx>
        <c:axId val="139325440"/>
        <c:scaling>
          <c:orientation val="minMax"/>
        </c:scaling>
        <c:axPos val="b"/>
        <c:numFmt formatCode="General" sourceLinked="1"/>
        <c:tickLblPos val="nextTo"/>
        <c:crossAx val="139326976"/>
        <c:crosses val="autoZero"/>
        <c:crossBetween val="midCat"/>
      </c:valAx>
      <c:valAx>
        <c:axId val="139326976"/>
        <c:scaling>
          <c:orientation val="minMax"/>
        </c:scaling>
        <c:axPos val="l"/>
        <c:majorGridlines/>
        <c:numFmt formatCode="General" sourceLinked="1"/>
        <c:tickLblPos val="nextTo"/>
        <c:crossAx val="139325440"/>
        <c:crosses val="autoZero"/>
        <c:crossBetween val="midCat"/>
      </c:valAx>
    </c:plotArea>
    <c:plotVisOnly val="1"/>
  </c:chart>
  <c:printSettings>
    <c:headerFooter/>
    <c:pageMargins b="0.75000000000000266" l="0.70000000000000062" r="0.70000000000000062" t="0.75000000000000266" header="0.30000000000000032" footer="0.30000000000000032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AU"/>
  <c:chart>
    <c:title/>
    <c:plotArea>
      <c:layout/>
      <c:scatterChart>
        <c:scatterStyle val="lineMarker"/>
        <c:ser>
          <c:idx val="0"/>
          <c:order val="0"/>
          <c:tx>
            <c:strRef>
              <c:f>Herm8889!#REF!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xVal>
            <c:numRef>
              <c:f>Biloela!$BA$2:$BA$18</c:f>
              <c:numCache>
                <c:formatCode>General</c:formatCode>
                <c:ptCount val="17"/>
              </c:numCache>
            </c:numRef>
          </c:xVal>
          <c:yVal>
            <c:numRef>
              <c:f>Herm8889!#REF!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</c:ser>
        <c:axId val="139539200"/>
        <c:axId val="139540736"/>
      </c:scatterChart>
      <c:valAx>
        <c:axId val="139539200"/>
        <c:scaling>
          <c:orientation val="minMax"/>
        </c:scaling>
        <c:axPos val="b"/>
        <c:numFmt formatCode="General" sourceLinked="1"/>
        <c:tickLblPos val="nextTo"/>
        <c:crossAx val="139540736"/>
        <c:crosses val="autoZero"/>
        <c:crossBetween val="midCat"/>
      </c:valAx>
      <c:valAx>
        <c:axId val="139540736"/>
        <c:scaling>
          <c:orientation val="minMax"/>
        </c:scaling>
        <c:axPos val="l"/>
        <c:majorGridlines/>
        <c:numFmt formatCode="General" sourceLinked="1"/>
        <c:tickLblPos val="nextTo"/>
        <c:crossAx val="139539200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255" l="0.70000000000000062" r="0.70000000000000062" t="0.75000000000000255" header="0.30000000000000032" footer="0.30000000000000032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AU"/>
  <c:chart>
    <c:plotArea>
      <c:layout/>
      <c:scatterChart>
        <c:scatterStyle val="lineMarker"/>
        <c:ser>
          <c:idx val="0"/>
          <c:order val="0"/>
          <c:tx>
            <c:strRef>
              <c:f>Biloela!$C$3</c:f>
              <c:strCache>
                <c:ptCount val="1"/>
                <c:pt idx="0">
                  <c:v>PP</c:v>
                </c:pt>
              </c:strCache>
            </c:strRef>
          </c:tx>
          <c:marker>
            <c:symbol val="none"/>
          </c:marker>
          <c:xVal>
            <c:numRef>
              <c:f>Biloela!$A$4:$A$368</c:f>
              <c:numCache>
                <c:formatCode>d\-mmm\-yy</c:formatCode>
                <c:ptCount val="365"/>
                <c:pt idx="0">
                  <c:v>32933</c:v>
                </c:pt>
                <c:pt idx="1">
                  <c:v>32934</c:v>
                </c:pt>
                <c:pt idx="2">
                  <c:v>32935</c:v>
                </c:pt>
                <c:pt idx="3">
                  <c:v>32936</c:v>
                </c:pt>
                <c:pt idx="4">
                  <c:v>32937</c:v>
                </c:pt>
                <c:pt idx="5">
                  <c:v>32938</c:v>
                </c:pt>
                <c:pt idx="6">
                  <c:v>32939</c:v>
                </c:pt>
                <c:pt idx="7">
                  <c:v>32940</c:v>
                </c:pt>
                <c:pt idx="8">
                  <c:v>32941</c:v>
                </c:pt>
                <c:pt idx="9">
                  <c:v>32942</c:v>
                </c:pt>
                <c:pt idx="10">
                  <c:v>32943</c:v>
                </c:pt>
                <c:pt idx="11">
                  <c:v>32944</c:v>
                </c:pt>
                <c:pt idx="12">
                  <c:v>32945</c:v>
                </c:pt>
                <c:pt idx="13">
                  <c:v>32946</c:v>
                </c:pt>
                <c:pt idx="14">
                  <c:v>32947</c:v>
                </c:pt>
                <c:pt idx="15">
                  <c:v>32948</c:v>
                </c:pt>
                <c:pt idx="16">
                  <c:v>32949</c:v>
                </c:pt>
                <c:pt idx="17">
                  <c:v>32950</c:v>
                </c:pt>
                <c:pt idx="18">
                  <c:v>32951</c:v>
                </c:pt>
                <c:pt idx="19">
                  <c:v>32952</c:v>
                </c:pt>
                <c:pt idx="20">
                  <c:v>32953</c:v>
                </c:pt>
                <c:pt idx="21">
                  <c:v>32954</c:v>
                </c:pt>
                <c:pt idx="22">
                  <c:v>32955</c:v>
                </c:pt>
                <c:pt idx="23">
                  <c:v>32956</c:v>
                </c:pt>
                <c:pt idx="24">
                  <c:v>32957</c:v>
                </c:pt>
                <c:pt idx="25">
                  <c:v>32958</c:v>
                </c:pt>
                <c:pt idx="26">
                  <c:v>32959</c:v>
                </c:pt>
                <c:pt idx="27">
                  <c:v>32960</c:v>
                </c:pt>
                <c:pt idx="28">
                  <c:v>32961</c:v>
                </c:pt>
                <c:pt idx="29">
                  <c:v>32962</c:v>
                </c:pt>
                <c:pt idx="30">
                  <c:v>32963</c:v>
                </c:pt>
                <c:pt idx="31">
                  <c:v>32964</c:v>
                </c:pt>
                <c:pt idx="32">
                  <c:v>32965</c:v>
                </c:pt>
                <c:pt idx="33">
                  <c:v>32966</c:v>
                </c:pt>
                <c:pt idx="34">
                  <c:v>32967</c:v>
                </c:pt>
                <c:pt idx="35">
                  <c:v>32968</c:v>
                </c:pt>
                <c:pt idx="36">
                  <c:v>32969</c:v>
                </c:pt>
                <c:pt idx="37">
                  <c:v>32970</c:v>
                </c:pt>
                <c:pt idx="38">
                  <c:v>32971</c:v>
                </c:pt>
                <c:pt idx="39">
                  <c:v>32972</c:v>
                </c:pt>
                <c:pt idx="40">
                  <c:v>32973</c:v>
                </c:pt>
                <c:pt idx="41">
                  <c:v>32974</c:v>
                </c:pt>
                <c:pt idx="42">
                  <c:v>32975</c:v>
                </c:pt>
                <c:pt idx="43">
                  <c:v>32976</c:v>
                </c:pt>
                <c:pt idx="44">
                  <c:v>32977</c:v>
                </c:pt>
                <c:pt idx="45">
                  <c:v>32978</c:v>
                </c:pt>
                <c:pt idx="46">
                  <c:v>32979</c:v>
                </c:pt>
                <c:pt idx="47">
                  <c:v>32980</c:v>
                </c:pt>
                <c:pt idx="48">
                  <c:v>32981</c:v>
                </c:pt>
                <c:pt idx="49">
                  <c:v>32982</c:v>
                </c:pt>
                <c:pt idx="50">
                  <c:v>32983</c:v>
                </c:pt>
                <c:pt idx="51">
                  <c:v>32984</c:v>
                </c:pt>
                <c:pt idx="52">
                  <c:v>32985</c:v>
                </c:pt>
                <c:pt idx="53">
                  <c:v>32986</c:v>
                </c:pt>
                <c:pt idx="54">
                  <c:v>32987</c:v>
                </c:pt>
                <c:pt idx="55">
                  <c:v>32988</c:v>
                </c:pt>
                <c:pt idx="56">
                  <c:v>32989</c:v>
                </c:pt>
                <c:pt idx="57">
                  <c:v>32990</c:v>
                </c:pt>
                <c:pt idx="58">
                  <c:v>32991</c:v>
                </c:pt>
                <c:pt idx="59">
                  <c:v>32992</c:v>
                </c:pt>
                <c:pt idx="60">
                  <c:v>32993</c:v>
                </c:pt>
                <c:pt idx="61">
                  <c:v>32994</c:v>
                </c:pt>
                <c:pt idx="62">
                  <c:v>32995</c:v>
                </c:pt>
                <c:pt idx="63">
                  <c:v>32996</c:v>
                </c:pt>
                <c:pt idx="64">
                  <c:v>32997</c:v>
                </c:pt>
                <c:pt idx="65">
                  <c:v>32998</c:v>
                </c:pt>
                <c:pt idx="66">
                  <c:v>32999</c:v>
                </c:pt>
                <c:pt idx="67">
                  <c:v>33000</c:v>
                </c:pt>
                <c:pt idx="68">
                  <c:v>33001</c:v>
                </c:pt>
                <c:pt idx="69">
                  <c:v>33002</c:v>
                </c:pt>
                <c:pt idx="70">
                  <c:v>33003</c:v>
                </c:pt>
                <c:pt idx="71">
                  <c:v>33004</c:v>
                </c:pt>
                <c:pt idx="72">
                  <c:v>33005</c:v>
                </c:pt>
                <c:pt idx="73">
                  <c:v>33006</c:v>
                </c:pt>
                <c:pt idx="74">
                  <c:v>33007</c:v>
                </c:pt>
                <c:pt idx="75">
                  <c:v>33008</c:v>
                </c:pt>
                <c:pt idx="76">
                  <c:v>33009</c:v>
                </c:pt>
                <c:pt idx="77">
                  <c:v>33010</c:v>
                </c:pt>
                <c:pt idx="78">
                  <c:v>33011</c:v>
                </c:pt>
                <c:pt idx="79">
                  <c:v>33012</c:v>
                </c:pt>
                <c:pt idx="80">
                  <c:v>33013</c:v>
                </c:pt>
                <c:pt idx="81">
                  <c:v>33014</c:v>
                </c:pt>
                <c:pt idx="82">
                  <c:v>33015</c:v>
                </c:pt>
                <c:pt idx="83">
                  <c:v>33016</c:v>
                </c:pt>
                <c:pt idx="84">
                  <c:v>33017</c:v>
                </c:pt>
                <c:pt idx="85">
                  <c:v>33018</c:v>
                </c:pt>
                <c:pt idx="86">
                  <c:v>33019</c:v>
                </c:pt>
                <c:pt idx="87">
                  <c:v>33020</c:v>
                </c:pt>
                <c:pt idx="88">
                  <c:v>33021</c:v>
                </c:pt>
                <c:pt idx="89">
                  <c:v>33022</c:v>
                </c:pt>
                <c:pt idx="90">
                  <c:v>33023</c:v>
                </c:pt>
                <c:pt idx="91">
                  <c:v>33024</c:v>
                </c:pt>
                <c:pt idx="92">
                  <c:v>33025</c:v>
                </c:pt>
                <c:pt idx="93">
                  <c:v>33026</c:v>
                </c:pt>
                <c:pt idx="94">
                  <c:v>33027</c:v>
                </c:pt>
                <c:pt idx="95">
                  <c:v>33028</c:v>
                </c:pt>
                <c:pt idx="96">
                  <c:v>33029</c:v>
                </c:pt>
                <c:pt idx="97">
                  <c:v>33030</c:v>
                </c:pt>
                <c:pt idx="98">
                  <c:v>33031</c:v>
                </c:pt>
                <c:pt idx="99">
                  <c:v>33032</c:v>
                </c:pt>
                <c:pt idx="100">
                  <c:v>33033</c:v>
                </c:pt>
                <c:pt idx="101">
                  <c:v>33034</c:v>
                </c:pt>
                <c:pt idx="102">
                  <c:v>33035</c:v>
                </c:pt>
                <c:pt idx="103">
                  <c:v>33036</c:v>
                </c:pt>
                <c:pt idx="104">
                  <c:v>33037</c:v>
                </c:pt>
                <c:pt idx="105">
                  <c:v>33038</c:v>
                </c:pt>
                <c:pt idx="106">
                  <c:v>33039</c:v>
                </c:pt>
                <c:pt idx="107">
                  <c:v>33040</c:v>
                </c:pt>
                <c:pt idx="108">
                  <c:v>33041</c:v>
                </c:pt>
                <c:pt idx="109">
                  <c:v>33042</c:v>
                </c:pt>
                <c:pt idx="110">
                  <c:v>33043</c:v>
                </c:pt>
                <c:pt idx="111">
                  <c:v>33044</c:v>
                </c:pt>
                <c:pt idx="112">
                  <c:v>33045</c:v>
                </c:pt>
                <c:pt idx="113">
                  <c:v>33046</c:v>
                </c:pt>
                <c:pt idx="114">
                  <c:v>33047</c:v>
                </c:pt>
                <c:pt idx="115">
                  <c:v>33048</c:v>
                </c:pt>
                <c:pt idx="116">
                  <c:v>33049</c:v>
                </c:pt>
                <c:pt idx="117">
                  <c:v>33050</c:v>
                </c:pt>
                <c:pt idx="118">
                  <c:v>33051</c:v>
                </c:pt>
                <c:pt idx="119">
                  <c:v>33052</c:v>
                </c:pt>
                <c:pt idx="120">
                  <c:v>33053</c:v>
                </c:pt>
                <c:pt idx="121">
                  <c:v>33054</c:v>
                </c:pt>
                <c:pt idx="122">
                  <c:v>33055</c:v>
                </c:pt>
                <c:pt idx="123">
                  <c:v>33056</c:v>
                </c:pt>
                <c:pt idx="124">
                  <c:v>33057</c:v>
                </c:pt>
                <c:pt idx="125">
                  <c:v>33058</c:v>
                </c:pt>
                <c:pt idx="126">
                  <c:v>33059</c:v>
                </c:pt>
                <c:pt idx="127">
                  <c:v>33060</c:v>
                </c:pt>
                <c:pt idx="128">
                  <c:v>33061</c:v>
                </c:pt>
                <c:pt idx="129">
                  <c:v>33062</c:v>
                </c:pt>
                <c:pt idx="130">
                  <c:v>33063</c:v>
                </c:pt>
                <c:pt idx="131">
                  <c:v>33064</c:v>
                </c:pt>
                <c:pt idx="132">
                  <c:v>33065</c:v>
                </c:pt>
                <c:pt idx="133">
                  <c:v>33066</c:v>
                </c:pt>
                <c:pt idx="134">
                  <c:v>33067</c:v>
                </c:pt>
                <c:pt idx="135">
                  <c:v>33068</c:v>
                </c:pt>
                <c:pt idx="136">
                  <c:v>33069</c:v>
                </c:pt>
                <c:pt idx="137">
                  <c:v>33070</c:v>
                </c:pt>
                <c:pt idx="138">
                  <c:v>33071</c:v>
                </c:pt>
                <c:pt idx="139">
                  <c:v>33072</c:v>
                </c:pt>
                <c:pt idx="140">
                  <c:v>33073</c:v>
                </c:pt>
                <c:pt idx="141">
                  <c:v>33074</c:v>
                </c:pt>
                <c:pt idx="142">
                  <c:v>33075</c:v>
                </c:pt>
                <c:pt idx="143">
                  <c:v>33076</c:v>
                </c:pt>
                <c:pt idx="144">
                  <c:v>33077</c:v>
                </c:pt>
                <c:pt idx="145">
                  <c:v>33078</c:v>
                </c:pt>
                <c:pt idx="146">
                  <c:v>33079</c:v>
                </c:pt>
                <c:pt idx="147">
                  <c:v>33080</c:v>
                </c:pt>
                <c:pt idx="148">
                  <c:v>33081</c:v>
                </c:pt>
                <c:pt idx="149">
                  <c:v>33082</c:v>
                </c:pt>
                <c:pt idx="150">
                  <c:v>33083</c:v>
                </c:pt>
                <c:pt idx="151">
                  <c:v>33084</c:v>
                </c:pt>
                <c:pt idx="152">
                  <c:v>33085</c:v>
                </c:pt>
                <c:pt idx="153">
                  <c:v>33086</c:v>
                </c:pt>
                <c:pt idx="154">
                  <c:v>33087</c:v>
                </c:pt>
                <c:pt idx="155">
                  <c:v>33088</c:v>
                </c:pt>
                <c:pt idx="156">
                  <c:v>33089</c:v>
                </c:pt>
                <c:pt idx="157">
                  <c:v>33090</c:v>
                </c:pt>
                <c:pt idx="158">
                  <c:v>33091</c:v>
                </c:pt>
                <c:pt idx="159">
                  <c:v>33092</c:v>
                </c:pt>
                <c:pt idx="160">
                  <c:v>33093</c:v>
                </c:pt>
                <c:pt idx="161">
                  <c:v>33094</c:v>
                </c:pt>
                <c:pt idx="162">
                  <c:v>33095</c:v>
                </c:pt>
                <c:pt idx="163">
                  <c:v>33096</c:v>
                </c:pt>
                <c:pt idx="164">
                  <c:v>33097</c:v>
                </c:pt>
                <c:pt idx="165">
                  <c:v>33098</c:v>
                </c:pt>
                <c:pt idx="166">
                  <c:v>33099</c:v>
                </c:pt>
                <c:pt idx="167">
                  <c:v>33100</c:v>
                </c:pt>
                <c:pt idx="168">
                  <c:v>33101</c:v>
                </c:pt>
                <c:pt idx="169">
                  <c:v>33102</c:v>
                </c:pt>
                <c:pt idx="170">
                  <c:v>33103</c:v>
                </c:pt>
                <c:pt idx="171">
                  <c:v>33104</c:v>
                </c:pt>
                <c:pt idx="172">
                  <c:v>33105</c:v>
                </c:pt>
                <c:pt idx="173">
                  <c:v>33106</c:v>
                </c:pt>
                <c:pt idx="174">
                  <c:v>33107</c:v>
                </c:pt>
                <c:pt idx="175">
                  <c:v>33108</c:v>
                </c:pt>
                <c:pt idx="176">
                  <c:v>33109</c:v>
                </c:pt>
                <c:pt idx="177">
                  <c:v>33110</c:v>
                </c:pt>
                <c:pt idx="178">
                  <c:v>33111</c:v>
                </c:pt>
                <c:pt idx="179">
                  <c:v>33112</c:v>
                </c:pt>
                <c:pt idx="180">
                  <c:v>33113</c:v>
                </c:pt>
                <c:pt idx="181">
                  <c:v>33114</c:v>
                </c:pt>
                <c:pt idx="182">
                  <c:v>33115</c:v>
                </c:pt>
                <c:pt idx="183">
                  <c:v>33116</c:v>
                </c:pt>
                <c:pt idx="184">
                  <c:v>33117</c:v>
                </c:pt>
                <c:pt idx="185">
                  <c:v>33118</c:v>
                </c:pt>
                <c:pt idx="186">
                  <c:v>33119</c:v>
                </c:pt>
                <c:pt idx="187">
                  <c:v>33120</c:v>
                </c:pt>
                <c:pt idx="188">
                  <c:v>33121</c:v>
                </c:pt>
                <c:pt idx="189">
                  <c:v>33122</c:v>
                </c:pt>
                <c:pt idx="190">
                  <c:v>33123</c:v>
                </c:pt>
                <c:pt idx="191">
                  <c:v>33124</c:v>
                </c:pt>
                <c:pt idx="192">
                  <c:v>33125</c:v>
                </c:pt>
                <c:pt idx="193">
                  <c:v>33126</c:v>
                </c:pt>
                <c:pt idx="194">
                  <c:v>33127</c:v>
                </c:pt>
                <c:pt idx="195">
                  <c:v>33128</c:v>
                </c:pt>
                <c:pt idx="196">
                  <c:v>33129</c:v>
                </c:pt>
                <c:pt idx="197">
                  <c:v>33130</c:v>
                </c:pt>
                <c:pt idx="198">
                  <c:v>33131</c:v>
                </c:pt>
                <c:pt idx="199">
                  <c:v>33132</c:v>
                </c:pt>
                <c:pt idx="200">
                  <c:v>33133</c:v>
                </c:pt>
                <c:pt idx="201">
                  <c:v>33134</c:v>
                </c:pt>
                <c:pt idx="202">
                  <c:v>33135</c:v>
                </c:pt>
                <c:pt idx="203">
                  <c:v>33136</c:v>
                </c:pt>
                <c:pt idx="204">
                  <c:v>33137</c:v>
                </c:pt>
                <c:pt idx="205">
                  <c:v>33138</c:v>
                </c:pt>
                <c:pt idx="206">
                  <c:v>33139</c:v>
                </c:pt>
                <c:pt idx="207">
                  <c:v>33140</c:v>
                </c:pt>
                <c:pt idx="208">
                  <c:v>33141</c:v>
                </c:pt>
                <c:pt idx="209">
                  <c:v>33142</c:v>
                </c:pt>
                <c:pt idx="210">
                  <c:v>33143</c:v>
                </c:pt>
                <c:pt idx="211">
                  <c:v>33144</c:v>
                </c:pt>
                <c:pt idx="212">
                  <c:v>33145</c:v>
                </c:pt>
                <c:pt idx="213">
                  <c:v>33146</c:v>
                </c:pt>
                <c:pt idx="214">
                  <c:v>33147</c:v>
                </c:pt>
                <c:pt idx="215">
                  <c:v>33148</c:v>
                </c:pt>
                <c:pt idx="216">
                  <c:v>33149</c:v>
                </c:pt>
                <c:pt idx="217">
                  <c:v>33150</c:v>
                </c:pt>
                <c:pt idx="218">
                  <c:v>33151</c:v>
                </c:pt>
                <c:pt idx="219">
                  <c:v>33152</c:v>
                </c:pt>
                <c:pt idx="220">
                  <c:v>33153</c:v>
                </c:pt>
                <c:pt idx="221">
                  <c:v>33154</c:v>
                </c:pt>
                <c:pt idx="222">
                  <c:v>33155</c:v>
                </c:pt>
                <c:pt idx="223">
                  <c:v>33156</c:v>
                </c:pt>
                <c:pt idx="224">
                  <c:v>33157</c:v>
                </c:pt>
                <c:pt idx="225">
                  <c:v>33158</c:v>
                </c:pt>
                <c:pt idx="226">
                  <c:v>33159</c:v>
                </c:pt>
                <c:pt idx="227">
                  <c:v>33160</c:v>
                </c:pt>
                <c:pt idx="228">
                  <c:v>33161</c:v>
                </c:pt>
                <c:pt idx="229">
                  <c:v>33162</c:v>
                </c:pt>
                <c:pt idx="230">
                  <c:v>33163</c:v>
                </c:pt>
                <c:pt idx="231">
                  <c:v>33164</c:v>
                </c:pt>
                <c:pt idx="232">
                  <c:v>33165</c:v>
                </c:pt>
                <c:pt idx="233">
                  <c:v>33166</c:v>
                </c:pt>
                <c:pt idx="234">
                  <c:v>33167</c:v>
                </c:pt>
                <c:pt idx="235">
                  <c:v>33168</c:v>
                </c:pt>
                <c:pt idx="236">
                  <c:v>33169</c:v>
                </c:pt>
                <c:pt idx="237">
                  <c:v>33170</c:v>
                </c:pt>
                <c:pt idx="238">
                  <c:v>33171</c:v>
                </c:pt>
                <c:pt idx="239">
                  <c:v>33172</c:v>
                </c:pt>
                <c:pt idx="240">
                  <c:v>33173</c:v>
                </c:pt>
                <c:pt idx="241">
                  <c:v>33174</c:v>
                </c:pt>
                <c:pt idx="242">
                  <c:v>33175</c:v>
                </c:pt>
                <c:pt idx="243">
                  <c:v>33176</c:v>
                </c:pt>
                <c:pt idx="244">
                  <c:v>33177</c:v>
                </c:pt>
              </c:numCache>
            </c:numRef>
          </c:xVal>
          <c:yVal>
            <c:numRef>
              <c:f>Biloela!$C$4:$C$368</c:f>
              <c:numCache>
                <c:formatCode>General</c:formatCode>
                <c:ptCount val="365"/>
                <c:pt idx="0">
                  <c:v>13.415824890136719</c:v>
                </c:pt>
                <c:pt idx="1">
                  <c:v>13.391345024108887</c:v>
                </c:pt>
                <c:pt idx="2">
                  <c:v>13.366804122924805</c:v>
                </c:pt>
                <c:pt idx="3">
                  <c:v>13.342208862304688</c:v>
                </c:pt>
                <c:pt idx="4">
                  <c:v>13.317564964294434</c:v>
                </c:pt>
                <c:pt idx="5">
                  <c:v>13.292879104614258</c:v>
                </c:pt>
                <c:pt idx="6">
                  <c:v>13.268156051635742</c:v>
                </c:pt>
                <c:pt idx="7">
                  <c:v>13.243403434753418</c:v>
                </c:pt>
                <c:pt idx="8">
                  <c:v>13.218626022338867</c:v>
                </c:pt>
                <c:pt idx="9">
                  <c:v>13.193829536437988</c:v>
                </c:pt>
                <c:pt idx="10">
                  <c:v>13.16901969909668</c:v>
                </c:pt>
                <c:pt idx="11">
                  <c:v>13.144203186035156</c:v>
                </c:pt>
                <c:pt idx="12">
                  <c:v>13.119381904602051</c:v>
                </c:pt>
                <c:pt idx="13">
                  <c:v>13.094564437866211</c:v>
                </c:pt>
                <c:pt idx="14">
                  <c:v>13.069754600524902</c:v>
                </c:pt>
                <c:pt idx="15">
                  <c:v>13.044957160949707</c:v>
                </c:pt>
                <c:pt idx="16">
                  <c:v>13.02017879486084</c:v>
                </c:pt>
                <c:pt idx="17">
                  <c:v>12.99542236328125</c:v>
                </c:pt>
                <c:pt idx="18">
                  <c:v>12.970693588256836</c:v>
                </c:pt>
                <c:pt idx="19">
                  <c:v>12.94599723815918</c:v>
                </c:pt>
                <c:pt idx="20">
                  <c:v>12.921337127685547</c:v>
                </c:pt>
                <c:pt idx="21">
                  <c:v>12.896719932556152</c:v>
                </c:pt>
                <c:pt idx="22">
                  <c:v>12.872149467468262</c:v>
                </c:pt>
                <c:pt idx="23">
                  <c:v>12.847629547119141</c:v>
                </c:pt>
                <c:pt idx="24">
                  <c:v>12.823164939880371</c:v>
                </c:pt>
                <c:pt idx="25">
                  <c:v>12.798760414123535</c:v>
                </c:pt>
                <c:pt idx="26">
                  <c:v>12.774419784545898</c:v>
                </c:pt>
                <c:pt idx="27">
                  <c:v>12.750147819519043</c:v>
                </c:pt>
                <c:pt idx="28">
                  <c:v>12.725950241088867</c:v>
                </c:pt>
                <c:pt idx="29">
                  <c:v>12.70182991027832</c:v>
                </c:pt>
                <c:pt idx="30">
                  <c:v>12.677789688110352</c:v>
                </c:pt>
                <c:pt idx="31">
                  <c:v>12.653837203979492</c:v>
                </c:pt>
                <c:pt idx="32">
                  <c:v>12.629974365234375</c:v>
                </c:pt>
                <c:pt idx="33">
                  <c:v>12.606206893920898</c:v>
                </c:pt>
                <c:pt idx="34">
                  <c:v>12.582537651062012</c:v>
                </c:pt>
                <c:pt idx="35">
                  <c:v>12.55897331237793</c:v>
                </c:pt>
                <c:pt idx="36">
                  <c:v>12.535515785217285</c:v>
                </c:pt>
                <c:pt idx="37">
                  <c:v>12.51216983795166</c:v>
                </c:pt>
                <c:pt idx="38">
                  <c:v>12.488941192626953</c:v>
                </c:pt>
                <c:pt idx="39">
                  <c:v>12.465831756591797</c:v>
                </c:pt>
                <c:pt idx="40">
                  <c:v>12.442849159240723</c:v>
                </c:pt>
                <c:pt idx="41">
                  <c:v>12.419995307922363</c:v>
                </c:pt>
                <c:pt idx="42">
                  <c:v>12.397274971008301</c:v>
                </c:pt>
                <c:pt idx="43">
                  <c:v>12.374693870544434</c:v>
                </c:pt>
                <c:pt idx="44">
                  <c:v>12.352254867553711</c:v>
                </c:pt>
                <c:pt idx="45">
                  <c:v>12.329963684082031</c:v>
                </c:pt>
                <c:pt idx="46">
                  <c:v>12.307825088500977</c:v>
                </c:pt>
                <c:pt idx="47">
                  <c:v>12.285842895507812</c:v>
                </c:pt>
                <c:pt idx="48">
                  <c:v>12.264021873474121</c:v>
                </c:pt>
                <c:pt idx="49">
                  <c:v>12.242367744445801</c:v>
                </c:pt>
                <c:pt idx="50">
                  <c:v>12.220883369445801</c:v>
                </c:pt>
                <c:pt idx="51">
                  <c:v>12.19957447052002</c:v>
                </c:pt>
                <c:pt idx="52">
                  <c:v>12.178446769714355</c:v>
                </c:pt>
                <c:pt idx="53">
                  <c:v>12.157504081726074</c:v>
                </c:pt>
                <c:pt idx="54">
                  <c:v>12.136752128601074</c:v>
                </c:pt>
                <c:pt idx="55">
                  <c:v>12.116195678710937</c:v>
                </c:pt>
                <c:pt idx="56">
                  <c:v>12.09583854675293</c:v>
                </c:pt>
                <c:pt idx="57">
                  <c:v>12.075688362121582</c:v>
                </c:pt>
                <c:pt idx="58">
                  <c:v>12.055747985839844</c:v>
                </c:pt>
                <c:pt idx="59">
                  <c:v>12.03602409362793</c:v>
                </c:pt>
                <c:pt idx="60">
                  <c:v>12.016520500183105</c:v>
                </c:pt>
                <c:pt idx="61">
                  <c:v>11.997243881225586</c:v>
                </c:pt>
                <c:pt idx="62">
                  <c:v>11.978198051452637</c:v>
                </c:pt>
                <c:pt idx="63">
                  <c:v>11.959390640258789</c:v>
                </c:pt>
                <c:pt idx="64">
                  <c:v>11.940826416015625</c:v>
                </c:pt>
                <c:pt idx="65">
                  <c:v>11.922508239746094</c:v>
                </c:pt>
                <c:pt idx="66">
                  <c:v>11.904445648193359</c:v>
                </c:pt>
                <c:pt idx="67">
                  <c:v>11.886641502380371</c:v>
                </c:pt>
                <c:pt idx="68">
                  <c:v>11.869102478027344</c:v>
                </c:pt>
                <c:pt idx="69">
                  <c:v>11.851833343505859</c:v>
                </c:pt>
                <c:pt idx="70">
                  <c:v>11.834839820861816</c:v>
                </c:pt>
                <c:pt idx="71">
                  <c:v>11.81812858581543</c:v>
                </c:pt>
                <c:pt idx="72">
                  <c:v>11.801704406738281</c:v>
                </c:pt>
                <c:pt idx="73">
                  <c:v>11.78557300567627</c:v>
                </c:pt>
                <c:pt idx="74">
                  <c:v>11.769741058349609</c:v>
                </c:pt>
                <c:pt idx="75">
                  <c:v>11.754212379455566</c:v>
                </c:pt>
                <c:pt idx="76">
                  <c:v>11.738995552062988</c:v>
                </c:pt>
                <c:pt idx="77">
                  <c:v>11.724092483520508</c:v>
                </c:pt>
                <c:pt idx="78">
                  <c:v>11.709511756896973</c:v>
                </c:pt>
                <c:pt idx="79">
                  <c:v>11.695257186889648</c:v>
                </c:pt>
                <c:pt idx="80">
                  <c:v>11.68133544921875</c:v>
                </c:pt>
                <c:pt idx="81">
                  <c:v>11.667751312255859</c:v>
                </c:pt>
                <c:pt idx="82">
                  <c:v>11.654511451721191</c:v>
                </c:pt>
                <c:pt idx="83">
                  <c:v>11.641620635986328</c:v>
                </c:pt>
                <c:pt idx="84">
                  <c:v>11.629082679748535</c:v>
                </c:pt>
                <c:pt idx="85">
                  <c:v>11.61690616607666</c:v>
                </c:pt>
                <c:pt idx="86">
                  <c:v>11.605093002319336</c:v>
                </c:pt>
                <c:pt idx="87">
                  <c:v>11.593650817871094</c:v>
                </c:pt>
                <c:pt idx="88">
                  <c:v>11.582581520080566</c:v>
                </c:pt>
                <c:pt idx="89">
                  <c:v>11.571893692016602</c:v>
                </c:pt>
                <c:pt idx="90">
                  <c:v>11.561591148376465</c:v>
                </c:pt>
                <c:pt idx="91">
                  <c:v>11.551677703857422</c:v>
                </c:pt>
                <c:pt idx="92">
                  <c:v>11.542159080505371</c:v>
                </c:pt>
                <c:pt idx="93">
                  <c:v>11.533037185668945</c:v>
                </c:pt>
                <c:pt idx="94">
                  <c:v>11.524319648742676</c:v>
                </c:pt>
                <c:pt idx="95">
                  <c:v>11.516008377075195</c:v>
                </c:pt>
                <c:pt idx="96">
                  <c:v>11.508109092712402</c:v>
                </c:pt>
                <c:pt idx="97">
                  <c:v>11.500624656677246</c:v>
                </c:pt>
                <c:pt idx="98">
                  <c:v>11.493557929992676</c:v>
                </c:pt>
                <c:pt idx="99">
                  <c:v>11.486913681030273</c:v>
                </c:pt>
                <c:pt idx="100">
                  <c:v>11.480695724487305</c:v>
                </c:pt>
                <c:pt idx="101">
                  <c:v>11.474905014038086</c:v>
                </c:pt>
                <c:pt idx="102">
                  <c:v>11.469547271728516</c:v>
                </c:pt>
                <c:pt idx="103">
                  <c:v>11.464622497558594</c:v>
                </c:pt>
                <c:pt idx="104">
                  <c:v>11.460135459899902</c:v>
                </c:pt>
                <c:pt idx="105">
                  <c:v>11.456087112426758</c:v>
                </c:pt>
                <c:pt idx="106">
                  <c:v>11.452480316162109</c:v>
                </c:pt>
                <c:pt idx="107">
                  <c:v>11.44931697845459</c:v>
                </c:pt>
                <c:pt idx="108">
                  <c:v>11.446597099304199</c:v>
                </c:pt>
                <c:pt idx="109">
                  <c:v>11.44432544708252</c:v>
                </c:pt>
                <c:pt idx="110">
                  <c:v>11.442500114440918</c:v>
                </c:pt>
                <c:pt idx="111">
                  <c:v>11.441123008728027</c:v>
                </c:pt>
                <c:pt idx="112">
                  <c:v>11.440195083618164</c:v>
                </c:pt>
                <c:pt idx="113">
                  <c:v>11.439717292785645</c:v>
                </c:pt>
                <c:pt idx="114">
                  <c:v>11.439688682556152</c:v>
                </c:pt>
                <c:pt idx="115">
                  <c:v>11.440110206604004</c:v>
                </c:pt>
                <c:pt idx="116">
                  <c:v>11.440982818603516</c:v>
                </c:pt>
                <c:pt idx="117">
                  <c:v>11.442303657531738</c:v>
                </c:pt>
                <c:pt idx="118">
                  <c:v>11.444071769714355</c:v>
                </c:pt>
                <c:pt idx="119">
                  <c:v>11.4462890625</c:v>
                </c:pt>
                <c:pt idx="120">
                  <c:v>11.448952674865723</c:v>
                </c:pt>
                <c:pt idx="121">
                  <c:v>11.452060699462891</c:v>
                </c:pt>
                <c:pt idx="122">
                  <c:v>11.455612182617188</c:v>
                </c:pt>
                <c:pt idx="123">
                  <c:v>11.459606170654297</c:v>
                </c:pt>
                <c:pt idx="124">
                  <c:v>11.464037895202637</c:v>
                </c:pt>
                <c:pt idx="125">
                  <c:v>11.468907356262207</c:v>
                </c:pt>
                <c:pt idx="126">
                  <c:v>11.474211692810059</c:v>
                </c:pt>
                <c:pt idx="127">
                  <c:v>11.479948043823242</c:v>
                </c:pt>
                <c:pt idx="128">
                  <c:v>11.486113548278809</c:v>
                </c:pt>
                <c:pt idx="129">
                  <c:v>11.492704391479492</c:v>
                </c:pt>
                <c:pt idx="130">
                  <c:v>11.499717712402344</c:v>
                </c:pt>
                <c:pt idx="131">
                  <c:v>11.507150650024414</c:v>
                </c:pt>
                <c:pt idx="132">
                  <c:v>11.514998435974121</c:v>
                </c:pt>
                <c:pt idx="133">
                  <c:v>11.523258209228516</c:v>
                </c:pt>
                <c:pt idx="134">
                  <c:v>11.531925201416016</c:v>
                </c:pt>
                <c:pt idx="135">
                  <c:v>11.540997505187988</c:v>
                </c:pt>
                <c:pt idx="136">
                  <c:v>11.550466537475586</c:v>
                </c:pt>
                <c:pt idx="137">
                  <c:v>11.560331344604492</c:v>
                </c:pt>
                <c:pt idx="138">
                  <c:v>11.570585250854492</c:v>
                </c:pt>
                <c:pt idx="139">
                  <c:v>11.581226348876953</c:v>
                </c:pt>
                <c:pt idx="140">
                  <c:v>11.592246055603027</c:v>
                </c:pt>
                <c:pt idx="141">
                  <c:v>11.603642463684082</c:v>
                </c:pt>
                <c:pt idx="142">
                  <c:v>11.615408897399902</c:v>
                </c:pt>
                <c:pt idx="143">
                  <c:v>11.627540588378906</c:v>
                </c:pt>
                <c:pt idx="144">
                  <c:v>11.640033721923828</c:v>
                </c:pt>
                <c:pt idx="145">
                  <c:v>11.652880668640137</c:v>
                </c:pt>
                <c:pt idx="146">
                  <c:v>11.666077613830566</c:v>
                </c:pt>
                <c:pt idx="147">
                  <c:v>11.679618835449219</c:v>
                </c:pt>
                <c:pt idx="148">
                  <c:v>11.693498611450195</c:v>
                </c:pt>
                <c:pt idx="149">
                  <c:v>11.707712173461914</c:v>
                </c:pt>
                <c:pt idx="150">
                  <c:v>11.722251892089844</c:v>
                </c:pt>
                <c:pt idx="151">
                  <c:v>11.737115859985352</c:v>
                </c:pt>
                <c:pt idx="152">
                  <c:v>11.752293586730957</c:v>
                </c:pt>
                <c:pt idx="153">
                  <c:v>11.767784118652344</c:v>
                </c:pt>
                <c:pt idx="154">
                  <c:v>11.783577919006348</c:v>
                </c:pt>
                <c:pt idx="155">
                  <c:v>11.799673080444336</c:v>
                </c:pt>
                <c:pt idx="156">
                  <c:v>11.816060066223145</c:v>
                </c:pt>
                <c:pt idx="157">
                  <c:v>11.832735061645508</c:v>
                </c:pt>
                <c:pt idx="158">
                  <c:v>11.849693298339844</c:v>
                </c:pt>
                <c:pt idx="159">
                  <c:v>11.866928100585937</c:v>
                </c:pt>
                <c:pt idx="160">
                  <c:v>11.884434700012207</c:v>
                </c:pt>
                <c:pt idx="161">
                  <c:v>11.902205467224121</c:v>
                </c:pt>
                <c:pt idx="162">
                  <c:v>11.92023754119873</c:v>
                </c:pt>
                <c:pt idx="163">
                  <c:v>11.938522338867188</c:v>
                </c:pt>
                <c:pt idx="164">
                  <c:v>11.957056999206543</c:v>
                </c:pt>
                <c:pt idx="165">
                  <c:v>11.975834846496582</c:v>
                </c:pt>
                <c:pt idx="166">
                  <c:v>11.994850158691406</c:v>
                </c:pt>
                <c:pt idx="167">
                  <c:v>12.01409912109375</c:v>
                </c:pt>
                <c:pt idx="168">
                  <c:v>12.033574104309082</c:v>
                </c:pt>
                <c:pt idx="169">
                  <c:v>12.05327033996582</c:v>
                </c:pt>
                <c:pt idx="170">
                  <c:v>12.073184013366699</c:v>
                </c:pt>
                <c:pt idx="171">
                  <c:v>12.093308448791504</c:v>
                </c:pt>
                <c:pt idx="172">
                  <c:v>12.113639831542969</c:v>
                </c:pt>
                <c:pt idx="173">
                  <c:v>12.134171485900879</c:v>
                </c:pt>
                <c:pt idx="174">
                  <c:v>12.154899597167969</c:v>
                </c:pt>
                <c:pt idx="175">
                  <c:v>12.175819396972656</c:v>
                </c:pt>
                <c:pt idx="176">
                  <c:v>12.196924209594727</c:v>
                </c:pt>
                <c:pt idx="177">
                  <c:v>12.218210220336914</c:v>
                </c:pt>
                <c:pt idx="178">
                  <c:v>12.239672660827637</c:v>
                </c:pt>
                <c:pt idx="179">
                  <c:v>12.261305809020996</c:v>
                </c:pt>
                <c:pt idx="180">
                  <c:v>12.283105850219727</c:v>
                </c:pt>
                <c:pt idx="181">
                  <c:v>12.305068016052246</c:v>
                </c:pt>
                <c:pt idx="182">
                  <c:v>12.327188491821289</c:v>
                </c:pt>
                <c:pt idx="183">
                  <c:v>12.349460601806641</c:v>
                </c:pt>
                <c:pt idx="184">
                  <c:v>12.371880531311035</c:v>
                </c:pt>
                <c:pt idx="185">
                  <c:v>12.394444465637207</c:v>
                </c:pt>
                <c:pt idx="186">
                  <c:v>12.417147636413574</c:v>
                </c:pt>
                <c:pt idx="187">
                  <c:v>12.439984321594238</c:v>
                </c:pt>
                <c:pt idx="188">
                  <c:v>12.462952613830566</c:v>
                </c:pt>
                <c:pt idx="189">
                  <c:v>12.486045837402344</c:v>
                </c:pt>
                <c:pt idx="190">
                  <c:v>12.509259223937988</c:v>
                </c:pt>
                <c:pt idx="191">
                  <c:v>12.532590866088867</c:v>
                </c:pt>
                <c:pt idx="192">
                  <c:v>12.556035041809082</c:v>
                </c:pt>
                <c:pt idx="193">
                  <c:v>12.579586982727051</c:v>
                </c:pt>
                <c:pt idx="194">
                  <c:v>12.603242874145508</c:v>
                </c:pt>
                <c:pt idx="195">
                  <c:v>12.626997947692871</c:v>
                </c:pt>
                <c:pt idx="196">
                  <c:v>12.650849342346191</c:v>
                </c:pt>
                <c:pt idx="197">
                  <c:v>12.67479133605957</c:v>
                </c:pt>
                <c:pt idx="198">
                  <c:v>12.698820114135742</c:v>
                </c:pt>
                <c:pt idx="199">
                  <c:v>12.722929954528809</c:v>
                </c:pt>
                <c:pt idx="200">
                  <c:v>12.747118949890137</c:v>
                </c:pt>
                <c:pt idx="201">
                  <c:v>12.771382331848145</c:v>
                </c:pt>
                <c:pt idx="202">
                  <c:v>12.795713424682617</c:v>
                </c:pt>
                <c:pt idx="203">
                  <c:v>12.820111274719238</c:v>
                </c:pt>
                <c:pt idx="204">
                  <c:v>12.844568252563477</c:v>
                </c:pt>
                <c:pt idx="205">
                  <c:v>12.869081497192383</c:v>
                </c:pt>
                <c:pt idx="206">
                  <c:v>12.893646240234375</c:v>
                </c:pt>
                <c:pt idx="207">
                  <c:v>12.918258666992187</c:v>
                </c:pt>
                <c:pt idx="208">
                  <c:v>12.942912101745605</c:v>
                </c:pt>
                <c:pt idx="209">
                  <c:v>12.96760368347168</c:v>
                </c:pt>
                <c:pt idx="210">
                  <c:v>12.992329597473145</c:v>
                </c:pt>
                <c:pt idx="211">
                  <c:v>13.017082214355469</c:v>
                </c:pt>
                <c:pt idx="212">
                  <c:v>13.04185962677002</c:v>
                </c:pt>
                <c:pt idx="213">
                  <c:v>13.066653251647949</c:v>
                </c:pt>
                <c:pt idx="214">
                  <c:v>13.091463088989258</c:v>
                </c:pt>
                <c:pt idx="215">
                  <c:v>13.116278648376465</c:v>
                </c:pt>
                <c:pt idx="216">
                  <c:v>13.14109992980957</c:v>
                </c:pt>
                <c:pt idx="217">
                  <c:v>13.165918350219727</c:v>
                </c:pt>
                <c:pt idx="218">
                  <c:v>13.190729141235352</c:v>
                </c:pt>
                <c:pt idx="219">
                  <c:v>13.215527534484863</c:v>
                </c:pt>
                <c:pt idx="220">
                  <c:v>13.240307807922363</c:v>
                </c:pt>
                <c:pt idx="221">
                  <c:v>13.265063285827637</c:v>
                </c:pt>
                <c:pt idx="222">
                  <c:v>13.289790153503418</c:v>
                </c:pt>
                <c:pt idx="223">
                  <c:v>13.314480781555176</c:v>
                </c:pt>
                <c:pt idx="224">
                  <c:v>13.339130401611328</c:v>
                </c:pt>
                <c:pt idx="225">
                  <c:v>13.36373233795166</c:v>
                </c:pt>
                <c:pt idx="226">
                  <c:v>13.388280868530273</c:v>
                </c:pt>
                <c:pt idx="227">
                  <c:v>13.412768363952637</c:v>
                </c:pt>
                <c:pt idx="228">
                  <c:v>13.437190055847168</c:v>
                </c:pt>
                <c:pt idx="229">
                  <c:v>13.46153736114502</c:v>
                </c:pt>
                <c:pt idx="230">
                  <c:v>13.485805511474609</c:v>
                </c:pt>
                <c:pt idx="231">
                  <c:v>13.50998592376709</c:v>
                </c:pt>
                <c:pt idx="232">
                  <c:v>13.534072875976562</c:v>
                </c:pt>
                <c:pt idx="233">
                  <c:v>13.558058738708496</c:v>
                </c:pt>
                <c:pt idx="234">
                  <c:v>13.581934928894043</c:v>
                </c:pt>
                <c:pt idx="235">
                  <c:v>13.605696678161621</c:v>
                </c:pt>
                <c:pt idx="236">
                  <c:v>13.62933349609375</c:v>
                </c:pt>
                <c:pt idx="237">
                  <c:v>13.652840614318848</c:v>
                </c:pt>
                <c:pt idx="238">
                  <c:v>13.676207542419434</c:v>
                </c:pt>
                <c:pt idx="239">
                  <c:v>13.699428558349609</c:v>
                </c:pt>
                <c:pt idx="240">
                  <c:v>13.722495079040527</c:v>
                </c:pt>
                <c:pt idx="241">
                  <c:v>13.745395660400391</c:v>
                </c:pt>
                <c:pt idx="242">
                  <c:v>13.768125534057617</c:v>
                </c:pt>
                <c:pt idx="243">
                  <c:v>13.790675163269043</c:v>
                </c:pt>
                <c:pt idx="244">
                  <c:v>13.813036918640137</c:v>
                </c:pt>
              </c:numCache>
            </c:numRef>
          </c:yVal>
        </c:ser>
        <c:axId val="139566464"/>
        <c:axId val="139580544"/>
      </c:scatterChart>
      <c:scatterChart>
        <c:scatterStyle val="lineMarker"/>
        <c:ser>
          <c:idx val="1"/>
          <c:order val="1"/>
          <c:tx>
            <c:strRef>
              <c:f>Biloela!$J$3</c:f>
              <c:strCache>
                <c:ptCount val="1"/>
                <c:pt idx="0">
                  <c:v>TT</c:v>
                </c:pt>
              </c:strCache>
            </c:strRef>
          </c:tx>
          <c:marker>
            <c:symbol val="none"/>
          </c:marker>
          <c:xVal>
            <c:numRef>
              <c:f>Biloela!$A$4:$A$368</c:f>
              <c:numCache>
                <c:formatCode>d\-mmm\-yy</c:formatCode>
                <c:ptCount val="365"/>
                <c:pt idx="0">
                  <c:v>32933</c:v>
                </c:pt>
                <c:pt idx="1">
                  <c:v>32934</c:v>
                </c:pt>
                <c:pt idx="2">
                  <c:v>32935</c:v>
                </c:pt>
                <c:pt idx="3">
                  <c:v>32936</c:v>
                </c:pt>
                <c:pt idx="4">
                  <c:v>32937</c:v>
                </c:pt>
                <c:pt idx="5">
                  <c:v>32938</c:v>
                </c:pt>
                <c:pt idx="6">
                  <c:v>32939</c:v>
                </c:pt>
                <c:pt idx="7">
                  <c:v>32940</c:v>
                </c:pt>
                <c:pt idx="8">
                  <c:v>32941</c:v>
                </c:pt>
                <c:pt idx="9">
                  <c:v>32942</c:v>
                </c:pt>
                <c:pt idx="10">
                  <c:v>32943</c:v>
                </c:pt>
                <c:pt idx="11">
                  <c:v>32944</c:v>
                </c:pt>
                <c:pt idx="12">
                  <c:v>32945</c:v>
                </c:pt>
                <c:pt idx="13">
                  <c:v>32946</c:v>
                </c:pt>
                <c:pt idx="14">
                  <c:v>32947</c:v>
                </c:pt>
                <c:pt idx="15">
                  <c:v>32948</c:v>
                </c:pt>
                <c:pt idx="16">
                  <c:v>32949</c:v>
                </c:pt>
                <c:pt idx="17">
                  <c:v>32950</c:v>
                </c:pt>
                <c:pt idx="18">
                  <c:v>32951</c:v>
                </c:pt>
                <c:pt idx="19">
                  <c:v>32952</c:v>
                </c:pt>
                <c:pt idx="20">
                  <c:v>32953</c:v>
                </c:pt>
                <c:pt idx="21">
                  <c:v>32954</c:v>
                </c:pt>
                <c:pt idx="22">
                  <c:v>32955</c:v>
                </c:pt>
                <c:pt idx="23">
                  <c:v>32956</c:v>
                </c:pt>
                <c:pt idx="24">
                  <c:v>32957</c:v>
                </c:pt>
                <c:pt idx="25">
                  <c:v>32958</c:v>
                </c:pt>
                <c:pt idx="26">
                  <c:v>32959</c:v>
                </c:pt>
                <c:pt idx="27">
                  <c:v>32960</c:v>
                </c:pt>
                <c:pt idx="28">
                  <c:v>32961</c:v>
                </c:pt>
                <c:pt idx="29">
                  <c:v>32962</c:v>
                </c:pt>
                <c:pt idx="30">
                  <c:v>32963</c:v>
                </c:pt>
                <c:pt idx="31">
                  <c:v>32964</c:v>
                </c:pt>
                <c:pt idx="32">
                  <c:v>32965</c:v>
                </c:pt>
                <c:pt idx="33">
                  <c:v>32966</c:v>
                </c:pt>
                <c:pt idx="34">
                  <c:v>32967</c:v>
                </c:pt>
                <c:pt idx="35">
                  <c:v>32968</c:v>
                </c:pt>
                <c:pt idx="36">
                  <c:v>32969</c:v>
                </c:pt>
                <c:pt idx="37">
                  <c:v>32970</c:v>
                </c:pt>
                <c:pt idx="38">
                  <c:v>32971</c:v>
                </c:pt>
                <c:pt idx="39">
                  <c:v>32972</c:v>
                </c:pt>
                <c:pt idx="40">
                  <c:v>32973</c:v>
                </c:pt>
                <c:pt idx="41">
                  <c:v>32974</c:v>
                </c:pt>
                <c:pt idx="42">
                  <c:v>32975</c:v>
                </c:pt>
                <c:pt idx="43">
                  <c:v>32976</c:v>
                </c:pt>
                <c:pt idx="44">
                  <c:v>32977</c:v>
                </c:pt>
                <c:pt idx="45">
                  <c:v>32978</c:v>
                </c:pt>
                <c:pt idx="46">
                  <c:v>32979</c:v>
                </c:pt>
                <c:pt idx="47">
                  <c:v>32980</c:v>
                </c:pt>
                <c:pt idx="48">
                  <c:v>32981</c:v>
                </c:pt>
                <c:pt idx="49">
                  <c:v>32982</c:v>
                </c:pt>
                <c:pt idx="50">
                  <c:v>32983</c:v>
                </c:pt>
                <c:pt idx="51">
                  <c:v>32984</c:v>
                </c:pt>
                <c:pt idx="52">
                  <c:v>32985</c:v>
                </c:pt>
                <c:pt idx="53">
                  <c:v>32986</c:v>
                </c:pt>
                <c:pt idx="54">
                  <c:v>32987</c:v>
                </c:pt>
                <c:pt idx="55">
                  <c:v>32988</c:v>
                </c:pt>
                <c:pt idx="56">
                  <c:v>32989</c:v>
                </c:pt>
                <c:pt idx="57">
                  <c:v>32990</c:v>
                </c:pt>
                <c:pt idx="58">
                  <c:v>32991</c:v>
                </c:pt>
                <c:pt idx="59">
                  <c:v>32992</c:v>
                </c:pt>
                <c:pt idx="60">
                  <c:v>32993</c:v>
                </c:pt>
                <c:pt idx="61">
                  <c:v>32994</c:v>
                </c:pt>
                <c:pt idx="62">
                  <c:v>32995</c:v>
                </c:pt>
                <c:pt idx="63">
                  <c:v>32996</c:v>
                </c:pt>
                <c:pt idx="64">
                  <c:v>32997</c:v>
                </c:pt>
                <c:pt idx="65">
                  <c:v>32998</c:v>
                </c:pt>
                <c:pt idx="66">
                  <c:v>32999</c:v>
                </c:pt>
                <c:pt idx="67">
                  <c:v>33000</c:v>
                </c:pt>
                <c:pt idx="68">
                  <c:v>33001</c:v>
                </c:pt>
                <c:pt idx="69">
                  <c:v>33002</c:v>
                </c:pt>
                <c:pt idx="70">
                  <c:v>33003</c:v>
                </c:pt>
                <c:pt idx="71">
                  <c:v>33004</c:v>
                </c:pt>
                <c:pt idx="72">
                  <c:v>33005</c:v>
                </c:pt>
                <c:pt idx="73">
                  <c:v>33006</c:v>
                </c:pt>
                <c:pt idx="74">
                  <c:v>33007</c:v>
                </c:pt>
                <c:pt idx="75">
                  <c:v>33008</c:v>
                </c:pt>
                <c:pt idx="76">
                  <c:v>33009</c:v>
                </c:pt>
                <c:pt idx="77">
                  <c:v>33010</c:v>
                </c:pt>
                <c:pt idx="78">
                  <c:v>33011</c:v>
                </c:pt>
                <c:pt idx="79">
                  <c:v>33012</c:v>
                </c:pt>
                <c:pt idx="80">
                  <c:v>33013</c:v>
                </c:pt>
                <c:pt idx="81">
                  <c:v>33014</c:v>
                </c:pt>
                <c:pt idx="82">
                  <c:v>33015</c:v>
                </c:pt>
                <c:pt idx="83">
                  <c:v>33016</c:v>
                </c:pt>
                <c:pt idx="84">
                  <c:v>33017</c:v>
                </c:pt>
                <c:pt idx="85">
                  <c:v>33018</c:v>
                </c:pt>
                <c:pt idx="86">
                  <c:v>33019</c:v>
                </c:pt>
                <c:pt idx="87">
                  <c:v>33020</c:v>
                </c:pt>
                <c:pt idx="88">
                  <c:v>33021</c:v>
                </c:pt>
                <c:pt idx="89">
                  <c:v>33022</c:v>
                </c:pt>
                <c:pt idx="90">
                  <c:v>33023</c:v>
                </c:pt>
                <c:pt idx="91">
                  <c:v>33024</c:v>
                </c:pt>
                <c:pt idx="92">
                  <c:v>33025</c:v>
                </c:pt>
                <c:pt idx="93">
                  <c:v>33026</c:v>
                </c:pt>
                <c:pt idx="94">
                  <c:v>33027</c:v>
                </c:pt>
                <c:pt idx="95">
                  <c:v>33028</c:v>
                </c:pt>
                <c:pt idx="96">
                  <c:v>33029</c:v>
                </c:pt>
                <c:pt idx="97">
                  <c:v>33030</c:v>
                </c:pt>
                <c:pt idx="98">
                  <c:v>33031</c:v>
                </c:pt>
                <c:pt idx="99">
                  <c:v>33032</c:v>
                </c:pt>
                <c:pt idx="100">
                  <c:v>33033</c:v>
                </c:pt>
                <c:pt idx="101">
                  <c:v>33034</c:v>
                </c:pt>
                <c:pt idx="102">
                  <c:v>33035</c:v>
                </c:pt>
                <c:pt idx="103">
                  <c:v>33036</c:v>
                </c:pt>
                <c:pt idx="104">
                  <c:v>33037</c:v>
                </c:pt>
                <c:pt idx="105">
                  <c:v>33038</c:v>
                </c:pt>
                <c:pt idx="106">
                  <c:v>33039</c:v>
                </c:pt>
                <c:pt idx="107">
                  <c:v>33040</c:v>
                </c:pt>
                <c:pt idx="108">
                  <c:v>33041</c:v>
                </c:pt>
                <c:pt idx="109">
                  <c:v>33042</c:v>
                </c:pt>
                <c:pt idx="110">
                  <c:v>33043</c:v>
                </c:pt>
                <c:pt idx="111">
                  <c:v>33044</c:v>
                </c:pt>
                <c:pt idx="112">
                  <c:v>33045</c:v>
                </c:pt>
                <c:pt idx="113">
                  <c:v>33046</c:v>
                </c:pt>
                <c:pt idx="114">
                  <c:v>33047</c:v>
                </c:pt>
                <c:pt idx="115">
                  <c:v>33048</c:v>
                </c:pt>
                <c:pt idx="116">
                  <c:v>33049</c:v>
                </c:pt>
                <c:pt idx="117">
                  <c:v>33050</c:v>
                </c:pt>
                <c:pt idx="118">
                  <c:v>33051</c:v>
                </c:pt>
                <c:pt idx="119">
                  <c:v>33052</c:v>
                </c:pt>
                <c:pt idx="120">
                  <c:v>33053</c:v>
                </c:pt>
                <c:pt idx="121">
                  <c:v>33054</c:v>
                </c:pt>
                <c:pt idx="122">
                  <c:v>33055</c:v>
                </c:pt>
                <c:pt idx="123">
                  <c:v>33056</c:v>
                </c:pt>
                <c:pt idx="124">
                  <c:v>33057</c:v>
                </c:pt>
                <c:pt idx="125">
                  <c:v>33058</c:v>
                </c:pt>
                <c:pt idx="126">
                  <c:v>33059</c:v>
                </c:pt>
                <c:pt idx="127">
                  <c:v>33060</c:v>
                </c:pt>
                <c:pt idx="128">
                  <c:v>33061</c:v>
                </c:pt>
                <c:pt idx="129">
                  <c:v>33062</c:v>
                </c:pt>
                <c:pt idx="130">
                  <c:v>33063</c:v>
                </c:pt>
                <c:pt idx="131">
                  <c:v>33064</c:v>
                </c:pt>
                <c:pt idx="132">
                  <c:v>33065</c:v>
                </c:pt>
                <c:pt idx="133">
                  <c:v>33066</c:v>
                </c:pt>
                <c:pt idx="134">
                  <c:v>33067</c:v>
                </c:pt>
                <c:pt idx="135">
                  <c:v>33068</c:v>
                </c:pt>
                <c:pt idx="136">
                  <c:v>33069</c:v>
                </c:pt>
                <c:pt idx="137">
                  <c:v>33070</c:v>
                </c:pt>
                <c:pt idx="138">
                  <c:v>33071</c:v>
                </c:pt>
                <c:pt idx="139">
                  <c:v>33072</c:v>
                </c:pt>
                <c:pt idx="140">
                  <c:v>33073</c:v>
                </c:pt>
                <c:pt idx="141">
                  <c:v>33074</c:v>
                </c:pt>
                <c:pt idx="142">
                  <c:v>33075</c:v>
                </c:pt>
                <c:pt idx="143">
                  <c:v>33076</c:v>
                </c:pt>
                <c:pt idx="144">
                  <c:v>33077</c:v>
                </c:pt>
                <c:pt idx="145">
                  <c:v>33078</c:v>
                </c:pt>
                <c:pt idx="146">
                  <c:v>33079</c:v>
                </c:pt>
                <c:pt idx="147">
                  <c:v>33080</c:v>
                </c:pt>
                <c:pt idx="148">
                  <c:v>33081</c:v>
                </c:pt>
                <c:pt idx="149">
                  <c:v>33082</c:v>
                </c:pt>
                <c:pt idx="150">
                  <c:v>33083</c:v>
                </c:pt>
                <c:pt idx="151">
                  <c:v>33084</c:v>
                </c:pt>
                <c:pt idx="152">
                  <c:v>33085</c:v>
                </c:pt>
                <c:pt idx="153">
                  <c:v>33086</c:v>
                </c:pt>
                <c:pt idx="154">
                  <c:v>33087</c:v>
                </c:pt>
                <c:pt idx="155">
                  <c:v>33088</c:v>
                </c:pt>
                <c:pt idx="156">
                  <c:v>33089</c:v>
                </c:pt>
                <c:pt idx="157">
                  <c:v>33090</c:v>
                </c:pt>
                <c:pt idx="158">
                  <c:v>33091</c:v>
                </c:pt>
                <c:pt idx="159">
                  <c:v>33092</c:v>
                </c:pt>
                <c:pt idx="160">
                  <c:v>33093</c:v>
                </c:pt>
                <c:pt idx="161">
                  <c:v>33094</c:v>
                </c:pt>
                <c:pt idx="162">
                  <c:v>33095</c:v>
                </c:pt>
                <c:pt idx="163">
                  <c:v>33096</c:v>
                </c:pt>
                <c:pt idx="164">
                  <c:v>33097</c:v>
                </c:pt>
                <c:pt idx="165">
                  <c:v>33098</c:v>
                </c:pt>
                <c:pt idx="166">
                  <c:v>33099</c:v>
                </c:pt>
                <c:pt idx="167">
                  <c:v>33100</c:v>
                </c:pt>
                <c:pt idx="168">
                  <c:v>33101</c:v>
                </c:pt>
                <c:pt idx="169">
                  <c:v>33102</c:v>
                </c:pt>
                <c:pt idx="170">
                  <c:v>33103</c:v>
                </c:pt>
                <c:pt idx="171">
                  <c:v>33104</c:v>
                </c:pt>
                <c:pt idx="172">
                  <c:v>33105</c:v>
                </c:pt>
                <c:pt idx="173">
                  <c:v>33106</c:v>
                </c:pt>
                <c:pt idx="174">
                  <c:v>33107</c:v>
                </c:pt>
                <c:pt idx="175">
                  <c:v>33108</c:v>
                </c:pt>
                <c:pt idx="176">
                  <c:v>33109</c:v>
                </c:pt>
                <c:pt idx="177">
                  <c:v>33110</c:v>
                </c:pt>
                <c:pt idx="178">
                  <c:v>33111</c:v>
                </c:pt>
                <c:pt idx="179">
                  <c:v>33112</c:v>
                </c:pt>
                <c:pt idx="180">
                  <c:v>33113</c:v>
                </c:pt>
                <c:pt idx="181">
                  <c:v>33114</c:v>
                </c:pt>
                <c:pt idx="182">
                  <c:v>33115</c:v>
                </c:pt>
                <c:pt idx="183">
                  <c:v>33116</c:v>
                </c:pt>
                <c:pt idx="184">
                  <c:v>33117</c:v>
                </c:pt>
                <c:pt idx="185">
                  <c:v>33118</c:v>
                </c:pt>
                <c:pt idx="186">
                  <c:v>33119</c:v>
                </c:pt>
                <c:pt idx="187">
                  <c:v>33120</c:v>
                </c:pt>
                <c:pt idx="188">
                  <c:v>33121</c:v>
                </c:pt>
                <c:pt idx="189">
                  <c:v>33122</c:v>
                </c:pt>
                <c:pt idx="190">
                  <c:v>33123</c:v>
                </c:pt>
                <c:pt idx="191">
                  <c:v>33124</c:v>
                </c:pt>
                <c:pt idx="192">
                  <c:v>33125</c:v>
                </c:pt>
                <c:pt idx="193">
                  <c:v>33126</c:v>
                </c:pt>
                <c:pt idx="194">
                  <c:v>33127</c:v>
                </c:pt>
                <c:pt idx="195">
                  <c:v>33128</c:v>
                </c:pt>
                <c:pt idx="196">
                  <c:v>33129</c:v>
                </c:pt>
                <c:pt idx="197">
                  <c:v>33130</c:v>
                </c:pt>
                <c:pt idx="198">
                  <c:v>33131</c:v>
                </c:pt>
                <c:pt idx="199">
                  <c:v>33132</c:v>
                </c:pt>
                <c:pt idx="200">
                  <c:v>33133</c:v>
                </c:pt>
                <c:pt idx="201">
                  <c:v>33134</c:v>
                </c:pt>
                <c:pt idx="202">
                  <c:v>33135</c:v>
                </c:pt>
                <c:pt idx="203">
                  <c:v>33136</c:v>
                </c:pt>
                <c:pt idx="204">
                  <c:v>33137</c:v>
                </c:pt>
                <c:pt idx="205">
                  <c:v>33138</c:v>
                </c:pt>
                <c:pt idx="206">
                  <c:v>33139</c:v>
                </c:pt>
                <c:pt idx="207">
                  <c:v>33140</c:v>
                </c:pt>
                <c:pt idx="208">
                  <c:v>33141</c:v>
                </c:pt>
                <c:pt idx="209">
                  <c:v>33142</c:v>
                </c:pt>
                <c:pt idx="210">
                  <c:v>33143</c:v>
                </c:pt>
                <c:pt idx="211">
                  <c:v>33144</c:v>
                </c:pt>
                <c:pt idx="212">
                  <c:v>33145</c:v>
                </c:pt>
                <c:pt idx="213">
                  <c:v>33146</c:v>
                </c:pt>
                <c:pt idx="214">
                  <c:v>33147</c:v>
                </c:pt>
                <c:pt idx="215">
                  <c:v>33148</c:v>
                </c:pt>
                <c:pt idx="216">
                  <c:v>33149</c:v>
                </c:pt>
                <c:pt idx="217">
                  <c:v>33150</c:v>
                </c:pt>
                <c:pt idx="218">
                  <c:v>33151</c:v>
                </c:pt>
                <c:pt idx="219">
                  <c:v>33152</c:v>
                </c:pt>
                <c:pt idx="220">
                  <c:v>33153</c:v>
                </c:pt>
                <c:pt idx="221">
                  <c:v>33154</c:v>
                </c:pt>
                <c:pt idx="222">
                  <c:v>33155</c:v>
                </c:pt>
                <c:pt idx="223">
                  <c:v>33156</c:v>
                </c:pt>
                <c:pt idx="224">
                  <c:v>33157</c:v>
                </c:pt>
                <c:pt idx="225">
                  <c:v>33158</c:v>
                </c:pt>
                <c:pt idx="226">
                  <c:v>33159</c:v>
                </c:pt>
                <c:pt idx="227">
                  <c:v>33160</c:v>
                </c:pt>
                <c:pt idx="228">
                  <c:v>33161</c:v>
                </c:pt>
                <c:pt idx="229">
                  <c:v>33162</c:v>
                </c:pt>
                <c:pt idx="230">
                  <c:v>33163</c:v>
                </c:pt>
                <c:pt idx="231">
                  <c:v>33164</c:v>
                </c:pt>
                <c:pt idx="232">
                  <c:v>33165</c:v>
                </c:pt>
                <c:pt idx="233">
                  <c:v>33166</c:v>
                </c:pt>
                <c:pt idx="234">
                  <c:v>33167</c:v>
                </c:pt>
                <c:pt idx="235">
                  <c:v>33168</c:v>
                </c:pt>
                <c:pt idx="236">
                  <c:v>33169</c:v>
                </c:pt>
                <c:pt idx="237">
                  <c:v>33170</c:v>
                </c:pt>
                <c:pt idx="238">
                  <c:v>33171</c:v>
                </c:pt>
                <c:pt idx="239">
                  <c:v>33172</c:v>
                </c:pt>
                <c:pt idx="240">
                  <c:v>33173</c:v>
                </c:pt>
                <c:pt idx="241">
                  <c:v>33174</c:v>
                </c:pt>
                <c:pt idx="242">
                  <c:v>33175</c:v>
                </c:pt>
                <c:pt idx="243">
                  <c:v>33176</c:v>
                </c:pt>
                <c:pt idx="244">
                  <c:v>33177</c:v>
                </c:pt>
              </c:numCache>
            </c:numRef>
          </c:xVal>
          <c:yVal>
            <c:numRef>
              <c:f>Biloela!$J$4:$J$368</c:f>
              <c:numCache>
                <c:formatCode>General</c:formatCode>
                <c:ptCount val="365"/>
                <c:pt idx="0">
                  <c:v>11.752907174028723</c:v>
                </c:pt>
                <c:pt idx="1">
                  <c:v>12.572791767200748</c:v>
                </c:pt>
                <c:pt idx="2">
                  <c:v>12.724190859733575</c:v>
                </c:pt>
                <c:pt idx="3">
                  <c:v>12.660017937345389</c:v>
                </c:pt>
                <c:pt idx="4">
                  <c:v>12.888624282478798</c:v>
                </c:pt>
                <c:pt idx="5">
                  <c:v>11.904985251521078</c:v>
                </c:pt>
                <c:pt idx="6">
                  <c:v>9.6627416970375712</c:v>
                </c:pt>
                <c:pt idx="7">
                  <c:v>11.499355732528111</c:v>
                </c:pt>
                <c:pt idx="8">
                  <c:v>9.3852704467989412</c:v>
                </c:pt>
                <c:pt idx="9">
                  <c:v>8.7099092248139414</c:v>
                </c:pt>
                <c:pt idx="10">
                  <c:v>8.381067514254406</c:v>
                </c:pt>
                <c:pt idx="11">
                  <c:v>8.3533447076478247</c:v>
                </c:pt>
                <c:pt idx="12">
                  <c:v>10.630689398832892</c:v>
                </c:pt>
                <c:pt idx="13">
                  <c:v>11.543880234629595</c:v>
                </c:pt>
                <c:pt idx="14">
                  <c:v>10.146653322680809</c:v>
                </c:pt>
                <c:pt idx="15">
                  <c:v>10.108571374512128</c:v>
                </c:pt>
                <c:pt idx="16">
                  <c:v>10.72481972435938</c:v>
                </c:pt>
                <c:pt idx="17">
                  <c:v>10.516354792683735</c:v>
                </c:pt>
                <c:pt idx="18">
                  <c:v>10.169680244858172</c:v>
                </c:pt>
                <c:pt idx="19">
                  <c:v>10.856671629417185</c:v>
                </c:pt>
                <c:pt idx="20">
                  <c:v>10.897556872051357</c:v>
                </c:pt>
                <c:pt idx="21">
                  <c:v>10.755554991251872</c:v>
                </c:pt>
                <c:pt idx="22">
                  <c:v>11.634332980056984</c:v>
                </c:pt>
                <c:pt idx="23">
                  <c:v>11.194589754475464</c:v>
                </c:pt>
                <c:pt idx="24">
                  <c:v>9.391426350119378</c:v>
                </c:pt>
                <c:pt idx="25">
                  <c:v>9.6247711678375705</c:v>
                </c:pt>
                <c:pt idx="26">
                  <c:v>10.167428110664229</c:v>
                </c:pt>
                <c:pt idx="27">
                  <c:v>10.619009982199943</c:v>
                </c:pt>
                <c:pt idx="28">
                  <c:v>11.002599639674917</c:v>
                </c:pt>
                <c:pt idx="29">
                  <c:v>10.748670768857544</c:v>
                </c:pt>
                <c:pt idx="30">
                  <c:v>10.684692094669144</c:v>
                </c:pt>
                <c:pt idx="31">
                  <c:v>9.6599716462992404</c:v>
                </c:pt>
                <c:pt idx="32">
                  <c:v>9.1328027176025373</c:v>
                </c:pt>
                <c:pt idx="33">
                  <c:v>8.999903924004137</c:v>
                </c:pt>
                <c:pt idx="34">
                  <c:v>10.058453598915955</c:v>
                </c:pt>
                <c:pt idx="35">
                  <c:v>9.4945424366178397</c:v>
                </c:pt>
                <c:pt idx="36">
                  <c:v>10.118542297149151</c:v>
                </c:pt>
                <c:pt idx="37">
                  <c:v>10.741021925351339</c:v>
                </c:pt>
                <c:pt idx="38">
                  <c:v>10.787013949235968</c:v>
                </c:pt>
                <c:pt idx="39">
                  <c:v>10.249358280282802</c:v>
                </c:pt>
                <c:pt idx="40">
                  <c:v>10.359401931339541</c:v>
                </c:pt>
                <c:pt idx="41">
                  <c:v>9.6601460287019059</c:v>
                </c:pt>
                <c:pt idx="42">
                  <c:v>10.178108529534382</c:v>
                </c:pt>
                <c:pt idx="43">
                  <c:v>10.015575336952219</c:v>
                </c:pt>
                <c:pt idx="44">
                  <c:v>10.173467041702814</c:v>
                </c:pt>
                <c:pt idx="45">
                  <c:v>9.6959802992299071</c:v>
                </c:pt>
                <c:pt idx="46">
                  <c:v>10.005142180033264</c:v>
                </c:pt>
                <c:pt idx="47">
                  <c:v>9.9551807836531765</c:v>
                </c:pt>
                <c:pt idx="48">
                  <c:v>10.076111240526437</c:v>
                </c:pt>
                <c:pt idx="49">
                  <c:v>10.156101994033902</c:v>
                </c:pt>
                <c:pt idx="50">
                  <c:v>10.004885097569874</c:v>
                </c:pt>
                <c:pt idx="51">
                  <c:v>8.6709181134887032</c:v>
                </c:pt>
                <c:pt idx="52">
                  <c:v>8.5862445357845267</c:v>
                </c:pt>
                <c:pt idx="53">
                  <c:v>7.8260088217468047</c:v>
                </c:pt>
                <c:pt idx="54">
                  <c:v>7.5744037263276267</c:v>
                </c:pt>
                <c:pt idx="55">
                  <c:v>7.8317568575905394</c:v>
                </c:pt>
                <c:pt idx="56">
                  <c:v>7.3916263947557512</c:v>
                </c:pt>
                <c:pt idx="57">
                  <c:v>5.8286645985053589</c:v>
                </c:pt>
                <c:pt idx="58">
                  <c:v>5.9399214676521392</c:v>
                </c:pt>
                <c:pt idx="59">
                  <c:v>6.6893411601601054</c:v>
                </c:pt>
                <c:pt idx="60">
                  <c:v>7.5902233531148573</c:v>
                </c:pt>
                <c:pt idx="61">
                  <c:v>7.8344872463486137</c:v>
                </c:pt>
                <c:pt idx="62">
                  <c:v>8.3150698806108494</c:v>
                </c:pt>
                <c:pt idx="63">
                  <c:v>8.435256287737781</c:v>
                </c:pt>
                <c:pt idx="64">
                  <c:v>7.4873799414185633</c:v>
                </c:pt>
                <c:pt idx="65">
                  <c:v>8.058794774838594</c:v>
                </c:pt>
                <c:pt idx="66">
                  <c:v>8.2469407028664428</c:v>
                </c:pt>
                <c:pt idx="67">
                  <c:v>8.5445533292017615</c:v>
                </c:pt>
                <c:pt idx="68">
                  <c:v>8.6072801070790206</c:v>
                </c:pt>
                <c:pt idx="69">
                  <c:v>9.0822292456890743</c:v>
                </c:pt>
                <c:pt idx="70">
                  <c:v>10.102615457633075</c:v>
                </c:pt>
                <c:pt idx="71">
                  <c:v>9.82527772590662</c:v>
                </c:pt>
                <c:pt idx="72">
                  <c:v>9.176972535872304</c:v>
                </c:pt>
                <c:pt idx="73">
                  <c:v>8.7664483141655847</c:v>
                </c:pt>
                <c:pt idx="74">
                  <c:v>8.3105620588415707</c:v>
                </c:pt>
                <c:pt idx="75">
                  <c:v>8.1826646325530614</c:v>
                </c:pt>
                <c:pt idx="76">
                  <c:v>8.9374732127563625</c:v>
                </c:pt>
                <c:pt idx="77">
                  <c:v>9.742407126153573</c:v>
                </c:pt>
                <c:pt idx="78">
                  <c:v>8.6429438608437312</c:v>
                </c:pt>
                <c:pt idx="79">
                  <c:v>7.2466484312800823</c:v>
                </c:pt>
                <c:pt idx="80">
                  <c:v>7.6088025024984081</c:v>
                </c:pt>
                <c:pt idx="81">
                  <c:v>8.5358127844470548</c:v>
                </c:pt>
                <c:pt idx="82">
                  <c:v>9.0195381108321087</c:v>
                </c:pt>
                <c:pt idx="83">
                  <c:v>9.6434979258254749</c:v>
                </c:pt>
                <c:pt idx="84">
                  <c:v>8.0684507978404998</c:v>
                </c:pt>
                <c:pt idx="85">
                  <c:v>6.3898595284306028</c:v>
                </c:pt>
                <c:pt idx="86">
                  <c:v>5.9581522376759111</c:v>
                </c:pt>
                <c:pt idx="87">
                  <c:v>6.765851083479185</c:v>
                </c:pt>
                <c:pt idx="88">
                  <c:v>7.4190372892185543</c:v>
                </c:pt>
                <c:pt idx="89">
                  <c:v>7.5211466736926473</c:v>
                </c:pt>
                <c:pt idx="90">
                  <c:v>7.6944461284934214</c:v>
                </c:pt>
                <c:pt idx="91">
                  <c:v>9.3685868513099919</c:v>
                </c:pt>
                <c:pt idx="92">
                  <c:v>8.799570141133584</c:v>
                </c:pt>
                <c:pt idx="93">
                  <c:v>7.280147756747648</c:v>
                </c:pt>
                <c:pt idx="94">
                  <c:v>7.0291534397528448</c:v>
                </c:pt>
                <c:pt idx="95">
                  <c:v>6.8237069054255546</c:v>
                </c:pt>
                <c:pt idx="96">
                  <c:v>6.7123602769253772</c:v>
                </c:pt>
                <c:pt idx="97">
                  <c:v>7.7081246395871217</c:v>
                </c:pt>
                <c:pt idx="98">
                  <c:v>8.0843329986814076</c:v>
                </c:pt>
                <c:pt idx="99">
                  <c:v>8.7318691754222844</c:v>
                </c:pt>
                <c:pt idx="100">
                  <c:v>7.6748953914301117</c:v>
                </c:pt>
                <c:pt idx="101">
                  <c:v>7.8602587860463249</c:v>
                </c:pt>
                <c:pt idx="102">
                  <c:v>7.5784767438957399</c:v>
                </c:pt>
                <c:pt idx="103">
                  <c:v>7.69083584450701</c:v>
                </c:pt>
                <c:pt idx="104">
                  <c:v>7.9289941427223516</c:v>
                </c:pt>
                <c:pt idx="105">
                  <c:v>8.1695307029420192</c:v>
                </c:pt>
                <c:pt idx="106">
                  <c:v>7.7072232978580324</c:v>
                </c:pt>
                <c:pt idx="107">
                  <c:v>7.3920359562160671</c:v>
                </c:pt>
                <c:pt idx="108">
                  <c:v>8.0149905071481111</c:v>
                </c:pt>
                <c:pt idx="109">
                  <c:v>7.3910696442139088</c:v>
                </c:pt>
                <c:pt idx="110">
                  <c:v>7.3518594157967687</c:v>
                </c:pt>
                <c:pt idx="111">
                  <c:v>6.4853083297097465</c:v>
                </c:pt>
                <c:pt idx="112">
                  <c:v>7.8172158504245139</c:v>
                </c:pt>
                <c:pt idx="113">
                  <c:v>7.7008520104556162</c:v>
                </c:pt>
                <c:pt idx="114">
                  <c:v>8.1341268607324828</c:v>
                </c:pt>
                <c:pt idx="115">
                  <c:v>8.307934516185334</c:v>
                </c:pt>
                <c:pt idx="116">
                  <c:v>8.3242552732279638</c:v>
                </c:pt>
                <c:pt idx="117">
                  <c:v>5.0629294810602294</c:v>
                </c:pt>
                <c:pt idx="118">
                  <c:v>4.6604577196620047</c:v>
                </c:pt>
                <c:pt idx="119">
                  <c:v>4.9805825172759102</c:v>
                </c:pt>
                <c:pt idx="120">
                  <c:v>4.4649718272110395</c:v>
                </c:pt>
                <c:pt idx="121">
                  <c:v>5.9838459591045323</c:v>
                </c:pt>
                <c:pt idx="122">
                  <c:v>7.4361073238101554</c:v>
                </c:pt>
                <c:pt idx="123">
                  <c:v>7.6664720594418601</c:v>
                </c:pt>
                <c:pt idx="124">
                  <c:v>4.4755844799261411</c:v>
                </c:pt>
                <c:pt idx="125">
                  <c:v>4.0490557756672958</c:v>
                </c:pt>
                <c:pt idx="126">
                  <c:v>8.0072736324075997</c:v>
                </c:pt>
                <c:pt idx="127">
                  <c:v>5.6923309983944952</c:v>
                </c:pt>
                <c:pt idx="128">
                  <c:v>6.3128628953057602</c:v>
                </c:pt>
                <c:pt idx="129">
                  <c:v>5.6648069612642811</c:v>
                </c:pt>
                <c:pt idx="130">
                  <c:v>7.8281034249127739</c:v>
                </c:pt>
                <c:pt idx="131">
                  <c:v>8.5823349672240159</c:v>
                </c:pt>
                <c:pt idx="132">
                  <c:v>7.331215158992535</c:v>
                </c:pt>
                <c:pt idx="133">
                  <c:v>8.3786932149941062</c:v>
                </c:pt>
                <c:pt idx="134">
                  <c:v>8.2747709765164537</c:v>
                </c:pt>
                <c:pt idx="135">
                  <c:v>8.6070861848376143</c:v>
                </c:pt>
                <c:pt idx="136">
                  <c:v>8.6783755991794287</c:v>
                </c:pt>
                <c:pt idx="137">
                  <c:v>8.897247373927474</c:v>
                </c:pt>
                <c:pt idx="138">
                  <c:v>9.206618231088358</c:v>
                </c:pt>
                <c:pt idx="139">
                  <c:v>8.804632876587819</c:v>
                </c:pt>
                <c:pt idx="140">
                  <c:v>9.9823818860674791</c:v>
                </c:pt>
                <c:pt idx="141">
                  <c:v>6.4562813889296748</c:v>
                </c:pt>
                <c:pt idx="142">
                  <c:v>6.6375946907114152</c:v>
                </c:pt>
                <c:pt idx="143">
                  <c:v>8.6390215602542977</c:v>
                </c:pt>
                <c:pt idx="144">
                  <c:v>9.8365136786517464</c:v>
                </c:pt>
                <c:pt idx="145">
                  <c:v>10.402156094486969</c:v>
                </c:pt>
                <c:pt idx="146">
                  <c:v>10.050434403398846</c:v>
                </c:pt>
                <c:pt idx="147">
                  <c:v>10.960855254765271</c:v>
                </c:pt>
                <c:pt idx="148">
                  <c:v>11.599866358014726</c:v>
                </c:pt>
                <c:pt idx="149">
                  <c:v>9.1908289337978015</c:v>
                </c:pt>
                <c:pt idx="150">
                  <c:v>5.8520924085932746</c:v>
                </c:pt>
                <c:pt idx="151">
                  <c:v>10.687372033478708</c:v>
                </c:pt>
                <c:pt idx="152">
                  <c:v>8.555967536652906</c:v>
                </c:pt>
                <c:pt idx="153">
                  <c:v>5.7077513062359451</c:v>
                </c:pt>
                <c:pt idx="154">
                  <c:v>7.388531323557288</c:v>
                </c:pt>
                <c:pt idx="155">
                  <c:v>6.1089378301124322</c:v>
                </c:pt>
                <c:pt idx="156">
                  <c:v>6.7452489062413052</c:v>
                </c:pt>
                <c:pt idx="157">
                  <c:v>9.192939069446961</c:v>
                </c:pt>
                <c:pt idx="158">
                  <c:v>10.365114299803622</c:v>
                </c:pt>
                <c:pt idx="159">
                  <c:v>8.3590233848486513</c:v>
                </c:pt>
                <c:pt idx="160">
                  <c:v>7.3482998633317331</c:v>
                </c:pt>
                <c:pt idx="161">
                  <c:v>8.5587439174799282</c:v>
                </c:pt>
                <c:pt idx="162">
                  <c:v>11.688160611013524</c:v>
                </c:pt>
                <c:pt idx="163">
                  <c:v>7.7020240939089408</c:v>
                </c:pt>
                <c:pt idx="164">
                  <c:v>7.6329190211845566</c:v>
                </c:pt>
                <c:pt idx="165">
                  <c:v>9.4951982052490038</c:v>
                </c:pt>
                <c:pt idx="166">
                  <c:v>12.04038165020863</c:v>
                </c:pt>
                <c:pt idx="167">
                  <c:v>12.925851527928273</c:v>
                </c:pt>
                <c:pt idx="168">
                  <c:v>12.199709019720439</c:v>
                </c:pt>
                <c:pt idx="169">
                  <c:v>7.1036961166634001</c:v>
                </c:pt>
                <c:pt idx="170">
                  <c:v>7.0281503277361974</c:v>
                </c:pt>
                <c:pt idx="171">
                  <c:v>7.1561076485176969</c:v>
                </c:pt>
                <c:pt idx="172">
                  <c:v>8.0369864796114143</c:v>
                </c:pt>
                <c:pt idx="173">
                  <c:v>10.159345723850182</c:v>
                </c:pt>
                <c:pt idx="174">
                  <c:v>9.850752025275229</c:v>
                </c:pt>
                <c:pt idx="175">
                  <c:v>7.9495201390377588</c:v>
                </c:pt>
                <c:pt idx="176">
                  <c:v>8.323656508909508</c:v>
                </c:pt>
                <c:pt idx="177">
                  <c:v>6.5591853142538312</c:v>
                </c:pt>
                <c:pt idx="178">
                  <c:v>7.5767359593225097</c:v>
                </c:pt>
                <c:pt idx="179">
                  <c:v>7.4615858030133673</c:v>
                </c:pt>
                <c:pt idx="180">
                  <c:v>7.5561143778862441</c:v>
                </c:pt>
                <c:pt idx="181">
                  <c:v>9.0258409954539065</c:v>
                </c:pt>
                <c:pt idx="182">
                  <c:v>10.964173940776663</c:v>
                </c:pt>
                <c:pt idx="183">
                  <c:v>13.659043796948652</c:v>
                </c:pt>
                <c:pt idx="184">
                  <c:v>14.092187778401085</c:v>
                </c:pt>
                <c:pt idx="185">
                  <c:v>9.9940915041008846</c:v>
                </c:pt>
                <c:pt idx="186">
                  <c:v>10.596369668459728</c:v>
                </c:pt>
                <c:pt idx="187">
                  <c:v>10.232180702285007</c:v>
                </c:pt>
                <c:pt idx="188">
                  <c:v>10.297336825420929</c:v>
                </c:pt>
                <c:pt idx="189">
                  <c:v>9.748451764942919</c:v>
                </c:pt>
                <c:pt idx="190">
                  <c:v>11.042362325190084</c:v>
                </c:pt>
                <c:pt idx="191">
                  <c:v>11.616608377668674</c:v>
                </c:pt>
                <c:pt idx="192">
                  <c:v>11.465260481523217</c:v>
                </c:pt>
                <c:pt idx="193">
                  <c:v>15.363002715661215</c:v>
                </c:pt>
                <c:pt idx="194">
                  <c:v>12.255634554158538</c:v>
                </c:pt>
                <c:pt idx="195">
                  <c:v>11.002346902103369</c:v>
                </c:pt>
                <c:pt idx="196">
                  <c:v>14.117065131114577</c:v>
                </c:pt>
                <c:pt idx="197">
                  <c:v>9.8021128199179159</c:v>
                </c:pt>
                <c:pt idx="198">
                  <c:v>9.0860179626819537</c:v>
                </c:pt>
                <c:pt idx="199">
                  <c:v>10.550163860545872</c:v>
                </c:pt>
                <c:pt idx="200">
                  <c:v>12.242756881063961</c:v>
                </c:pt>
                <c:pt idx="201">
                  <c:v>12.752205525695869</c:v>
                </c:pt>
                <c:pt idx="202">
                  <c:v>11.921802506651641</c:v>
                </c:pt>
                <c:pt idx="203">
                  <c:v>13.700401702474828</c:v>
                </c:pt>
                <c:pt idx="204">
                  <c:v>15.896661258329289</c:v>
                </c:pt>
                <c:pt idx="205">
                  <c:v>14.98997504123825</c:v>
                </c:pt>
                <c:pt idx="206">
                  <c:v>13.928772691343003</c:v>
                </c:pt>
                <c:pt idx="207">
                  <c:v>14.66815332090307</c:v>
                </c:pt>
                <c:pt idx="208">
                  <c:v>15.070110427770596</c:v>
                </c:pt>
                <c:pt idx="209">
                  <c:v>15.095084263261668</c:v>
                </c:pt>
                <c:pt idx="210">
                  <c:v>17.235856527057699</c:v>
                </c:pt>
                <c:pt idx="211">
                  <c:v>16.995103361606443</c:v>
                </c:pt>
                <c:pt idx="212">
                  <c:v>15.240479773810392</c:v>
                </c:pt>
                <c:pt idx="213">
                  <c:v>14.350802889397118</c:v>
                </c:pt>
                <c:pt idx="214">
                  <c:v>13.761869731144953</c:v>
                </c:pt>
                <c:pt idx="215">
                  <c:v>15.7969846887563</c:v>
                </c:pt>
                <c:pt idx="216">
                  <c:v>16.044934616264651</c:v>
                </c:pt>
                <c:pt idx="217">
                  <c:v>15.684986476733968</c:v>
                </c:pt>
                <c:pt idx="218">
                  <c:v>15.93245628708968</c:v>
                </c:pt>
                <c:pt idx="219">
                  <c:v>17.017838350501339</c:v>
                </c:pt>
                <c:pt idx="220">
                  <c:v>16.899482707194679</c:v>
                </c:pt>
                <c:pt idx="221">
                  <c:v>18.499639910048515</c:v>
                </c:pt>
                <c:pt idx="222">
                  <c:v>17.636330534993458</c:v>
                </c:pt>
                <c:pt idx="223">
                  <c:v>16.729040643368013</c:v>
                </c:pt>
                <c:pt idx="224">
                  <c:v>16.953771925569445</c:v>
                </c:pt>
                <c:pt idx="225">
                  <c:v>16.987095610382653</c:v>
                </c:pt>
                <c:pt idx="226">
                  <c:v>16.128306953063657</c:v>
                </c:pt>
                <c:pt idx="227">
                  <c:v>15.461922869281524</c:v>
                </c:pt>
                <c:pt idx="228">
                  <c:v>16.12290936055291</c:v>
                </c:pt>
                <c:pt idx="229">
                  <c:v>16.590903132139342</c:v>
                </c:pt>
                <c:pt idx="230">
                  <c:v>17.036029562443357</c:v>
                </c:pt>
                <c:pt idx="231">
                  <c:v>16.701136320883926</c:v>
                </c:pt>
                <c:pt idx="232">
                  <c:v>18.297925852866587</c:v>
                </c:pt>
                <c:pt idx="233">
                  <c:v>19.351330721142546</c:v>
                </c:pt>
                <c:pt idx="234">
                  <c:v>16.413021777397518</c:v>
                </c:pt>
                <c:pt idx="235">
                  <c:v>15.642131271872147</c:v>
                </c:pt>
                <c:pt idx="236">
                  <c:v>14.677673163963238</c:v>
                </c:pt>
                <c:pt idx="237">
                  <c:v>13.635434150401647</c:v>
                </c:pt>
                <c:pt idx="238">
                  <c:v>17.09953698602731</c:v>
                </c:pt>
                <c:pt idx="239">
                  <c:v>17.670921866976169</c:v>
                </c:pt>
                <c:pt idx="240">
                  <c:v>16.664103728545754</c:v>
                </c:pt>
                <c:pt idx="241">
                  <c:v>16.51180554223199</c:v>
                </c:pt>
                <c:pt idx="242">
                  <c:v>17.602371122694084</c:v>
                </c:pt>
                <c:pt idx="243">
                  <c:v>16.065447217046984</c:v>
                </c:pt>
                <c:pt idx="244">
                  <c:v>16.619881319331046</c:v>
                </c:pt>
              </c:numCache>
            </c:numRef>
          </c:yVal>
        </c:ser>
        <c:axId val="139587968"/>
        <c:axId val="139582080"/>
      </c:scatterChart>
      <c:valAx>
        <c:axId val="139566464"/>
        <c:scaling>
          <c:orientation val="minMax"/>
        </c:scaling>
        <c:axPos val="b"/>
        <c:numFmt formatCode="d\-mmm\-yy" sourceLinked="1"/>
        <c:tickLblPos val="nextTo"/>
        <c:crossAx val="139580544"/>
        <c:crosses val="autoZero"/>
        <c:crossBetween val="midCat"/>
      </c:valAx>
      <c:valAx>
        <c:axId val="139580544"/>
        <c:scaling>
          <c:orientation val="minMax"/>
        </c:scaling>
        <c:axPos val="l"/>
        <c:majorGridlines/>
        <c:numFmt formatCode="General" sourceLinked="1"/>
        <c:tickLblPos val="nextTo"/>
        <c:crossAx val="139566464"/>
        <c:crosses val="autoZero"/>
        <c:crossBetween val="midCat"/>
      </c:valAx>
      <c:valAx>
        <c:axId val="139582080"/>
        <c:scaling>
          <c:orientation val="minMax"/>
        </c:scaling>
        <c:axPos val="r"/>
        <c:numFmt formatCode="General" sourceLinked="1"/>
        <c:tickLblPos val="nextTo"/>
        <c:crossAx val="139587968"/>
        <c:crosses val="max"/>
        <c:crossBetween val="midCat"/>
      </c:valAx>
      <c:valAx>
        <c:axId val="139587968"/>
        <c:scaling>
          <c:orientation val="minMax"/>
        </c:scaling>
        <c:delete val="1"/>
        <c:axPos val="b"/>
        <c:numFmt formatCode="d\-mmm\-yy" sourceLinked="1"/>
        <c:tickLblPos val="none"/>
        <c:crossAx val="139582080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211" l="0.70000000000000062" r="0.70000000000000062" t="0.75000000000000211" header="0.30000000000000032" footer="0.30000000000000032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AU"/>
  <c:chart>
    <c:plotArea>
      <c:layout/>
      <c:scatterChart>
        <c:scatterStyle val="lineMarker"/>
        <c:ser>
          <c:idx val="0"/>
          <c:order val="0"/>
          <c:spPr>
            <a:ln w="28575">
              <a:noFill/>
            </a:ln>
          </c:spPr>
          <c:xVal>
            <c:numRef>
              <c:f>Biloela!$AO$4:$AO$6</c:f>
              <c:numCache>
                <c:formatCode>General</c:formatCode>
                <c:ptCount val="3"/>
              </c:numCache>
            </c:numRef>
          </c:xVal>
          <c:yVal>
            <c:numRef>
              <c:f>Biloela!$W$4:$W$6</c:f>
              <c:numCache>
                <c:formatCode>General</c:formatCode>
                <c:ptCount val="3"/>
              </c:numCache>
            </c:numRef>
          </c:yVal>
        </c:ser>
        <c:ser>
          <c:idx val="1"/>
          <c:order val="1"/>
          <c:spPr>
            <a:ln w="28575">
              <a:noFill/>
            </a:ln>
          </c:spPr>
          <c:xVal>
            <c:numRef>
              <c:f>Biloela!$AO$7:$AO$9</c:f>
              <c:numCache>
                <c:formatCode>General</c:formatCode>
                <c:ptCount val="3"/>
              </c:numCache>
            </c:numRef>
          </c:xVal>
          <c:yVal>
            <c:numRef>
              <c:f>Biloela!$W$7:$W$9</c:f>
              <c:numCache>
                <c:formatCode>General</c:formatCode>
                <c:ptCount val="3"/>
              </c:numCache>
            </c:numRef>
          </c:yVal>
        </c:ser>
        <c:ser>
          <c:idx val="2"/>
          <c:order val="2"/>
          <c:spPr>
            <a:ln w="28575">
              <a:noFill/>
            </a:ln>
          </c:spPr>
          <c:xVal>
            <c:numRef>
              <c:f>Biloela!$AO$10:$AO$12</c:f>
              <c:numCache>
                <c:formatCode>General</c:formatCode>
                <c:ptCount val="3"/>
              </c:numCache>
            </c:numRef>
          </c:xVal>
          <c:yVal>
            <c:numRef>
              <c:f>Biloela!$W$10:$W$12</c:f>
              <c:numCache>
                <c:formatCode>General</c:formatCode>
                <c:ptCount val="3"/>
              </c:numCache>
            </c:numRef>
          </c:yVal>
        </c:ser>
        <c:ser>
          <c:idx val="3"/>
          <c:order val="3"/>
          <c:spPr>
            <a:ln w="28575">
              <a:noFill/>
            </a:ln>
          </c:spPr>
          <c:xVal>
            <c:numRef>
              <c:f>Biloela!$AO$13:$AO$15</c:f>
              <c:numCache>
                <c:formatCode>General</c:formatCode>
                <c:ptCount val="3"/>
              </c:numCache>
            </c:numRef>
          </c:xVal>
          <c:yVal>
            <c:numRef>
              <c:f>Biloela!$W$13:$W$15</c:f>
              <c:numCache>
                <c:formatCode>General</c:formatCode>
                <c:ptCount val="3"/>
              </c:numCache>
            </c:numRef>
          </c:yVal>
        </c:ser>
        <c:axId val="139618176"/>
        <c:axId val="139619712"/>
      </c:scatterChart>
      <c:valAx>
        <c:axId val="139618176"/>
        <c:scaling>
          <c:orientation val="minMax"/>
        </c:scaling>
        <c:axPos val="b"/>
        <c:numFmt formatCode="General" sourceLinked="1"/>
        <c:tickLblPos val="nextTo"/>
        <c:crossAx val="139619712"/>
        <c:crosses val="autoZero"/>
        <c:crossBetween val="midCat"/>
      </c:valAx>
      <c:valAx>
        <c:axId val="139619712"/>
        <c:scaling>
          <c:orientation val="minMax"/>
        </c:scaling>
        <c:axPos val="l"/>
        <c:majorGridlines/>
        <c:numFmt formatCode="General" sourceLinked="1"/>
        <c:tickLblPos val="nextTo"/>
        <c:crossAx val="139618176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AU"/>
  <c:chart>
    <c:plotArea>
      <c:layout/>
      <c:scatterChart>
        <c:scatterStyle val="lineMarker"/>
        <c:ser>
          <c:idx val="0"/>
          <c:order val="0"/>
          <c:spPr>
            <a:ln w="28575">
              <a:noFill/>
            </a:ln>
          </c:spPr>
          <c:xVal>
            <c:numRef>
              <c:f>Biloela!$AO$4:$AO$6</c:f>
              <c:numCache>
                <c:formatCode>General</c:formatCode>
                <c:ptCount val="3"/>
              </c:numCache>
            </c:numRef>
          </c:xVal>
          <c:yVal>
            <c:numRef>
              <c:f>Biloela!$AF$4:$AF$6</c:f>
              <c:numCache>
                <c:formatCode>General</c:formatCode>
                <c:ptCount val="3"/>
              </c:numCache>
            </c:numRef>
          </c:yVal>
        </c:ser>
        <c:ser>
          <c:idx val="1"/>
          <c:order val="1"/>
          <c:spPr>
            <a:ln w="28575">
              <a:noFill/>
            </a:ln>
          </c:spPr>
          <c:xVal>
            <c:numRef>
              <c:f>Biloela!$AO$7:$AO$9</c:f>
              <c:numCache>
                <c:formatCode>General</c:formatCode>
                <c:ptCount val="3"/>
              </c:numCache>
            </c:numRef>
          </c:xVal>
          <c:yVal>
            <c:numRef>
              <c:f>Biloela!$AF$7:$AF$9</c:f>
              <c:numCache>
                <c:formatCode>General</c:formatCode>
                <c:ptCount val="3"/>
              </c:numCache>
            </c:numRef>
          </c:yVal>
        </c:ser>
        <c:ser>
          <c:idx val="2"/>
          <c:order val="2"/>
          <c:spPr>
            <a:ln w="28575">
              <a:noFill/>
            </a:ln>
          </c:spPr>
          <c:xVal>
            <c:numRef>
              <c:f>Biloela!$AO$10:$AO$12</c:f>
              <c:numCache>
                <c:formatCode>General</c:formatCode>
                <c:ptCount val="3"/>
              </c:numCache>
            </c:numRef>
          </c:xVal>
          <c:yVal>
            <c:numRef>
              <c:f>Biloela!$AF$10:$AF$12</c:f>
              <c:numCache>
                <c:formatCode>General</c:formatCode>
                <c:ptCount val="3"/>
              </c:numCache>
            </c:numRef>
          </c:yVal>
        </c:ser>
        <c:ser>
          <c:idx val="3"/>
          <c:order val="3"/>
          <c:spPr>
            <a:ln w="28575">
              <a:noFill/>
            </a:ln>
          </c:spPr>
          <c:xVal>
            <c:numRef>
              <c:f>Biloela!$AO$13:$AO$15</c:f>
              <c:numCache>
                <c:formatCode>General</c:formatCode>
                <c:ptCount val="3"/>
              </c:numCache>
            </c:numRef>
          </c:xVal>
          <c:yVal>
            <c:numRef>
              <c:f>Biloela!$AF$13:$AF$15</c:f>
              <c:numCache>
                <c:formatCode>General</c:formatCode>
                <c:ptCount val="3"/>
              </c:numCache>
            </c:numRef>
          </c:yVal>
        </c:ser>
        <c:axId val="139674752"/>
        <c:axId val="139676288"/>
      </c:scatterChart>
      <c:valAx>
        <c:axId val="139674752"/>
        <c:scaling>
          <c:orientation val="minMax"/>
        </c:scaling>
        <c:axPos val="b"/>
        <c:numFmt formatCode="General" sourceLinked="1"/>
        <c:tickLblPos val="nextTo"/>
        <c:crossAx val="139676288"/>
        <c:crosses val="autoZero"/>
        <c:crossBetween val="midCat"/>
      </c:valAx>
      <c:valAx>
        <c:axId val="139676288"/>
        <c:scaling>
          <c:orientation val="minMax"/>
        </c:scaling>
        <c:axPos val="l"/>
        <c:majorGridlines/>
        <c:numFmt formatCode="General" sourceLinked="1"/>
        <c:tickLblPos val="nextTo"/>
        <c:crossAx val="139674752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222" l="0.70000000000000062" r="0.70000000000000062" t="0.75000000000000222" header="0.30000000000000032" footer="0.30000000000000032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AU"/>
  <c:chart>
    <c:autoTitleDeleted val="1"/>
    <c:plotArea>
      <c:layout/>
      <c:scatterChart>
        <c:scatterStyle val="lineMarker"/>
        <c:ser>
          <c:idx val="0"/>
          <c:order val="0"/>
          <c:tx>
            <c:strRef>
              <c:f>Emerald!$P$4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circle"/>
            <c:size val="7"/>
          </c:marker>
          <c:xVal>
            <c:numRef>
              <c:f>Emerald!$AO$4:$AO$6</c:f>
              <c:numCache>
                <c:formatCode>General</c:formatCode>
                <c:ptCount val="3"/>
              </c:numCache>
            </c:numRef>
          </c:xVal>
          <c:yVal>
            <c:numRef>
              <c:f>Emerald!$AP$4:$AP$6</c:f>
              <c:numCache>
                <c:formatCode>General</c:formatCode>
                <c:ptCount val="3"/>
              </c:numCache>
            </c:numRef>
          </c:yVal>
        </c:ser>
        <c:ser>
          <c:idx val="1"/>
          <c:order val="1"/>
          <c:tx>
            <c:strRef>
              <c:f>Emerald!$P$7</c:f>
              <c:strCache>
                <c:ptCount val="1"/>
              </c:strCache>
            </c:strRef>
          </c:tx>
          <c:spPr>
            <a:ln w="28575">
              <a:noFill/>
            </a:ln>
          </c:spPr>
          <c:xVal>
            <c:numRef>
              <c:f>Emerald!$AO$7:$AO$9</c:f>
              <c:numCache>
                <c:formatCode>General</c:formatCode>
                <c:ptCount val="3"/>
              </c:numCache>
            </c:numRef>
          </c:xVal>
          <c:yVal>
            <c:numRef>
              <c:f>Emerald!$AP$7:$AP$9</c:f>
              <c:numCache>
                <c:formatCode>General</c:formatCode>
                <c:ptCount val="3"/>
              </c:numCache>
            </c:numRef>
          </c:yVal>
        </c:ser>
        <c:ser>
          <c:idx val="2"/>
          <c:order val="2"/>
          <c:tx>
            <c:strRef>
              <c:f>Emerald!$P$10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circle"/>
            <c:size val="7"/>
          </c:marker>
          <c:xVal>
            <c:numRef>
              <c:f>Emerald!$AO$10:$AO$12</c:f>
              <c:numCache>
                <c:formatCode>General</c:formatCode>
                <c:ptCount val="3"/>
              </c:numCache>
            </c:numRef>
          </c:xVal>
          <c:yVal>
            <c:numRef>
              <c:f>Emerald!$AP$10:$AP$12</c:f>
              <c:numCache>
                <c:formatCode>General</c:formatCode>
                <c:ptCount val="3"/>
              </c:numCache>
            </c:numRef>
          </c:yVal>
        </c:ser>
        <c:ser>
          <c:idx val="3"/>
          <c:order val="3"/>
          <c:tx>
            <c:strRef>
              <c:f>Emerald!$P$13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circle"/>
            <c:size val="7"/>
          </c:marker>
          <c:xVal>
            <c:numRef>
              <c:f>Emerald!$AO$13:$AO$15</c:f>
              <c:numCache>
                <c:formatCode>General</c:formatCode>
                <c:ptCount val="3"/>
              </c:numCache>
            </c:numRef>
          </c:xVal>
          <c:yVal>
            <c:numRef>
              <c:f>Emerald!$AP$13:$AP$15</c:f>
              <c:numCache>
                <c:formatCode>General</c:formatCode>
                <c:ptCount val="3"/>
              </c:numCache>
            </c:numRef>
          </c:yVal>
        </c:ser>
        <c:ser>
          <c:idx val="4"/>
          <c:order val="4"/>
          <c:spPr>
            <a:ln w="285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Herm8889!#REF!</c:f>
            </c:numRef>
          </c:xVal>
          <c:yVal>
            <c:numRef>
              <c:f>Herm8889!#REF!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</c:ser>
        <c:ser>
          <c:idx val="5"/>
          <c:order val="5"/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Herm8889!#REF!</c:f>
            </c:numRef>
          </c:xVal>
          <c:yVal>
            <c:numRef>
              <c:f>Herm8889!#REF!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</c:ser>
        <c:ser>
          <c:idx val="6"/>
          <c:order val="6"/>
          <c:spPr>
            <a:ln w="28575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Herm8889!#REF!</c:f>
            </c:numRef>
          </c:xVal>
          <c:yVal>
            <c:numRef>
              <c:f>Herm8889!#REF!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</c:ser>
        <c:ser>
          <c:idx val="7"/>
          <c:order val="7"/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Herm8889!#REF!</c:f>
            </c:numRef>
          </c:xVal>
          <c:yVal>
            <c:numRef>
              <c:f>Herm8889!#REF!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</c:ser>
        <c:axId val="139726848"/>
        <c:axId val="139728384"/>
      </c:scatterChart>
      <c:valAx>
        <c:axId val="139726848"/>
        <c:scaling>
          <c:orientation val="minMax"/>
          <c:max val="14"/>
          <c:min val="11"/>
        </c:scaling>
        <c:axPos val="b"/>
        <c:numFmt formatCode="General" sourceLinked="1"/>
        <c:tickLblPos val="nextTo"/>
        <c:crossAx val="139728384"/>
        <c:crosses val="autoZero"/>
        <c:crossBetween val="midCat"/>
      </c:valAx>
      <c:valAx>
        <c:axId val="139728384"/>
        <c:scaling>
          <c:orientation val="minMax"/>
          <c:max val="600"/>
        </c:scaling>
        <c:axPos val="l"/>
        <c:majorGridlines/>
        <c:numFmt formatCode="General" sourceLinked="1"/>
        <c:tickLblPos val="nextTo"/>
        <c:crossAx val="139726848"/>
        <c:crosses val="autoZero"/>
        <c:crossBetween val="midCat"/>
      </c:valAx>
    </c:plotArea>
    <c:legend>
      <c:legendPos val="r"/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7"/>
        <c:delete val="1"/>
      </c:legendEntry>
    </c:legend>
    <c:plotVisOnly val="1"/>
  </c:chart>
  <c:printSettings>
    <c:headerFooter/>
    <c:pageMargins b="0.75000000000000311" l="0.70000000000000062" r="0.70000000000000062" t="0.75000000000000311" header="0.30000000000000032" footer="0.30000000000000032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AU"/>
  <c:chart>
    <c:title>
      <c:tx>
        <c:rich>
          <a:bodyPr/>
          <a:lstStyle/>
          <a:p>
            <a:pPr>
              <a:defRPr/>
            </a:pPr>
            <a:r>
              <a:rPr lang="en-AU"/>
              <a:t>Final</a:t>
            </a:r>
            <a:r>
              <a:rPr lang="en-AU" baseline="0"/>
              <a:t> Leaf Number</a:t>
            </a:r>
            <a:endParaRPr lang="en-AU"/>
          </a:p>
        </c:rich>
      </c:tx>
    </c:title>
    <c:plotArea>
      <c:layout>
        <c:manualLayout>
          <c:layoutTarget val="inner"/>
          <c:xMode val="edge"/>
          <c:yMode val="edge"/>
          <c:x val="0.11705432146185017"/>
          <c:y val="0.21072332174694391"/>
          <c:w val="0.78177133346136662"/>
          <c:h val="0.66389302688515583"/>
        </c:manualLayout>
      </c:layout>
      <c:scatterChart>
        <c:scatterStyle val="lineMarker"/>
        <c:ser>
          <c:idx val="0"/>
          <c:order val="0"/>
          <c:tx>
            <c:strRef>
              <c:f>Emerald!$AK$3</c:f>
              <c:strCache>
                <c:ptCount val="1"/>
              </c:strCache>
            </c:strRef>
          </c:tx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layout>
                <c:manualLayout>
                  <c:x val="0.35788221784777202"/>
                  <c:y val="0.39646557338227861"/>
                </c:manualLayout>
              </c:layout>
              <c:numFmt formatCode="General" sourceLinked="0"/>
            </c:trendlineLbl>
          </c:trendline>
          <c:xVal>
            <c:numRef>
              <c:f>Emerald!$W$4:$W$15</c:f>
              <c:numCache>
                <c:formatCode>General</c:formatCode>
                <c:ptCount val="12"/>
              </c:numCache>
            </c:numRef>
          </c:xVal>
          <c:yVal>
            <c:numRef>
              <c:f>Emerald!$AK$4:$AK$15</c:f>
              <c:numCache>
                <c:formatCode>General</c:formatCode>
                <c:ptCount val="12"/>
              </c:numCache>
            </c:numRef>
          </c:yVal>
        </c:ser>
        <c:ser>
          <c:idx val="1"/>
          <c:order val="1"/>
          <c:spPr>
            <a:ln w="285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Emerald!$O$1</c:f>
              <c:numCache>
                <c:formatCode>General</c:formatCode>
                <c:ptCount val="1"/>
              </c:numCache>
            </c:numRef>
          </c:xVal>
          <c:yVal>
            <c:numRef>
              <c:f>Emerald!$P$1</c:f>
              <c:numCache>
                <c:formatCode>General</c:formatCode>
                <c:ptCount val="1"/>
              </c:numCache>
            </c:numRef>
          </c:yVal>
        </c:ser>
        <c:axId val="139784576"/>
        <c:axId val="139786112"/>
      </c:scatterChart>
      <c:valAx>
        <c:axId val="139784576"/>
        <c:scaling>
          <c:orientation val="minMax"/>
        </c:scaling>
        <c:axPos val="b"/>
        <c:numFmt formatCode="General" sourceLinked="1"/>
        <c:tickLblPos val="nextTo"/>
        <c:crossAx val="139786112"/>
        <c:crosses val="autoZero"/>
        <c:crossBetween val="midCat"/>
      </c:valAx>
      <c:valAx>
        <c:axId val="139786112"/>
        <c:scaling>
          <c:orientation val="minMax"/>
        </c:scaling>
        <c:axPos val="l"/>
        <c:majorGridlines/>
        <c:numFmt formatCode="General" sourceLinked="1"/>
        <c:tickLblPos val="nextTo"/>
        <c:crossAx val="139784576"/>
        <c:crosses val="autoZero"/>
        <c:crossBetween val="midCat"/>
      </c:valAx>
    </c:plotArea>
    <c:plotVisOnly val="1"/>
  </c:chart>
  <c:printSettings>
    <c:headerFooter/>
    <c:pageMargins b="0.75000000000000289" l="0.70000000000000062" r="0.70000000000000062" t="0.75000000000000289" header="0.30000000000000032" footer="0.30000000000000032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AU"/>
  <c:chart>
    <c:title/>
    <c:plotArea>
      <c:layout/>
      <c:scatterChart>
        <c:scatterStyle val="lineMarker"/>
        <c:ser>
          <c:idx val="0"/>
          <c:order val="0"/>
          <c:tx>
            <c:strRef>
              <c:f>Herm8889!#REF!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xVal>
            <c:numRef>
              <c:f>Emerald!$BA$2:$BA$18</c:f>
              <c:numCache>
                <c:formatCode>General</c:formatCode>
                <c:ptCount val="17"/>
              </c:numCache>
            </c:numRef>
          </c:xVal>
          <c:yVal>
            <c:numRef>
              <c:f>Herm8889!#REF!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</c:ser>
        <c:axId val="137843840"/>
        <c:axId val="137845376"/>
      </c:scatterChart>
      <c:valAx>
        <c:axId val="137843840"/>
        <c:scaling>
          <c:orientation val="minMax"/>
        </c:scaling>
        <c:axPos val="b"/>
        <c:numFmt formatCode="General" sourceLinked="1"/>
        <c:tickLblPos val="nextTo"/>
        <c:crossAx val="137845376"/>
        <c:crosses val="autoZero"/>
        <c:crossBetween val="midCat"/>
      </c:valAx>
      <c:valAx>
        <c:axId val="137845376"/>
        <c:scaling>
          <c:orientation val="minMax"/>
        </c:scaling>
        <c:axPos val="l"/>
        <c:majorGridlines/>
        <c:numFmt formatCode="General" sourceLinked="1"/>
        <c:tickLblPos val="nextTo"/>
        <c:crossAx val="137843840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278" l="0.70000000000000062" r="0.70000000000000062" t="0.75000000000000278" header="0.30000000000000032" footer="0.30000000000000032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AU"/>
  <c:chart>
    <c:plotArea>
      <c:layout/>
      <c:scatterChart>
        <c:scatterStyle val="lineMarker"/>
        <c:ser>
          <c:idx val="0"/>
          <c:order val="0"/>
          <c:tx>
            <c:strRef>
              <c:f>Emerald!$C$3</c:f>
              <c:strCache>
                <c:ptCount val="1"/>
                <c:pt idx="0">
                  <c:v>PP</c:v>
                </c:pt>
              </c:strCache>
            </c:strRef>
          </c:tx>
          <c:marker>
            <c:symbol val="none"/>
          </c:marker>
          <c:xVal>
            <c:numRef>
              <c:f>Emerald!$A$4:$A$368</c:f>
              <c:numCache>
                <c:formatCode>d\-mmm\-yy</c:formatCode>
                <c:ptCount val="365"/>
                <c:pt idx="0">
                  <c:v>32568</c:v>
                </c:pt>
                <c:pt idx="1">
                  <c:v>32569</c:v>
                </c:pt>
                <c:pt idx="2">
                  <c:v>32570</c:v>
                </c:pt>
                <c:pt idx="3">
                  <c:v>32571</c:v>
                </c:pt>
                <c:pt idx="4">
                  <c:v>32572</c:v>
                </c:pt>
                <c:pt idx="5">
                  <c:v>32573</c:v>
                </c:pt>
                <c:pt idx="6">
                  <c:v>32574</c:v>
                </c:pt>
                <c:pt idx="7">
                  <c:v>32575</c:v>
                </c:pt>
                <c:pt idx="8">
                  <c:v>32576</c:v>
                </c:pt>
                <c:pt idx="9">
                  <c:v>32577</c:v>
                </c:pt>
                <c:pt idx="10">
                  <c:v>32578</c:v>
                </c:pt>
                <c:pt idx="11">
                  <c:v>32579</c:v>
                </c:pt>
                <c:pt idx="12">
                  <c:v>32580</c:v>
                </c:pt>
                <c:pt idx="13">
                  <c:v>32581</c:v>
                </c:pt>
                <c:pt idx="14">
                  <c:v>32582</c:v>
                </c:pt>
                <c:pt idx="15">
                  <c:v>32583</c:v>
                </c:pt>
                <c:pt idx="16">
                  <c:v>32584</c:v>
                </c:pt>
                <c:pt idx="17">
                  <c:v>32585</c:v>
                </c:pt>
                <c:pt idx="18">
                  <c:v>32586</c:v>
                </c:pt>
                <c:pt idx="19">
                  <c:v>32587</c:v>
                </c:pt>
                <c:pt idx="20">
                  <c:v>32588</c:v>
                </c:pt>
                <c:pt idx="21">
                  <c:v>32589</c:v>
                </c:pt>
                <c:pt idx="22">
                  <c:v>32590</c:v>
                </c:pt>
                <c:pt idx="23">
                  <c:v>32591</c:v>
                </c:pt>
                <c:pt idx="24">
                  <c:v>32592</c:v>
                </c:pt>
                <c:pt idx="25">
                  <c:v>32593</c:v>
                </c:pt>
                <c:pt idx="26">
                  <c:v>32594</c:v>
                </c:pt>
                <c:pt idx="27">
                  <c:v>32595</c:v>
                </c:pt>
                <c:pt idx="28">
                  <c:v>32596</c:v>
                </c:pt>
                <c:pt idx="29">
                  <c:v>32597</c:v>
                </c:pt>
                <c:pt idx="30">
                  <c:v>32598</c:v>
                </c:pt>
                <c:pt idx="31">
                  <c:v>32599</c:v>
                </c:pt>
                <c:pt idx="32">
                  <c:v>32600</c:v>
                </c:pt>
                <c:pt idx="33">
                  <c:v>32601</c:v>
                </c:pt>
                <c:pt idx="34">
                  <c:v>32602</c:v>
                </c:pt>
                <c:pt idx="35">
                  <c:v>32603</c:v>
                </c:pt>
                <c:pt idx="36">
                  <c:v>32604</c:v>
                </c:pt>
                <c:pt idx="37">
                  <c:v>32605</c:v>
                </c:pt>
                <c:pt idx="38">
                  <c:v>32606</c:v>
                </c:pt>
                <c:pt idx="39">
                  <c:v>32607</c:v>
                </c:pt>
                <c:pt idx="40">
                  <c:v>32608</c:v>
                </c:pt>
                <c:pt idx="41">
                  <c:v>32609</c:v>
                </c:pt>
                <c:pt idx="42">
                  <c:v>32610</c:v>
                </c:pt>
                <c:pt idx="43">
                  <c:v>32611</c:v>
                </c:pt>
                <c:pt idx="44">
                  <c:v>32612</c:v>
                </c:pt>
                <c:pt idx="45">
                  <c:v>32613</c:v>
                </c:pt>
                <c:pt idx="46">
                  <c:v>32614</c:v>
                </c:pt>
                <c:pt idx="47">
                  <c:v>32615</c:v>
                </c:pt>
                <c:pt idx="48">
                  <c:v>32616</c:v>
                </c:pt>
                <c:pt idx="49">
                  <c:v>32617</c:v>
                </c:pt>
                <c:pt idx="50">
                  <c:v>32618</c:v>
                </c:pt>
                <c:pt idx="51">
                  <c:v>32619</c:v>
                </c:pt>
                <c:pt idx="52">
                  <c:v>32620</c:v>
                </c:pt>
                <c:pt idx="53">
                  <c:v>32621</c:v>
                </c:pt>
                <c:pt idx="54">
                  <c:v>32622</c:v>
                </c:pt>
                <c:pt idx="55">
                  <c:v>32623</c:v>
                </c:pt>
                <c:pt idx="56">
                  <c:v>32624</c:v>
                </c:pt>
                <c:pt idx="57">
                  <c:v>32625</c:v>
                </c:pt>
                <c:pt idx="58">
                  <c:v>32626</c:v>
                </c:pt>
                <c:pt idx="59">
                  <c:v>32627</c:v>
                </c:pt>
                <c:pt idx="60">
                  <c:v>32628</c:v>
                </c:pt>
                <c:pt idx="61">
                  <c:v>32629</c:v>
                </c:pt>
                <c:pt idx="62">
                  <c:v>32630</c:v>
                </c:pt>
                <c:pt idx="63">
                  <c:v>32631</c:v>
                </c:pt>
                <c:pt idx="64">
                  <c:v>32632</c:v>
                </c:pt>
                <c:pt idx="65">
                  <c:v>32633</c:v>
                </c:pt>
                <c:pt idx="66">
                  <c:v>32634</c:v>
                </c:pt>
                <c:pt idx="67">
                  <c:v>32635</c:v>
                </c:pt>
                <c:pt idx="68">
                  <c:v>32636</c:v>
                </c:pt>
                <c:pt idx="69">
                  <c:v>32637</c:v>
                </c:pt>
                <c:pt idx="70">
                  <c:v>32638</c:v>
                </c:pt>
                <c:pt idx="71">
                  <c:v>32639</c:v>
                </c:pt>
                <c:pt idx="72">
                  <c:v>32640</c:v>
                </c:pt>
                <c:pt idx="73">
                  <c:v>32641</c:v>
                </c:pt>
                <c:pt idx="74">
                  <c:v>32642</c:v>
                </c:pt>
                <c:pt idx="75">
                  <c:v>32643</c:v>
                </c:pt>
                <c:pt idx="76">
                  <c:v>32644</c:v>
                </c:pt>
                <c:pt idx="77">
                  <c:v>32645</c:v>
                </c:pt>
                <c:pt idx="78">
                  <c:v>32646</c:v>
                </c:pt>
                <c:pt idx="79">
                  <c:v>32647</c:v>
                </c:pt>
                <c:pt idx="80">
                  <c:v>32648</c:v>
                </c:pt>
                <c:pt idx="81">
                  <c:v>32649</c:v>
                </c:pt>
                <c:pt idx="82">
                  <c:v>32650</c:v>
                </c:pt>
                <c:pt idx="83">
                  <c:v>32651</c:v>
                </c:pt>
                <c:pt idx="84">
                  <c:v>32652</c:v>
                </c:pt>
                <c:pt idx="85">
                  <c:v>32653</c:v>
                </c:pt>
                <c:pt idx="86">
                  <c:v>32654</c:v>
                </c:pt>
                <c:pt idx="87">
                  <c:v>32655</c:v>
                </c:pt>
                <c:pt idx="88">
                  <c:v>32656</c:v>
                </c:pt>
                <c:pt idx="89">
                  <c:v>32657</c:v>
                </c:pt>
                <c:pt idx="90">
                  <c:v>32658</c:v>
                </c:pt>
                <c:pt idx="91">
                  <c:v>32659</c:v>
                </c:pt>
                <c:pt idx="92">
                  <c:v>32660</c:v>
                </c:pt>
                <c:pt idx="93">
                  <c:v>32661</c:v>
                </c:pt>
                <c:pt idx="94">
                  <c:v>32662</c:v>
                </c:pt>
                <c:pt idx="95">
                  <c:v>32663</c:v>
                </c:pt>
                <c:pt idx="96">
                  <c:v>32664</c:v>
                </c:pt>
                <c:pt idx="97">
                  <c:v>32665</c:v>
                </c:pt>
                <c:pt idx="98">
                  <c:v>32666</c:v>
                </c:pt>
                <c:pt idx="99">
                  <c:v>32667</c:v>
                </c:pt>
                <c:pt idx="100">
                  <c:v>32668</c:v>
                </c:pt>
                <c:pt idx="101">
                  <c:v>32669</c:v>
                </c:pt>
                <c:pt idx="102">
                  <c:v>32670</c:v>
                </c:pt>
                <c:pt idx="103">
                  <c:v>32671</c:v>
                </c:pt>
                <c:pt idx="104">
                  <c:v>32672</c:v>
                </c:pt>
                <c:pt idx="105">
                  <c:v>32673</c:v>
                </c:pt>
                <c:pt idx="106">
                  <c:v>32674</c:v>
                </c:pt>
                <c:pt idx="107">
                  <c:v>32675</c:v>
                </c:pt>
                <c:pt idx="108">
                  <c:v>32676</c:v>
                </c:pt>
                <c:pt idx="109">
                  <c:v>32677</c:v>
                </c:pt>
                <c:pt idx="110">
                  <c:v>32678</c:v>
                </c:pt>
                <c:pt idx="111">
                  <c:v>32679</c:v>
                </c:pt>
                <c:pt idx="112">
                  <c:v>32680</c:v>
                </c:pt>
                <c:pt idx="113">
                  <c:v>32681</c:v>
                </c:pt>
                <c:pt idx="114">
                  <c:v>32682</c:v>
                </c:pt>
                <c:pt idx="115">
                  <c:v>32683</c:v>
                </c:pt>
                <c:pt idx="116">
                  <c:v>32684</c:v>
                </c:pt>
                <c:pt idx="117">
                  <c:v>32685</c:v>
                </c:pt>
                <c:pt idx="118">
                  <c:v>32686</c:v>
                </c:pt>
                <c:pt idx="119">
                  <c:v>32687</c:v>
                </c:pt>
                <c:pt idx="120">
                  <c:v>32688</c:v>
                </c:pt>
                <c:pt idx="121">
                  <c:v>32689</c:v>
                </c:pt>
                <c:pt idx="122">
                  <c:v>32690</c:v>
                </c:pt>
                <c:pt idx="123">
                  <c:v>32691</c:v>
                </c:pt>
                <c:pt idx="124">
                  <c:v>32692</c:v>
                </c:pt>
                <c:pt idx="125">
                  <c:v>32693</c:v>
                </c:pt>
                <c:pt idx="126">
                  <c:v>32694</c:v>
                </c:pt>
                <c:pt idx="127">
                  <c:v>32695</c:v>
                </c:pt>
                <c:pt idx="128">
                  <c:v>32696</c:v>
                </c:pt>
                <c:pt idx="129">
                  <c:v>32697</c:v>
                </c:pt>
                <c:pt idx="130">
                  <c:v>32698</c:v>
                </c:pt>
                <c:pt idx="131">
                  <c:v>32699</c:v>
                </c:pt>
                <c:pt idx="132">
                  <c:v>32700</c:v>
                </c:pt>
                <c:pt idx="133">
                  <c:v>32701</c:v>
                </c:pt>
                <c:pt idx="134">
                  <c:v>32702</c:v>
                </c:pt>
                <c:pt idx="135">
                  <c:v>32703</c:v>
                </c:pt>
                <c:pt idx="136">
                  <c:v>32704</c:v>
                </c:pt>
                <c:pt idx="137">
                  <c:v>32705</c:v>
                </c:pt>
                <c:pt idx="138">
                  <c:v>32706</c:v>
                </c:pt>
                <c:pt idx="139">
                  <c:v>32707</c:v>
                </c:pt>
                <c:pt idx="140">
                  <c:v>32708</c:v>
                </c:pt>
                <c:pt idx="141">
                  <c:v>32709</c:v>
                </c:pt>
                <c:pt idx="142">
                  <c:v>32710</c:v>
                </c:pt>
                <c:pt idx="143">
                  <c:v>32711</c:v>
                </c:pt>
                <c:pt idx="144">
                  <c:v>32712</c:v>
                </c:pt>
                <c:pt idx="145">
                  <c:v>32713</c:v>
                </c:pt>
                <c:pt idx="146">
                  <c:v>32714</c:v>
                </c:pt>
                <c:pt idx="147">
                  <c:v>32715</c:v>
                </c:pt>
                <c:pt idx="148">
                  <c:v>32716</c:v>
                </c:pt>
                <c:pt idx="149">
                  <c:v>32717</c:v>
                </c:pt>
                <c:pt idx="150">
                  <c:v>32718</c:v>
                </c:pt>
                <c:pt idx="151">
                  <c:v>32719</c:v>
                </c:pt>
                <c:pt idx="152">
                  <c:v>32720</c:v>
                </c:pt>
                <c:pt idx="153">
                  <c:v>32721</c:v>
                </c:pt>
                <c:pt idx="154">
                  <c:v>32722</c:v>
                </c:pt>
                <c:pt idx="155">
                  <c:v>32723</c:v>
                </c:pt>
                <c:pt idx="156">
                  <c:v>32724</c:v>
                </c:pt>
                <c:pt idx="157">
                  <c:v>32725</c:v>
                </c:pt>
                <c:pt idx="158">
                  <c:v>32726</c:v>
                </c:pt>
                <c:pt idx="159">
                  <c:v>32727</c:v>
                </c:pt>
                <c:pt idx="160">
                  <c:v>32728</c:v>
                </c:pt>
                <c:pt idx="161">
                  <c:v>32729</c:v>
                </c:pt>
                <c:pt idx="162">
                  <c:v>32730</c:v>
                </c:pt>
                <c:pt idx="163">
                  <c:v>32731</c:v>
                </c:pt>
                <c:pt idx="164">
                  <c:v>32732</c:v>
                </c:pt>
                <c:pt idx="165">
                  <c:v>32733</c:v>
                </c:pt>
                <c:pt idx="166">
                  <c:v>32734</c:v>
                </c:pt>
                <c:pt idx="167">
                  <c:v>32735</c:v>
                </c:pt>
                <c:pt idx="168">
                  <c:v>32736</c:v>
                </c:pt>
                <c:pt idx="169">
                  <c:v>32737</c:v>
                </c:pt>
                <c:pt idx="170">
                  <c:v>32738</c:v>
                </c:pt>
                <c:pt idx="171">
                  <c:v>32739</c:v>
                </c:pt>
                <c:pt idx="172">
                  <c:v>32740</c:v>
                </c:pt>
                <c:pt idx="173">
                  <c:v>32741</c:v>
                </c:pt>
                <c:pt idx="174">
                  <c:v>32742</c:v>
                </c:pt>
                <c:pt idx="175">
                  <c:v>32743</c:v>
                </c:pt>
                <c:pt idx="176">
                  <c:v>32744</c:v>
                </c:pt>
                <c:pt idx="177">
                  <c:v>32745</c:v>
                </c:pt>
                <c:pt idx="178">
                  <c:v>32746</c:v>
                </c:pt>
                <c:pt idx="179">
                  <c:v>32747</c:v>
                </c:pt>
                <c:pt idx="180">
                  <c:v>32748</c:v>
                </c:pt>
                <c:pt idx="181">
                  <c:v>32749</c:v>
                </c:pt>
                <c:pt idx="182">
                  <c:v>32750</c:v>
                </c:pt>
                <c:pt idx="183">
                  <c:v>32751</c:v>
                </c:pt>
                <c:pt idx="184">
                  <c:v>32752</c:v>
                </c:pt>
                <c:pt idx="185">
                  <c:v>32753</c:v>
                </c:pt>
                <c:pt idx="186">
                  <c:v>32754</c:v>
                </c:pt>
                <c:pt idx="187">
                  <c:v>32755</c:v>
                </c:pt>
                <c:pt idx="188">
                  <c:v>32756</c:v>
                </c:pt>
                <c:pt idx="189">
                  <c:v>32757</c:v>
                </c:pt>
                <c:pt idx="190">
                  <c:v>32758</c:v>
                </c:pt>
                <c:pt idx="191">
                  <c:v>32759</c:v>
                </c:pt>
                <c:pt idx="192">
                  <c:v>32760</c:v>
                </c:pt>
                <c:pt idx="193">
                  <c:v>32761</c:v>
                </c:pt>
                <c:pt idx="194">
                  <c:v>32762</c:v>
                </c:pt>
                <c:pt idx="195">
                  <c:v>32763</c:v>
                </c:pt>
                <c:pt idx="196">
                  <c:v>32764</c:v>
                </c:pt>
                <c:pt idx="197">
                  <c:v>32765</c:v>
                </c:pt>
                <c:pt idx="198">
                  <c:v>32766</c:v>
                </c:pt>
                <c:pt idx="199">
                  <c:v>32767</c:v>
                </c:pt>
                <c:pt idx="200">
                  <c:v>32768</c:v>
                </c:pt>
                <c:pt idx="201">
                  <c:v>32769</c:v>
                </c:pt>
                <c:pt idx="202">
                  <c:v>32770</c:v>
                </c:pt>
                <c:pt idx="203">
                  <c:v>32771</c:v>
                </c:pt>
                <c:pt idx="204">
                  <c:v>32772</c:v>
                </c:pt>
                <c:pt idx="205">
                  <c:v>32773</c:v>
                </c:pt>
                <c:pt idx="206">
                  <c:v>32774</c:v>
                </c:pt>
                <c:pt idx="207">
                  <c:v>32775</c:v>
                </c:pt>
                <c:pt idx="208">
                  <c:v>32776</c:v>
                </c:pt>
                <c:pt idx="209">
                  <c:v>32777</c:v>
                </c:pt>
                <c:pt idx="210">
                  <c:v>32778</c:v>
                </c:pt>
                <c:pt idx="211">
                  <c:v>32779</c:v>
                </c:pt>
                <c:pt idx="212">
                  <c:v>32780</c:v>
                </c:pt>
                <c:pt idx="213">
                  <c:v>32781</c:v>
                </c:pt>
                <c:pt idx="214">
                  <c:v>32782</c:v>
                </c:pt>
                <c:pt idx="215">
                  <c:v>32783</c:v>
                </c:pt>
                <c:pt idx="216">
                  <c:v>32784</c:v>
                </c:pt>
                <c:pt idx="217">
                  <c:v>32785</c:v>
                </c:pt>
                <c:pt idx="218">
                  <c:v>32786</c:v>
                </c:pt>
                <c:pt idx="219">
                  <c:v>32787</c:v>
                </c:pt>
                <c:pt idx="220">
                  <c:v>32788</c:v>
                </c:pt>
                <c:pt idx="221">
                  <c:v>32789</c:v>
                </c:pt>
                <c:pt idx="222">
                  <c:v>32790</c:v>
                </c:pt>
                <c:pt idx="223">
                  <c:v>32791</c:v>
                </c:pt>
                <c:pt idx="224">
                  <c:v>32792</c:v>
                </c:pt>
                <c:pt idx="225">
                  <c:v>32793</c:v>
                </c:pt>
                <c:pt idx="226">
                  <c:v>32794</c:v>
                </c:pt>
                <c:pt idx="227">
                  <c:v>32795</c:v>
                </c:pt>
                <c:pt idx="228">
                  <c:v>32796</c:v>
                </c:pt>
                <c:pt idx="229">
                  <c:v>32797</c:v>
                </c:pt>
                <c:pt idx="230">
                  <c:v>32798</c:v>
                </c:pt>
                <c:pt idx="231">
                  <c:v>32799</c:v>
                </c:pt>
                <c:pt idx="232">
                  <c:v>32800</c:v>
                </c:pt>
                <c:pt idx="233">
                  <c:v>32801</c:v>
                </c:pt>
                <c:pt idx="234">
                  <c:v>32802</c:v>
                </c:pt>
                <c:pt idx="235">
                  <c:v>32803</c:v>
                </c:pt>
                <c:pt idx="236">
                  <c:v>32804</c:v>
                </c:pt>
                <c:pt idx="237">
                  <c:v>32805</c:v>
                </c:pt>
                <c:pt idx="238">
                  <c:v>32806</c:v>
                </c:pt>
                <c:pt idx="239">
                  <c:v>32807</c:v>
                </c:pt>
                <c:pt idx="240">
                  <c:v>32808</c:v>
                </c:pt>
                <c:pt idx="241">
                  <c:v>32809</c:v>
                </c:pt>
                <c:pt idx="242">
                  <c:v>32810</c:v>
                </c:pt>
                <c:pt idx="243">
                  <c:v>32811</c:v>
                </c:pt>
                <c:pt idx="244">
                  <c:v>32812</c:v>
                </c:pt>
              </c:numCache>
            </c:numRef>
          </c:xVal>
          <c:yVal>
            <c:numRef>
              <c:f>Emerald!$C$4:$C$368</c:f>
              <c:numCache>
                <c:formatCode>General</c:formatCode>
                <c:ptCount val="365"/>
                <c:pt idx="0">
                  <c:v>13.386826515197754</c:v>
                </c:pt>
                <c:pt idx="1">
                  <c:v>13.363358497619629</c:v>
                </c:pt>
                <c:pt idx="2">
                  <c:v>13.33983325958252</c:v>
                </c:pt>
                <c:pt idx="3">
                  <c:v>13.316255569458008</c:v>
                </c:pt>
                <c:pt idx="4">
                  <c:v>13.292632102966309</c:v>
                </c:pt>
                <c:pt idx="5">
                  <c:v>13.26896858215332</c:v>
                </c:pt>
                <c:pt idx="6">
                  <c:v>13.245271682739258</c:v>
                </c:pt>
                <c:pt idx="7">
                  <c:v>13.221545219421387</c:v>
                </c:pt>
                <c:pt idx="8">
                  <c:v>13.197795867919922</c:v>
                </c:pt>
                <c:pt idx="9">
                  <c:v>13.174029350280762</c:v>
                </c:pt>
                <c:pt idx="10">
                  <c:v>13.150251388549805</c:v>
                </c:pt>
                <c:pt idx="11">
                  <c:v>13.12646484375</c:v>
                </c:pt>
                <c:pt idx="12">
                  <c:v>13.102678298950195</c:v>
                </c:pt>
                <c:pt idx="13">
                  <c:v>13.07889461517334</c:v>
                </c:pt>
                <c:pt idx="14">
                  <c:v>13.055118560791016</c:v>
                </c:pt>
                <c:pt idx="15">
                  <c:v>13.031355857849121</c:v>
                </c:pt>
                <c:pt idx="16">
                  <c:v>13.007611274719238</c:v>
                </c:pt>
                <c:pt idx="17">
                  <c:v>12.983889579772949</c:v>
                </c:pt>
                <c:pt idx="18">
                  <c:v>12.960195541381836</c:v>
                </c:pt>
                <c:pt idx="19">
                  <c:v>12.93653392791748</c:v>
                </c:pt>
                <c:pt idx="20">
                  <c:v>12.912907600402832</c:v>
                </c:pt>
                <c:pt idx="21">
                  <c:v>12.889324188232422</c:v>
                </c:pt>
                <c:pt idx="22">
                  <c:v>12.865784645080566</c:v>
                </c:pt>
                <c:pt idx="23">
                  <c:v>12.84229564666748</c:v>
                </c:pt>
                <c:pt idx="24">
                  <c:v>12.81886100769043</c:v>
                </c:pt>
                <c:pt idx="25">
                  <c:v>12.79548454284668</c:v>
                </c:pt>
                <c:pt idx="26">
                  <c:v>12.772170066833496</c:v>
                </c:pt>
                <c:pt idx="27">
                  <c:v>12.748924255371094</c:v>
                </c:pt>
                <c:pt idx="28">
                  <c:v>12.725749015808105</c:v>
                </c:pt>
                <c:pt idx="29">
                  <c:v>12.702649116516113</c:v>
                </c:pt>
                <c:pt idx="30">
                  <c:v>12.679628372192383</c:v>
                </c:pt>
                <c:pt idx="31">
                  <c:v>12.656692504882812</c:v>
                </c:pt>
                <c:pt idx="32">
                  <c:v>12.633842468261719</c:v>
                </c:pt>
                <c:pt idx="33">
                  <c:v>12.611086845397949</c:v>
                </c:pt>
                <c:pt idx="34">
                  <c:v>12.588425636291504</c:v>
                </c:pt>
                <c:pt idx="35">
                  <c:v>12.565866470336914</c:v>
                </c:pt>
                <c:pt idx="36">
                  <c:v>12.54340934753418</c:v>
                </c:pt>
                <c:pt idx="37">
                  <c:v>12.521062850952148</c:v>
                </c:pt>
                <c:pt idx="38">
                  <c:v>12.49882698059082</c:v>
                </c:pt>
                <c:pt idx="39">
                  <c:v>12.476710319519043</c:v>
                </c:pt>
                <c:pt idx="40">
                  <c:v>12.454713821411133</c:v>
                </c:pt>
                <c:pt idx="41">
                  <c:v>12.432842254638672</c:v>
                </c:pt>
                <c:pt idx="42">
                  <c:v>12.411100387573242</c:v>
                </c:pt>
                <c:pt idx="43">
                  <c:v>12.389492034912109</c:v>
                </c:pt>
                <c:pt idx="44">
                  <c:v>12.368022918701172</c:v>
                </c:pt>
                <c:pt idx="45">
                  <c:v>12.346694946289063</c:v>
                </c:pt>
                <c:pt idx="46">
                  <c:v>12.325514793395996</c:v>
                </c:pt>
                <c:pt idx="47">
                  <c:v>12.304485321044922</c:v>
                </c:pt>
                <c:pt idx="48">
                  <c:v>12.283611297607422</c:v>
                </c:pt>
                <c:pt idx="49">
                  <c:v>12.262898445129395</c:v>
                </c:pt>
                <c:pt idx="50">
                  <c:v>12.242349624633789</c:v>
                </c:pt>
                <c:pt idx="51">
                  <c:v>12.22197151184082</c:v>
                </c:pt>
                <c:pt idx="52">
                  <c:v>12.201766014099121</c:v>
                </c:pt>
                <c:pt idx="53">
                  <c:v>12.18173885345459</c:v>
                </c:pt>
                <c:pt idx="54">
                  <c:v>12.161895751953125</c:v>
                </c:pt>
                <c:pt idx="55">
                  <c:v>12.142240524291992</c:v>
                </c:pt>
                <c:pt idx="56">
                  <c:v>12.122777938842773</c:v>
                </c:pt>
                <c:pt idx="57">
                  <c:v>12.103512763977051</c:v>
                </c:pt>
                <c:pt idx="58">
                  <c:v>12.084451675415039</c:v>
                </c:pt>
                <c:pt idx="59">
                  <c:v>12.065597534179688</c:v>
                </c:pt>
                <c:pt idx="60">
                  <c:v>12.046956062316895</c:v>
                </c:pt>
                <c:pt idx="61">
                  <c:v>12.028531074523926</c:v>
                </c:pt>
                <c:pt idx="62">
                  <c:v>12.010330200195313</c:v>
                </c:pt>
                <c:pt idx="63">
                  <c:v>11.99235725402832</c:v>
                </c:pt>
                <c:pt idx="64">
                  <c:v>11.974617004394531</c:v>
                </c:pt>
                <c:pt idx="65">
                  <c:v>11.957114219665527</c:v>
                </c:pt>
                <c:pt idx="66">
                  <c:v>11.939855575561523</c:v>
                </c:pt>
                <c:pt idx="67">
                  <c:v>11.922845840454102</c:v>
                </c:pt>
                <c:pt idx="68">
                  <c:v>11.906089782714844</c:v>
                </c:pt>
                <c:pt idx="69">
                  <c:v>11.889592170715332</c:v>
                </c:pt>
                <c:pt idx="70">
                  <c:v>11.873360633850098</c:v>
                </c:pt>
                <c:pt idx="71">
                  <c:v>11.857398986816406</c:v>
                </c:pt>
                <c:pt idx="72">
                  <c:v>11.84171199798584</c:v>
                </c:pt>
                <c:pt idx="73">
                  <c:v>11.826306343078613</c:v>
                </c:pt>
                <c:pt idx="74">
                  <c:v>11.811186790466309</c:v>
                </c:pt>
                <c:pt idx="75">
                  <c:v>11.796359062194824</c:v>
                </c:pt>
                <c:pt idx="76">
                  <c:v>11.781827926635742</c:v>
                </c:pt>
                <c:pt idx="77">
                  <c:v>11.767598152160645</c:v>
                </c:pt>
                <c:pt idx="78">
                  <c:v>11.753676414489746</c:v>
                </c:pt>
                <c:pt idx="79">
                  <c:v>11.740067481994629</c:v>
                </c:pt>
                <c:pt idx="80">
                  <c:v>11.726777076721191</c:v>
                </c:pt>
                <c:pt idx="81">
                  <c:v>11.713809967041016</c:v>
                </c:pt>
                <c:pt idx="82">
                  <c:v>11.701170921325684</c:v>
                </c:pt>
                <c:pt idx="83">
                  <c:v>11.688865661621094</c:v>
                </c:pt>
                <c:pt idx="84">
                  <c:v>11.676900863647461</c:v>
                </c:pt>
                <c:pt idx="85">
                  <c:v>11.665277481079102</c:v>
                </c:pt>
                <c:pt idx="86">
                  <c:v>11.654004096984863</c:v>
                </c:pt>
                <c:pt idx="87">
                  <c:v>11.643083572387695</c:v>
                </c:pt>
                <c:pt idx="88">
                  <c:v>11.632522583007813</c:v>
                </c:pt>
                <c:pt idx="89">
                  <c:v>11.622323989868164</c:v>
                </c:pt>
                <c:pt idx="90">
                  <c:v>11.612491607666016</c:v>
                </c:pt>
                <c:pt idx="91">
                  <c:v>11.603033065795898</c:v>
                </c:pt>
                <c:pt idx="92">
                  <c:v>11.593950271606445</c:v>
                </c:pt>
                <c:pt idx="93">
                  <c:v>11.585248947143555</c:v>
                </c:pt>
                <c:pt idx="94">
                  <c:v>11.576930046081543</c:v>
                </c:pt>
                <c:pt idx="95">
                  <c:v>11.569002151489258</c:v>
                </c:pt>
                <c:pt idx="96">
                  <c:v>11.561465263366699</c:v>
                </c:pt>
                <c:pt idx="97">
                  <c:v>11.554325103759766</c:v>
                </c:pt>
                <c:pt idx="98">
                  <c:v>11.547584533691406</c:v>
                </c:pt>
                <c:pt idx="99">
                  <c:v>11.54124641418457</c:v>
                </c:pt>
                <c:pt idx="100">
                  <c:v>11.535314559936523</c:v>
                </c:pt>
                <c:pt idx="101">
                  <c:v>11.529791831970215</c:v>
                </c:pt>
                <c:pt idx="102">
                  <c:v>11.524681091308594</c:v>
                </c:pt>
                <c:pt idx="103">
                  <c:v>11.519983291625977</c:v>
                </c:pt>
                <c:pt idx="104">
                  <c:v>11.515704154968262</c:v>
                </c:pt>
                <c:pt idx="105">
                  <c:v>11.511842727661133</c:v>
                </c:pt>
                <c:pt idx="106">
                  <c:v>11.508402824401855</c:v>
                </c:pt>
                <c:pt idx="107">
                  <c:v>11.505385398864746</c:v>
                </c:pt>
                <c:pt idx="108">
                  <c:v>11.502792358398437</c:v>
                </c:pt>
                <c:pt idx="109">
                  <c:v>11.500625610351563</c:v>
                </c:pt>
                <c:pt idx="110">
                  <c:v>11.498884201049805</c:v>
                </c:pt>
                <c:pt idx="111">
                  <c:v>11.497570991516113</c:v>
                </c:pt>
                <c:pt idx="112">
                  <c:v>11.496685981750488</c:v>
                </c:pt>
                <c:pt idx="113">
                  <c:v>11.496230125427246</c:v>
                </c:pt>
                <c:pt idx="114">
                  <c:v>11.496203422546387</c:v>
                </c:pt>
                <c:pt idx="115">
                  <c:v>11.496604919433594</c:v>
                </c:pt>
                <c:pt idx="116">
                  <c:v>11.4974365234375</c:v>
                </c:pt>
                <c:pt idx="117">
                  <c:v>11.498696327209473</c:v>
                </c:pt>
                <c:pt idx="118">
                  <c:v>11.500383377075195</c:v>
                </c:pt>
                <c:pt idx="119">
                  <c:v>11.502497673034668</c:v>
                </c:pt>
                <c:pt idx="120">
                  <c:v>11.505037307739258</c:v>
                </c:pt>
                <c:pt idx="121">
                  <c:v>11.508002281188965</c:v>
                </c:pt>
                <c:pt idx="122">
                  <c:v>11.51138973236084</c:v>
                </c:pt>
                <c:pt idx="123">
                  <c:v>11.51519775390625</c:v>
                </c:pt>
                <c:pt idx="124">
                  <c:v>11.519426345825195</c:v>
                </c:pt>
                <c:pt idx="125">
                  <c:v>11.524070739746094</c:v>
                </c:pt>
                <c:pt idx="126">
                  <c:v>11.529130935668945</c:v>
                </c:pt>
                <c:pt idx="127">
                  <c:v>11.534602165222168</c:v>
                </c:pt>
                <c:pt idx="128">
                  <c:v>11.540482521057129</c:v>
                </c:pt>
                <c:pt idx="129">
                  <c:v>11.546770095825195</c:v>
                </c:pt>
                <c:pt idx="130">
                  <c:v>11.553461074829102</c:v>
                </c:pt>
                <c:pt idx="131">
                  <c:v>11.560551643371582</c:v>
                </c:pt>
                <c:pt idx="132">
                  <c:v>11.568037986755371</c:v>
                </c:pt>
                <c:pt idx="133">
                  <c:v>11.575918197631836</c:v>
                </c:pt>
                <c:pt idx="134">
                  <c:v>11.584187507629395</c:v>
                </c:pt>
                <c:pt idx="135">
                  <c:v>11.592842102050781</c:v>
                </c:pt>
                <c:pt idx="136">
                  <c:v>11.601877212524414</c:v>
                </c:pt>
                <c:pt idx="137">
                  <c:v>11.611289978027344</c:v>
                </c:pt>
                <c:pt idx="138">
                  <c:v>11.621073722839355</c:v>
                </c:pt>
                <c:pt idx="139">
                  <c:v>11.631227493286133</c:v>
                </c:pt>
                <c:pt idx="140">
                  <c:v>11.641744613647461</c:v>
                </c:pt>
                <c:pt idx="141">
                  <c:v>11.652619361877441</c:v>
                </c:pt>
                <c:pt idx="142">
                  <c:v>11.663849830627441</c:v>
                </c:pt>
                <c:pt idx="143">
                  <c:v>11.67542839050293</c:v>
                </c:pt>
                <c:pt idx="144">
                  <c:v>11.687351226806641</c:v>
                </c:pt>
                <c:pt idx="145">
                  <c:v>11.699614524841309</c:v>
                </c:pt>
                <c:pt idx="146">
                  <c:v>11.712211608886719</c:v>
                </c:pt>
                <c:pt idx="147">
                  <c:v>11.725138664245605</c:v>
                </c:pt>
                <c:pt idx="148">
                  <c:v>11.738389015197754</c:v>
                </c:pt>
                <c:pt idx="149">
                  <c:v>11.751957893371582</c:v>
                </c:pt>
                <c:pt idx="150">
                  <c:v>11.765841484069824</c:v>
                </c:pt>
                <c:pt idx="151">
                  <c:v>11.780032157897949</c:v>
                </c:pt>
                <c:pt idx="152">
                  <c:v>11.794525146484375</c:v>
                </c:pt>
                <c:pt idx="153">
                  <c:v>11.809316635131836</c:v>
                </c:pt>
                <c:pt idx="154">
                  <c:v>11.824400901794434</c:v>
                </c:pt>
                <c:pt idx="155">
                  <c:v>11.839771270751953</c:v>
                </c:pt>
                <c:pt idx="156">
                  <c:v>11.855422973632813</c:v>
                </c:pt>
                <c:pt idx="157">
                  <c:v>11.871350288391113</c:v>
                </c:pt>
                <c:pt idx="158">
                  <c:v>11.88754940032959</c:v>
                </c:pt>
                <c:pt idx="159">
                  <c:v>11.904012680053711</c:v>
                </c:pt>
                <c:pt idx="160">
                  <c:v>11.920737266540527</c:v>
                </c:pt>
                <c:pt idx="161">
                  <c:v>11.937715530395508</c:v>
                </c:pt>
                <c:pt idx="162">
                  <c:v>11.95494270324707</c:v>
                </c:pt>
                <c:pt idx="163">
                  <c:v>11.972415924072266</c:v>
                </c:pt>
                <c:pt idx="164">
                  <c:v>11.990126609802246</c:v>
                </c:pt>
                <c:pt idx="165">
                  <c:v>12.008070945739746</c:v>
                </c:pt>
                <c:pt idx="166">
                  <c:v>12.026244163513184</c:v>
                </c:pt>
                <c:pt idx="167">
                  <c:v>12.04464054107666</c:v>
                </c:pt>
                <c:pt idx="168">
                  <c:v>12.063255310058594</c:v>
                </c:pt>
                <c:pt idx="169">
                  <c:v>12.082082748413086</c:v>
                </c:pt>
                <c:pt idx="170">
                  <c:v>12.101119995117188</c:v>
                </c:pt>
                <c:pt idx="171">
                  <c:v>12.120359420776367</c:v>
                </c:pt>
                <c:pt idx="172">
                  <c:v>12.139797210693359</c:v>
                </c:pt>
                <c:pt idx="173">
                  <c:v>12.159428596496582</c:v>
                </c:pt>
                <c:pt idx="174">
                  <c:v>12.179247856140137</c:v>
                </c:pt>
                <c:pt idx="175">
                  <c:v>12.199252128601074</c:v>
                </c:pt>
                <c:pt idx="176">
                  <c:v>12.219435691833496</c:v>
                </c:pt>
                <c:pt idx="177">
                  <c:v>12.23979377746582</c:v>
                </c:pt>
                <c:pt idx="178">
                  <c:v>12.260320663452148</c:v>
                </c:pt>
                <c:pt idx="179">
                  <c:v>12.281014442443848</c:v>
                </c:pt>
                <c:pt idx="180">
                  <c:v>12.301867485046387</c:v>
                </c:pt>
                <c:pt idx="181">
                  <c:v>12.322877883911133</c:v>
                </c:pt>
                <c:pt idx="182">
                  <c:v>12.344039916992188</c:v>
                </c:pt>
                <c:pt idx="183">
                  <c:v>12.365348815917969</c:v>
                </c:pt>
                <c:pt idx="184">
                  <c:v>12.386800765991211</c:v>
                </c:pt>
                <c:pt idx="185">
                  <c:v>12.408391952514648</c:v>
                </c:pt>
                <c:pt idx="186">
                  <c:v>12.430117607116699</c:v>
                </c:pt>
                <c:pt idx="187">
                  <c:v>12.451972007751465</c:v>
                </c:pt>
                <c:pt idx="188">
                  <c:v>12.473953247070312</c:v>
                </c:pt>
                <c:pt idx="189">
                  <c:v>12.49605655670166</c:v>
                </c:pt>
                <c:pt idx="190">
                  <c:v>12.518277168273926</c:v>
                </c:pt>
                <c:pt idx="191">
                  <c:v>12.540609359741211</c:v>
                </c:pt>
                <c:pt idx="192">
                  <c:v>12.563053131103516</c:v>
                </c:pt>
                <c:pt idx="193">
                  <c:v>12.585600852966309</c:v>
                </c:pt>
                <c:pt idx="194">
                  <c:v>12.608248710632324</c:v>
                </c:pt>
                <c:pt idx="195">
                  <c:v>12.630992889404297</c:v>
                </c:pt>
                <c:pt idx="196">
                  <c:v>12.653830528259277</c:v>
                </c:pt>
                <c:pt idx="197">
                  <c:v>12.676756858825684</c:v>
                </c:pt>
                <c:pt idx="198">
                  <c:v>12.699767112731934</c:v>
                </c:pt>
                <c:pt idx="199">
                  <c:v>12.722857475280762</c:v>
                </c:pt>
                <c:pt idx="200">
                  <c:v>12.746023178100586</c:v>
                </c:pt>
                <c:pt idx="201">
                  <c:v>12.769260406494141</c:v>
                </c:pt>
                <c:pt idx="202">
                  <c:v>12.792566299438477</c:v>
                </c:pt>
                <c:pt idx="203">
                  <c:v>12.815936088562012</c:v>
                </c:pt>
                <c:pt idx="204">
                  <c:v>12.839363098144531</c:v>
                </c:pt>
                <c:pt idx="205">
                  <c:v>12.862845420837402</c:v>
                </c:pt>
                <c:pt idx="206">
                  <c:v>12.886378288269043</c:v>
                </c:pt>
                <c:pt idx="207">
                  <c:v>12.909957885742188</c:v>
                </c:pt>
                <c:pt idx="208">
                  <c:v>12.933578491210938</c:v>
                </c:pt>
                <c:pt idx="209">
                  <c:v>12.957236289978027</c:v>
                </c:pt>
                <c:pt idx="210">
                  <c:v>12.980926513671875</c:v>
                </c:pt>
                <c:pt idx="211">
                  <c:v>13.004645347595215</c:v>
                </c:pt>
                <c:pt idx="212">
                  <c:v>13.028387069702148</c:v>
                </c:pt>
                <c:pt idx="213">
                  <c:v>13.052146911621094</c:v>
                </c:pt>
                <c:pt idx="214">
                  <c:v>13.075922012329102</c:v>
                </c:pt>
                <c:pt idx="215">
                  <c:v>13.099705696105957</c:v>
                </c:pt>
                <c:pt idx="216">
                  <c:v>13.123492240905762</c:v>
                </c:pt>
                <c:pt idx="217">
                  <c:v>13.14727783203125</c:v>
                </c:pt>
                <c:pt idx="218">
                  <c:v>13.17105770111084</c:v>
                </c:pt>
                <c:pt idx="219">
                  <c:v>13.194826126098633</c:v>
                </c:pt>
                <c:pt idx="220">
                  <c:v>13.218578338623047</c:v>
                </c:pt>
                <c:pt idx="221">
                  <c:v>13.242306709289551</c:v>
                </c:pt>
                <c:pt idx="222">
                  <c:v>13.266008377075195</c:v>
                </c:pt>
                <c:pt idx="223">
                  <c:v>13.289676666259766</c:v>
                </c:pt>
                <c:pt idx="224">
                  <c:v>13.313305854797363</c:v>
                </c:pt>
                <c:pt idx="225">
                  <c:v>13.336888313293457</c:v>
                </c:pt>
                <c:pt idx="226">
                  <c:v>13.360421180725098</c:v>
                </c:pt>
                <c:pt idx="227">
                  <c:v>13.383895874023437</c:v>
                </c:pt>
                <c:pt idx="228">
                  <c:v>13.407307624816895</c:v>
                </c:pt>
                <c:pt idx="229">
                  <c:v>13.430649757385254</c:v>
                </c:pt>
                <c:pt idx="230">
                  <c:v>13.453914642333984</c:v>
                </c:pt>
                <c:pt idx="231">
                  <c:v>13.477097511291504</c:v>
                </c:pt>
                <c:pt idx="232">
                  <c:v>13.500189781188965</c:v>
                </c:pt>
                <c:pt idx="233">
                  <c:v>13.523185729980469</c:v>
                </c:pt>
                <c:pt idx="234">
                  <c:v>13.546077728271484</c:v>
                </c:pt>
                <c:pt idx="235">
                  <c:v>13.56885814666748</c:v>
                </c:pt>
                <c:pt idx="236">
                  <c:v>13.591521263122559</c:v>
                </c:pt>
                <c:pt idx="237">
                  <c:v>13.614057540893555</c:v>
                </c:pt>
                <c:pt idx="238">
                  <c:v>13.636462211608887</c:v>
                </c:pt>
                <c:pt idx="239">
                  <c:v>13.658725738525391</c:v>
                </c:pt>
                <c:pt idx="240">
                  <c:v>13.680839538574219</c:v>
                </c:pt>
                <c:pt idx="241">
                  <c:v>13.702797889709473</c:v>
                </c:pt>
                <c:pt idx="242">
                  <c:v>13.724590301513672</c:v>
                </c:pt>
                <c:pt idx="243">
                  <c:v>13.746210098266602</c:v>
                </c:pt>
                <c:pt idx="244">
                  <c:v>13.767648696899414</c:v>
                </c:pt>
              </c:numCache>
            </c:numRef>
          </c:yVal>
        </c:ser>
        <c:axId val="144244736"/>
        <c:axId val="144246272"/>
      </c:scatterChart>
      <c:scatterChart>
        <c:scatterStyle val="lineMarker"/>
        <c:ser>
          <c:idx val="1"/>
          <c:order val="1"/>
          <c:tx>
            <c:strRef>
              <c:f>Emerald!$J$3</c:f>
              <c:strCache>
                <c:ptCount val="1"/>
                <c:pt idx="0">
                  <c:v>TT</c:v>
                </c:pt>
              </c:strCache>
            </c:strRef>
          </c:tx>
          <c:marker>
            <c:symbol val="none"/>
          </c:marker>
          <c:xVal>
            <c:numRef>
              <c:f>Emerald!$A$4:$A$368</c:f>
              <c:numCache>
                <c:formatCode>d\-mmm\-yy</c:formatCode>
                <c:ptCount val="365"/>
                <c:pt idx="0">
                  <c:v>32568</c:v>
                </c:pt>
                <c:pt idx="1">
                  <c:v>32569</c:v>
                </c:pt>
                <c:pt idx="2">
                  <c:v>32570</c:v>
                </c:pt>
                <c:pt idx="3">
                  <c:v>32571</c:v>
                </c:pt>
                <c:pt idx="4">
                  <c:v>32572</c:v>
                </c:pt>
                <c:pt idx="5">
                  <c:v>32573</c:v>
                </c:pt>
                <c:pt idx="6">
                  <c:v>32574</c:v>
                </c:pt>
                <c:pt idx="7">
                  <c:v>32575</c:v>
                </c:pt>
                <c:pt idx="8">
                  <c:v>32576</c:v>
                </c:pt>
                <c:pt idx="9">
                  <c:v>32577</c:v>
                </c:pt>
                <c:pt idx="10">
                  <c:v>32578</c:v>
                </c:pt>
                <c:pt idx="11">
                  <c:v>32579</c:v>
                </c:pt>
                <c:pt idx="12">
                  <c:v>32580</c:v>
                </c:pt>
                <c:pt idx="13">
                  <c:v>32581</c:v>
                </c:pt>
                <c:pt idx="14">
                  <c:v>32582</c:v>
                </c:pt>
                <c:pt idx="15">
                  <c:v>32583</c:v>
                </c:pt>
                <c:pt idx="16">
                  <c:v>32584</c:v>
                </c:pt>
                <c:pt idx="17">
                  <c:v>32585</c:v>
                </c:pt>
                <c:pt idx="18">
                  <c:v>32586</c:v>
                </c:pt>
                <c:pt idx="19">
                  <c:v>32587</c:v>
                </c:pt>
                <c:pt idx="20">
                  <c:v>32588</c:v>
                </c:pt>
                <c:pt idx="21">
                  <c:v>32589</c:v>
                </c:pt>
                <c:pt idx="22">
                  <c:v>32590</c:v>
                </c:pt>
                <c:pt idx="23">
                  <c:v>32591</c:v>
                </c:pt>
                <c:pt idx="24">
                  <c:v>32592</c:v>
                </c:pt>
                <c:pt idx="25">
                  <c:v>32593</c:v>
                </c:pt>
                <c:pt idx="26">
                  <c:v>32594</c:v>
                </c:pt>
                <c:pt idx="27">
                  <c:v>32595</c:v>
                </c:pt>
                <c:pt idx="28">
                  <c:v>32596</c:v>
                </c:pt>
                <c:pt idx="29">
                  <c:v>32597</c:v>
                </c:pt>
                <c:pt idx="30">
                  <c:v>32598</c:v>
                </c:pt>
                <c:pt idx="31">
                  <c:v>32599</c:v>
                </c:pt>
                <c:pt idx="32">
                  <c:v>32600</c:v>
                </c:pt>
                <c:pt idx="33">
                  <c:v>32601</c:v>
                </c:pt>
                <c:pt idx="34">
                  <c:v>32602</c:v>
                </c:pt>
                <c:pt idx="35">
                  <c:v>32603</c:v>
                </c:pt>
                <c:pt idx="36">
                  <c:v>32604</c:v>
                </c:pt>
                <c:pt idx="37">
                  <c:v>32605</c:v>
                </c:pt>
                <c:pt idx="38">
                  <c:v>32606</c:v>
                </c:pt>
                <c:pt idx="39">
                  <c:v>32607</c:v>
                </c:pt>
                <c:pt idx="40">
                  <c:v>32608</c:v>
                </c:pt>
                <c:pt idx="41">
                  <c:v>32609</c:v>
                </c:pt>
                <c:pt idx="42">
                  <c:v>32610</c:v>
                </c:pt>
                <c:pt idx="43">
                  <c:v>32611</c:v>
                </c:pt>
                <c:pt idx="44">
                  <c:v>32612</c:v>
                </c:pt>
                <c:pt idx="45">
                  <c:v>32613</c:v>
                </c:pt>
                <c:pt idx="46">
                  <c:v>32614</c:v>
                </c:pt>
                <c:pt idx="47">
                  <c:v>32615</c:v>
                </c:pt>
                <c:pt idx="48">
                  <c:v>32616</c:v>
                </c:pt>
                <c:pt idx="49">
                  <c:v>32617</c:v>
                </c:pt>
                <c:pt idx="50">
                  <c:v>32618</c:v>
                </c:pt>
                <c:pt idx="51">
                  <c:v>32619</c:v>
                </c:pt>
                <c:pt idx="52">
                  <c:v>32620</c:v>
                </c:pt>
                <c:pt idx="53">
                  <c:v>32621</c:v>
                </c:pt>
                <c:pt idx="54">
                  <c:v>32622</c:v>
                </c:pt>
                <c:pt idx="55">
                  <c:v>32623</c:v>
                </c:pt>
                <c:pt idx="56">
                  <c:v>32624</c:v>
                </c:pt>
                <c:pt idx="57">
                  <c:v>32625</c:v>
                </c:pt>
                <c:pt idx="58">
                  <c:v>32626</c:v>
                </c:pt>
                <c:pt idx="59">
                  <c:v>32627</c:v>
                </c:pt>
                <c:pt idx="60">
                  <c:v>32628</c:v>
                </c:pt>
                <c:pt idx="61">
                  <c:v>32629</c:v>
                </c:pt>
                <c:pt idx="62">
                  <c:v>32630</c:v>
                </c:pt>
                <c:pt idx="63">
                  <c:v>32631</c:v>
                </c:pt>
                <c:pt idx="64">
                  <c:v>32632</c:v>
                </c:pt>
                <c:pt idx="65">
                  <c:v>32633</c:v>
                </c:pt>
                <c:pt idx="66">
                  <c:v>32634</c:v>
                </c:pt>
                <c:pt idx="67">
                  <c:v>32635</c:v>
                </c:pt>
                <c:pt idx="68">
                  <c:v>32636</c:v>
                </c:pt>
                <c:pt idx="69">
                  <c:v>32637</c:v>
                </c:pt>
                <c:pt idx="70">
                  <c:v>32638</c:v>
                </c:pt>
                <c:pt idx="71">
                  <c:v>32639</c:v>
                </c:pt>
                <c:pt idx="72">
                  <c:v>32640</c:v>
                </c:pt>
                <c:pt idx="73">
                  <c:v>32641</c:v>
                </c:pt>
                <c:pt idx="74">
                  <c:v>32642</c:v>
                </c:pt>
                <c:pt idx="75">
                  <c:v>32643</c:v>
                </c:pt>
                <c:pt idx="76">
                  <c:v>32644</c:v>
                </c:pt>
                <c:pt idx="77">
                  <c:v>32645</c:v>
                </c:pt>
                <c:pt idx="78">
                  <c:v>32646</c:v>
                </c:pt>
                <c:pt idx="79">
                  <c:v>32647</c:v>
                </c:pt>
                <c:pt idx="80">
                  <c:v>32648</c:v>
                </c:pt>
                <c:pt idx="81">
                  <c:v>32649</c:v>
                </c:pt>
                <c:pt idx="82">
                  <c:v>32650</c:v>
                </c:pt>
                <c:pt idx="83">
                  <c:v>32651</c:v>
                </c:pt>
                <c:pt idx="84">
                  <c:v>32652</c:v>
                </c:pt>
                <c:pt idx="85">
                  <c:v>32653</c:v>
                </c:pt>
                <c:pt idx="86">
                  <c:v>32654</c:v>
                </c:pt>
                <c:pt idx="87">
                  <c:v>32655</c:v>
                </c:pt>
                <c:pt idx="88">
                  <c:v>32656</c:v>
                </c:pt>
                <c:pt idx="89">
                  <c:v>32657</c:v>
                </c:pt>
                <c:pt idx="90">
                  <c:v>32658</c:v>
                </c:pt>
                <c:pt idx="91">
                  <c:v>32659</c:v>
                </c:pt>
                <c:pt idx="92">
                  <c:v>32660</c:v>
                </c:pt>
                <c:pt idx="93">
                  <c:v>32661</c:v>
                </c:pt>
                <c:pt idx="94">
                  <c:v>32662</c:v>
                </c:pt>
                <c:pt idx="95">
                  <c:v>32663</c:v>
                </c:pt>
                <c:pt idx="96">
                  <c:v>32664</c:v>
                </c:pt>
                <c:pt idx="97">
                  <c:v>32665</c:v>
                </c:pt>
                <c:pt idx="98">
                  <c:v>32666</c:v>
                </c:pt>
                <c:pt idx="99">
                  <c:v>32667</c:v>
                </c:pt>
                <c:pt idx="100">
                  <c:v>32668</c:v>
                </c:pt>
                <c:pt idx="101">
                  <c:v>32669</c:v>
                </c:pt>
                <c:pt idx="102">
                  <c:v>32670</c:v>
                </c:pt>
                <c:pt idx="103">
                  <c:v>32671</c:v>
                </c:pt>
                <c:pt idx="104">
                  <c:v>32672</c:v>
                </c:pt>
                <c:pt idx="105">
                  <c:v>32673</c:v>
                </c:pt>
                <c:pt idx="106">
                  <c:v>32674</c:v>
                </c:pt>
                <c:pt idx="107">
                  <c:v>32675</c:v>
                </c:pt>
                <c:pt idx="108">
                  <c:v>32676</c:v>
                </c:pt>
                <c:pt idx="109">
                  <c:v>32677</c:v>
                </c:pt>
                <c:pt idx="110">
                  <c:v>32678</c:v>
                </c:pt>
                <c:pt idx="111">
                  <c:v>32679</c:v>
                </c:pt>
                <c:pt idx="112">
                  <c:v>32680</c:v>
                </c:pt>
                <c:pt idx="113">
                  <c:v>32681</c:v>
                </c:pt>
                <c:pt idx="114">
                  <c:v>32682</c:v>
                </c:pt>
                <c:pt idx="115">
                  <c:v>32683</c:v>
                </c:pt>
                <c:pt idx="116">
                  <c:v>32684</c:v>
                </c:pt>
                <c:pt idx="117">
                  <c:v>32685</c:v>
                </c:pt>
                <c:pt idx="118">
                  <c:v>32686</c:v>
                </c:pt>
                <c:pt idx="119">
                  <c:v>32687</c:v>
                </c:pt>
                <c:pt idx="120">
                  <c:v>32688</c:v>
                </c:pt>
                <c:pt idx="121">
                  <c:v>32689</c:v>
                </c:pt>
                <c:pt idx="122">
                  <c:v>32690</c:v>
                </c:pt>
                <c:pt idx="123">
                  <c:v>32691</c:v>
                </c:pt>
                <c:pt idx="124">
                  <c:v>32692</c:v>
                </c:pt>
                <c:pt idx="125">
                  <c:v>32693</c:v>
                </c:pt>
                <c:pt idx="126">
                  <c:v>32694</c:v>
                </c:pt>
                <c:pt idx="127">
                  <c:v>32695</c:v>
                </c:pt>
                <c:pt idx="128">
                  <c:v>32696</c:v>
                </c:pt>
                <c:pt idx="129">
                  <c:v>32697</c:v>
                </c:pt>
                <c:pt idx="130">
                  <c:v>32698</c:v>
                </c:pt>
                <c:pt idx="131">
                  <c:v>32699</c:v>
                </c:pt>
                <c:pt idx="132">
                  <c:v>32700</c:v>
                </c:pt>
                <c:pt idx="133">
                  <c:v>32701</c:v>
                </c:pt>
                <c:pt idx="134">
                  <c:v>32702</c:v>
                </c:pt>
                <c:pt idx="135">
                  <c:v>32703</c:v>
                </c:pt>
                <c:pt idx="136">
                  <c:v>32704</c:v>
                </c:pt>
                <c:pt idx="137">
                  <c:v>32705</c:v>
                </c:pt>
                <c:pt idx="138">
                  <c:v>32706</c:v>
                </c:pt>
                <c:pt idx="139">
                  <c:v>32707</c:v>
                </c:pt>
                <c:pt idx="140">
                  <c:v>32708</c:v>
                </c:pt>
                <c:pt idx="141">
                  <c:v>32709</c:v>
                </c:pt>
                <c:pt idx="142">
                  <c:v>32710</c:v>
                </c:pt>
                <c:pt idx="143">
                  <c:v>32711</c:v>
                </c:pt>
                <c:pt idx="144">
                  <c:v>32712</c:v>
                </c:pt>
                <c:pt idx="145">
                  <c:v>32713</c:v>
                </c:pt>
                <c:pt idx="146">
                  <c:v>32714</c:v>
                </c:pt>
                <c:pt idx="147">
                  <c:v>32715</c:v>
                </c:pt>
                <c:pt idx="148">
                  <c:v>32716</c:v>
                </c:pt>
                <c:pt idx="149">
                  <c:v>32717</c:v>
                </c:pt>
                <c:pt idx="150">
                  <c:v>32718</c:v>
                </c:pt>
                <c:pt idx="151">
                  <c:v>32719</c:v>
                </c:pt>
                <c:pt idx="152">
                  <c:v>32720</c:v>
                </c:pt>
                <c:pt idx="153">
                  <c:v>32721</c:v>
                </c:pt>
                <c:pt idx="154">
                  <c:v>32722</c:v>
                </c:pt>
                <c:pt idx="155">
                  <c:v>32723</c:v>
                </c:pt>
                <c:pt idx="156">
                  <c:v>32724</c:v>
                </c:pt>
                <c:pt idx="157">
                  <c:v>32725</c:v>
                </c:pt>
                <c:pt idx="158">
                  <c:v>32726</c:v>
                </c:pt>
                <c:pt idx="159">
                  <c:v>32727</c:v>
                </c:pt>
                <c:pt idx="160">
                  <c:v>32728</c:v>
                </c:pt>
                <c:pt idx="161">
                  <c:v>32729</c:v>
                </c:pt>
                <c:pt idx="162">
                  <c:v>32730</c:v>
                </c:pt>
                <c:pt idx="163">
                  <c:v>32731</c:v>
                </c:pt>
                <c:pt idx="164">
                  <c:v>32732</c:v>
                </c:pt>
                <c:pt idx="165">
                  <c:v>32733</c:v>
                </c:pt>
                <c:pt idx="166">
                  <c:v>32734</c:v>
                </c:pt>
                <c:pt idx="167">
                  <c:v>32735</c:v>
                </c:pt>
                <c:pt idx="168">
                  <c:v>32736</c:v>
                </c:pt>
                <c:pt idx="169">
                  <c:v>32737</c:v>
                </c:pt>
                <c:pt idx="170">
                  <c:v>32738</c:v>
                </c:pt>
                <c:pt idx="171">
                  <c:v>32739</c:v>
                </c:pt>
                <c:pt idx="172">
                  <c:v>32740</c:v>
                </c:pt>
                <c:pt idx="173">
                  <c:v>32741</c:v>
                </c:pt>
                <c:pt idx="174">
                  <c:v>32742</c:v>
                </c:pt>
                <c:pt idx="175">
                  <c:v>32743</c:v>
                </c:pt>
                <c:pt idx="176">
                  <c:v>32744</c:v>
                </c:pt>
                <c:pt idx="177">
                  <c:v>32745</c:v>
                </c:pt>
                <c:pt idx="178">
                  <c:v>32746</c:v>
                </c:pt>
                <c:pt idx="179">
                  <c:v>32747</c:v>
                </c:pt>
                <c:pt idx="180">
                  <c:v>32748</c:v>
                </c:pt>
                <c:pt idx="181">
                  <c:v>32749</c:v>
                </c:pt>
                <c:pt idx="182">
                  <c:v>32750</c:v>
                </c:pt>
                <c:pt idx="183">
                  <c:v>32751</c:v>
                </c:pt>
                <c:pt idx="184">
                  <c:v>32752</c:v>
                </c:pt>
                <c:pt idx="185">
                  <c:v>32753</c:v>
                </c:pt>
                <c:pt idx="186">
                  <c:v>32754</c:v>
                </c:pt>
                <c:pt idx="187">
                  <c:v>32755</c:v>
                </c:pt>
                <c:pt idx="188">
                  <c:v>32756</c:v>
                </c:pt>
                <c:pt idx="189">
                  <c:v>32757</c:v>
                </c:pt>
                <c:pt idx="190">
                  <c:v>32758</c:v>
                </c:pt>
                <c:pt idx="191">
                  <c:v>32759</c:v>
                </c:pt>
                <c:pt idx="192">
                  <c:v>32760</c:v>
                </c:pt>
                <c:pt idx="193">
                  <c:v>32761</c:v>
                </c:pt>
                <c:pt idx="194">
                  <c:v>32762</c:v>
                </c:pt>
                <c:pt idx="195">
                  <c:v>32763</c:v>
                </c:pt>
                <c:pt idx="196">
                  <c:v>32764</c:v>
                </c:pt>
                <c:pt idx="197">
                  <c:v>32765</c:v>
                </c:pt>
                <c:pt idx="198">
                  <c:v>32766</c:v>
                </c:pt>
                <c:pt idx="199">
                  <c:v>32767</c:v>
                </c:pt>
                <c:pt idx="200">
                  <c:v>32768</c:v>
                </c:pt>
                <c:pt idx="201">
                  <c:v>32769</c:v>
                </c:pt>
                <c:pt idx="202">
                  <c:v>32770</c:v>
                </c:pt>
                <c:pt idx="203">
                  <c:v>32771</c:v>
                </c:pt>
                <c:pt idx="204">
                  <c:v>32772</c:v>
                </c:pt>
                <c:pt idx="205">
                  <c:v>32773</c:v>
                </c:pt>
                <c:pt idx="206">
                  <c:v>32774</c:v>
                </c:pt>
                <c:pt idx="207">
                  <c:v>32775</c:v>
                </c:pt>
                <c:pt idx="208">
                  <c:v>32776</c:v>
                </c:pt>
                <c:pt idx="209">
                  <c:v>32777</c:v>
                </c:pt>
                <c:pt idx="210">
                  <c:v>32778</c:v>
                </c:pt>
                <c:pt idx="211">
                  <c:v>32779</c:v>
                </c:pt>
                <c:pt idx="212">
                  <c:v>32780</c:v>
                </c:pt>
                <c:pt idx="213">
                  <c:v>32781</c:v>
                </c:pt>
                <c:pt idx="214">
                  <c:v>32782</c:v>
                </c:pt>
                <c:pt idx="215">
                  <c:v>32783</c:v>
                </c:pt>
                <c:pt idx="216">
                  <c:v>32784</c:v>
                </c:pt>
                <c:pt idx="217">
                  <c:v>32785</c:v>
                </c:pt>
                <c:pt idx="218">
                  <c:v>32786</c:v>
                </c:pt>
                <c:pt idx="219">
                  <c:v>32787</c:v>
                </c:pt>
                <c:pt idx="220">
                  <c:v>32788</c:v>
                </c:pt>
                <c:pt idx="221">
                  <c:v>32789</c:v>
                </c:pt>
                <c:pt idx="222">
                  <c:v>32790</c:v>
                </c:pt>
                <c:pt idx="223">
                  <c:v>32791</c:v>
                </c:pt>
                <c:pt idx="224">
                  <c:v>32792</c:v>
                </c:pt>
                <c:pt idx="225">
                  <c:v>32793</c:v>
                </c:pt>
                <c:pt idx="226">
                  <c:v>32794</c:v>
                </c:pt>
                <c:pt idx="227">
                  <c:v>32795</c:v>
                </c:pt>
                <c:pt idx="228">
                  <c:v>32796</c:v>
                </c:pt>
                <c:pt idx="229">
                  <c:v>32797</c:v>
                </c:pt>
                <c:pt idx="230">
                  <c:v>32798</c:v>
                </c:pt>
                <c:pt idx="231">
                  <c:v>32799</c:v>
                </c:pt>
                <c:pt idx="232">
                  <c:v>32800</c:v>
                </c:pt>
                <c:pt idx="233">
                  <c:v>32801</c:v>
                </c:pt>
                <c:pt idx="234">
                  <c:v>32802</c:v>
                </c:pt>
                <c:pt idx="235">
                  <c:v>32803</c:v>
                </c:pt>
                <c:pt idx="236">
                  <c:v>32804</c:v>
                </c:pt>
                <c:pt idx="237">
                  <c:v>32805</c:v>
                </c:pt>
                <c:pt idx="238">
                  <c:v>32806</c:v>
                </c:pt>
                <c:pt idx="239">
                  <c:v>32807</c:v>
                </c:pt>
                <c:pt idx="240">
                  <c:v>32808</c:v>
                </c:pt>
                <c:pt idx="241">
                  <c:v>32809</c:v>
                </c:pt>
                <c:pt idx="242">
                  <c:v>32810</c:v>
                </c:pt>
                <c:pt idx="243">
                  <c:v>32811</c:v>
                </c:pt>
                <c:pt idx="244">
                  <c:v>32812</c:v>
                </c:pt>
              </c:numCache>
            </c:numRef>
          </c:xVal>
          <c:yVal>
            <c:numRef>
              <c:f>Emerald!$J$4:$J$368</c:f>
              <c:numCache>
                <c:formatCode>General</c:formatCode>
                <c:ptCount val="365"/>
                <c:pt idx="0">
                  <c:v>12.012505587942268</c:v>
                </c:pt>
                <c:pt idx="1">
                  <c:v>11.979968176184931</c:v>
                </c:pt>
                <c:pt idx="2">
                  <c:v>12.289262463170077</c:v>
                </c:pt>
                <c:pt idx="3">
                  <c:v>11.005827138564145</c:v>
                </c:pt>
                <c:pt idx="4">
                  <c:v>12.047125631917281</c:v>
                </c:pt>
                <c:pt idx="5">
                  <c:v>12.230734846395011</c:v>
                </c:pt>
                <c:pt idx="6">
                  <c:v>12.010092069084068</c:v>
                </c:pt>
                <c:pt idx="7">
                  <c:v>11.956196707413314</c:v>
                </c:pt>
                <c:pt idx="8">
                  <c:v>11.817247000048056</c:v>
                </c:pt>
                <c:pt idx="9">
                  <c:v>11.432853522567321</c:v>
                </c:pt>
                <c:pt idx="10">
                  <c:v>11.483775674612438</c:v>
                </c:pt>
                <c:pt idx="11">
                  <c:v>11.120093354687695</c:v>
                </c:pt>
                <c:pt idx="12">
                  <c:v>11.069540512475442</c:v>
                </c:pt>
                <c:pt idx="13">
                  <c:v>11.12253233273287</c:v>
                </c:pt>
                <c:pt idx="14">
                  <c:v>10.532499620944288</c:v>
                </c:pt>
                <c:pt idx="15">
                  <c:v>10.362777072658906</c:v>
                </c:pt>
                <c:pt idx="16">
                  <c:v>10.604938298919238</c:v>
                </c:pt>
                <c:pt idx="17">
                  <c:v>11.334773944737629</c:v>
                </c:pt>
                <c:pt idx="18">
                  <c:v>11.890648598051939</c:v>
                </c:pt>
                <c:pt idx="19">
                  <c:v>11.742039425312665</c:v>
                </c:pt>
                <c:pt idx="20">
                  <c:v>11.695056603594628</c:v>
                </c:pt>
                <c:pt idx="21">
                  <c:v>11.505487998563861</c:v>
                </c:pt>
                <c:pt idx="22">
                  <c:v>11.208911961664452</c:v>
                </c:pt>
                <c:pt idx="23">
                  <c:v>10.191694683988631</c:v>
                </c:pt>
                <c:pt idx="24">
                  <c:v>10.081560602855555</c:v>
                </c:pt>
                <c:pt idx="25">
                  <c:v>10.592805227158896</c:v>
                </c:pt>
                <c:pt idx="26">
                  <c:v>11.03326689536552</c:v>
                </c:pt>
                <c:pt idx="27">
                  <c:v>10.41466114024683</c:v>
                </c:pt>
                <c:pt idx="28">
                  <c:v>10.342443661294423</c:v>
                </c:pt>
                <c:pt idx="29">
                  <c:v>11.2306065972867</c:v>
                </c:pt>
                <c:pt idx="30">
                  <c:v>10.934791922712838</c:v>
                </c:pt>
                <c:pt idx="31">
                  <c:v>11.120960777559389</c:v>
                </c:pt>
                <c:pt idx="32">
                  <c:v>10.763661323367501</c:v>
                </c:pt>
                <c:pt idx="33">
                  <c:v>10.84325773976402</c:v>
                </c:pt>
                <c:pt idx="34">
                  <c:v>9.8421444191524046</c:v>
                </c:pt>
                <c:pt idx="35">
                  <c:v>9.602434131798061</c:v>
                </c:pt>
                <c:pt idx="36">
                  <c:v>10.010898230158203</c:v>
                </c:pt>
                <c:pt idx="37">
                  <c:v>10.203970050582639</c:v>
                </c:pt>
                <c:pt idx="38">
                  <c:v>9.5400152339762627</c:v>
                </c:pt>
                <c:pt idx="39">
                  <c:v>9.8428071883759447</c:v>
                </c:pt>
                <c:pt idx="40">
                  <c:v>9.9322100655191967</c:v>
                </c:pt>
                <c:pt idx="41">
                  <c:v>10.315750312801987</c:v>
                </c:pt>
                <c:pt idx="42">
                  <c:v>10.2003216167509</c:v>
                </c:pt>
                <c:pt idx="43">
                  <c:v>10.289749576583288</c:v>
                </c:pt>
                <c:pt idx="44">
                  <c:v>10.586443449471254</c:v>
                </c:pt>
                <c:pt idx="45">
                  <c:v>10.266567744773305</c:v>
                </c:pt>
                <c:pt idx="46">
                  <c:v>10.051626981697989</c:v>
                </c:pt>
                <c:pt idx="47">
                  <c:v>9.3197445203561848</c:v>
                </c:pt>
                <c:pt idx="48">
                  <c:v>9.4218314221907562</c:v>
                </c:pt>
                <c:pt idx="49">
                  <c:v>10.033233528105841</c:v>
                </c:pt>
                <c:pt idx="50">
                  <c:v>10.337895738589646</c:v>
                </c:pt>
                <c:pt idx="51">
                  <c:v>10.233660954675972</c:v>
                </c:pt>
                <c:pt idx="52">
                  <c:v>10.17574556486716</c:v>
                </c:pt>
                <c:pt idx="53">
                  <c:v>9.9411463411378325</c:v>
                </c:pt>
                <c:pt idx="54">
                  <c:v>8.3572341469291089</c:v>
                </c:pt>
                <c:pt idx="55">
                  <c:v>9.2076052278218103</c:v>
                </c:pt>
                <c:pt idx="56">
                  <c:v>9.213058483154029</c:v>
                </c:pt>
                <c:pt idx="57">
                  <c:v>9.1139112855390625</c:v>
                </c:pt>
                <c:pt idx="58">
                  <c:v>9.0159528418493302</c:v>
                </c:pt>
                <c:pt idx="59">
                  <c:v>9.3438418648537169</c:v>
                </c:pt>
                <c:pt idx="60">
                  <c:v>9.1422858019489279</c:v>
                </c:pt>
                <c:pt idx="61">
                  <c:v>9.580214769255825</c:v>
                </c:pt>
                <c:pt idx="62">
                  <c:v>9.0612932143556577</c:v>
                </c:pt>
                <c:pt idx="63">
                  <c:v>9.1826849468832332</c:v>
                </c:pt>
                <c:pt idx="64">
                  <c:v>8.9848559297022756</c:v>
                </c:pt>
                <c:pt idx="65">
                  <c:v>9.1090104210076355</c:v>
                </c:pt>
                <c:pt idx="66">
                  <c:v>9.3422371437387408</c:v>
                </c:pt>
                <c:pt idx="67">
                  <c:v>9.5776477542144338</c:v>
                </c:pt>
                <c:pt idx="68">
                  <c:v>9.7074601471513002</c:v>
                </c:pt>
                <c:pt idx="69">
                  <c:v>9.298472799157862</c:v>
                </c:pt>
                <c:pt idx="70">
                  <c:v>9.755744860076689</c:v>
                </c:pt>
                <c:pt idx="71">
                  <c:v>8.6949367230755445</c:v>
                </c:pt>
                <c:pt idx="72">
                  <c:v>8.7192141683032478</c:v>
                </c:pt>
                <c:pt idx="73">
                  <c:v>9.2911221607231909</c:v>
                </c:pt>
                <c:pt idx="74">
                  <c:v>9.3192324229761745</c:v>
                </c:pt>
                <c:pt idx="75">
                  <c:v>9.3484741868598213</c:v>
                </c:pt>
                <c:pt idx="76">
                  <c:v>9.0478123882224892</c:v>
                </c:pt>
                <c:pt idx="77">
                  <c:v>7.4175138734221537</c:v>
                </c:pt>
                <c:pt idx="78">
                  <c:v>8.6651618856277057</c:v>
                </c:pt>
                <c:pt idx="79">
                  <c:v>9.0304379637868735</c:v>
                </c:pt>
                <c:pt idx="80">
                  <c:v>9.0634256566443359</c:v>
                </c:pt>
                <c:pt idx="81">
                  <c:v>8.9850669908734915</c:v>
                </c:pt>
                <c:pt idx="82">
                  <c:v>8.7940496580613061</c:v>
                </c:pt>
                <c:pt idx="83">
                  <c:v>9.1681136901018281</c:v>
                </c:pt>
                <c:pt idx="84">
                  <c:v>8.2957311020050213</c:v>
                </c:pt>
                <c:pt idx="85">
                  <c:v>8.1014290449745143</c:v>
                </c:pt>
                <c:pt idx="86">
                  <c:v>8.8226485057893296</c:v>
                </c:pt>
                <c:pt idx="87">
                  <c:v>8.6299122082489692</c:v>
                </c:pt>
                <c:pt idx="88">
                  <c:v>7.973731097433582</c:v>
                </c:pt>
                <c:pt idx="89">
                  <c:v>8.0086280253765363</c:v>
                </c:pt>
                <c:pt idx="90">
                  <c:v>7.8110277426613166</c:v>
                </c:pt>
                <c:pt idx="91">
                  <c:v>8.3146208305376188</c:v>
                </c:pt>
                <c:pt idx="92">
                  <c:v>7.999610606307316</c:v>
                </c:pt>
                <c:pt idx="93">
                  <c:v>8.5092636703332207</c:v>
                </c:pt>
                <c:pt idx="94">
                  <c:v>7.0054057580610678</c:v>
                </c:pt>
                <c:pt idx="95">
                  <c:v>8.7085774593100478</c:v>
                </c:pt>
                <c:pt idx="96">
                  <c:v>9.46922253351973</c:v>
                </c:pt>
                <c:pt idx="97">
                  <c:v>7.4672457302425226</c:v>
                </c:pt>
                <c:pt idx="98">
                  <c:v>5.9301246957689751</c:v>
                </c:pt>
                <c:pt idx="99">
                  <c:v>6.0806898746279332</c:v>
                </c:pt>
                <c:pt idx="100">
                  <c:v>6.1105854819449616</c:v>
                </c:pt>
                <c:pt idx="101">
                  <c:v>6.6320933507265867</c:v>
                </c:pt>
                <c:pt idx="102">
                  <c:v>5.1839733981860219</c:v>
                </c:pt>
                <c:pt idx="103">
                  <c:v>5.5820590908853456</c:v>
                </c:pt>
                <c:pt idx="104">
                  <c:v>6.4828260308220447</c:v>
                </c:pt>
                <c:pt idx="105">
                  <c:v>7.8938720609744326</c:v>
                </c:pt>
                <c:pt idx="106">
                  <c:v>7.8079712112069597</c:v>
                </c:pt>
                <c:pt idx="107">
                  <c:v>7.8477096833753572</c:v>
                </c:pt>
                <c:pt idx="108">
                  <c:v>9.4144332941104807</c:v>
                </c:pt>
                <c:pt idx="109">
                  <c:v>9.4626152403327293</c:v>
                </c:pt>
                <c:pt idx="110">
                  <c:v>9.7682053393487998</c:v>
                </c:pt>
                <c:pt idx="111">
                  <c:v>8.9140690826509452</c:v>
                </c:pt>
                <c:pt idx="112">
                  <c:v>6.4927040284896016</c:v>
                </c:pt>
                <c:pt idx="113">
                  <c:v>5.2209161193526361</c:v>
                </c:pt>
                <c:pt idx="114">
                  <c:v>6.6909762330747888</c:v>
                </c:pt>
                <c:pt idx="115">
                  <c:v>7.1210872312105247</c:v>
                </c:pt>
                <c:pt idx="116">
                  <c:v>5.5671766555490345</c:v>
                </c:pt>
                <c:pt idx="117">
                  <c:v>5.0629299893113675</c:v>
                </c:pt>
                <c:pt idx="118">
                  <c:v>5.4907697837213343</c:v>
                </c:pt>
                <c:pt idx="119">
                  <c:v>7.1343474166542897</c:v>
                </c:pt>
                <c:pt idx="120">
                  <c:v>8.9299426221483937</c:v>
                </c:pt>
                <c:pt idx="121">
                  <c:v>8.8397724395862411</c:v>
                </c:pt>
                <c:pt idx="122">
                  <c:v>9.8419078563340001</c:v>
                </c:pt>
                <c:pt idx="123">
                  <c:v>10.029614807368976</c:v>
                </c:pt>
                <c:pt idx="124">
                  <c:v>10.080772057796558</c:v>
                </c:pt>
                <c:pt idx="125">
                  <c:v>11.242423799841534</c:v>
                </c:pt>
                <c:pt idx="126">
                  <c:v>8.3699727477041108</c:v>
                </c:pt>
                <c:pt idx="127">
                  <c:v>8.832927743271707</c:v>
                </c:pt>
                <c:pt idx="128">
                  <c:v>9.7229363212970803</c:v>
                </c:pt>
                <c:pt idx="129">
                  <c:v>7.9307289894367381</c:v>
                </c:pt>
                <c:pt idx="130">
                  <c:v>9.1090662576323069</c:v>
                </c:pt>
                <c:pt idx="131">
                  <c:v>10.298800869368494</c:v>
                </c:pt>
                <c:pt idx="132">
                  <c:v>7.9062130177333065</c:v>
                </c:pt>
                <c:pt idx="133">
                  <c:v>6.067329569478491</c:v>
                </c:pt>
                <c:pt idx="134">
                  <c:v>6.9682281907506978</c:v>
                </c:pt>
                <c:pt idx="135">
                  <c:v>5.2517816178580556</c:v>
                </c:pt>
                <c:pt idx="136">
                  <c:v>6.0103615736229807</c:v>
                </c:pt>
                <c:pt idx="137">
                  <c:v>4.1245516585497173</c:v>
                </c:pt>
                <c:pt idx="138">
                  <c:v>7.252802499310711</c:v>
                </c:pt>
                <c:pt idx="139">
                  <c:v>6.0978029216572525</c:v>
                </c:pt>
                <c:pt idx="140">
                  <c:v>5.6786008632505389</c:v>
                </c:pt>
                <c:pt idx="141">
                  <c:v>5.555405408897391</c:v>
                </c:pt>
                <c:pt idx="142">
                  <c:v>5.7324680635056753</c:v>
                </c:pt>
                <c:pt idx="143">
                  <c:v>5.9109104623421667</c:v>
                </c:pt>
                <c:pt idx="144">
                  <c:v>8.8315439544633865</c:v>
                </c:pt>
                <c:pt idx="145">
                  <c:v>8.5664809060322629</c:v>
                </c:pt>
                <c:pt idx="146">
                  <c:v>6.608083627874846</c:v>
                </c:pt>
                <c:pt idx="147">
                  <c:v>7.4101556651934226</c:v>
                </c:pt>
                <c:pt idx="148">
                  <c:v>9.7699405179068908</c:v>
                </c:pt>
                <c:pt idx="149">
                  <c:v>9.9697120971461999</c:v>
                </c:pt>
                <c:pt idx="150">
                  <c:v>10.170749460897351</c:v>
                </c:pt>
                <c:pt idx="151">
                  <c:v>10.373038725729407</c:v>
                </c:pt>
                <c:pt idx="152">
                  <c:v>11.208000808047975</c:v>
                </c:pt>
                <c:pt idx="153">
                  <c:v>10.622760585124858</c:v>
                </c:pt>
                <c:pt idx="154">
                  <c:v>8.121015372731593</c:v>
                </c:pt>
                <c:pt idx="155">
                  <c:v>7.8360711467230928</c:v>
                </c:pt>
                <c:pt idx="156">
                  <c:v>8.9936654125366999</c:v>
                </c:pt>
                <c:pt idx="157">
                  <c:v>11.612132784270351</c:v>
                </c:pt>
                <c:pt idx="158">
                  <c:v>10.850979032606917</c:v>
                </c:pt>
                <c:pt idx="159">
                  <c:v>6.9929576177840813</c:v>
                </c:pt>
                <c:pt idx="160">
                  <c:v>7.5115954158502163</c:v>
                </c:pt>
                <c:pt idx="161">
                  <c:v>7.0503062993661478</c:v>
                </c:pt>
                <c:pt idx="162">
                  <c:v>7.9018550609668896</c:v>
                </c:pt>
                <c:pt idx="163">
                  <c:v>8.4292534226679408</c:v>
                </c:pt>
                <c:pt idx="164">
                  <c:v>8.4625841321828776</c:v>
                </c:pt>
                <c:pt idx="165">
                  <c:v>8.6622848668008281</c:v>
                </c:pt>
                <c:pt idx="166">
                  <c:v>7.859693577219522</c:v>
                </c:pt>
                <c:pt idx="167">
                  <c:v>8.3934100830703073</c:v>
                </c:pt>
                <c:pt idx="168">
                  <c:v>10.110257588805776</c:v>
                </c:pt>
                <c:pt idx="169">
                  <c:v>9.9790023328950177</c:v>
                </c:pt>
                <c:pt idx="170">
                  <c:v>9.5066757738387722</c:v>
                </c:pt>
                <c:pt idx="171">
                  <c:v>9.3710926992878356</c:v>
                </c:pt>
                <c:pt idx="172">
                  <c:v>10.601982816905915</c:v>
                </c:pt>
                <c:pt idx="173">
                  <c:v>11.669519338418228</c:v>
                </c:pt>
                <c:pt idx="174">
                  <c:v>12.39954783845651</c:v>
                </c:pt>
                <c:pt idx="175">
                  <c:v>12.61554282934253</c:v>
                </c:pt>
                <c:pt idx="176">
                  <c:v>9.3641135725231983</c:v>
                </c:pt>
                <c:pt idx="177">
                  <c:v>9.395859973494046</c:v>
                </c:pt>
                <c:pt idx="178">
                  <c:v>12.39512060365081</c:v>
                </c:pt>
                <c:pt idx="179">
                  <c:v>12.085667578619427</c:v>
                </c:pt>
                <c:pt idx="180">
                  <c:v>12.476374903021473</c:v>
                </c:pt>
                <c:pt idx="181">
                  <c:v>13.926590390931901</c:v>
                </c:pt>
                <c:pt idx="182">
                  <c:v>14.854689537764385</c:v>
                </c:pt>
                <c:pt idx="183">
                  <c:v>13.304264791966013</c:v>
                </c:pt>
                <c:pt idx="184">
                  <c:v>15.154093904546516</c:v>
                </c:pt>
                <c:pt idx="185">
                  <c:v>14.160868789015129</c:v>
                </c:pt>
                <c:pt idx="186">
                  <c:v>10.739563031959543</c:v>
                </c:pt>
                <c:pt idx="187">
                  <c:v>12.206812065883867</c:v>
                </c:pt>
                <c:pt idx="188">
                  <c:v>12.781659175756188</c:v>
                </c:pt>
                <c:pt idx="189">
                  <c:v>12.275830392953328</c:v>
                </c:pt>
                <c:pt idx="190">
                  <c:v>12.309517887800679</c:v>
                </c:pt>
                <c:pt idx="191">
                  <c:v>12.342647136952065</c:v>
                </c:pt>
                <c:pt idx="192">
                  <c:v>12.557190051192094</c:v>
                </c:pt>
                <c:pt idx="193">
                  <c:v>12.589633369950782</c:v>
                </c:pt>
                <c:pt idx="194">
                  <c:v>15.182353253659086</c:v>
                </c:pt>
                <c:pt idx="195">
                  <c:v>15.063514844072264</c:v>
                </c:pt>
                <c:pt idx="196">
                  <c:v>13.234749349272448</c:v>
                </c:pt>
                <c:pt idx="197">
                  <c:v>11.239263835489139</c:v>
                </c:pt>
                <c:pt idx="198">
                  <c:v>13.85063799735649</c:v>
                </c:pt>
                <c:pt idx="199">
                  <c:v>13.511612461002414</c:v>
                </c:pt>
                <c:pt idx="200">
                  <c:v>14.468712677621046</c:v>
                </c:pt>
                <c:pt idx="201">
                  <c:v>16.743274690585828</c:v>
                </c:pt>
                <c:pt idx="202">
                  <c:v>15.927480840326956</c:v>
                </c:pt>
                <c:pt idx="203">
                  <c:v>15.284859966001436</c:v>
                </c:pt>
                <c:pt idx="204">
                  <c:v>15.033846123084988</c:v>
                </c:pt>
                <c:pt idx="205">
                  <c:v>16.876800923930979</c:v>
                </c:pt>
                <c:pt idx="206">
                  <c:v>17.438839398470062</c:v>
                </c:pt>
                <c:pt idx="207">
                  <c:v>16.505903511921399</c:v>
                </c:pt>
                <c:pt idx="208">
                  <c:v>16.845792650650754</c:v>
                </c:pt>
                <c:pt idx="209">
                  <c:v>16.873709105303856</c:v>
                </c:pt>
                <c:pt idx="210">
                  <c:v>15.119172898077522</c:v>
                </c:pt>
                <c:pt idx="211">
                  <c:v>13.060292267426536</c:v>
                </c:pt>
                <c:pt idx="212">
                  <c:v>14.975099422036994</c:v>
                </c:pt>
                <c:pt idx="213">
                  <c:v>15.18603511010344</c:v>
                </c:pt>
                <c:pt idx="214">
                  <c:v>13.761869731144953</c:v>
                </c:pt>
                <c:pt idx="215">
                  <c:v>15.7969846887563</c:v>
                </c:pt>
                <c:pt idx="216">
                  <c:v>16.044934616264651</c:v>
                </c:pt>
                <c:pt idx="217">
                  <c:v>15.684986476733968</c:v>
                </c:pt>
                <c:pt idx="218">
                  <c:v>15.93245628708968</c:v>
                </c:pt>
                <c:pt idx="219">
                  <c:v>17.017838350501339</c:v>
                </c:pt>
                <c:pt idx="220">
                  <c:v>16.899482707194679</c:v>
                </c:pt>
                <c:pt idx="221">
                  <c:v>18.499639910048515</c:v>
                </c:pt>
                <c:pt idx="222">
                  <c:v>17.636330534993458</c:v>
                </c:pt>
                <c:pt idx="223">
                  <c:v>16.729040643368013</c:v>
                </c:pt>
                <c:pt idx="224">
                  <c:v>16.953771925569445</c:v>
                </c:pt>
                <c:pt idx="225">
                  <c:v>16.987095610382653</c:v>
                </c:pt>
                <c:pt idx="226">
                  <c:v>16.128306953063657</c:v>
                </c:pt>
                <c:pt idx="227">
                  <c:v>15.461922869281524</c:v>
                </c:pt>
                <c:pt idx="228">
                  <c:v>16.12290936055291</c:v>
                </c:pt>
                <c:pt idx="229">
                  <c:v>16.590903132139342</c:v>
                </c:pt>
                <c:pt idx="230">
                  <c:v>17.036029562443357</c:v>
                </c:pt>
                <c:pt idx="231">
                  <c:v>16.701136320883926</c:v>
                </c:pt>
                <c:pt idx="232">
                  <c:v>18.297925852866587</c:v>
                </c:pt>
                <c:pt idx="233">
                  <c:v>19.351330721142546</c:v>
                </c:pt>
                <c:pt idx="234">
                  <c:v>16.413021777397518</c:v>
                </c:pt>
                <c:pt idx="235">
                  <c:v>15.642131271872147</c:v>
                </c:pt>
                <c:pt idx="236">
                  <c:v>14.677673163963238</c:v>
                </c:pt>
                <c:pt idx="237">
                  <c:v>13.635434150401647</c:v>
                </c:pt>
                <c:pt idx="238">
                  <c:v>17.09953698602731</c:v>
                </c:pt>
                <c:pt idx="239">
                  <c:v>17.670921866976169</c:v>
                </c:pt>
                <c:pt idx="240">
                  <c:v>16.664103728545754</c:v>
                </c:pt>
                <c:pt idx="241">
                  <c:v>16.51180554223199</c:v>
                </c:pt>
                <c:pt idx="242">
                  <c:v>17.602371122694084</c:v>
                </c:pt>
                <c:pt idx="243">
                  <c:v>16.065447217046984</c:v>
                </c:pt>
                <c:pt idx="244">
                  <c:v>16.619881319331046</c:v>
                </c:pt>
              </c:numCache>
            </c:numRef>
          </c:yVal>
        </c:ser>
        <c:axId val="144253696"/>
        <c:axId val="144247808"/>
      </c:scatterChart>
      <c:valAx>
        <c:axId val="144244736"/>
        <c:scaling>
          <c:orientation val="minMax"/>
        </c:scaling>
        <c:axPos val="b"/>
        <c:numFmt formatCode="d\-mmm\-yy" sourceLinked="1"/>
        <c:tickLblPos val="nextTo"/>
        <c:crossAx val="144246272"/>
        <c:crosses val="autoZero"/>
        <c:crossBetween val="midCat"/>
      </c:valAx>
      <c:valAx>
        <c:axId val="144246272"/>
        <c:scaling>
          <c:orientation val="minMax"/>
        </c:scaling>
        <c:axPos val="l"/>
        <c:majorGridlines/>
        <c:numFmt formatCode="General" sourceLinked="1"/>
        <c:tickLblPos val="nextTo"/>
        <c:crossAx val="144244736"/>
        <c:crosses val="autoZero"/>
        <c:crossBetween val="midCat"/>
      </c:valAx>
      <c:valAx>
        <c:axId val="144247808"/>
        <c:scaling>
          <c:orientation val="minMax"/>
        </c:scaling>
        <c:axPos val="r"/>
        <c:numFmt formatCode="General" sourceLinked="1"/>
        <c:tickLblPos val="nextTo"/>
        <c:crossAx val="144253696"/>
        <c:crosses val="max"/>
        <c:crossBetween val="midCat"/>
      </c:valAx>
      <c:valAx>
        <c:axId val="144253696"/>
        <c:scaling>
          <c:orientation val="minMax"/>
        </c:scaling>
        <c:delete val="1"/>
        <c:axPos val="b"/>
        <c:numFmt formatCode="d\-mmm\-yy" sourceLinked="1"/>
        <c:tickLblPos val="none"/>
        <c:crossAx val="144247808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AU"/>
  <c:chart>
    <c:plotArea>
      <c:layout/>
      <c:scatterChart>
        <c:scatterStyle val="lineMarker"/>
        <c:ser>
          <c:idx val="0"/>
          <c:order val="0"/>
          <c:spPr>
            <a:ln w="28575">
              <a:noFill/>
            </a:ln>
          </c:spPr>
          <c:xVal>
            <c:numRef>
              <c:f>Emerald!$AO$4:$AO$6</c:f>
              <c:numCache>
                <c:formatCode>General</c:formatCode>
                <c:ptCount val="3"/>
              </c:numCache>
            </c:numRef>
          </c:xVal>
          <c:yVal>
            <c:numRef>
              <c:f>Emerald!$W$4:$W$6</c:f>
              <c:numCache>
                <c:formatCode>General</c:formatCode>
                <c:ptCount val="3"/>
              </c:numCache>
            </c:numRef>
          </c:yVal>
        </c:ser>
        <c:ser>
          <c:idx val="1"/>
          <c:order val="1"/>
          <c:spPr>
            <a:ln w="28575">
              <a:noFill/>
            </a:ln>
          </c:spPr>
          <c:xVal>
            <c:numRef>
              <c:f>Emerald!$AO$7:$AO$9</c:f>
              <c:numCache>
                <c:formatCode>General</c:formatCode>
                <c:ptCount val="3"/>
              </c:numCache>
            </c:numRef>
          </c:xVal>
          <c:yVal>
            <c:numRef>
              <c:f>Emerald!$W$7:$W$9</c:f>
              <c:numCache>
                <c:formatCode>General</c:formatCode>
                <c:ptCount val="3"/>
              </c:numCache>
            </c:numRef>
          </c:yVal>
        </c:ser>
        <c:ser>
          <c:idx val="2"/>
          <c:order val="2"/>
          <c:spPr>
            <a:ln w="28575">
              <a:noFill/>
            </a:ln>
          </c:spPr>
          <c:xVal>
            <c:numRef>
              <c:f>Emerald!$AO$10:$AO$12</c:f>
              <c:numCache>
                <c:formatCode>General</c:formatCode>
                <c:ptCount val="3"/>
              </c:numCache>
            </c:numRef>
          </c:xVal>
          <c:yVal>
            <c:numRef>
              <c:f>Emerald!$W$10:$W$12</c:f>
              <c:numCache>
                <c:formatCode>General</c:formatCode>
                <c:ptCount val="3"/>
              </c:numCache>
            </c:numRef>
          </c:yVal>
        </c:ser>
        <c:ser>
          <c:idx val="3"/>
          <c:order val="3"/>
          <c:spPr>
            <a:ln w="28575">
              <a:noFill/>
            </a:ln>
          </c:spPr>
          <c:xVal>
            <c:numRef>
              <c:f>Emerald!$AO$13:$AO$15</c:f>
              <c:numCache>
                <c:formatCode>General</c:formatCode>
                <c:ptCount val="3"/>
              </c:numCache>
            </c:numRef>
          </c:xVal>
          <c:yVal>
            <c:numRef>
              <c:f>Emerald!$W$13:$W$15</c:f>
              <c:numCache>
                <c:formatCode>General</c:formatCode>
                <c:ptCount val="3"/>
              </c:numCache>
            </c:numRef>
          </c:yVal>
        </c:ser>
        <c:axId val="144275712"/>
        <c:axId val="144281600"/>
      </c:scatterChart>
      <c:valAx>
        <c:axId val="144275712"/>
        <c:scaling>
          <c:orientation val="minMax"/>
        </c:scaling>
        <c:axPos val="b"/>
        <c:numFmt formatCode="General" sourceLinked="1"/>
        <c:tickLblPos val="nextTo"/>
        <c:crossAx val="144281600"/>
        <c:crosses val="autoZero"/>
        <c:crossBetween val="midCat"/>
      </c:valAx>
      <c:valAx>
        <c:axId val="144281600"/>
        <c:scaling>
          <c:orientation val="minMax"/>
        </c:scaling>
        <c:axPos val="l"/>
        <c:majorGridlines/>
        <c:numFmt formatCode="General" sourceLinked="1"/>
        <c:tickLblPos val="nextTo"/>
        <c:crossAx val="144275712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222" l="0.70000000000000062" r="0.70000000000000062" t="0.75000000000000222" header="0.30000000000000032" footer="0.30000000000000032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AU"/>
  <c:chart>
    <c:plotArea>
      <c:layout/>
      <c:scatterChart>
        <c:scatterStyle val="lineMarker"/>
        <c:ser>
          <c:idx val="0"/>
          <c:order val="0"/>
          <c:spPr>
            <a:ln w="28575">
              <a:noFill/>
            </a:ln>
          </c:spPr>
          <c:xVal>
            <c:numRef>
              <c:f>Emerald!$AO$4:$AO$6</c:f>
              <c:numCache>
                <c:formatCode>General</c:formatCode>
                <c:ptCount val="3"/>
              </c:numCache>
            </c:numRef>
          </c:xVal>
          <c:yVal>
            <c:numRef>
              <c:f>Emerald!$AF$4:$AF$6</c:f>
              <c:numCache>
                <c:formatCode>General</c:formatCode>
                <c:ptCount val="3"/>
              </c:numCache>
            </c:numRef>
          </c:yVal>
        </c:ser>
        <c:ser>
          <c:idx val="1"/>
          <c:order val="1"/>
          <c:spPr>
            <a:ln w="28575">
              <a:noFill/>
            </a:ln>
          </c:spPr>
          <c:xVal>
            <c:numRef>
              <c:f>Emerald!$AO$7:$AO$9</c:f>
              <c:numCache>
                <c:formatCode>General</c:formatCode>
                <c:ptCount val="3"/>
              </c:numCache>
            </c:numRef>
          </c:xVal>
          <c:yVal>
            <c:numRef>
              <c:f>Emerald!$AF$7:$AF$9</c:f>
              <c:numCache>
                <c:formatCode>General</c:formatCode>
                <c:ptCount val="3"/>
              </c:numCache>
            </c:numRef>
          </c:yVal>
        </c:ser>
        <c:ser>
          <c:idx val="2"/>
          <c:order val="2"/>
          <c:spPr>
            <a:ln w="28575">
              <a:noFill/>
            </a:ln>
          </c:spPr>
          <c:xVal>
            <c:numRef>
              <c:f>Emerald!$AO$10:$AO$12</c:f>
              <c:numCache>
                <c:formatCode>General</c:formatCode>
                <c:ptCount val="3"/>
              </c:numCache>
            </c:numRef>
          </c:xVal>
          <c:yVal>
            <c:numRef>
              <c:f>Emerald!$AF$10:$AF$12</c:f>
              <c:numCache>
                <c:formatCode>General</c:formatCode>
                <c:ptCount val="3"/>
              </c:numCache>
            </c:numRef>
          </c:yVal>
        </c:ser>
        <c:ser>
          <c:idx val="3"/>
          <c:order val="3"/>
          <c:spPr>
            <a:ln w="28575">
              <a:noFill/>
            </a:ln>
          </c:spPr>
          <c:xVal>
            <c:numRef>
              <c:f>Emerald!$AO$13:$AO$15</c:f>
              <c:numCache>
                <c:formatCode>General</c:formatCode>
                <c:ptCount val="3"/>
              </c:numCache>
            </c:numRef>
          </c:xVal>
          <c:yVal>
            <c:numRef>
              <c:f>Emerald!$AF$13:$AF$15</c:f>
              <c:numCache>
                <c:formatCode>General</c:formatCode>
                <c:ptCount val="3"/>
              </c:numCache>
            </c:numRef>
          </c:yVal>
        </c:ser>
        <c:axId val="144311808"/>
        <c:axId val="144313344"/>
      </c:scatterChart>
      <c:valAx>
        <c:axId val="144311808"/>
        <c:scaling>
          <c:orientation val="minMax"/>
        </c:scaling>
        <c:axPos val="b"/>
        <c:numFmt formatCode="General" sourceLinked="1"/>
        <c:tickLblPos val="nextTo"/>
        <c:crossAx val="144313344"/>
        <c:crosses val="autoZero"/>
        <c:crossBetween val="midCat"/>
      </c:valAx>
      <c:valAx>
        <c:axId val="144313344"/>
        <c:scaling>
          <c:orientation val="minMax"/>
        </c:scaling>
        <c:axPos val="l"/>
        <c:majorGridlines/>
        <c:numFmt formatCode="General" sourceLinked="1"/>
        <c:tickLblPos val="nextTo"/>
        <c:crossAx val="144311808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244" l="0.70000000000000062" r="0.70000000000000062" t="0.75000000000000244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Relationship Id="rId6" Type="http://schemas.openxmlformats.org/officeDocument/2006/relationships/chart" Target="../charts/chart15.xml"/><Relationship Id="rId5" Type="http://schemas.openxmlformats.org/officeDocument/2006/relationships/chart" Target="../charts/chart14.xml"/><Relationship Id="rId4" Type="http://schemas.openxmlformats.org/officeDocument/2006/relationships/chart" Target="../charts/chart13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6" Type="http://schemas.openxmlformats.org/officeDocument/2006/relationships/chart" Target="../charts/chart21.xml"/><Relationship Id="rId5" Type="http://schemas.openxmlformats.org/officeDocument/2006/relationships/chart" Target="../charts/chart20.xml"/><Relationship Id="rId4" Type="http://schemas.openxmlformats.org/officeDocument/2006/relationships/chart" Target="../charts/chart19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Relationship Id="rId6" Type="http://schemas.openxmlformats.org/officeDocument/2006/relationships/chart" Target="../charts/chart27.xml"/><Relationship Id="rId5" Type="http://schemas.openxmlformats.org/officeDocument/2006/relationships/chart" Target="../charts/chart26.xml"/><Relationship Id="rId4" Type="http://schemas.openxmlformats.org/officeDocument/2006/relationships/chart" Target="../charts/chart25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chart" Target="../charts/chart33.xml"/><Relationship Id="rId5" Type="http://schemas.openxmlformats.org/officeDocument/2006/relationships/chart" Target="../charts/chart32.xml"/><Relationship Id="rId4" Type="http://schemas.openxmlformats.org/officeDocument/2006/relationships/chart" Target="../charts/chart3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Relationship Id="rId6" Type="http://schemas.openxmlformats.org/officeDocument/2006/relationships/chart" Target="../charts/chart39.xml"/><Relationship Id="rId5" Type="http://schemas.openxmlformats.org/officeDocument/2006/relationships/chart" Target="../charts/chart38.xml"/><Relationship Id="rId4" Type="http://schemas.openxmlformats.org/officeDocument/2006/relationships/chart" Target="../charts/chart37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Relationship Id="rId6" Type="http://schemas.openxmlformats.org/officeDocument/2006/relationships/chart" Target="../charts/chart45.xml"/><Relationship Id="rId5" Type="http://schemas.openxmlformats.org/officeDocument/2006/relationships/chart" Target="../charts/chart44.xml"/><Relationship Id="rId4" Type="http://schemas.openxmlformats.org/officeDocument/2006/relationships/chart" Target="../charts/chart4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533400</xdr:colOff>
      <xdr:row>0</xdr:row>
      <xdr:rowOff>68580</xdr:rowOff>
    </xdr:from>
    <xdr:to>
      <xdr:col>9</xdr:col>
      <xdr:colOff>236220</xdr:colOff>
      <xdr:row>13</xdr:row>
      <xdr:rowOff>121920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53340</xdr:colOff>
      <xdr:row>0</xdr:row>
      <xdr:rowOff>0</xdr:rowOff>
    </xdr:from>
    <xdr:to>
      <xdr:col>15</xdr:col>
      <xdr:colOff>594360</xdr:colOff>
      <xdr:row>16</xdr:row>
      <xdr:rowOff>60960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167640</xdr:colOff>
      <xdr:row>2</xdr:row>
      <xdr:rowOff>137160</xdr:rowOff>
    </xdr:from>
    <xdr:to>
      <xdr:col>5</xdr:col>
      <xdr:colOff>396240</xdr:colOff>
      <xdr:row>16</xdr:row>
      <xdr:rowOff>114300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34</xdr:col>
      <xdr:colOff>53340</xdr:colOff>
      <xdr:row>0</xdr:row>
      <xdr:rowOff>68580</xdr:rowOff>
    </xdr:from>
    <xdr:to>
      <xdr:col>39</xdr:col>
      <xdr:colOff>533400</xdr:colOff>
      <xdr:row>1</xdr:row>
      <xdr:rowOff>22860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579120</xdr:colOff>
      <xdr:row>16</xdr:row>
      <xdr:rowOff>160020</xdr:rowOff>
    </xdr:from>
    <xdr:to>
      <xdr:col>24</xdr:col>
      <xdr:colOff>579120</xdr:colOff>
      <xdr:row>32</xdr:row>
      <xdr:rowOff>15240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61</xdr:col>
      <xdr:colOff>198120</xdr:colOff>
      <xdr:row>1</xdr:row>
      <xdr:rowOff>0</xdr:rowOff>
    </xdr:from>
    <xdr:to>
      <xdr:col>68</xdr:col>
      <xdr:colOff>502920</xdr:colOff>
      <xdr:row>13</xdr:row>
      <xdr:rowOff>137160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68580</xdr:colOff>
      <xdr:row>2</xdr:row>
      <xdr:rowOff>121920</xdr:rowOff>
    </xdr:from>
    <xdr:to>
      <xdr:col>17</xdr:col>
      <xdr:colOff>419100</xdr:colOff>
      <xdr:row>19</xdr:row>
      <xdr:rowOff>15240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76200</xdr:colOff>
      <xdr:row>16</xdr:row>
      <xdr:rowOff>137160</xdr:rowOff>
    </xdr:from>
    <xdr:to>
      <xdr:col>29</xdr:col>
      <xdr:colOff>678180</xdr:colOff>
      <xdr:row>33</xdr:row>
      <xdr:rowOff>30480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53340</xdr:colOff>
      <xdr:row>16</xdr:row>
      <xdr:rowOff>106680</xdr:rowOff>
    </xdr:from>
    <xdr:to>
      <xdr:col>35</xdr:col>
      <xdr:colOff>464820</xdr:colOff>
      <xdr:row>33</xdr:row>
      <xdr:rowOff>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34</xdr:col>
      <xdr:colOff>53340</xdr:colOff>
      <xdr:row>0</xdr:row>
      <xdr:rowOff>68580</xdr:rowOff>
    </xdr:from>
    <xdr:to>
      <xdr:col>39</xdr:col>
      <xdr:colOff>533400</xdr:colOff>
      <xdr:row>1</xdr:row>
      <xdr:rowOff>22860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579120</xdr:colOff>
      <xdr:row>16</xdr:row>
      <xdr:rowOff>160020</xdr:rowOff>
    </xdr:from>
    <xdr:to>
      <xdr:col>24</xdr:col>
      <xdr:colOff>579120</xdr:colOff>
      <xdr:row>32</xdr:row>
      <xdr:rowOff>15240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61</xdr:col>
      <xdr:colOff>198120</xdr:colOff>
      <xdr:row>1</xdr:row>
      <xdr:rowOff>0</xdr:rowOff>
    </xdr:from>
    <xdr:to>
      <xdr:col>68</xdr:col>
      <xdr:colOff>502920</xdr:colOff>
      <xdr:row>13</xdr:row>
      <xdr:rowOff>137160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68580</xdr:colOff>
      <xdr:row>2</xdr:row>
      <xdr:rowOff>121920</xdr:rowOff>
    </xdr:from>
    <xdr:to>
      <xdr:col>17</xdr:col>
      <xdr:colOff>419100</xdr:colOff>
      <xdr:row>19</xdr:row>
      <xdr:rowOff>15240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76200</xdr:colOff>
      <xdr:row>16</xdr:row>
      <xdr:rowOff>137160</xdr:rowOff>
    </xdr:from>
    <xdr:to>
      <xdr:col>29</xdr:col>
      <xdr:colOff>678180</xdr:colOff>
      <xdr:row>33</xdr:row>
      <xdr:rowOff>30480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53340</xdr:colOff>
      <xdr:row>16</xdr:row>
      <xdr:rowOff>106680</xdr:rowOff>
    </xdr:from>
    <xdr:to>
      <xdr:col>35</xdr:col>
      <xdr:colOff>464820</xdr:colOff>
      <xdr:row>33</xdr:row>
      <xdr:rowOff>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34</xdr:col>
      <xdr:colOff>53340</xdr:colOff>
      <xdr:row>0</xdr:row>
      <xdr:rowOff>68580</xdr:rowOff>
    </xdr:from>
    <xdr:to>
      <xdr:col>39</xdr:col>
      <xdr:colOff>533400</xdr:colOff>
      <xdr:row>1</xdr:row>
      <xdr:rowOff>22860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579120</xdr:colOff>
      <xdr:row>16</xdr:row>
      <xdr:rowOff>160020</xdr:rowOff>
    </xdr:from>
    <xdr:to>
      <xdr:col>24</xdr:col>
      <xdr:colOff>579120</xdr:colOff>
      <xdr:row>32</xdr:row>
      <xdr:rowOff>15240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61</xdr:col>
      <xdr:colOff>198120</xdr:colOff>
      <xdr:row>1</xdr:row>
      <xdr:rowOff>0</xdr:rowOff>
    </xdr:from>
    <xdr:to>
      <xdr:col>68</xdr:col>
      <xdr:colOff>502920</xdr:colOff>
      <xdr:row>13</xdr:row>
      <xdr:rowOff>137160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68580</xdr:colOff>
      <xdr:row>2</xdr:row>
      <xdr:rowOff>121920</xdr:rowOff>
    </xdr:from>
    <xdr:to>
      <xdr:col>17</xdr:col>
      <xdr:colOff>419100</xdr:colOff>
      <xdr:row>19</xdr:row>
      <xdr:rowOff>15240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76200</xdr:colOff>
      <xdr:row>16</xdr:row>
      <xdr:rowOff>137160</xdr:rowOff>
    </xdr:from>
    <xdr:to>
      <xdr:col>29</xdr:col>
      <xdr:colOff>678180</xdr:colOff>
      <xdr:row>33</xdr:row>
      <xdr:rowOff>30480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53340</xdr:colOff>
      <xdr:row>16</xdr:row>
      <xdr:rowOff>106680</xdr:rowOff>
    </xdr:from>
    <xdr:to>
      <xdr:col>35</xdr:col>
      <xdr:colOff>464820</xdr:colOff>
      <xdr:row>33</xdr:row>
      <xdr:rowOff>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34</xdr:col>
      <xdr:colOff>53340</xdr:colOff>
      <xdr:row>0</xdr:row>
      <xdr:rowOff>68580</xdr:rowOff>
    </xdr:from>
    <xdr:to>
      <xdr:col>39</xdr:col>
      <xdr:colOff>533400</xdr:colOff>
      <xdr:row>1</xdr:row>
      <xdr:rowOff>22860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579120</xdr:colOff>
      <xdr:row>16</xdr:row>
      <xdr:rowOff>160020</xdr:rowOff>
    </xdr:from>
    <xdr:to>
      <xdr:col>24</xdr:col>
      <xdr:colOff>579120</xdr:colOff>
      <xdr:row>32</xdr:row>
      <xdr:rowOff>15240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61</xdr:col>
      <xdr:colOff>198120</xdr:colOff>
      <xdr:row>1</xdr:row>
      <xdr:rowOff>0</xdr:rowOff>
    </xdr:from>
    <xdr:to>
      <xdr:col>68</xdr:col>
      <xdr:colOff>502920</xdr:colOff>
      <xdr:row>13</xdr:row>
      <xdr:rowOff>137160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68580</xdr:colOff>
      <xdr:row>2</xdr:row>
      <xdr:rowOff>121920</xdr:rowOff>
    </xdr:from>
    <xdr:to>
      <xdr:col>17</xdr:col>
      <xdr:colOff>419100</xdr:colOff>
      <xdr:row>19</xdr:row>
      <xdr:rowOff>15240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76200</xdr:colOff>
      <xdr:row>16</xdr:row>
      <xdr:rowOff>137160</xdr:rowOff>
    </xdr:from>
    <xdr:to>
      <xdr:col>29</xdr:col>
      <xdr:colOff>678180</xdr:colOff>
      <xdr:row>33</xdr:row>
      <xdr:rowOff>30480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53340</xdr:colOff>
      <xdr:row>16</xdr:row>
      <xdr:rowOff>106680</xdr:rowOff>
    </xdr:from>
    <xdr:to>
      <xdr:col>35</xdr:col>
      <xdr:colOff>464820</xdr:colOff>
      <xdr:row>33</xdr:row>
      <xdr:rowOff>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34</xdr:col>
      <xdr:colOff>53340</xdr:colOff>
      <xdr:row>0</xdr:row>
      <xdr:rowOff>68580</xdr:rowOff>
    </xdr:from>
    <xdr:to>
      <xdr:col>39</xdr:col>
      <xdr:colOff>533400</xdr:colOff>
      <xdr:row>1</xdr:row>
      <xdr:rowOff>22860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579120</xdr:colOff>
      <xdr:row>16</xdr:row>
      <xdr:rowOff>160020</xdr:rowOff>
    </xdr:from>
    <xdr:to>
      <xdr:col>24</xdr:col>
      <xdr:colOff>579120</xdr:colOff>
      <xdr:row>32</xdr:row>
      <xdr:rowOff>15240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61</xdr:col>
      <xdr:colOff>198120</xdr:colOff>
      <xdr:row>1</xdr:row>
      <xdr:rowOff>0</xdr:rowOff>
    </xdr:from>
    <xdr:to>
      <xdr:col>68</xdr:col>
      <xdr:colOff>502920</xdr:colOff>
      <xdr:row>13</xdr:row>
      <xdr:rowOff>137160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68580</xdr:colOff>
      <xdr:row>2</xdr:row>
      <xdr:rowOff>121920</xdr:rowOff>
    </xdr:from>
    <xdr:to>
      <xdr:col>17</xdr:col>
      <xdr:colOff>419100</xdr:colOff>
      <xdr:row>19</xdr:row>
      <xdr:rowOff>15240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76200</xdr:colOff>
      <xdr:row>16</xdr:row>
      <xdr:rowOff>137160</xdr:rowOff>
    </xdr:from>
    <xdr:to>
      <xdr:col>29</xdr:col>
      <xdr:colOff>678180</xdr:colOff>
      <xdr:row>33</xdr:row>
      <xdr:rowOff>30480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53340</xdr:colOff>
      <xdr:row>16</xdr:row>
      <xdr:rowOff>106680</xdr:rowOff>
    </xdr:from>
    <xdr:to>
      <xdr:col>35</xdr:col>
      <xdr:colOff>464820</xdr:colOff>
      <xdr:row>33</xdr:row>
      <xdr:rowOff>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34</xdr:col>
      <xdr:colOff>53340</xdr:colOff>
      <xdr:row>0</xdr:row>
      <xdr:rowOff>68580</xdr:rowOff>
    </xdr:from>
    <xdr:to>
      <xdr:col>39</xdr:col>
      <xdr:colOff>533400</xdr:colOff>
      <xdr:row>1</xdr:row>
      <xdr:rowOff>22860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579120</xdr:colOff>
      <xdr:row>16</xdr:row>
      <xdr:rowOff>160020</xdr:rowOff>
    </xdr:from>
    <xdr:to>
      <xdr:col>24</xdr:col>
      <xdr:colOff>579120</xdr:colOff>
      <xdr:row>32</xdr:row>
      <xdr:rowOff>15240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61</xdr:col>
      <xdr:colOff>198120</xdr:colOff>
      <xdr:row>1</xdr:row>
      <xdr:rowOff>0</xdr:rowOff>
    </xdr:from>
    <xdr:to>
      <xdr:col>68</xdr:col>
      <xdr:colOff>502920</xdr:colOff>
      <xdr:row>13</xdr:row>
      <xdr:rowOff>137160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68580</xdr:colOff>
      <xdr:row>2</xdr:row>
      <xdr:rowOff>121920</xdr:rowOff>
    </xdr:from>
    <xdr:to>
      <xdr:col>17</xdr:col>
      <xdr:colOff>419100</xdr:colOff>
      <xdr:row>19</xdr:row>
      <xdr:rowOff>15240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76200</xdr:colOff>
      <xdr:row>16</xdr:row>
      <xdr:rowOff>137160</xdr:rowOff>
    </xdr:from>
    <xdr:to>
      <xdr:col>29</xdr:col>
      <xdr:colOff>678180</xdr:colOff>
      <xdr:row>33</xdr:row>
      <xdr:rowOff>30480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53340</xdr:colOff>
      <xdr:row>16</xdr:row>
      <xdr:rowOff>106680</xdr:rowOff>
    </xdr:from>
    <xdr:to>
      <xdr:col>35</xdr:col>
      <xdr:colOff>464820</xdr:colOff>
      <xdr:row>33</xdr:row>
      <xdr:rowOff>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34</xdr:col>
      <xdr:colOff>53340</xdr:colOff>
      <xdr:row>0</xdr:row>
      <xdr:rowOff>68580</xdr:rowOff>
    </xdr:from>
    <xdr:to>
      <xdr:col>39</xdr:col>
      <xdr:colOff>533400</xdr:colOff>
      <xdr:row>1</xdr:row>
      <xdr:rowOff>22860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579120</xdr:colOff>
      <xdr:row>16</xdr:row>
      <xdr:rowOff>160020</xdr:rowOff>
    </xdr:from>
    <xdr:to>
      <xdr:col>24</xdr:col>
      <xdr:colOff>579120</xdr:colOff>
      <xdr:row>32</xdr:row>
      <xdr:rowOff>15240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61</xdr:col>
      <xdr:colOff>198120</xdr:colOff>
      <xdr:row>1</xdr:row>
      <xdr:rowOff>0</xdr:rowOff>
    </xdr:from>
    <xdr:to>
      <xdr:col>68</xdr:col>
      <xdr:colOff>502920</xdr:colOff>
      <xdr:row>13</xdr:row>
      <xdr:rowOff>137160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68580</xdr:colOff>
      <xdr:row>2</xdr:row>
      <xdr:rowOff>121920</xdr:rowOff>
    </xdr:from>
    <xdr:to>
      <xdr:col>17</xdr:col>
      <xdr:colOff>419100</xdr:colOff>
      <xdr:row>19</xdr:row>
      <xdr:rowOff>15240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76200</xdr:colOff>
      <xdr:row>16</xdr:row>
      <xdr:rowOff>137160</xdr:rowOff>
    </xdr:from>
    <xdr:to>
      <xdr:col>29</xdr:col>
      <xdr:colOff>678180</xdr:colOff>
      <xdr:row>33</xdr:row>
      <xdr:rowOff>30480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53340</xdr:colOff>
      <xdr:row>16</xdr:row>
      <xdr:rowOff>106680</xdr:rowOff>
    </xdr:from>
    <xdr:to>
      <xdr:col>35</xdr:col>
      <xdr:colOff>464820</xdr:colOff>
      <xdr:row>33</xdr:row>
      <xdr:rowOff>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U76"/>
  <sheetViews>
    <sheetView tabSelected="1" topLeftCell="A22" workbookViewId="0">
      <selection activeCell="D35" sqref="D35"/>
    </sheetView>
  </sheetViews>
  <sheetFormatPr defaultRowHeight="13.2"/>
  <cols>
    <col min="1" max="1" width="23.44140625" bestFit="1" customWidth="1"/>
    <col min="2" max="3" width="10.109375" bestFit="1" customWidth="1"/>
    <col min="4" max="4" width="12.5546875" bestFit="1" customWidth="1"/>
    <col min="6" max="6" width="9.109375" bestFit="1" customWidth="1"/>
    <col min="7" max="7" width="10.77734375" bestFit="1" customWidth="1"/>
    <col min="8" max="8" width="10.109375" bestFit="1" customWidth="1"/>
    <col min="9" max="9" width="13.44140625" bestFit="1" customWidth="1"/>
    <col min="10" max="10" width="5.5546875" bestFit="1" customWidth="1"/>
    <col min="11" max="11" width="8.33203125" bestFit="1" customWidth="1"/>
    <col min="12" max="12" width="6.44140625" bestFit="1" customWidth="1"/>
  </cols>
  <sheetData>
    <row r="1" spans="1:10">
      <c r="A1" t="s">
        <v>5</v>
      </c>
      <c r="B1">
        <v>0</v>
      </c>
      <c r="C1">
        <v>30</v>
      </c>
      <c r="D1">
        <v>30</v>
      </c>
      <c r="E1">
        <v>40</v>
      </c>
    </row>
    <row r="2" spans="1:10">
      <c r="A2" t="s">
        <v>4</v>
      </c>
      <c r="B2">
        <v>0</v>
      </c>
      <c r="C2">
        <f>C1-B1</f>
        <v>30</v>
      </c>
      <c r="D2">
        <f>C2</f>
        <v>30</v>
      </c>
      <c r="E2">
        <v>0</v>
      </c>
    </row>
    <row r="4" spans="1:10">
      <c r="A4" s="3" t="s">
        <v>71</v>
      </c>
      <c r="B4">
        <v>-6</v>
      </c>
    </row>
    <row r="5" spans="1:10">
      <c r="A5" s="3" t="s">
        <v>74</v>
      </c>
      <c r="B5">
        <v>0</v>
      </c>
    </row>
    <row r="6" spans="1:10">
      <c r="A6" s="3" t="s">
        <v>86</v>
      </c>
      <c r="B6">
        <v>21</v>
      </c>
    </row>
    <row r="7" spans="1:10">
      <c r="A7" s="3" t="s">
        <v>87</v>
      </c>
      <c r="B7" s="3">
        <v>6.0000000000000001E-3</v>
      </c>
    </row>
    <row r="9" spans="1:10">
      <c r="A9" s="3" t="s">
        <v>7</v>
      </c>
      <c r="B9" s="3" t="s">
        <v>85</v>
      </c>
    </row>
    <row r="10" spans="1:10">
      <c r="A10">
        <v>8</v>
      </c>
      <c r="B10">
        <f t="shared" ref="B10:B17" si="0">1-B$7*(B$6-A10)^2</f>
        <v>-1.4000000000000012E-2</v>
      </c>
    </row>
    <row r="11" spans="1:10">
      <c r="A11">
        <v>10</v>
      </c>
      <c r="B11">
        <f t="shared" si="0"/>
        <v>0.27400000000000002</v>
      </c>
    </row>
    <row r="12" spans="1:10">
      <c r="A12">
        <v>12</v>
      </c>
      <c r="B12">
        <f t="shared" si="0"/>
        <v>0.51400000000000001</v>
      </c>
    </row>
    <row r="13" spans="1:10">
      <c r="A13">
        <v>14</v>
      </c>
      <c r="B13">
        <f t="shared" si="0"/>
        <v>0.70599999999999996</v>
      </c>
    </row>
    <row r="14" spans="1:10">
      <c r="A14">
        <v>16</v>
      </c>
      <c r="B14">
        <f t="shared" si="0"/>
        <v>0.85</v>
      </c>
    </row>
    <row r="15" spans="1:10">
      <c r="A15">
        <v>18</v>
      </c>
      <c r="B15">
        <f t="shared" si="0"/>
        <v>0.94599999999999995</v>
      </c>
      <c r="I15" s="3" t="s">
        <v>79</v>
      </c>
      <c r="J15" s="7">
        <f>SQRT(AVERAGE(L21:L76))</f>
        <v>14.243127997623805</v>
      </c>
    </row>
    <row r="16" spans="1:10">
      <c r="A16">
        <v>20</v>
      </c>
      <c r="B16">
        <f t="shared" si="0"/>
        <v>0.99399999999999999</v>
      </c>
      <c r="I16" s="3" t="s">
        <v>81</v>
      </c>
      <c r="J16" s="7">
        <f>AVERAGE(J21:J76)</f>
        <v>0.70000000000000051</v>
      </c>
    </row>
    <row r="17" spans="1:21">
      <c r="A17">
        <v>21</v>
      </c>
      <c r="B17">
        <f t="shared" si="0"/>
        <v>1</v>
      </c>
      <c r="I17" s="3" t="s">
        <v>82</v>
      </c>
      <c r="J17" s="7">
        <f>AVERAGE(K21:K76)</f>
        <v>10.460683760683761</v>
      </c>
    </row>
    <row r="18" spans="1:21">
      <c r="F18" s="3" t="s">
        <v>89</v>
      </c>
      <c r="G18" s="7">
        <f>AVERAGE(G21:G76)</f>
        <v>699.30932127222832</v>
      </c>
      <c r="I18" s="3" t="s">
        <v>84</v>
      </c>
      <c r="J18" s="7">
        <f>CORREL(I21:I76,D21:D76)^2</f>
        <v>0.70757354702416875</v>
      </c>
    </row>
    <row r="19" spans="1:21">
      <c r="F19" s="3"/>
      <c r="G19" s="7"/>
    </row>
    <row r="20" spans="1:21">
      <c r="A20" s="3" t="s">
        <v>70</v>
      </c>
      <c r="B20" s="3" t="s">
        <v>10</v>
      </c>
      <c r="C20" s="3" t="s">
        <v>12</v>
      </c>
      <c r="D20" s="3" t="s">
        <v>13</v>
      </c>
      <c r="E20" s="3" t="s">
        <v>73</v>
      </c>
      <c r="F20" s="3" t="s">
        <v>75</v>
      </c>
      <c r="G20" s="3" t="s">
        <v>72</v>
      </c>
      <c r="H20" s="3" t="s">
        <v>76</v>
      </c>
      <c r="I20" s="3" t="s">
        <v>77</v>
      </c>
      <c r="J20" s="3" t="s">
        <v>80</v>
      </c>
      <c r="K20" s="3" t="s">
        <v>83</v>
      </c>
      <c r="L20" s="3" t="s">
        <v>78</v>
      </c>
    </row>
    <row r="21" spans="1:21">
      <c r="A21" s="4" t="s">
        <v>14</v>
      </c>
    </row>
    <row r="22" spans="1:21">
      <c r="A22" s="4" t="s">
        <v>15</v>
      </c>
    </row>
    <row r="23" spans="1:21">
      <c r="A23" s="4" t="s">
        <v>16</v>
      </c>
    </row>
    <row r="24" spans="1:21">
      <c r="A24" s="4" t="s">
        <v>17</v>
      </c>
    </row>
    <row r="25" spans="1:21">
      <c r="A25" s="4" t="s">
        <v>18</v>
      </c>
    </row>
    <row r="26" spans="1:21">
      <c r="A26" s="4" t="s">
        <v>19</v>
      </c>
    </row>
    <row r="27" spans="1:21">
      <c r="A27" s="4" t="s">
        <v>20</v>
      </c>
    </row>
    <row r="28" spans="1:21">
      <c r="A28" s="4" t="s">
        <v>21</v>
      </c>
    </row>
    <row r="29" spans="1:21">
      <c r="A29" s="4" t="s">
        <v>22</v>
      </c>
      <c r="T29">
        <v>0</v>
      </c>
      <c r="U29">
        <v>0</v>
      </c>
    </row>
    <row r="30" spans="1:21">
      <c r="A30" s="4" t="s">
        <v>23</v>
      </c>
      <c r="T30">
        <v>150</v>
      </c>
      <c r="U30">
        <v>150</v>
      </c>
    </row>
    <row r="31" spans="1:21">
      <c r="A31" s="4" t="s">
        <v>24</v>
      </c>
    </row>
    <row r="32" spans="1:21">
      <c r="A32" s="4" t="s">
        <v>25</v>
      </c>
    </row>
    <row r="33" spans="1:12">
      <c r="A33" s="4" t="s">
        <v>26</v>
      </c>
    </row>
    <row r="34" spans="1:12">
      <c r="A34" s="4" t="s">
        <v>27</v>
      </c>
    </row>
    <row r="35" spans="1:12">
      <c r="A35" s="4" t="s">
        <v>28</v>
      </c>
      <c r="B35" s="2">
        <v>32573</v>
      </c>
      <c r="C35" s="2">
        <f>B35+D35</f>
        <v>32681</v>
      </c>
      <c r="D35">
        <v>108</v>
      </c>
      <c r="E35">
        <f>LOOKUP(B35,Emerald!$A4:$A248,Emerald!$C4:$C248)</f>
        <v>13.26896858215332</v>
      </c>
      <c r="F35" s="7">
        <f>LOOKUP(LOOKUP(B35,Emerald!A$4:A$1000,Emerald!B$4:B$1000)+$B$5,Emerald!B$4:B$1000,Emerald!C$4:C$1000)</f>
        <v>13.26896858215332</v>
      </c>
      <c r="G35" s="8">
        <f>LOOKUP(C35,Emerald!D$4:D$672,Emerald!B$4:B$672)-LOOKUP(B35,Emerald!D$4:D$672,Emerald!B$4:B$672)</f>
        <v>1013.067348045156</v>
      </c>
      <c r="H35" s="2">
        <f>LOOKUP($G$18+LOOKUP(B35,Emerald!A$4:A$1000,Emerald!B$4:B$1000),Emerald!B$4:B$1000,Emerald!A$4:A$1000)</f>
        <v>32641</v>
      </c>
      <c r="I35" s="6">
        <f>H35-B35</f>
        <v>68</v>
      </c>
      <c r="J35" s="6">
        <f>I35-D35</f>
        <v>-40</v>
      </c>
      <c r="K35" s="6">
        <f>ABS(J35)</f>
        <v>40</v>
      </c>
      <c r="L35" s="6">
        <f>(I35-D35)^2</f>
        <v>1600</v>
      </c>
    </row>
    <row r="36" spans="1:12">
      <c r="A36" s="4" t="s">
        <v>29</v>
      </c>
      <c r="B36" s="2">
        <v>32612</v>
      </c>
      <c r="C36" s="2">
        <f t="shared" ref="C36:C76" si="1">B36+D36</f>
        <v>32677.7</v>
      </c>
      <c r="D36">
        <v>65.7</v>
      </c>
      <c r="E36">
        <f>LOOKUP(B36,Emerald!$A5:$A249,Emerald!$C5:$C249)</f>
        <v>12.368022918701172</v>
      </c>
      <c r="F36" s="7">
        <f>LOOKUP(LOOKUP(B36,Emerald!A$4:A$1000,Emerald!B$4:B$1000)+$B$5,Emerald!B$4:B$1000,Emerald!C$4:C$1000)</f>
        <v>12.368022918701172</v>
      </c>
      <c r="G36" s="8">
        <f>LOOKUP(C36,Emerald!D$4:D$672,Emerald!B$4:B$672)-LOOKUP(B36,Emerald!D$4:D$672,Emerald!B$4:B$672)</f>
        <v>561.86553393047484</v>
      </c>
      <c r="H36" s="2">
        <f>LOOKUP($G$18+LOOKUP(B36,Emerald!A$4:A$1000,Emerald!B$4:B$1000),Emerald!B$4:B$1000,Emerald!A$4:A$1000)</f>
        <v>32694</v>
      </c>
      <c r="I36" s="6">
        <f>H36-B36</f>
        <v>82</v>
      </c>
      <c r="J36" s="6">
        <f>I36-D36</f>
        <v>16.299999999999997</v>
      </c>
      <c r="K36" s="6">
        <f>ABS(J36)</f>
        <v>16.299999999999997</v>
      </c>
      <c r="L36" s="6">
        <f>(I36-D36)^2</f>
        <v>265.68999999999988</v>
      </c>
    </row>
    <row r="37" spans="1:12">
      <c r="A37" s="4" t="s">
        <v>30</v>
      </c>
      <c r="B37" s="2">
        <v>32631</v>
      </c>
      <c r="C37" s="2">
        <f t="shared" si="1"/>
        <v>32723</v>
      </c>
      <c r="D37">
        <v>92</v>
      </c>
      <c r="E37">
        <f>LOOKUP(B37,Emerald!$A6:$A250,Emerald!$C6:$C250)</f>
        <v>11.99235725402832</v>
      </c>
      <c r="F37" s="7">
        <f>LOOKUP(LOOKUP(B37,Emerald!A$4:A$1000,Emerald!B$4:B$1000)+$B$5,Emerald!B$4:B$1000,Emerald!C$4:C$1000)</f>
        <v>11.99235725402832</v>
      </c>
      <c r="G37" s="8">
        <f>LOOKUP(C37,Emerald!D$4:D$672,Emerald!B$4:B$672)-LOOKUP(B37,Emerald!D$4:D$672,Emerald!B$4:B$672)</f>
        <v>743.60205565746696</v>
      </c>
      <c r="H37" s="2">
        <f>LOOKUP($G$18+LOOKUP(B37,Emerald!A$4:A$1000,Emerald!B$4:B$1000),Emerald!B$4:B$1000,Emerald!A$4:A$1000)</f>
        <v>32718</v>
      </c>
      <c r="I37" s="6">
        <f>H37-B37</f>
        <v>87</v>
      </c>
      <c r="J37" s="6">
        <f>I37-D37</f>
        <v>-5</v>
      </c>
      <c r="K37" s="6">
        <f>ABS(J37)</f>
        <v>5</v>
      </c>
      <c r="L37" s="6">
        <f>(I37-D37)^2</f>
        <v>25</v>
      </c>
    </row>
    <row r="38" spans="1:12">
      <c r="A38" s="4" t="s">
        <v>31</v>
      </c>
      <c r="G38" s="8"/>
    </row>
    <row r="39" spans="1:12">
      <c r="A39" s="4" t="s">
        <v>32</v>
      </c>
      <c r="B39" s="2">
        <v>32945</v>
      </c>
      <c r="C39" s="2">
        <f t="shared" si="1"/>
        <v>33012</v>
      </c>
      <c r="D39">
        <v>67</v>
      </c>
      <c r="E39">
        <f>LOOKUP(B39,Biloela!A4:A248,Biloela!C4:C248)</f>
        <v>13.119381904602051</v>
      </c>
      <c r="F39" s="7">
        <f>LOOKUP(LOOKUP(B39,Biloela!A$4:A$1000,Biloela!B$4:B$1000)+$B$5,Biloela!B$4:B$1000,Biloela!C$4:C$1000)</f>
        <v>13.119381904602051</v>
      </c>
      <c r="G39" s="8">
        <f>LOOKUP(C39,Biloela!D$4:D$672,Biloela!B$4:B$672)-LOOKUP(B39,Biloela!D$4:D$672,Biloela!B$4:B$672)</f>
        <v>627.7840891746589</v>
      </c>
      <c r="H39" s="2">
        <f>LOOKUP($G$18+LOOKUP(B39,Biloela!A$4:A$1000,Biloela!B$4:B$1000),Biloela!B$4:B$1000,Biloela!A$4:A$1000)</f>
        <v>33021</v>
      </c>
      <c r="I39" s="6">
        <f>H39-B39</f>
        <v>76</v>
      </c>
      <c r="J39" s="6">
        <f>I39-D39</f>
        <v>9</v>
      </c>
      <c r="K39" s="6">
        <f>ABS(J39)</f>
        <v>9</v>
      </c>
      <c r="L39" s="6">
        <f>(I39-D39)^2</f>
        <v>81</v>
      </c>
    </row>
    <row r="40" spans="1:12">
      <c r="A40" s="4" t="s">
        <v>33</v>
      </c>
      <c r="B40" s="2">
        <v>32990</v>
      </c>
      <c r="C40" s="2">
        <f t="shared" si="1"/>
        <v>33074</v>
      </c>
      <c r="D40">
        <v>84</v>
      </c>
      <c r="E40">
        <f>LOOKUP(B40,Biloela!A5:A249,Biloela!C5:C249)</f>
        <v>12.075688362121582</v>
      </c>
      <c r="F40" s="7">
        <f>LOOKUP(LOOKUP(B40,Biloela!A$4:A$1000,Biloela!B$4:B$1000)+$B$5,Biloela!B$4:B$1000,Biloela!C$4:C$1000)</f>
        <v>12.075688362121582</v>
      </c>
      <c r="G40" s="8">
        <f>LOOKUP(C40,Biloela!D$4:D$672,Biloela!B$4:B$672)-LOOKUP(B40,Biloela!D$4:D$672,Biloela!B$4:B$672)</f>
        <v>645.9428242874443</v>
      </c>
      <c r="H40" s="2">
        <f>LOOKUP($G$18+LOOKUP(B40,Biloela!A$4:A$1000,Biloela!B$4:B$1000),Biloela!B$4:B$1000,Biloela!A$4:A$1000)</f>
        <v>33079</v>
      </c>
      <c r="I40" s="6">
        <f>H40-B40</f>
        <v>89</v>
      </c>
      <c r="J40" s="6">
        <f>I40-D40</f>
        <v>5</v>
      </c>
      <c r="K40" s="6">
        <f>ABS(J40)</f>
        <v>5</v>
      </c>
      <c r="L40" s="6">
        <f>(I40-D40)^2</f>
        <v>25</v>
      </c>
    </row>
    <row r="41" spans="1:12">
      <c r="A41" s="4" t="s">
        <v>34</v>
      </c>
      <c r="B41" s="2">
        <v>33043</v>
      </c>
      <c r="C41" s="2">
        <f t="shared" si="1"/>
        <v>33128</v>
      </c>
      <c r="D41">
        <v>85</v>
      </c>
      <c r="E41">
        <f>LOOKUP(B41,Biloela!A6:A250,Biloela!C6:C250)</f>
        <v>11.442500114440918</v>
      </c>
      <c r="F41" s="7">
        <f>LOOKUP(LOOKUP(B41,Biloela!A$4:A$1000,Biloela!B$4:B$1000)+$B$5,Biloela!B$4:B$1000,Biloela!C$4:C$1000)</f>
        <v>11.442500114440918</v>
      </c>
      <c r="G41" s="8">
        <f>LOOKUP(C41,Biloela!D$4:D$672,Biloela!B$4:B$672)-LOOKUP(B41,Biloela!D$4:D$672,Biloela!B$4:B$672)</f>
        <v>734.24298149477409</v>
      </c>
      <c r="H41" s="2">
        <f>LOOKUP($G$18+LOOKUP(B41,Biloela!A$4:A$1000,Biloela!B$4:B$1000),Biloela!B$4:B$1000,Biloela!A$4:A$1000)</f>
        <v>33125</v>
      </c>
      <c r="I41" s="6">
        <f>H41-B41</f>
        <v>82</v>
      </c>
      <c r="J41" s="6">
        <f>I41-D41</f>
        <v>-3</v>
      </c>
      <c r="K41" s="6">
        <f>ABS(J41)</f>
        <v>3</v>
      </c>
      <c r="L41" s="6">
        <f>(I41-D41)^2</f>
        <v>9</v>
      </c>
    </row>
    <row r="42" spans="1:12">
      <c r="A42" s="4" t="s">
        <v>35</v>
      </c>
      <c r="B42" s="2">
        <v>33071</v>
      </c>
      <c r="C42" s="2">
        <f t="shared" si="1"/>
        <v>33143</v>
      </c>
      <c r="D42">
        <v>72</v>
      </c>
      <c r="E42">
        <f>LOOKUP(B42,Biloela!A7:A251,Biloela!C7:C251)</f>
        <v>11.570585250854492</v>
      </c>
      <c r="F42" s="7">
        <f>LOOKUP(LOOKUP(B42,Biloela!A$4:A$1000,Biloela!B$4:B$1000)+$B$5,Biloela!B$4:B$1000,Biloela!C$4:C$1000)</f>
        <v>11.570585250854492</v>
      </c>
      <c r="G42" s="8">
        <f>LOOKUP(C42,Biloela!D$4:D$672,Biloela!B$4:B$672)-LOOKUP(B42,Biloela!D$4:D$672,Biloela!B$4:B$672)</f>
        <v>738.28870181188449</v>
      </c>
      <c r="H42" s="2">
        <f>LOOKUP($G$18+LOOKUP(B42,Biloela!A$4:A$1000,Biloela!B$4:B$1000),Biloela!B$4:B$1000,Biloela!A$4:A$1000)</f>
        <v>33140</v>
      </c>
      <c r="I42" s="6">
        <f>H42-B42</f>
        <v>69</v>
      </c>
      <c r="J42" s="6">
        <f>I42-D42</f>
        <v>-3</v>
      </c>
      <c r="K42" s="6">
        <f>ABS(J42)</f>
        <v>3</v>
      </c>
      <c r="L42" s="6">
        <f>(I42-D42)^2</f>
        <v>9</v>
      </c>
    </row>
    <row r="43" spans="1:12">
      <c r="A43" s="4" t="s">
        <v>36</v>
      </c>
      <c r="C43" s="2"/>
      <c r="G43" s="8"/>
    </row>
    <row r="44" spans="1:12">
      <c r="A44" s="4" t="s">
        <v>37</v>
      </c>
      <c r="C44" s="2"/>
      <c r="G44" s="8"/>
    </row>
    <row r="45" spans="1:12">
      <c r="A45" s="4" t="s">
        <v>38</v>
      </c>
      <c r="B45" s="2">
        <v>32657</v>
      </c>
      <c r="C45" s="2">
        <f t="shared" si="1"/>
        <v>32782</v>
      </c>
      <c r="D45">
        <v>125</v>
      </c>
      <c r="E45">
        <f>LOOKUP(B45,Beverley!A4:A192,Beverley!C4:C192)</f>
        <v>11.118439674377441</v>
      </c>
      <c r="F45" s="7">
        <f>LOOKUP(LOOKUP(B45,Beverley!A$4:A$1000,Beverley!B$4:B$1000)+$B$5,Beverley!B$4:B$1000,Beverley!C$4:C$1000)</f>
        <v>11.118439674377441</v>
      </c>
      <c r="G45" s="8">
        <f>LOOKUP(C45,Beverley!D$4:D$672,Beverley!B$4:B$672)-LOOKUP(B45,Beverley!D$4:D$672,Beverley!B$4:B$672)</f>
        <v>671.57286046677416</v>
      </c>
      <c r="H45" s="2">
        <f>LOOKUP($G$18+LOOKUP(B45,Beverley!A$4:A$1000,Beverley!B$4:B$1000),Beverley!B$4:B$1000,Beverley!A$4:A$1000)</f>
        <v>32785</v>
      </c>
      <c r="I45" s="6">
        <f>H45-B45</f>
        <v>128</v>
      </c>
      <c r="J45" s="6">
        <f t="shared" ref="J45:J76" si="2">I45-D45</f>
        <v>3</v>
      </c>
      <c r="K45" s="6">
        <f t="shared" ref="K45:K57" si="3">ABS(J45)</f>
        <v>3</v>
      </c>
      <c r="L45" s="6">
        <f t="shared" ref="L45:L76" si="4">(I45-D45)^2</f>
        <v>9</v>
      </c>
    </row>
    <row r="46" spans="1:12">
      <c r="A46" s="4" t="s">
        <v>39</v>
      </c>
      <c r="B46" s="2">
        <v>32675</v>
      </c>
      <c r="C46" s="2">
        <f t="shared" si="1"/>
        <v>32790</v>
      </c>
      <c r="D46">
        <v>115</v>
      </c>
      <c r="E46">
        <f>LOOKUP(B46,Beverley!A5:A193,Beverley!C5:C193)</f>
        <v>10.943681716918945</v>
      </c>
      <c r="F46" s="7">
        <f>LOOKUP(LOOKUP(B46,Beverley!A$4:A$1000,Beverley!B$4:B$1000)+$B$5,Beverley!B$4:B$1000,Beverley!C$4:C$1000)</f>
        <v>10.943681716918945</v>
      </c>
      <c r="G46" s="8">
        <f>LOOKUP(C46,Beverley!D$4:D$672,Beverley!B$4:B$672)-LOOKUP(B46,Beverley!D$4:D$672,Beverley!B$4:B$672)</f>
        <v>629.99929361065745</v>
      </c>
      <c r="H46" s="2">
        <f>LOOKUP($G$18+LOOKUP(B46,Beverley!A$4:A$1000,Beverley!B$4:B$1000),Beverley!B$4:B$1000,Beverley!A$4:A$1000)</f>
        <v>32797</v>
      </c>
      <c r="I46" s="6">
        <f>H46-B46</f>
        <v>122</v>
      </c>
      <c r="J46" s="6">
        <f t="shared" si="2"/>
        <v>7</v>
      </c>
      <c r="K46" s="6">
        <f t="shared" si="3"/>
        <v>7</v>
      </c>
      <c r="L46" s="6">
        <f t="shared" si="4"/>
        <v>49</v>
      </c>
    </row>
    <row r="47" spans="1:12">
      <c r="A47" s="4" t="s">
        <v>40</v>
      </c>
      <c r="B47" s="2">
        <v>32699</v>
      </c>
      <c r="C47" s="2">
        <f t="shared" si="1"/>
        <v>32787</v>
      </c>
      <c r="D47">
        <v>88</v>
      </c>
      <c r="E47">
        <f>LOOKUP(B47,Beverley!A6:A194,Beverley!C6:C194)</f>
        <v>11.026220321655273</v>
      </c>
      <c r="F47" s="7">
        <f>LOOKUP(LOOKUP(B47,Beverley!A$4:A$1000,Beverley!B$4:B$1000)+$B$5,Beverley!B$4:B$1000,Beverley!C$4:C$1000)</f>
        <v>11.026220321655273</v>
      </c>
      <c r="G47" s="8">
        <f>LOOKUP(C47,Beverley!D$4:D$672,Beverley!B$4:B$672)-LOOKUP(B47,Beverley!D$4:D$672,Beverley!B$4:B$672)</f>
        <v>506.62474348696662</v>
      </c>
      <c r="H47" s="2">
        <f>LOOKUP($G$18+LOOKUP(B47,Beverley!A$4:A$1000,Beverley!B$4:B$1000),Beverley!B$4:B$1000,Beverley!A$4:A$1000)</f>
        <v>32809</v>
      </c>
      <c r="I47" s="6">
        <f>H47-B47</f>
        <v>110</v>
      </c>
      <c r="J47" s="6">
        <f t="shared" si="2"/>
        <v>22</v>
      </c>
      <c r="K47" s="6">
        <f t="shared" si="3"/>
        <v>22</v>
      </c>
      <c r="L47" s="6">
        <f t="shared" si="4"/>
        <v>484</v>
      </c>
    </row>
    <row r="48" spans="1:12">
      <c r="A48" s="4" t="s">
        <v>41</v>
      </c>
      <c r="B48" s="2">
        <v>32720</v>
      </c>
      <c r="C48" s="2">
        <f t="shared" si="1"/>
        <v>32815</v>
      </c>
      <c r="D48">
        <v>95</v>
      </c>
      <c r="E48">
        <f>LOOKUP(B48,Beverley!A7:A195,Beverley!C7:C195)</f>
        <v>11.374435424804688</v>
      </c>
      <c r="F48" s="7">
        <f>LOOKUP(LOOKUP(B48,Beverley!A$4:A$1000,Beverley!B$4:B$1000)+$B$5,Beverley!B$4:B$1000,Beverley!C$4:C$1000)</f>
        <v>11.374435424804688</v>
      </c>
      <c r="G48" s="8">
        <f>LOOKUP(C48,Beverley!D$4:D$672,Beverley!B$4:B$672)-LOOKUP(B48,Beverley!D$4:D$672,Beverley!B$4:B$672)</f>
        <v>657.45282727759582</v>
      </c>
      <c r="H48" s="2">
        <f>LOOKUP($G$18+LOOKUP(B48,Beverley!A$4:A$1000,Beverley!B$4:B$1000),Beverley!B$4:B$1000,Beverley!A$4:A$1000)</f>
        <v>32818</v>
      </c>
      <c r="I48" s="6">
        <f>H48-B48</f>
        <v>98</v>
      </c>
      <c r="J48" s="6">
        <f t="shared" si="2"/>
        <v>3</v>
      </c>
      <c r="K48" s="6">
        <f t="shared" si="3"/>
        <v>3</v>
      </c>
      <c r="L48" s="6">
        <f t="shared" si="4"/>
        <v>9</v>
      </c>
    </row>
    <row r="49" spans="1:12">
      <c r="A49" s="4" t="s">
        <v>42</v>
      </c>
      <c r="B49" s="2">
        <v>32742</v>
      </c>
      <c r="C49" s="2">
        <f t="shared" si="1"/>
        <v>32831</v>
      </c>
      <c r="D49">
        <v>89</v>
      </c>
      <c r="E49">
        <f>LOOKUP(B49,Beverley!A8:A196,Beverley!C8:C196)</f>
        <v>11.941276550292969</v>
      </c>
      <c r="F49" s="7">
        <f>LOOKUP(LOOKUP(B49,Beverley!A$4:A$1000,Beverley!B$4:B$1000)+$B$5,Beverley!B$4:B$1000,Beverley!C$4:C$1000)</f>
        <v>11.941276550292969</v>
      </c>
      <c r="G49" s="8">
        <f>LOOKUP(C49,Beverley!D$4:D$672,Beverley!B$4:B$672)-LOOKUP(B49,Beverley!D$4:D$672,Beverley!B$4:B$672)</f>
        <v>757.45252386926666</v>
      </c>
      <c r="H49" s="2">
        <f>LOOKUP($G$18+LOOKUP(B49,Beverley!A$4:A$1000,Beverley!B$4:B$1000),Beverley!B$4:B$1000,Beverley!A$4:A$1000)</f>
        <v>32826</v>
      </c>
      <c r="I49" s="6">
        <f>H49-B49</f>
        <v>84</v>
      </c>
      <c r="J49" s="6">
        <f t="shared" si="2"/>
        <v>-5</v>
      </c>
      <c r="K49" s="6">
        <f t="shared" si="3"/>
        <v>5</v>
      </c>
      <c r="L49" s="6">
        <f t="shared" si="4"/>
        <v>25</v>
      </c>
    </row>
    <row r="50" spans="1:12">
      <c r="A50" s="4" t="s">
        <v>43</v>
      </c>
      <c r="B50" s="2">
        <v>32637</v>
      </c>
      <c r="C50" s="2">
        <f t="shared" si="1"/>
        <v>32706</v>
      </c>
      <c r="D50">
        <v>69</v>
      </c>
      <c r="E50">
        <f>LOOKUP(Fitting!B50,Kununurra!A4:A156,Kununurra!C4:C156)</f>
        <v>12.199295997619629</v>
      </c>
      <c r="F50" s="7">
        <f>LOOKUP(LOOKUP(B50,Kununurra!A$4:A$1000,Kununurra!B$4:B$1000)+$B$5,Kununurra!B$4:B$1000,Kununurra!C$4:C$1000)</f>
        <v>12.199295997619629</v>
      </c>
      <c r="G50" s="8">
        <f>LOOKUP(C50,Kununurra!D$4:D$672,Kununurra!B$4:B$672)-LOOKUP(B50,Kununurra!D$4:D$672,Kununurra!B$4:B$672)</f>
        <v>677.95314640660877</v>
      </c>
      <c r="H50" s="2">
        <f>LOOKUP($G$18+LOOKUP(B50,Kununurra!A$4:A$1000,Kununurra!B$4:B$1000),Kununurra!B$4:B$1000,Kununurra!A$4:A$1000)</f>
        <v>32708</v>
      </c>
      <c r="I50" s="6">
        <f t="shared" ref="I50:I76" si="5">H50-B50</f>
        <v>71</v>
      </c>
      <c r="J50" s="6">
        <f t="shared" si="2"/>
        <v>2</v>
      </c>
      <c r="K50" s="6">
        <f t="shared" si="3"/>
        <v>2</v>
      </c>
      <c r="L50" s="6">
        <f t="shared" si="4"/>
        <v>4</v>
      </c>
    </row>
    <row r="51" spans="1:12">
      <c r="A51" s="4" t="s">
        <v>44</v>
      </c>
      <c r="B51" s="2">
        <v>32653</v>
      </c>
      <c r="C51" s="2">
        <f t="shared" si="1"/>
        <v>32722</v>
      </c>
      <c r="D51">
        <v>69</v>
      </c>
      <c r="E51">
        <f>LOOKUP(Fitting!B51,Kununurra!A5:A157,Kununurra!C5:C157)</f>
        <v>12.059507369995117</v>
      </c>
      <c r="F51" s="7">
        <f>LOOKUP(LOOKUP(B51,Kununurra!A$4:A$1000,Kununurra!B$4:B$1000)+$B$5,Kununurra!B$4:B$1000,Kununurra!C$4:C$1000)</f>
        <v>12.059507369995117</v>
      </c>
      <c r="G51" s="8">
        <f>LOOKUP(C51,Kununurra!D$4:D$672,Kununurra!B$4:B$672)-LOOKUP(B51,Kununurra!D$4:D$672,Kununurra!B$4:B$672)</f>
        <v>667.3823699873717</v>
      </c>
      <c r="H51" s="2">
        <f>LOOKUP($G$18+LOOKUP(B51,Kununurra!A$4:A$1000,Kununurra!B$4:B$1000),Kununurra!B$4:B$1000,Kununurra!A$4:A$1000)</f>
        <v>32725</v>
      </c>
      <c r="I51" s="6">
        <f t="shared" si="5"/>
        <v>72</v>
      </c>
      <c r="J51" s="6">
        <f t="shared" si="2"/>
        <v>3</v>
      </c>
      <c r="K51" s="6">
        <f t="shared" si="3"/>
        <v>3</v>
      </c>
      <c r="L51" s="6">
        <f t="shared" si="4"/>
        <v>9</v>
      </c>
    </row>
    <row r="52" spans="1:12">
      <c r="A52" s="4" t="s">
        <v>45</v>
      </c>
      <c r="B52" s="2">
        <v>32671</v>
      </c>
      <c r="C52" s="2">
        <f t="shared" si="1"/>
        <v>32742</v>
      </c>
      <c r="D52">
        <v>71</v>
      </c>
      <c r="E52">
        <f>LOOKUP(Fitting!B52,Kununurra!A6:A158,Kununurra!C6:C158)</f>
        <v>11.969756126403809</v>
      </c>
      <c r="F52" s="7">
        <f>LOOKUP(LOOKUP(B52,Kununurra!A$4:A$1000,Kununurra!B$4:B$1000)+$B$5,Kununurra!B$4:B$1000,Kununurra!C$4:C$1000)</f>
        <v>11.969756126403809</v>
      </c>
      <c r="G52" s="8">
        <f>LOOKUP(C52,Kununurra!D$4:D$672,Kununurra!B$4:B$672)-LOOKUP(B52,Kununurra!D$4:D$672,Kununurra!B$4:B$672)</f>
        <v>707.79789180245166</v>
      </c>
      <c r="H52" s="2">
        <f>LOOKUP($G$18+LOOKUP(B52,Kununurra!A$4:A$1000,Kununurra!B$4:B$1000),Kununurra!B$4:B$1000,Kununurra!A$4:A$1000)</f>
        <v>32741</v>
      </c>
      <c r="I52" s="6">
        <f t="shared" si="5"/>
        <v>70</v>
      </c>
      <c r="J52" s="6">
        <f t="shared" si="2"/>
        <v>-1</v>
      </c>
      <c r="K52" s="6">
        <f t="shared" si="3"/>
        <v>1</v>
      </c>
      <c r="L52" s="6">
        <f t="shared" si="4"/>
        <v>1</v>
      </c>
    </row>
    <row r="53" spans="1:12">
      <c r="A53" s="4" t="s">
        <v>46</v>
      </c>
      <c r="B53" s="2">
        <v>32692</v>
      </c>
      <c r="C53" s="2">
        <f t="shared" si="1"/>
        <v>32758</v>
      </c>
      <c r="D53">
        <v>66</v>
      </c>
      <c r="E53">
        <f>LOOKUP(Fitting!B53,Kununurra!A7:A159,Kununurra!C7:C159)</f>
        <v>11.969412803649902</v>
      </c>
      <c r="F53" s="7">
        <f>LOOKUP(LOOKUP(B53,Kununurra!A$4:A$1000,Kununurra!B$4:B$1000)+$B$5,Kununurra!B$4:B$1000,Kununurra!C$4:C$1000)</f>
        <v>11.969412803649902</v>
      </c>
      <c r="G53" s="8">
        <f>LOOKUP(C53,Kununurra!D$4:D$672,Kununurra!B$4:B$672)-LOOKUP(B53,Kununurra!D$4:D$672,Kununurra!B$4:B$672)</f>
        <v>702.13293445722695</v>
      </c>
      <c r="H53" s="2">
        <f>LOOKUP($G$18+LOOKUP(B53,Kununurra!A$4:A$1000,Kununurra!B$4:B$1000),Kununurra!B$4:B$1000,Kununurra!A$4:A$1000)</f>
        <v>32757</v>
      </c>
      <c r="I53" s="6">
        <f t="shared" si="5"/>
        <v>65</v>
      </c>
      <c r="J53" s="6">
        <f t="shared" si="2"/>
        <v>-1</v>
      </c>
      <c r="K53" s="6">
        <f t="shared" si="3"/>
        <v>1</v>
      </c>
      <c r="L53" s="6">
        <f t="shared" si="4"/>
        <v>1</v>
      </c>
    </row>
    <row r="54" spans="1:12">
      <c r="A54" s="4" t="s">
        <v>47</v>
      </c>
      <c r="B54" s="2">
        <v>32713</v>
      </c>
      <c r="C54" s="2">
        <f t="shared" si="1"/>
        <v>32780</v>
      </c>
      <c r="D54">
        <v>67</v>
      </c>
      <c r="E54">
        <f>LOOKUP(Fitting!B54,Kununurra!A8:A160,Kununurra!C8:C160)</f>
        <v>12.080810546875</v>
      </c>
      <c r="F54" s="7">
        <f>LOOKUP(LOOKUP(B54,Kununurra!A$4:A$1000,Kununurra!B$4:B$1000)+$B$5,Kununurra!B$4:B$1000,Kununurra!C$4:C$1000)</f>
        <v>12.080810546875</v>
      </c>
      <c r="G54" s="8">
        <f>LOOKUP(C54,Kununurra!D$4:D$672,Kununurra!B$4:B$672)-LOOKUP(B54,Kununurra!D$4:D$672,Kununurra!B$4:B$672)</f>
        <v>753.10023355111025</v>
      </c>
      <c r="H54" s="2">
        <f>LOOKUP($G$18+LOOKUP(B54,Kununurra!A$4:A$1000,Kununurra!B$4:B$1000),Kununurra!B$4:B$1000,Kununurra!A$4:A$1000)</f>
        <v>32775</v>
      </c>
      <c r="I54" s="6">
        <f t="shared" si="5"/>
        <v>62</v>
      </c>
      <c r="J54" s="6">
        <f t="shared" si="2"/>
        <v>-5</v>
      </c>
      <c r="K54" s="6">
        <f t="shared" si="3"/>
        <v>5</v>
      </c>
      <c r="L54" s="6">
        <f t="shared" si="4"/>
        <v>25</v>
      </c>
    </row>
    <row r="55" spans="1:12">
      <c r="A55" s="4" t="s">
        <v>48</v>
      </c>
      <c r="B55" s="2">
        <v>32633</v>
      </c>
      <c r="C55" s="2">
        <f t="shared" si="1"/>
        <v>32721</v>
      </c>
      <c r="D55">
        <v>88</v>
      </c>
      <c r="E55">
        <f>LOOKUP(B55,Ayr!A4:A167,Ayr!C4:C167)</f>
        <v>12.101004600524902</v>
      </c>
      <c r="F55" s="7">
        <f>LOOKUP(LOOKUP(B55,Ayr!A$4:A$1000,Ayr!B$4:B$1000)+$B$5,Ayr!B$4:B$1000,Ayr!C$4:C$1000)</f>
        <v>12.101004600524902</v>
      </c>
      <c r="G55" s="8">
        <f>LOOKUP(C55,Ayr!D$4:D$672,Ayr!B$4:B$672)-LOOKUP(B55,Ayr!D$4:D$672,Ayr!B$4:B$672)</f>
        <v>760.21514829255216</v>
      </c>
      <c r="H55" s="2">
        <f>LOOKUP($G$18+LOOKUP(B55,Ayr!A$4:A$1000,Ayr!B$4:B$1000),Ayr!B$4:B$1000,Ayr!A$4:A$1000)</f>
        <v>32713</v>
      </c>
      <c r="I55" s="6">
        <f t="shared" si="5"/>
        <v>80</v>
      </c>
      <c r="J55" s="6">
        <f t="shared" si="2"/>
        <v>-8</v>
      </c>
      <c r="K55" s="6">
        <f t="shared" si="3"/>
        <v>8</v>
      </c>
      <c r="L55" s="6">
        <f t="shared" si="4"/>
        <v>64</v>
      </c>
    </row>
    <row r="56" spans="1:12">
      <c r="A56" s="4" t="s">
        <v>49</v>
      </c>
      <c r="B56" s="2">
        <v>32667</v>
      </c>
      <c r="C56" s="2">
        <f t="shared" si="1"/>
        <v>32734</v>
      </c>
      <c r="D56">
        <v>67</v>
      </c>
      <c r="E56">
        <f>LOOKUP(B56,Ayr!A5:A168,Ayr!C5:C168)</f>
        <v>11.765681266784668</v>
      </c>
      <c r="F56" s="7">
        <f>LOOKUP(LOOKUP(B56,Ayr!A$4:A$1000,Ayr!B$4:B$1000)+$B$5,Ayr!B$4:B$1000,Ayr!C$4:C$1000)</f>
        <v>11.765681266784668</v>
      </c>
      <c r="G56" s="8">
        <f>LOOKUP(C56,Ayr!D$4:D$672,Ayr!B$4:B$672)-LOOKUP(B56,Ayr!D$4:D$672,Ayr!B$4:B$672)</f>
        <v>519.32683322581056</v>
      </c>
      <c r="H56" s="2">
        <f>LOOKUP($G$18+LOOKUP(B56,Ayr!A$4:A$1000,Ayr!B$4:B$1000),Ayr!B$4:B$1000,Ayr!A$4:A$1000)</f>
        <v>32751</v>
      </c>
      <c r="I56" s="6">
        <f t="shared" si="5"/>
        <v>84</v>
      </c>
      <c r="J56" s="6">
        <f t="shared" si="2"/>
        <v>17</v>
      </c>
      <c r="K56" s="6">
        <f t="shared" si="3"/>
        <v>17</v>
      </c>
      <c r="L56" s="6">
        <f t="shared" si="4"/>
        <v>289</v>
      </c>
    </row>
    <row r="57" spans="1:12">
      <c r="A57" s="4" t="s">
        <v>50</v>
      </c>
      <c r="B57" s="2">
        <v>32695</v>
      </c>
      <c r="C57" s="2">
        <f t="shared" si="1"/>
        <v>32770</v>
      </c>
      <c r="D57">
        <v>75</v>
      </c>
      <c r="E57">
        <f>LOOKUP(B57,Ayr!A6:A169,Ayr!C6:C169)</f>
        <v>11.760345458984375</v>
      </c>
      <c r="F57" s="7">
        <f>LOOKUP(LOOKUP(B57,Ayr!A$4:A$1000,Ayr!B$4:B$1000)+$B$5,Ayr!B$4:B$1000,Ayr!C$4:C$1000)</f>
        <v>11.760345458984375</v>
      </c>
      <c r="G57" s="8">
        <f>LOOKUP(C57,Ayr!D$4:D$672,Ayr!B$4:B$672)-LOOKUP(B57,Ayr!D$4:D$672,Ayr!B$4:B$672)</f>
        <v>697.42772625177645</v>
      </c>
      <c r="H57" s="2">
        <f>LOOKUP($G$18+LOOKUP(B57,Ayr!A$4:A$1000,Ayr!B$4:B$1000),Ayr!B$4:B$1000,Ayr!A$4:A$1000)</f>
        <v>32770</v>
      </c>
      <c r="I57" s="6">
        <f t="shared" si="5"/>
        <v>75</v>
      </c>
      <c r="J57" s="6">
        <f t="shared" si="2"/>
        <v>0</v>
      </c>
      <c r="K57" s="6">
        <f t="shared" si="3"/>
        <v>0</v>
      </c>
      <c r="L57" s="6">
        <f t="shared" si="4"/>
        <v>0</v>
      </c>
    </row>
    <row r="58" spans="1:12">
      <c r="A58" s="4" t="s">
        <v>51</v>
      </c>
      <c r="B58" s="2">
        <v>32728</v>
      </c>
      <c r="C58" s="2">
        <f t="shared" si="1"/>
        <v>32782</v>
      </c>
      <c r="D58">
        <v>54</v>
      </c>
      <c r="E58">
        <f>LOOKUP(B58,Ayr!A7:A170,Ayr!C7:C170)</f>
        <v>12.071565628051758</v>
      </c>
      <c r="F58" s="7">
        <f>LOOKUP(LOOKUP(B58,Ayr!A$4:A$1000,Ayr!B$4:B$1000)+$B$5,Ayr!B$4:B$1000,Ayr!C$4:C$1000)</f>
        <v>12.071565628051758</v>
      </c>
      <c r="G58" s="8">
        <f>LOOKUP(C58,Ayr!D$4:D$672,Ayr!B$4:B$672)-LOOKUP(B58,Ayr!D$4:D$672,Ayr!B$4:B$672)</f>
        <v>600.25067712612952</v>
      </c>
      <c r="H58" s="2">
        <f>LOOKUP($G$18+LOOKUP(B58,Ayr!A$4:A$1000,Ayr!B$4:B$1000),Ayr!B$4:B$1000,Ayr!A$4:A$1000)</f>
        <v>32789</v>
      </c>
      <c r="I58" s="6">
        <f t="shared" si="5"/>
        <v>61</v>
      </c>
      <c r="J58" s="6">
        <f t="shared" si="2"/>
        <v>7</v>
      </c>
      <c r="K58" s="6">
        <f t="shared" ref="K58:K76" si="6">ABS(J58)</f>
        <v>7</v>
      </c>
      <c r="L58" s="6">
        <f t="shared" si="4"/>
        <v>49</v>
      </c>
    </row>
    <row r="59" spans="1:12">
      <c r="A59" s="4" t="s">
        <v>52</v>
      </c>
      <c r="B59" s="2">
        <v>32643</v>
      </c>
      <c r="C59" s="2">
        <f t="shared" si="1"/>
        <v>32742</v>
      </c>
      <c r="D59">
        <v>99</v>
      </c>
      <c r="E59">
        <f>LOOKUP(Fitting!B59,Tamworth!A4:A217,Tamworth!C4:C217)</f>
        <v>11.42725658416748</v>
      </c>
      <c r="F59" s="7">
        <f>LOOKUP(LOOKUP(B59,Tamworth!A$4:A$1000,Tamworth!B$4:B$1000)+$B$5,Tamworth!B$4:B$1000,Tamworth!C$4:C$1000)</f>
        <v>11.42725658416748</v>
      </c>
      <c r="G59" s="8">
        <f>LOOKUP(C59,Tamworth!D$4:D$672,Tamworth!B$4:B$672)-LOOKUP(B59,Tamworth!D$4:D$672,Tamworth!B$4:B$672)</f>
        <v>416.29135712064823</v>
      </c>
      <c r="H59" s="2">
        <f>LOOKUP($G$18+LOOKUP(B59,Tamworth!A$4:A$1000,Tamworth!B$4:B$1000),Tamworth!B$4:B$1000,Tamworth!A$4:A$1000)</f>
        <v>32782</v>
      </c>
      <c r="I59" s="6">
        <f t="shared" si="5"/>
        <v>139</v>
      </c>
      <c r="J59" s="6">
        <f t="shared" si="2"/>
        <v>40</v>
      </c>
      <c r="K59" s="6">
        <f t="shared" si="6"/>
        <v>40</v>
      </c>
      <c r="L59" s="6">
        <f t="shared" si="4"/>
        <v>1600</v>
      </c>
    </row>
    <row r="60" spans="1:12">
      <c r="A60" s="4" t="s">
        <v>53</v>
      </c>
      <c r="B60" s="2">
        <v>32673</v>
      </c>
      <c r="C60" s="2">
        <f t="shared" si="1"/>
        <v>32783</v>
      </c>
      <c r="D60">
        <v>110</v>
      </c>
      <c r="E60">
        <f>LOOKUP(Fitting!B60,Tamworth!A5:A218,Tamworth!C5:C218)</f>
        <v>11.020573616027832</v>
      </c>
      <c r="F60" s="7">
        <f>LOOKUP(LOOKUP(B60,Tamworth!A$4:A$1000,Tamworth!B$4:B$1000)+$B$5,Tamworth!B$4:B$1000,Tamworth!C$4:C$1000)</f>
        <v>11.020573616027832</v>
      </c>
      <c r="G60" s="8">
        <f>LOOKUP(C60,Tamworth!D$4:D$672,Tamworth!B$4:B$672)-LOOKUP(B60,Tamworth!D$4:D$672,Tamworth!B$4:B$672)</f>
        <v>548.6174713825003</v>
      </c>
      <c r="H60" s="2">
        <f>LOOKUP($G$18+LOOKUP(B60,Tamworth!A$4:A$1000,Tamworth!B$4:B$1000),Tamworth!B$4:B$1000,Tamworth!A$4:A$1000)</f>
        <v>32797</v>
      </c>
      <c r="I60" s="6">
        <f t="shared" si="5"/>
        <v>124</v>
      </c>
      <c r="J60" s="6">
        <f t="shared" si="2"/>
        <v>14</v>
      </c>
      <c r="K60" s="6">
        <f t="shared" si="6"/>
        <v>14</v>
      </c>
      <c r="L60" s="6">
        <f t="shared" si="4"/>
        <v>196</v>
      </c>
    </row>
    <row r="61" spans="1:12">
      <c r="A61" s="4" t="s">
        <v>54</v>
      </c>
      <c r="B61" s="2">
        <v>32706</v>
      </c>
      <c r="C61" s="2">
        <f t="shared" si="1"/>
        <v>32799</v>
      </c>
      <c r="D61">
        <v>93</v>
      </c>
      <c r="E61">
        <f>LOOKUP(Fitting!B61,Tamworth!A6:A219,Tamworth!C6:C219)</f>
        <v>11.177150726318359</v>
      </c>
      <c r="F61" s="7">
        <f>LOOKUP(LOOKUP(B61,Tamworth!A$4:A$1000,Tamworth!B$4:B$1000)+$B$5,Tamworth!B$4:B$1000,Tamworth!C$4:C$1000)</f>
        <v>11.177150726318359</v>
      </c>
      <c r="G61" s="8">
        <f>LOOKUP(C61,Tamworth!D$4:D$672,Tamworth!B$4:B$672)-LOOKUP(B61,Tamworth!D$4:D$672,Tamworth!B$4:B$672)</f>
        <v>607.33306048456632</v>
      </c>
      <c r="H61" s="2">
        <f>LOOKUP($G$18+LOOKUP(B61,Tamworth!A$4:A$1000,Tamworth!B$4:B$1000),Tamworth!B$4:B$1000,Tamworth!A$4:A$1000)</f>
        <v>32805</v>
      </c>
      <c r="I61" s="6">
        <f t="shared" si="5"/>
        <v>99</v>
      </c>
      <c r="J61" s="6">
        <f t="shared" si="2"/>
        <v>6</v>
      </c>
      <c r="K61" s="6">
        <f t="shared" si="6"/>
        <v>6</v>
      </c>
      <c r="L61" s="6">
        <f t="shared" si="4"/>
        <v>36</v>
      </c>
    </row>
    <row r="62" spans="1:12">
      <c r="A62" s="4" t="s">
        <v>55</v>
      </c>
      <c r="B62" s="2">
        <v>32735</v>
      </c>
      <c r="C62" s="2">
        <f t="shared" si="1"/>
        <v>32817</v>
      </c>
      <c r="D62">
        <v>82</v>
      </c>
      <c r="E62">
        <f>LOOKUP(Fitting!B62,Tamworth!A7:A220,Tamworth!C7:C220)</f>
        <v>11.779317855834961</v>
      </c>
      <c r="F62" s="7">
        <f>LOOKUP(LOOKUP(B62,Tamworth!A$4:A$1000,Tamworth!B$4:B$1000)+$B$5,Tamworth!B$4:B$1000,Tamworth!C$4:C$1000)</f>
        <v>11.779317855834961</v>
      </c>
      <c r="G62" s="8">
        <f>LOOKUP(C62,Tamworth!D$4:D$672,Tamworth!B$4:B$672)-LOOKUP(B62,Tamworth!D$4:D$672,Tamworth!B$4:B$672)</f>
        <v>732.39470816917674</v>
      </c>
      <c r="H62" s="2">
        <f>LOOKUP($G$18+LOOKUP(B62,Tamworth!A$4:A$1000,Tamworth!B$4:B$1000),Tamworth!B$4:B$1000,Tamworth!A$4:A$1000)</f>
        <v>32814</v>
      </c>
      <c r="I62" s="6">
        <f t="shared" si="5"/>
        <v>79</v>
      </c>
      <c r="J62" s="6">
        <f t="shared" si="2"/>
        <v>-3</v>
      </c>
      <c r="K62" s="6">
        <f t="shared" si="6"/>
        <v>3</v>
      </c>
      <c r="L62" s="6">
        <f t="shared" si="4"/>
        <v>9</v>
      </c>
    </row>
    <row r="63" spans="1:12">
      <c r="A63" s="4" t="s">
        <v>56</v>
      </c>
      <c r="B63" s="2">
        <v>32287</v>
      </c>
      <c r="C63" s="2">
        <f t="shared" si="1"/>
        <v>32395.666666666668</v>
      </c>
      <c r="D63">
        <v>108.66666666666667</v>
      </c>
      <c r="E63">
        <f>LOOKUP(B63,Herm8889!A4:A672,Herm8889!C4:C672)</f>
        <v>11.40645694732666</v>
      </c>
      <c r="F63" s="7">
        <f>LOOKUP(LOOKUP(B63,Herm8889!A$4:A$1000,Herm8889!B$4:B$1000)+$B$5,Herm8889!B$4:B$1000,Herm8889!C$4:C$1000)</f>
        <v>11.40645694732666</v>
      </c>
      <c r="G63" s="8">
        <f>LOOKUP(C63,Herm8889!D$4:D$672,Herm8889!B$4:B$672)-LOOKUP(B63,Herm8889!D$4:D$672,Herm8889!B$4:B$672)</f>
        <v>609.01608614863494</v>
      </c>
      <c r="H63" s="2">
        <f>LOOKUP($G$18+LOOKUP(B63,Herm8889!A$4:A$1000,Herm8889!B$4:B$1000),Herm8889!B$4:B$1000,Herm8889!A$4:A$1000)</f>
        <v>32405</v>
      </c>
      <c r="I63" s="6">
        <f t="shared" si="5"/>
        <v>118</v>
      </c>
      <c r="J63" s="6">
        <f t="shared" si="2"/>
        <v>9.3333333333333286</v>
      </c>
      <c r="K63" s="6">
        <f t="shared" si="6"/>
        <v>9.3333333333333286</v>
      </c>
      <c r="L63" s="6">
        <f t="shared" si="4"/>
        <v>87.111111111111029</v>
      </c>
    </row>
    <row r="64" spans="1:12">
      <c r="A64" s="4" t="s">
        <v>57</v>
      </c>
      <c r="B64" s="2">
        <v>32318</v>
      </c>
      <c r="C64" s="2">
        <f t="shared" si="1"/>
        <v>32412.333333333332</v>
      </c>
      <c r="D64">
        <v>94.333333333333329</v>
      </c>
      <c r="E64">
        <f>LOOKUP(B64,Herm8889!A5:A673,Herm8889!C5:C673)</f>
        <v>11.194823265075684</v>
      </c>
      <c r="F64" s="7">
        <f>LOOKUP(LOOKUP(B64,Herm8889!A$4:A$1000,Herm8889!B$4:B$1000)+$B$5,Herm8889!B$4:B$1000,Herm8889!C$4:C$1000)</f>
        <v>11.194823265075684</v>
      </c>
      <c r="G64" s="8">
        <f>LOOKUP(C64,Herm8889!D$4:D$672,Herm8889!B$4:B$672)-LOOKUP(B64,Herm8889!D$4:D$672,Herm8889!B$4:B$672)</f>
        <v>593.52209664711427</v>
      </c>
      <c r="H64" s="2">
        <f>LOOKUP($G$18+LOOKUP(B64,Herm8889!A$4:A$1000,Herm8889!B$4:B$1000),Herm8889!B$4:B$1000,Herm8889!A$4:A$1000)</f>
        <v>32421</v>
      </c>
      <c r="I64" s="6">
        <f t="shared" si="5"/>
        <v>103</v>
      </c>
      <c r="J64" s="6">
        <f t="shared" si="2"/>
        <v>8.6666666666666714</v>
      </c>
      <c r="K64" s="6">
        <f t="shared" si="6"/>
        <v>8.6666666666666714</v>
      </c>
      <c r="L64" s="6">
        <f t="shared" si="4"/>
        <v>75.1111111111112</v>
      </c>
    </row>
    <row r="65" spans="1:12">
      <c r="A65" s="4" t="s">
        <v>58</v>
      </c>
      <c r="B65" s="2">
        <v>32353</v>
      </c>
      <c r="C65" s="2">
        <f t="shared" si="1"/>
        <v>32425.666666666668</v>
      </c>
      <c r="D65">
        <v>72.666666666666671</v>
      </c>
      <c r="E65">
        <f>LOOKUP(B65,Herm8889!A6:A674,Herm8889!C6:C674)</f>
        <v>11.550734519958496</v>
      </c>
      <c r="F65" s="7">
        <f>LOOKUP(LOOKUP(B65,Herm8889!A$4:A$1000,Herm8889!B$4:B$1000)+$B$5,Herm8889!B$4:B$1000,Herm8889!C$4:C$1000)</f>
        <v>11.550734519958496</v>
      </c>
      <c r="G65" s="8">
        <f>LOOKUP(C65,Herm8889!D$4:D$672,Herm8889!B$4:B$672)-LOOKUP(B65,Herm8889!D$4:D$672,Herm8889!B$4:B$672)</f>
        <v>576.00526811826285</v>
      </c>
      <c r="H65" s="2">
        <f>LOOKUP($G$18+LOOKUP(B65,Herm8889!A$4:A$1000,Herm8889!B$4:B$1000),Herm8889!B$4:B$1000,Herm8889!A$4:A$1000)</f>
        <v>32434</v>
      </c>
      <c r="I65" s="6">
        <f t="shared" si="5"/>
        <v>81</v>
      </c>
      <c r="J65" s="6">
        <f t="shared" si="2"/>
        <v>8.3333333333333286</v>
      </c>
      <c r="K65" s="6">
        <f t="shared" si="6"/>
        <v>8.3333333333333286</v>
      </c>
      <c r="L65" s="6">
        <f t="shared" si="4"/>
        <v>69.444444444444372</v>
      </c>
    </row>
    <row r="66" spans="1:12">
      <c r="A66" s="4" t="s">
        <v>59</v>
      </c>
      <c r="B66" s="2">
        <v>32392</v>
      </c>
      <c r="C66" s="2">
        <f t="shared" si="1"/>
        <v>32470.333333333332</v>
      </c>
      <c r="D66">
        <v>78.333333333333329</v>
      </c>
      <c r="E66">
        <f>LOOKUP(B66,Herm8889!A7:A675,Herm8889!C7:C675)</f>
        <v>12.472089767456055</v>
      </c>
      <c r="F66" s="7">
        <f>LOOKUP(LOOKUP(B66,Herm8889!A$4:A$1000,Herm8889!B$4:B$1000)+$B$5,Herm8889!B$4:B$1000,Herm8889!C$4:C$1000)</f>
        <v>12.472089767456055</v>
      </c>
      <c r="G66" s="8">
        <f>LOOKUP(C66,Herm8889!D$4:D$672,Herm8889!B$4:B$672)-LOOKUP(B66,Herm8889!D$4:D$672,Herm8889!B$4:B$672)</f>
        <v>957.2023050774194</v>
      </c>
      <c r="H66" s="2">
        <f>LOOKUP($G$18+LOOKUP(B66,Herm8889!A$4:A$1000,Herm8889!B$4:B$1000),Herm8889!B$4:B$1000,Herm8889!A$4:A$1000)</f>
        <v>32451</v>
      </c>
      <c r="I66" s="6">
        <f t="shared" si="5"/>
        <v>59</v>
      </c>
      <c r="J66" s="6">
        <f t="shared" si="2"/>
        <v>-19.333333333333329</v>
      </c>
      <c r="K66" s="6">
        <f t="shared" si="6"/>
        <v>19.333333333333329</v>
      </c>
      <c r="L66" s="6">
        <f t="shared" si="4"/>
        <v>373.7777777777776</v>
      </c>
    </row>
    <row r="67" spans="1:12">
      <c r="A67" s="4" t="s">
        <v>60</v>
      </c>
      <c r="B67" s="2">
        <v>32437</v>
      </c>
      <c r="C67" s="2">
        <f t="shared" si="1"/>
        <v>32488.333333333332</v>
      </c>
      <c r="D67">
        <v>51.333333333333336</v>
      </c>
      <c r="E67">
        <f>LOOKUP(B67,Herm8889!A8:A676,Herm8889!C8:C676)</f>
        <v>13.770918846130371</v>
      </c>
      <c r="F67" s="7">
        <f>LOOKUP(LOOKUP(B67,Herm8889!A$4:A$1000,Herm8889!B$4:B$1000)+$B$5,Herm8889!B$4:B$1000,Herm8889!C$4:C$1000)</f>
        <v>13.770918846130371</v>
      </c>
      <c r="G67" s="8">
        <f>LOOKUP(C67,Herm8889!D$4:D$672,Herm8889!B$4:B$672)-LOOKUP(B67,Herm8889!D$4:D$672,Herm8889!B$4:B$672)</f>
        <v>771.14282054653063</v>
      </c>
      <c r="H67" s="2">
        <f>LOOKUP($G$18+LOOKUP(B67,Herm8889!A$4:A$1000,Herm8889!B$4:B$1000),Herm8889!B$4:B$1000,Herm8889!A$4:A$1000)</f>
        <v>32484</v>
      </c>
      <c r="I67" s="6">
        <f t="shared" si="5"/>
        <v>47</v>
      </c>
      <c r="J67" s="6">
        <f t="shared" si="2"/>
        <v>-4.3333333333333357</v>
      </c>
      <c r="K67" s="6">
        <f t="shared" si="6"/>
        <v>4.3333333333333357</v>
      </c>
      <c r="L67" s="6">
        <f t="shared" si="4"/>
        <v>18.7777777777778</v>
      </c>
    </row>
    <row r="68" spans="1:12">
      <c r="A68" s="4" t="s">
        <v>61</v>
      </c>
      <c r="B68" s="2">
        <v>32493</v>
      </c>
      <c r="C68" s="2">
        <f t="shared" si="1"/>
        <v>32544</v>
      </c>
      <c r="D68">
        <v>51</v>
      </c>
      <c r="E68">
        <f>LOOKUP(B68,Herm8889!A9:A677,Herm8889!C9:C677)</f>
        <v>14.806985855102539</v>
      </c>
      <c r="F68" s="7">
        <f>LOOKUP(LOOKUP(B68,Herm8889!A$4:A$1000,Herm8889!B$4:B$1000)+$B$5,Herm8889!B$4:B$1000,Herm8889!C$4:C$1000)</f>
        <v>14.806985855102539</v>
      </c>
      <c r="G68" s="8">
        <f>LOOKUP(C68,Herm8889!D$4:D$672,Herm8889!B$4:B$672)-LOOKUP(B68,Herm8889!D$4:D$672,Herm8889!B$4:B$672)</f>
        <v>853.60375625764391</v>
      </c>
      <c r="H68" s="2">
        <f>LOOKUP($G$18+LOOKUP(B68,Herm8889!A$4:A$1000,Herm8889!B$4:B$1000),Herm8889!B$4:B$1000,Herm8889!A$4:A$1000)</f>
        <v>32533</v>
      </c>
      <c r="I68" s="6">
        <f t="shared" si="5"/>
        <v>40</v>
      </c>
      <c r="J68" s="6">
        <f t="shared" si="2"/>
        <v>-11</v>
      </c>
      <c r="K68" s="6">
        <f t="shared" si="6"/>
        <v>11</v>
      </c>
      <c r="L68" s="6">
        <f t="shared" si="4"/>
        <v>121</v>
      </c>
    </row>
    <row r="69" spans="1:12">
      <c r="A69" s="4" t="s">
        <v>62</v>
      </c>
      <c r="B69" s="2">
        <v>32552</v>
      </c>
      <c r="C69" s="2">
        <f t="shared" si="1"/>
        <v>32616.333333333332</v>
      </c>
      <c r="D69">
        <v>64.333333333333329</v>
      </c>
      <c r="E69">
        <f>LOOKUP(B69,Herm8889!A10:A678,Herm8889!C10:C678)</f>
        <v>13.993136405944824</v>
      </c>
      <c r="F69" s="7">
        <f>LOOKUP(LOOKUP(B69,Herm8889!A$4:A$1000,Herm8889!B$4:B$1000)+$B$5,Herm8889!B$4:B$1000,Herm8889!C$4:C$1000)</f>
        <v>13.993136405944824</v>
      </c>
      <c r="G69" s="8">
        <f>LOOKUP(C69,Herm8889!D$4:D$672,Herm8889!B$4:B$672)-LOOKUP(B69,Herm8889!D$4:D$672,Herm8889!B$4:B$672)</f>
        <v>821.84696311867083</v>
      </c>
      <c r="H69" s="2">
        <f>LOOKUP($G$18+LOOKUP(B69,Herm8889!A$4:A$1000,Herm8889!B$4:B$1000),Herm8889!B$4:B$1000,Herm8889!A$4:A$1000)</f>
        <v>32603</v>
      </c>
      <c r="I69" s="6">
        <f t="shared" si="5"/>
        <v>51</v>
      </c>
      <c r="J69" s="6">
        <f t="shared" si="2"/>
        <v>-13.333333333333329</v>
      </c>
      <c r="K69" s="6">
        <f t="shared" si="6"/>
        <v>13.333333333333329</v>
      </c>
      <c r="L69" s="6">
        <f t="shared" si="4"/>
        <v>177.77777777777766</v>
      </c>
    </row>
    <row r="70" spans="1:12">
      <c r="A70" s="4" t="s">
        <v>63</v>
      </c>
      <c r="B70" s="2">
        <v>32622</v>
      </c>
      <c r="C70" s="2">
        <f t="shared" si="1"/>
        <v>32755.666666666668</v>
      </c>
      <c r="D70">
        <v>133.66666666666666</v>
      </c>
      <c r="E70">
        <f>LOOKUP(B70,Herm8889!A11:A679,Herm8889!C11:C679)</f>
        <v>12.028648376464844</v>
      </c>
      <c r="F70" s="7">
        <f>LOOKUP(LOOKUP(B70,Herm8889!A$4:A$1000,Herm8889!B$4:B$1000)+$B$5,Herm8889!B$4:B$1000,Herm8889!C$4:C$1000)</f>
        <v>12.028648376464844</v>
      </c>
      <c r="G70" s="8">
        <f>LOOKUP(C70,Herm8889!D$4:D$672,Herm8889!B$4:B$672)-LOOKUP(B70,Herm8889!D$4:D$672,Herm8889!B$4:B$672)</f>
        <v>741.38466991681298</v>
      </c>
      <c r="H70" s="2">
        <f>LOOKUP($G$18+LOOKUP(B70,Herm8889!A$4:A$1000,Herm8889!B$4:B$1000),Herm8889!B$4:B$1000,Herm8889!A$4:A$1000)</f>
        <v>32747</v>
      </c>
      <c r="I70" s="6">
        <f t="shared" si="5"/>
        <v>125</v>
      </c>
      <c r="J70" s="6">
        <f t="shared" si="2"/>
        <v>-8.6666666666666572</v>
      </c>
      <c r="K70" s="6">
        <f t="shared" si="6"/>
        <v>8.6666666666666572</v>
      </c>
      <c r="L70" s="6">
        <f t="shared" si="4"/>
        <v>75.111111111110944</v>
      </c>
    </row>
    <row r="71" spans="1:12">
      <c r="A71" s="4" t="s">
        <v>64</v>
      </c>
      <c r="B71" s="2">
        <v>32643</v>
      </c>
      <c r="C71" s="2">
        <f t="shared" si="1"/>
        <v>32761.333333333332</v>
      </c>
      <c r="D71">
        <v>118.33333333333333</v>
      </c>
      <c r="E71">
        <f>LOOKUP(B71,Herm8889!A12:A680,Herm8889!C12:C680)</f>
        <v>11.571234703063965</v>
      </c>
      <c r="F71" s="7">
        <f>LOOKUP(LOOKUP(B71,Herm8889!A$4:A$1000,Herm8889!B$4:B$1000)+$B$5,Herm8889!B$4:B$1000,Herm8889!C$4:C$1000)</f>
        <v>11.571234703063965</v>
      </c>
      <c r="G71" s="8">
        <f>LOOKUP(C71,Herm8889!D$4:D$672,Herm8889!B$4:B$672)-LOOKUP(B71,Herm8889!D$4:D$672,Herm8889!B$4:B$672)</f>
        <v>602.70499302126336</v>
      </c>
      <c r="H71" s="2">
        <f>LOOKUP($G$18+LOOKUP(B71,Herm8889!A$4:A$1000,Herm8889!B$4:B$1000),Herm8889!B$4:B$1000,Herm8889!A$4:A$1000)</f>
        <v>32773</v>
      </c>
      <c r="I71" s="6">
        <f t="shared" si="5"/>
        <v>130</v>
      </c>
      <c r="J71" s="6">
        <f t="shared" si="2"/>
        <v>11.666666666666671</v>
      </c>
      <c r="K71" s="6">
        <f t="shared" si="6"/>
        <v>11.666666666666671</v>
      </c>
      <c r="L71" s="6">
        <f t="shared" si="4"/>
        <v>136.11111111111123</v>
      </c>
    </row>
    <row r="72" spans="1:12">
      <c r="A72" s="4" t="s">
        <v>65</v>
      </c>
      <c r="B72" s="2">
        <v>32678</v>
      </c>
      <c r="C72" s="2">
        <f t="shared" si="1"/>
        <v>32778.666666666664</v>
      </c>
      <c r="D72">
        <v>100.66666666666667</v>
      </c>
      <c r="E72">
        <f>LOOKUP(B72,Herm8889!A13:A681,Herm8889!C13:C681)</f>
        <v>11.196650505065918</v>
      </c>
      <c r="F72" s="7">
        <f>LOOKUP(LOOKUP(B72,Herm8889!A$4:A$1000,Herm8889!B$4:B$1000)+$B$5,Herm8889!B$4:B$1000,Herm8889!C$4:C$1000)</f>
        <v>11.196650505065918</v>
      </c>
      <c r="G72" s="8">
        <f>LOOKUP(C72,Herm8889!D$4:D$672,Herm8889!B$4:B$672)-LOOKUP(B72,Herm8889!D$4:D$672,Herm8889!B$4:B$672)</f>
        <v>537.67132192536792</v>
      </c>
      <c r="H72" s="2">
        <f>LOOKUP($G$18+LOOKUP(B72,Herm8889!A$4:A$1000,Herm8889!B$4:B$1000),Herm8889!B$4:B$1000,Herm8889!A$4:A$1000)</f>
        <v>32793</v>
      </c>
      <c r="I72" s="6">
        <f t="shared" si="5"/>
        <v>115</v>
      </c>
      <c r="J72" s="6">
        <f t="shared" si="2"/>
        <v>14.333333333333329</v>
      </c>
      <c r="K72" s="6">
        <f t="shared" si="6"/>
        <v>14.333333333333329</v>
      </c>
      <c r="L72" s="6">
        <f t="shared" si="4"/>
        <v>205.44444444444431</v>
      </c>
    </row>
    <row r="73" spans="1:12">
      <c r="A73" s="4" t="s">
        <v>66</v>
      </c>
      <c r="B73" s="2">
        <v>32703</v>
      </c>
      <c r="C73" s="2">
        <f t="shared" si="1"/>
        <v>32790</v>
      </c>
      <c r="D73">
        <v>87</v>
      </c>
      <c r="E73">
        <f>LOOKUP(B73,Herm8889!A14:A682,Herm8889!C14:C682)</f>
        <v>11.315212249755859</v>
      </c>
      <c r="F73" s="7">
        <f>LOOKUP(LOOKUP(B73,Herm8889!A$4:A$1000,Herm8889!B$4:B$1000)+$B$5,Herm8889!B$4:B$1000,Herm8889!C$4:C$1000)</f>
        <v>11.315212249755859</v>
      </c>
      <c r="G73" s="8">
        <f>LOOKUP(C73,Herm8889!D$4:D$672,Herm8889!B$4:B$672)-LOOKUP(B73,Herm8889!D$4:D$672,Herm8889!B$4:B$672)</f>
        <v>552.8183129683548</v>
      </c>
      <c r="H73" s="2">
        <f>LOOKUP($G$18+LOOKUP(B73,Herm8889!A$4:A$1000,Herm8889!B$4:B$1000),Herm8889!B$4:B$1000,Herm8889!A$4:A$1000)</f>
        <v>32801</v>
      </c>
      <c r="I73" s="6">
        <f t="shared" si="5"/>
        <v>98</v>
      </c>
      <c r="J73" s="6">
        <f t="shared" si="2"/>
        <v>11</v>
      </c>
      <c r="K73" s="6">
        <f t="shared" si="6"/>
        <v>11</v>
      </c>
      <c r="L73" s="6">
        <f t="shared" si="4"/>
        <v>121</v>
      </c>
    </row>
    <row r="74" spans="1:12">
      <c r="A74" s="4" t="s">
        <v>67</v>
      </c>
      <c r="B74" s="2">
        <v>32748</v>
      </c>
      <c r="C74" s="2">
        <f t="shared" si="1"/>
        <v>32827</v>
      </c>
      <c r="D74">
        <v>79</v>
      </c>
      <c r="E74">
        <f>LOOKUP(B74,Herm8889!A15:A683,Herm8889!C15:C683)</f>
        <v>12.203076362609863</v>
      </c>
      <c r="F74" s="7">
        <f>LOOKUP(LOOKUP(B74,Herm8889!A$4:A$1000,Herm8889!B$4:B$1000)+$B$5,Herm8889!B$4:B$1000,Herm8889!C$4:C$1000)</f>
        <v>12.203076362609863</v>
      </c>
      <c r="G74" s="8">
        <f>LOOKUP(C74,Herm8889!D$4:D$672,Herm8889!B$4:B$672)-LOOKUP(B74,Herm8889!D$4:D$672,Herm8889!B$4:B$672)</f>
        <v>841.04823459374347</v>
      </c>
      <c r="H74" s="2">
        <f>LOOKUP($G$18+LOOKUP(B74,Herm8889!A$4:A$1000,Herm8889!B$4:B$1000),Herm8889!B$4:B$1000,Herm8889!A$4:A$1000)</f>
        <v>32816</v>
      </c>
      <c r="I74" s="6">
        <f t="shared" si="5"/>
        <v>68</v>
      </c>
      <c r="J74" s="6">
        <f t="shared" si="2"/>
        <v>-11</v>
      </c>
      <c r="K74" s="6">
        <f t="shared" si="6"/>
        <v>11</v>
      </c>
      <c r="L74" s="6">
        <f t="shared" si="4"/>
        <v>121</v>
      </c>
    </row>
    <row r="75" spans="1:12">
      <c r="A75" s="4" t="s">
        <v>68</v>
      </c>
      <c r="B75" s="2">
        <v>32797</v>
      </c>
      <c r="C75" s="2">
        <f t="shared" si="1"/>
        <v>32858.666666666664</v>
      </c>
      <c r="D75">
        <v>61.666666666666664</v>
      </c>
      <c r="E75">
        <f>LOOKUP(B75,Herm8889!A16:A684,Herm8889!C16:C684)</f>
        <v>13.600369453430176</v>
      </c>
      <c r="F75" s="7">
        <f>LOOKUP(LOOKUP(B75,Herm8889!A$4:A$1000,Herm8889!B$4:B$1000)+$B$5,Herm8889!B$4:B$1000,Herm8889!C$4:C$1000)</f>
        <v>13.600369453430176</v>
      </c>
      <c r="G75" s="8">
        <f>LOOKUP(C75,Herm8889!D$4:D$672,Herm8889!B$4:B$672)-LOOKUP(B75,Herm8889!D$4:D$672,Herm8889!B$4:B$672)</f>
        <v>881.15151921869619</v>
      </c>
      <c r="H75" s="2">
        <f>LOOKUP($G$18+LOOKUP(B75,Herm8889!A$4:A$1000,Herm8889!B$4:B$1000),Herm8889!B$4:B$1000,Herm8889!A$4:A$1000)</f>
        <v>32846</v>
      </c>
      <c r="I75" s="6">
        <f t="shared" si="5"/>
        <v>49</v>
      </c>
      <c r="J75" s="6">
        <f t="shared" si="2"/>
        <v>-12.666666666666664</v>
      </c>
      <c r="K75" s="6">
        <f t="shared" si="6"/>
        <v>12.666666666666664</v>
      </c>
      <c r="L75" s="6">
        <f t="shared" si="4"/>
        <v>160.44444444444437</v>
      </c>
    </row>
    <row r="76" spans="1:12">
      <c r="A76" s="4" t="s">
        <v>69</v>
      </c>
      <c r="B76" s="2">
        <v>32854</v>
      </c>
      <c r="C76" s="2">
        <f t="shared" si="1"/>
        <v>32931</v>
      </c>
      <c r="D76">
        <v>77</v>
      </c>
      <c r="E76">
        <f>LOOKUP(B76,Herm8889!A17:A685,Herm8889!C17:C685)</f>
        <v>14.780780792236328</v>
      </c>
      <c r="F76" s="7">
        <f>LOOKUP(LOOKUP(B76,Herm8889!A$4:A$1000,Herm8889!B$4:B$1000)+$B$5,Herm8889!B$4:B$1000,Herm8889!C$4:C$1000)</f>
        <v>14.780780792236328</v>
      </c>
      <c r="G76" s="8">
        <f>LOOKUP(C76,Herm8889!D$4:D$672,Herm8889!B$4:B$672)-LOOKUP(B76,Herm8889!D$4:D$672,Herm8889!B$4:B$672)</f>
        <v>1255.8258406873392</v>
      </c>
      <c r="H76" s="2">
        <f>LOOKUP($G$18+LOOKUP(B76,Herm8889!A$4:A$1000,Herm8889!B$4:B$1000),Herm8889!B$4:B$1000,Herm8889!A$4:A$1000)</f>
        <v>32895</v>
      </c>
      <c r="I76" s="6">
        <f t="shared" si="5"/>
        <v>41</v>
      </c>
      <c r="J76" s="6">
        <f t="shared" si="2"/>
        <v>-36</v>
      </c>
      <c r="K76" s="6">
        <f t="shared" si="6"/>
        <v>36</v>
      </c>
      <c r="L76" s="6">
        <f t="shared" si="4"/>
        <v>1296</v>
      </c>
    </row>
  </sheetData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K2781"/>
  <sheetViews>
    <sheetView topLeftCell="A3" workbookViewId="0">
      <selection activeCell="I4" sqref="I4"/>
    </sheetView>
  </sheetViews>
  <sheetFormatPr defaultRowHeight="13.2"/>
  <cols>
    <col min="1" max="1" width="9.77734375" bestFit="1" customWidth="1"/>
    <col min="4" max="4" width="9.77734375" bestFit="1" customWidth="1"/>
    <col min="16" max="16" width="11.21875" bestFit="1" customWidth="1"/>
    <col min="17" max="17" width="10.109375" bestFit="1" customWidth="1"/>
    <col min="18" max="20" width="10.109375" customWidth="1"/>
    <col min="21" max="21" width="12.5546875" bestFit="1" customWidth="1"/>
    <col min="22" max="22" width="9.5546875" bestFit="1" customWidth="1"/>
    <col min="23" max="23" width="9.5546875" customWidth="1"/>
    <col min="24" max="24" width="9.33203125" bestFit="1" customWidth="1"/>
    <col min="27" max="27" width="9.33203125" bestFit="1" customWidth="1"/>
    <col min="28" max="28" width="9.33203125" customWidth="1"/>
    <col min="30" max="30" width="10.109375" bestFit="1" customWidth="1"/>
    <col min="31" max="34" width="10.109375" customWidth="1"/>
    <col min="40" max="40" width="9.33203125" bestFit="1" customWidth="1"/>
    <col min="41" max="41" width="9.33203125" customWidth="1"/>
    <col min="52" max="52" width="10.109375" bestFit="1" customWidth="1"/>
    <col min="53" max="53" width="12.33203125" bestFit="1" customWidth="1"/>
  </cols>
  <sheetData>
    <row r="1" spans="1:11">
      <c r="A1" t="s">
        <v>8</v>
      </c>
      <c r="B1">
        <v>-28.23</v>
      </c>
    </row>
    <row r="3" spans="1:11">
      <c r="A3" t="s">
        <v>9</v>
      </c>
      <c r="B3" t="s">
        <v>6</v>
      </c>
      <c r="C3" t="s">
        <v>7</v>
      </c>
      <c r="D3" t="s">
        <v>11</v>
      </c>
      <c r="E3" t="s">
        <v>0</v>
      </c>
      <c r="F3" t="s">
        <v>1</v>
      </c>
      <c r="G3" t="s">
        <v>2</v>
      </c>
      <c r="H3" t="s">
        <v>3</v>
      </c>
      <c r="I3" s="3" t="s">
        <v>85</v>
      </c>
      <c r="J3" t="s">
        <v>4</v>
      </c>
      <c r="K3" s="3"/>
    </row>
    <row r="4" spans="1:11">
      <c r="A4" s="1">
        <f>DATE(E4,1,1)+F4-1</f>
        <v>32264</v>
      </c>
      <c r="B4">
        <f>J4</f>
        <v>9.3092581580912217</v>
      </c>
      <c r="C4">
        <f>day_length(F4,$B$1,Fitting!$B$4)</f>
        <v>11.839339256286621</v>
      </c>
      <c r="D4" s="1">
        <f>A4</f>
        <v>32264</v>
      </c>
      <c r="E4" s="5">
        <v>1988</v>
      </c>
      <c r="F4" s="5">
        <v>122</v>
      </c>
      <c r="G4">
        <v>24</v>
      </c>
      <c r="H4">
        <v>13.5</v>
      </c>
      <c r="I4">
        <f>MAX(0,1-Fitting!$B$7*(Fitting!$B$6-Herm8889!C4)^2)</f>
        <v>0.49649376843153181</v>
      </c>
      <c r="J4">
        <f>tt(G4,H4,Fitting!$B$1:$E$1,Fitting!$B$2:$E$2)*I4</f>
        <v>9.3092581580912217</v>
      </c>
      <c r="K4" s="3"/>
    </row>
    <row r="5" spans="1:11">
      <c r="A5" s="1">
        <f>A4+1</f>
        <v>32265</v>
      </c>
      <c r="B5">
        <f t="shared" ref="B5:B68" si="0">B4+J5</f>
        <v>19.634261339768528</v>
      </c>
      <c r="C5">
        <f>day_length(F5,$B$1,Fitting!$B$4)</f>
        <v>11.81685733795166</v>
      </c>
      <c r="D5" s="1">
        <f t="shared" ref="D5:D68" si="1">A5</f>
        <v>32265</v>
      </c>
      <c r="E5">
        <f>YEAR(A5)</f>
        <v>1988</v>
      </c>
      <c r="F5" s="6">
        <f>A5-DATE(E5,1,1)+1</f>
        <v>123</v>
      </c>
      <c r="G5">
        <v>25.3</v>
      </c>
      <c r="H5">
        <v>16.5</v>
      </c>
      <c r="I5">
        <f>MAX(0,1-Fitting!$B$7*(Fitting!$B$6-Herm8889!C5)^2)</f>
        <v>0.49401934509080636</v>
      </c>
      <c r="J5">
        <f>tt(G5,H5,Fitting!$B$1:$E$1,Fitting!$B$2:$E$2)*I5</f>
        <v>10.325003181677307</v>
      </c>
    </row>
    <row r="6" spans="1:11">
      <c r="A6" s="1">
        <f t="shared" ref="A6:A69" si="2">A5+1</f>
        <v>32266</v>
      </c>
      <c r="B6">
        <f t="shared" si="0"/>
        <v>29.121570862473028</v>
      </c>
      <c r="C6">
        <f>day_length(F6,$B$1,Fitting!$B$4)</f>
        <v>11.794661521911621</v>
      </c>
      <c r="D6" s="1">
        <f t="shared" si="1"/>
        <v>32266</v>
      </c>
      <c r="E6">
        <f t="shared" ref="E6:E69" si="3">YEAR(A6)</f>
        <v>1988</v>
      </c>
      <c r="F6" s="6">
        <f t="shared" ref="F6:F69" si="4">A6-DATE(E6,1,1)+1</f>
        <v>124</v>
      </c>
      <c r="G6">
        <v>23.4</v>
      </c>
      <c r="H6">
        <v>15.2</v>
      </c>
      <c r="I6">
        <f>MAX(0,1-Fitting!$B$7*(Fitting!$B$6-Herm8889!C6)^2)</f>
        <v>0.49157046102295321</v>
      </c>
      <c r="J6">
        <f>tt(G6,H6,Fitting!$B$1:$E$1,Fitting!$B$2:$E$2)*I6</f>
        <v>9.4873095227044981</v>
      </c>
    </row>
    <row r="7" spans="1:11">
      <c r="A7" s="1">
        <f t="shared" si="2"/>
        <v>32267</v>
      </c>
      <c r="B7">
        <f t="shared" si="0"/>
        <v>38.757783397341655</v>
      </c>
      <c r="C7">
        <f>day_length(F7,$B$1,Fitting!$B$4)</f>
        <v>11.772756576538086</v>
      </c>
      <c r="D7" s="1">
        <f t="shared" si="1"/>
        <v>32267</v>
      </c>
      <c r="E7">
        <f t="shared" si="3"/>
        <v>1988</v>
      </c>
      <c r="F7" s="6">
        <f t="shared" si="4"/>
        <v>125</v>
      </c>
      <c r="G7">
        <v>24.2</v>
      </c>
      <c r="H7">
        <v>15.2</v>
      </c>
      <c r="I7">
        <f>MAX(0,1-Fitting!$B$7*(Fitting!$B$6-Herm8889!C7)^2)</f>
        <v>0.4891478728250731</v>
      </c>
      <c r="J7">
        <f>tt(G7,H7,Fitting!$B$1:$E$1,Fitting!$B$2:$E$2)*I7</f>
        <v>9.6362125348686245</v>
      </c>
    </row>
    <row r="8" spans="1:11">
      <c r="A8" s="1">
        <f t="shared" si="2"/>
        <v>32268</v>
      </c>
      <c r="B8">
        <f t="shared" si="0"/>
        <v>47.616679264576135</v>
      </c>
      <c r="C8">
        <f>day_length(F8,$B$1,Fitting!$B$4)</f>
        <v>11.75114917755127</v>
      </c>
      <c r="D8" s="1">
        <f t="shared" si="1"/>
        <v>32268</v>
      </c>
      <c r="E8">
        <f t="shared" si="3"/>
        <v>1988</v>
      </c>
      <c r="F8" s="6">
        <f t="shared" si="4"/>
        <v>126</v>
      </c>
      <c r="G8">
        <v>23.3</v>
      </c>
      <c r="H8">
        <v>13.1</v>
      </c>
      <c r="I8">
        <f>MAX(0,1-Fitting!$B$7*(Fitting!$B$6-Herm8889!C8)^2)</f>
        <v>0.48675255078453661</v>
      </c>
      <c r="J8">
        <f>tt(G8,H8,Fitting!$B$1:$E$1,Fitting!$B$2:$E$2)*I8</f>
        <v>8.8588958672344784</v>
      </c>
    </row>
    <row r="9" spans="1:11">
      <c r="A9" s="1">
        <f t="shared" si="2"/>
        <v>32269</v>
      </c>
      <c r="B9">
        <f t="shared" si="0"/>
        <v>56.020769176660806</v>
      </c>
      <c r="C9">
        <f>day_length(F9,$B$1,Fitting!$B$4)</f>
        <v>11.729846954345703</v>
      </c>
      <c r="D9" s="1">
        <f t="shared" si="1"/>
        <v>32269</v>
      </c>
      <c r="E9">
        <f t="shared" si="3"/>
        <v>1988</v>
      </c>
      <c r="F9" s="6">
        <f t="shared" si="4"/>
        <v>127</v>
      </c>
      <c r="G9">
        <v>23.1</v>
      </c>
      <c r="H9">
        <v>11.6</v>
      </c>
      <c r="I9">
        <f>MAX(0,1-Fitting!$B$7*(Fitting!$B$6-Herm8889!C9)^2)</f>
        <v>0.4843855750608782</v>
      </c>
      <c r="J9">
        <f>tt(G9,H9,Fitting!$B$1:$E$1,Fitting!$B$2:$E$2)*I9</f>
        <v>8.4040899120846699</v>
      </c>
    </row>
    <row r="10" spans="1:11">
      <c r="A10" s="1">
        <f t="shared" si="2"/>
        <v>32270</v>
      </c>
      <c r="B10">
        <f t="shared" si="0"/>
        <v>63.444307022196497</v>
      </c>
      <c r="C10">
        <f>day_length(F10,$B$1,Fitting!$B$4)</f>
        <v>11.708856582641602</v>
      </c>
      <c r="D10" s="1">
        <f t="shared" si="1"/>
        <v>32270</v>
      </c>
      <c r="E10">
        <f t="shared" si="3"/>
        <v>1988</v>
      </c>
      <c r="F10" s="6">
        <f t="shared" si="4"/>
        <v>128</v>
      </c>
      <c r="G10">
        <v>22.4</v>
      </c>
      <c r="H10">
        <v>8.4</v>
      </c>
      <c r="I10">
        <f>MAX(0,1-Fitting!$B$7*(Fitting!$B$6-Herm8889!C10)^2)</f>
        <v>0.48204792398846619</v>
      </c>
      <c r="J10">
        <f>tt(G10,H10,Fitting!$B$1:$E$1,Fitting!$B$2:$E$2)*I10</f>
        <v>7.42353784553569</v>
      </c>
    </row>
    <row r="11" spans="1:11">
      <c r="A11" s="1">
        <f t="shared" si="2"/>
        <v>32271</v>
      </c>
      <c r="B11">
        <f t="shared" si="0"/>
        <v>71.503948386341804</v>
      </c>
      <c r="C11">
        <f>day_length(F11,$B$1,Fitting!$B$4)</f>
        <v>11.68818473815918</v>
      </c>
      <c r="D11" s="1">
        <f t="shared" si="1"/>
        <v>32271</v>
      </c>
      <c r="E11">
        <f t="shared" si="3"/>
        <v>1988</v>
      </c>
      <c r="F11" s="6">
        <f t="shared" si="4"/>
        <v>129</v>
      </c>
      <c r="G11">
        <v>25.3</v>
      </c>
      <c r="H11">
        <v>8.3000000000000007</v>
      </c>
      <c r="I11">
        <f>MAX(0,1-Fitting!$B$7*(Fitting!$B$6-Herm8889!C11)^2)</f>
        <v>0.47974057917609025</v>
      </c>
      <c r="J11">
        <f>tt(G11,H11,Fitting!$B$1:$E$1,Fitting!$B$2:$E$2)*I11</f>
        <v>8.0596413641453015</v>
      </c>
    </row>
    <row r="12" spans="1:11">
      <c r="A12" s="1">
        <f t="shared" si="2"/>
        <v>32272</v>
      </c>
      <c r="B12">
        <f t="shared" si="0"/>
        <v>78.2123250572362</v>
      </c>
      <c r="C12">
        <f>day_length(F12,$B$1,Fitting!$B$4)</f>
        <v>11.667838096618652</v>
      </c>
      <c r="D12" s="1">
        <f t="shared" si="1"/>
        <v>32272</v>
      </c>
      <c r="E12">
        <f t="shared" si="3"/>
        <v>1988</v>
      </c>
      <c r="F12" s="6">
        <f t="shared" si="4"/>
        <v>130</v>
      </c>
      <c r="G12">
        <v>22.6</v>
      </c>
      <c r="H12">
        <v>5.5</v>
      </c>
      <c r="I12">
        <f>MAX(0,1-Fitting!$B$7*(Fitting!$B$6-Herm8889!C12)^2)</f>
        <v>0.47746452525446692</v>
      </c>
      <c r="J12">
        <f>tt(G12,H12,Fitting!$B$1:$E$1,Fitting!$B$2:$E$2)*I12</f>
        <v>6.708376670894391</v>
      </c>
    </row>
    <row r="13" spans="1:11">
      <c r="A13" s="1">
        <f t="shared" si="2"/>
        <v>32273</v>
      </c>
      <c r="B13">
        <f t="shared" si="0"/>
        <v>84.295153029682098</v>
      </c>
      <c r="C13">
        <f>day_length(F13,$B$1,Fitting!$B$4)</f>
        <v>11.647825241088867</v>
      </c>
      <c r="D13" s="1">
        <f t="shared" si="1"/>
        <v>32273</v>
      </c>
      <c r="E13">
        <f t="shared" si="3"/>
        <v>1988</v>
      </c>
      <c r="F13" s="6">
        <f t="shared" si="4"/>
        <v>131</v>
      </c>
      <c r="G13">
        <v>21.5</v>
      </c>
      <c r="H13">
        <v>4.0999999999999996</v>
      </c>
      <c r="I13">
        <f>MAX(0,1-Fitting!$B$7*(Fitting!$B$6-Herm8889!C13)^2)</f>
        <v>0.47522096367271294</v>
      </c>
      <c r="J13">
        <f>tt(G13,H13,Fitting!$B$1:$E$1,Fitting!$B$2:$E$2)*I13</f>
        <v>6.0828279724459033</v>
      </c>
    </row>
    <row r="14" spans="1:11">
      <c r="A14" s="1">
        <f t="shared" si="2"/>
        <v>32274</v>
      </c>
      <c r="B14">
        <f t="shared" si="0"/>
        <v>90.562543452727638</v>
      </c>
      <c r="C14">
        <f>day_length(F14,$B$1,Fitting!$B$4)</f>
        <v>11.62814998626709</v>
      </c>
      <c r="D14" s="1">
        <f t="shared" si="1"/>
        <v>32274</v>
      </c>
      <c r="E14">
        <f t="shared" si="3"/>
        <v>1988</v>
      </c>
      <c r="F14" s="6">
        <f t="shared" si="4"/>
        <v>132</v>
      </c>
      <c r="G14">
        <v>21</v>
      </c>
      <c r="H14">
        <v>5.5</v>
      </c>
      <c r="I14">
        <f>MAX(0,1-Fitting!$B$7*(Fitting!$B$6-Herm8889!C14)^2)</f>
        <v>0.47301056392056673</v>
      </c>
      <c r="J14">
        <f>tt(G14,H14,Fitting!$B$1:$E$1,Fitting!$B$2:$E$2)*I14</f>
        <v>6.2673904230455353</v>
      </c>
    </row>
    <row r="15" spans="1:11">
      <c r="A15" s="1">
        <f t="shared" si="2"/>
        <v>32275</v>
      </c>
      <c r="B15">
        <f t="shared" si="0"/>
        <v>97.366105910904963</v>
      </c>
      <c r="C15">
        <f>day_length(F15,$B$1,Fitting!$B$4)</f>
        <v>11.608822822570801</v>
      </c>
      <c r="D15" s="1">
        <f t="shared" si="1"/>
        <v>32275</v>
      </c>
      <c r="E15">
        <f t="shared" si="3"/>
        <v>1988</v>
      </c>
      <c r="F15" s="6">
        <f t="shared" si="4"/>
        <v>133</v>
      </c>
      <c r="G15">
        <v>20.2</v>
      </c>
      <c r="H15">
        <v>8.6999999999999993</v>
      </c>
      <c r="I15">
        <f>MAX(0,1-Fitting!$B$7*(Fitting!$B$6-Herm8889!C15)^2)</f>
        <v>0.47083474733279762</v>
      </c>
      <c r="J15">
        <f>tt(G15,H15,Fitting!$B$1:$E$1,Fitting!$B$2:$E$2)*I15</f>
        <v>6.8035624581773302</v>
      </c>
    </row>
    <row r="16" spans="1:11">
      <c r="A16" s="1">
        <f t="shared" si="2"/>
        <v>32276</v>
      </c>
      <c r="B16">
        <f t="shared" si="0"/>
        <v>104.63086747653597</v>
      </c>
      <c r="C16">
        <f>day_length(F16,$B$1,Fitting!$B$4)</f>
        <v>11.589848518371582</v>
      </c>
      <c r="D16" s="1">
        <f t="shared" si="1"/>
        <v>32276</v>
      </c>
      <c r="E16">
        <f t="shared" si="3"/>
        <v>1988</v>
      </c>
      <c r="F16" s="6">
        <f t="shared" si="4"/>
        <v>134</v>
      </c>
      <c r="G16">
        <v>20.7</v>
      </c>
      <c r="H16">
        <v>10.3</v>
      </c>
      <c r="I16">
        <f>MAX(0,1-Fitting!$B$7*(Fitting!$B$6-Herm8889!C16)^2)</f>
        <v>0.46869429455683898</v>
      </c>
      <c r="J16">
        <f>tt(G16,H16,Fitting!$B$1:$E$1,Fitting!$B$2:$E$2)*I16</f>
        <v>7.2647615656310043</v>
      </c>
    </row>
    <row r="17" spans="1:10">
      <c r="A17" s="1">
        <f t="shared" si="2"/>
        <v>32277</v>
      </c>
      <c r="B17">
        <f t="shared" si="0"/>
        <v>111.53640370636198</v>
      </c>
      <c r="C17">
        <f>day_length(F17,$B$1,Fitting!$B$4)</f>
        <v>11.571234703063965</v>
      </c>
      <c r="D17" s="1">
        <f t="shared" si="1"/>
        <v>32277</v>
      </c>
      <c r="E17">
        <f t="shared" si="3"/>
        <v>1988</v>
      </c>
      <c r="F17" s="6">
        <f t="shared" si="4"/>
        <v>135</v>
      </c>
      <c r="G17">
        <v>20.5</v>
      </c>
      <c r="H17">
        <v>9.1</v>
      </c>
      <c r="I17">
        <f>MAX(0,1-Fitting!$B$7*(Fitting!$B$6-Herm8889!C17)^2)</f>
        <v>0.4665903098517683</v>
      </c>
      <c r="J17">
        <f>tt(G17,H17,Fitting!$B$1:$E$1,Fitting!$B$2:$E$2)*I17</f>
        <v>6.9055362298260148</v>
      </c>
    </row>
    <row r="18" spans="1:10">
      <c r="A18" s="1">
        <f t="shared" si="2"/>
        <v>32278</v>
      </c>
      <c r="B18">
        <f t="shared" si="0"/>
        <v>117.87715475979593</v>
      </c>
      <c r="C18">
        <f>day_length(F18,$B$1,Fitting!$B$4)</f>
        <v>11.55298900604248</v>
      </c>
      <c r="D18" s="1">
        <f t="shared" si="1"/>
        <v>32278</v>
      </c>
      <c r="E18">
        <f t="shared" si="3"/>
        <v>1988</v>
      </c>
      <c r="F18" s="6">
        <f t="shared" si="4"/>
        <v>136</v>
      </c>
      <c r="G18">
        <v>20.8</v>
      </c>
      <c r="H18">
        <v>6.5</v>
      </c>
      <c r="I18">
        <f>MAX(0,1-Fitting!$B$7*(Fitting!$B$6-Herm8889!C18)^2)</f>
        <v>0.46452389968027452</v>
      </c>
      <c r="J18">
        <f>tt(G18,H18,Fitting!$B$1:$E$1,Fitting!$B$2:$E$2)*I18</f>
        <v>6.3407510534339426</v>
      </c>
    </row>
    <row r="19" spans="1:10">
      <c r="A19" s="1">
        <f t="shared" si="2"/>
        <v>32279</v>
      </c>
      <c r="B19">
        <f t="shared" si="0"/>
        <v>124.28272392323937</v>
      </c>
      <c r="C19">
        <f>day_length(F19,$B$1,Fitting!$B$4)</f>
        <v>11.535117149353027</v>
      </c>
      <c r="D19" s="1">
        <f t="shared" si="1"/>
        <v>32279</v>
      </c>
      <c r="E19">
        <f t="shared" si="3"/>
        <v>1988</v>
      </c>
      <c r="F19" s="6">
        <f t="shared" si="4"/>
        <v>137</v>
      </c>
      <c r="G19">
        <v>20.3</v>
      </c>
      <c r="H19">
        <v>7.4</v>
      </c>
      <c r="I19">
        <f>MAX(0,1-Fitting!$B$7*(Fitting!$B$6-Herm8889!C19)^2)</f>
        <v>0.46249595574117297</v>
      </c>
      <c r="J19">
        <f>tt(G19,H19,Fitting!$B$1:$E$1,Fitting!$B$2:$E$2)*I19</f>
        <v>6.4055691634434515</v>
      </c>
    </row>
    <row r="20" spans="1:10">
      <c r="A20" s="1">
        <f t="shared" si="2"/>
        <v>32280</v>
      </c>
      <c r="B20">
        <f t="shared" si="0"/>
        <v>131.81202491564341</v>
      </c>
      <c r="C20">
        <f>day_length(F20,$B$1,Fitting!$B$4)</f>
        <v>11.517627716064453</v>
      </c>
      <c r="D20" s="1">
        <f t="shared" si="1"/>
        <v>32280</v>
      </c>
      <c r="E20">
        <f t="shared" si="3"/>
        <v>1988</v>
      </c>
      <c r="F20" s="6">
        <f t="shared" si="4"/>
        <v>138</v>
      </c>
      <c r="G20">
        <v>21.9</v>
      </c>
      <c r="H20">
        <v>10.8</v>
      </c>
      <c r="I20">
        <f>MAX(0,1-Fitting!$B$7*(Fitting!$B$6-Herm8889!C20)^2)</f>
        <v>0.46050769521310575</v>
      </c>
      <c r="J20">
        <f>tt(G20,H20,Fitting!$B$1:$E$1,Fitting!$B$2:$E$2)*I20</f>
        <v>7.529300992404024</v>
      </c>
    </row>
    <row r="21" spans="1:10">
      <c r="A21" s="1">
        <f t="shared" si="2"/>
        <v>32281</v>
      </c>
      <c r="B21">
        <f t="shared" si="0"/>
        <v>139.69925558749529</v>
      </c>
      <c r="C21">
        <f>day_length(F21,$B$1,Fitting!$B$4)</f>
        <v>11.50052547454834</v>
      </c>
      <c r="D21" s="1">
        <f t="shared" si="1"/>
        <v>32281</v>
      </c>
      <c r="E21">
        <f t="shared" si="3"/>
        <v>1988</v>
      </c>
      <c r="F21" s="6">
        <f t="shared" si="4"/>
        <v>139</v>
      </c>
      <c r="G21">
        <v>19.600000000000001</v>
      </c>
      <c r="H21">
        <v>14.8</v>
      </c>
      <c r="I21">
        <f>MAX(0,1-Fitting!$B$7*(Fitting!$B$6-Herm8889!C21)^2)</f>
        <v>0.4585599024417697</v>
      </c>
      <c r="J21">
        <f>tt(G21,H21,Fitting!$B$1:$E$1,Fitting!$B$2:$E$2)*I21</f>
        <v>7.8872306718518796</v>
      </c>
    </row>
    <row r="22" spans="1:10">
      <c r="A22" s="1">
        <f t="shared" si="2"/>
        <v>32282</v>
      </c>
      <c r="B22">
        <f t="shared" si="0"/>
        <v>145.70425283004536</v>
      </c>
      <c r="C22">
        <f>day_length(F22,$B$1,Fitting!$B$4)</f>
        <v>11.483819007873535</v>
      </c>
      <c r="D22" s="1">
        <f t="shared" si="1"/>
        <v>32282</v>
      </c>
      <c r="E22">
        <f t="shared" si="3"/>
        <v>1988</v>
      </c>
      <c r="F22" s="6">
        <f t="shared" si="4"/>
        <v>140</v>
      </c>
      <c r="G22">
        <v>21.1</v>
      </c>
      <c r="H22">
        <v>5.2</v>
      </c>
      <c r="I22">
        <f>MAX(0,1-Fitting!$B$7*(Fitting!$B$6-Herm8889!C22)^2)</f>
        <v>0.45665379595054578</v>
      </c>
      <c r="J22">
        <f>tt(G22,H22,Fitting!$B$1:$E$1,Fitting!$B$2:$E$2)*I22</f>
        <v>6.0049972425500782</v>
      </c>
    </row>
    <row r="23" spans="1:10">
      <c r="A23" s="1">
        <f t="shared" si="2"/>
        <v>32283</v>
      </c>
      <c r="B23">
        <f t="shared" si="0"/>
        <v>150.41133384340924</v>
      </c>
      <c r="C23">
        <f>day_length(F23,$B$1,Fitting!$B$4)</f>
        <v>11.467514991760254</v>
      </c>
      <c r="D23" s="1">
        <f t="shared" si="1"/>
        <v>32283</v>
      </c>
      <c r="E23">
        <f t="shared" si="3"/>
        <v>1988</v>
      </c>
      <c r="F23" s="6">
        <f t="shared" si="4"/>
        <v>141</v>
      </c>
      <c r="G23">
        <v>19.2</v>
      </c>
      <c r="H23">
        <v>1.5</v>
      </c>
      <c r="I23">
        <f>MAX(0,1-Fitting!$B$7*(Fitting!$B$6-Herm8889!C23)^2)</f>
        <v>0.45479037740610695</v>
      </c>
      <c r="J23">
        <f>tt(G23,H23,Fitting!$B$1:$E$1,Fitting!$B$2:$E$2)*I23</f>
        <v>4.7070810133638705</v>
      </c>
    </row>
    <row r="24" spans="1:10">
      <c r="A24" s="1">
        <f t="shared" si="2"/>
        <v>32284</v>
      </c>
      <c r="B24">
        <f t="shared" si="0"/>
        <v>156.61703163368924</v>
      </c>
      <c r="C24">
        <f>day_length(F24,$B$1,Fitting!$B$4)</f>
        <v>11.451620101928711</v>
      </c>
      <c r="D24" s="1">
        <f t="shared" si="1"/>
        <v>32284</v>
      </c>
      <c r="E24">
        <f t="shared" si="3"/>
        <v>1988</v>
      </c>
      <c r="F24" s="6">
        <f t="shared" si="4"/>
        <v>142</v>
      </c>
      <c r="G24">
        <v>18.3</v>
      </c>
      <c r="H24">
        <v>9.1</v>
      </c>
      <c r="I24">
        <f>MAX(0,1-Fitting!$B$7*(Fitting!$B$6-Herm8889!C24)^2)</f>
        <v>0.45297064793264874</v>
      </c>
      <c r="J24">
        <f>tt(G24,H24,Fitting!$B$1:$E$1,Fitting!$B$2:$E$2)*I24</f>
        <v>6.2056977902799932</v>
      </c>
    </row>
    <row r="25" spans="1:10">
      <c r="A25" s="1">
        <f t="shared" si="2"/>
        <v>32285</v>
      </c>
      <c r="B25">
        <f t="shared" si="0"/>
        <v>160.94850964056016</v>
      </c>
      <c r="C25">
        <f>day_length(F25,$B$1,Fitting!$B$4)</f>
        <v>11.436141014099121</v>
      </c>
      <c r="D25" s="1">
        <f t="shared" si="1"/>
        <v>32285</v>
      </c>
      <c r="E25">
        <f t="shared" si="3"/>
        <v>1988</v>
      </c>
      <c r="F25" s="6">
        <f t="shared" si="4"/>
        <v>143</v>
      </c>
      <c r="G25">
        <v>15.9</v>
      </c>
      <c r="H25">
        <v>3.3</v>
      </c>
      <c r="I25">
        <f>MAX(0,1-Fitting!$B$7*(Fitting!$B$6-Herm8889!C25)^2)</f>
        <v>0.45119560778681811</v>
      </c>
      <c r="J25">
        <f>tt(G25,H25,Fitting!$B$1:$E$1,Fitting!$B$2:$E$2)*I25</f>
        <v>4.3314780068709187</v>
      </c>
    </row>
    <row r="26" spans="1:10">
      <c r="A26" s="1">
        <f t="shared" si="2"/>
        <v>32286</v>
      </c>
      <c r="B26">
        <f t="shared" si="0"/>
        <v>166.79157139755941</v>
      </c>
      <c r="C26">
        <f>day_length(F26,$B$1,Fitting!$B$4)</f>
        <v>11.421084403991699</v>
      </c>
      <c r="D26" s="1">
        <f t="shared" si="1"/>
        <v>32286</v>
      </c>
      <c r="E26">
        <f t="shared" si="3"/>
        <v>1988</v>
      </c>
      <c r="F26" s="6">
        <f t="shared" si="4"/>
        <v>144</v>
      </c>
      <c r="G26">
        <v>18.899999999999999</v>
      </c>
      <c r="H26">
        <v>7.1</v>
      </c>
      <c r="I26">
        <f>MAX(0,1-Fitting!$B$7*(Fitting!$B$6-Herm8889!C26)^2)</f>
        <v>0.44946625602729362</v>
      </c>
      <c r="J26">
        <f>tt(G26,H26,Fitting!$B$1:$E$1,Fitting!$B$2:$E$2)*I26</f>
        <v>5.8430617569992416</v>
      </c>
    </row>
    <row r="27" spans="1:10">
      <c r="A27" s="1">
        <f t="shared" si="2"/>
        <v>32287</v>
      </c>
      <c r="B27">
        <f t="shared" si="0"/>
        <v>173.35160124990585</v>
      </c>
      <c r="C27">
        <f>day_length(F27,$B$1,Fitting!$B$4)</f>
        <v>11.40645694732666</v>
      </c>
      <c r="D27" s="1">
        <f t="shared" si="1"/>
        <v>32287</v>
      </c>
      <c r="E27">
        <f t="shared" si="3"/>
        <v>1988</v>
      </c>
      <c r="F27" s="6">
        <f t="shared" si="4"/>
        <v>145</v>
      </c>
      <c r="G27">
        <v>18.600000000000001</v>
      </c>
      <c r="H27">
        <v>10.7</v>
      </c>
      <c r="I27">
        <f>MAX(0,1-Fitting!$B$7*(Fitting!$B$6-Herm8889!C27)^2)</f>
        <v>0.44778359017901859</v>
      </c>
      <c r="J27">
        <f>tt(G27,H27,Fitting!$B$1:$E$1,Fitting!$B$2:$E$2)*I27</f>
        <v>6.5600298523464478</v>
      </c>
    </row>
    <row r="28" spans="1:10">
      <c r="A28" s="1">
        <f t="shared" si="2"/>
        <v>32288</v>
      </c>
      <c r="B28">
        <f t="shared" si="0"/>
        <v>177.79077912489595</v>
      </c>
      <c r="C28">
        <f>day_length(F28,$B$1,Fitting!$B$4)</f>
        <v>11.392264366149902</v>
      </c>
      <c r="D28" s="1">
        <f t="shared" si="1"/>
        <v>32288</v>
      </c>
      <c r="E28">
        <f t="shared" si="3"/>
        <v>1988</v>
      </c>
      <c r="F28" s="6">
        <f t="shared" si="4"/>
        <v>146</v>
      </c>
      <c r="G28">
        <v>17.7</v>
      </c>
      <c r="H28">
        <v>2.2000000000000002</v>
      </c>
      <c r="I28">
        <f>MAX(0,1-Fitting!$B$7*(Fitting!$B$6-Herm8889!C28)^2)</f>
        <v>0.44614849594028239</v>
      </c>
      <c r="J28">
        <f>tt(G28,H28,Fitting!$B$1:$E$1,Fitting!$B$2:$E$2)*I28</f>
        <v>4.439177874990099</v>
      </c>
    </row>
    <row r="29" spans="1:10">
      <c r="A29" s="1">
        <f t="shared" si="2"/>
        <v>32289</v>
      </c>
      <c r="B29">
        <f t="shared" si="0"/>
        <v>183.85905322481207</v>
      </c>
      <c r="C29">
        <f>day_length(F29,$B$1,Fitting!$B$4)</f>
        <v>11.378515243530273</v>
      </c>
      <c r="D29" s="1">
        <f t="shared" si="1"/>
        <v>32289</v>
      </c>
      <c r="E29">
        <f t="shared" si="3"/>
        <v>1988</v>
      </c>
      <c r="F29" s="6">
        <f t="shared" si="4"/>
        <v>147</v>
      </c>
      <c r="G29">
        <v>17.8</v>
      </c>
      <c r="H29">
        <v>9.5</v>
      </c>
      <c r="I29">
        <f>MAX(0,1-Fitting!$B$7*(Fitting!$B$6-Herm8889!C29)^2)</f>
        <v>0.44456218648612411</v>
      </c>
      <c r="J29">
        <f>tt(G29,H29,Fitting!$B$1:$E$1,Fitting!$B$2:$E$2)*I29</f>
        <v>6.0682740999161178</v>
      </c>
    </row>
    <row r="30" spans="1:10">
      <c r="A30" s="1">
        <f t="shared" si="2"/>
        <v>32290</v>
      </c>
      <c r="B30">
        <f t="shared" si="0"/>
        <v>190.59303636421274</v>
      </c>
      <c r="C30">
        <f>day_length(F30,$B$1,Fitting!$B$4)</f>
        <v>11.365212440490723</v>
      </c>
      <c r="D30" s="1">
        <f t="shared" si="1"/>
        <v>32290</v>
      </c>
      <c r="E30">
        <f t="shared" si="3"/>
        <v>1988</v>
      </c>
      <c r="F30" s="6">
        <f t="shared" si="4"/>
        <v>148</v>
      </c>
      <c r="G30">
        <v>19.399999999999999</v>
      </c>
      <c r="H30">
        <v>11</v>
      </c>
      <c r="I30">
        <f>MAX(0,1-Fitting!$B$7*(Fitting!$B$6-Herm8889!C30)^2)</f>
        <v>0.44302521209875156</v>
      </c>
      <c r="J30">
        <f>tt(G30,H30,Fitting!$B$1:$E$1,Fitting!$B$2:$E$2)*I30</f>
        <v>6.7339831394006708</v>
      </c>
    </row>
    <row r="31" spans="1:10">
      <c r="A31" s="1">
        <f t="shared" si="2"/>
        <v>32291</v>
      </c>
      <c r="B31">
        <f t="shared" si="0"/>
        <v>197.17196608688843</v>
      </c>
      <c r="C31">
        <f>day_length(F31,$B$1,Fitting!$B$4)</f>
        <v>11.352365493774414</v>
      </c>
      <c r="D31" s="1">
        <f t="shared" si="1"/>
        <v>32291</v>
      </c>
      <c r="E31">
        <f t="shared" si="3"/>
        <v>1988</v>
      </c>
      <c r="F31" s="6">
        <f t="shared" si="4"/>
        <v>149</v>
      </c>
      <c r="G31">
        <v>20.399999999999999</v>
      </c>
      <c r="H31">
        <v>9.4</v>
      </c>
      <c r="I31">
        <f>MAX(0,1-Fitting!$B$7*(Fitting!$B$6-Herm8889!C31)^2)</f>
        <v>0.44153889060571239</v>
      </c>
      <c r="J31">
        <f>tt(G31,H31,Fitting!$B$1:$E$1,Fitting!$B$2:$E$2)*I31</f>
        <v>6.578929722675694</v>
      </c>
    </row>
    <row r="32" spans="1:10">
      <c r="A32" s="1">
        <f t="shared" si="2"/>
        <v>32292</v>
      </c>
      <c r="B32">
        <f t="shared" si="0"/>
        <v>202.03511479185204</v>
      </c>
      <c r="C32">
        <f>day_length(F32,$B$1,Fitting!$B$4)</f>
        <v>11.33997917175293</v>
      </c>
      <c r="D32" s="1">
        <f t="shared" si="1"/>
        <v>32292</v>
      </c>
      <c r="E32">
        <f t="shared" si="3"/>
        <v>1988</v>
      </c>
      <c r="F32" s="6">
        <f t="shared" si="4"/>
        <v>150</v>
      </c>
      <c r="G32">
        <v>17.399999999999999</v>
      </c>
      <c r="H32">
        <v>4.7</v>
      </c>
      <c r="I32">
        <f>MAX(0,1-Fitting!$B$7*(Fitting!$B$6-Herm8889!C32)^2)</f>
        <v>0.4401039855869967</v>
      </c>
      <c r="J32">
        <f>tt(G32,H32,Fitting!$B$1:$E$1,Fitting!$B$2:$E$2)*I32</f>
        <v>4.8631487049636197</v>
      </c>
    </row>
    <row r="33" spans="1:10">
      <c r="A33" s="1">
        <f t="shared" si="2"/>
        <v>32293</v>
      </c>
      <c r="B33">
        <f t="shared" si="0"/>
        <v>206.55394381101036</v>
      </c>
      <c r="C33">
        <f>day_length(F33,$B$1,Fitting!$B$4)</f>
        <v>11.328058242797852</v>
      </c>
      <c r="D33" s="1">
        <f t="shared" si="1"/>
        <v>32293</v>
      </c>
      <c r="E33">
        <f t="shared" si="3"/>
        <v>1988</v>
      </c>
      <c r="F33" s="6">
        <f t="shared" si="4"/>
        <v>151</v>
      </c>
      <c r="G33">
        <v>18.7</v>
      </c>
      <c r="H33">
        <v>1.9</v>
      </c>
      <c r="I33">
        <f>MAX(0,1-Fitting!$B$7*(Fitting!$B$6-Herm8889!C33)^2)</f>
        <v>0.43872125587173649</v>
      </c>
      <c r="J33">
        <f>tt(G33,H33,Fitting!$B$1:$E$1,Fitting!$B$2:$E$2)*I33</f>
        <v>4.5188290191583249</v>
      </c>
    </row>
    <row r="34" spans="1:10">
      <c r="A34" s="1">
        <f t="shared" si="2"/>
        <v>32294</v>
      </c>
      <c r="B34">
        <f t="shared" si="0"/>
        <v>212.30564461263484</v>
      </c>
      <c r="C34">
        <f>day_length(F34,$B$1,Fitting!$B$4)</f>
        <v>11.316609382629395</v>
      </c>
      <c r="D34" s="1">
        <f t="shared" si="1"/>
        <v>32294</v>
      </c>
      <c r="E34">
        <f t="shared" si="3"/>
        <v>1988</v>
      </c>
      <c r="F34" s="6">
        <f t="shared" si="4"/>
        <v>152</v>
      </c>
      <c r="G34">
        <v>16.600000000000001</v>
      </c>
      <c r="H34">
        <v>9.6999999999999993</v>
      </c>
      <c r="I34">
        <f>MAX(0,1-Fitting!$B$7*(Fitting!$B$6-Herm8889!C34)^2)</f>
        <v>0.43739167690851355</v>
      </c>
      <c r="J34">
        <f>tt(G34,H34,Fitting!$B$1:$E$1,Fitting!$B$2:$E$2)*I34</f>
        <v>5.7517008016244784</v>
      </c>
    </row>
    <row r="35" spans="1:10">
      <c r="A35" s="1">
        <f t="shared" si="2"/>
        <v>32295</v>
      </c>
      <c r="B35">
        <f t="shared" si="0"/>
        <v>218.04057127861898</v>
      </c>
      <c r="C35">
        <f>day_length(F35,$B$1,Fitting!$B$4)</f>
        <v>11.305638313293457</v>
      </c>
      <c r="D35" s="1">
        <f t="shared" si="1"/>
        <v>32295</v>
      </c>
      <c r="E35">
        <f t="shared" si="3"/>
        <v>1988</v>
      </c>
      <c r="F35" s="6">
        <f t="shared" si="4"/>
        <v>153</v>
      </c>
      <c r="G35">
        <v>17</v>
      </c>
      <c r="H35">
        <v>9.3000000000000007</v>
      </c>
      <c r="I35">
        <f>MAX(0,1-Fitting!$B$7*(Fitting!$B$6-Herm8889!C35)^2)</f>
        <v>0.43611610892389763</v>
      </c>
      <c r="J35">
        <f>tt(G35,H35,Fitting!$B$1:$E$1,Fitting!$B$2:$E$2)*I35</f>
        <v>5.7349266659841609</v>
      </c>
    </row>
    <row r="36" spans="1:10">
      <c r="A36" s="1">
        <f t="shared" si="2"/>
        <v>32296</v>
      </c>
      <c r="B36">
        <f t="shared" si="0"/>
        <v>224.67272623544139</v>
      </c>
      <c r="C36">
        <f>day_length(F36,$B$1,Fitting!$B$4)</f>
        <v>11.295150756835938</v>
      </c>
      <c r="D36" s="1">
        <f t="shared" si="1"/>
        <v>32296</v>
      </c>
      <c r="E36">
        <f t="shared" si="3"/>
        <v>1988</v>
      </c>
      <c r="F36" s="6">
        <f t="shared" si="4"/>
        <v>154</v>
      </c>
      <c r="G36">
        <v>18.600000000000001</v>
      </c>
      <c r="H36">
        <v>11.9</v>
      </c>
      <c r="I36">
        <f>MAX(0,1-Fitting!$B$7*(Fitting!$B$6-Herm8889!C36)^2)</f>
        <v>0.43489540700474749</v>
      </c>
      <c r="J36">
        <f>tt(G36,H36,Fitting!$B$1:$E$1,Fitting!$B$2:$E$2)*I36</f>
        <v>6.632154956822399</v>
      </c>
    </row>
    <row r="37" spans="1:10">
      <c r="A37" s="1">
        <f t="shared" si="2"/>
        <v>32297</v>
      </c>
      <c r="B37">
        <f t="shared" si="0"/>
        <v>231.54735180790675</v>
      </c>
      <c r="C37">
        <f>day_length(F37,$B$1,Fitting!$B$4)</f>
        <v>11.285151481628418</v>
      </c>
      <c r="D37" s="1">
        <f t="shared" si="1"/>
        <v>32297</v>
      </c>
      <c r="E37">
        <f t="shared" si="3"/>
        <v>1988</v>
      </c>
      <c r="F37" s="6">
        <f t="shared" si="4"/>
        <v>155</v>
      </c>
      <c r="G37">
        <v>19.600000000000001</v>
      </c>
      <c r="H37">
        <v>12.1</v>
      </c>
      <c r="I37">
        <f>MAX(0,1-Fitting!$B$7*(Fitting!$B$6-Herm8889!C37)^2)</f>
        <v>0.4337303095905608</v>
      </c>
      <c r="J37">
        <f>tt(G37,H37,Fitting!$B$1:$E$1,Fitting!$B$2:$E$2)*I37</f>
        <v>6.8746255724653711</v>
      </c>
    </row>
    <row r="38" spans="1:10">
      <c r="A38" s="1">
        <f t="shared" si="2"/>
        <v>32298</v>
      </c>
      <c r="B38">
        <f t="shared" si="0"/>
        <v>239.05333777686104</v>
      </c>
      <c r="C38">
        <f>day_length(F38,$B$1,Fitting!$B$4)</f>
        <v>11.275646209716797</v>
      </c>
      <c r="D38" s="1">
        <f t="shared" si="1"/>
        <v>32298</v>
      </c>
      <c r="E38">
        <f t="shared" si="3"/>
        <v>1988</v>
      </c>
      <c r="F38" s="6">
        <f t="shared" si="4"/>
        <v>156</v>
      </c>
      <c r="G38">
        <v>20.8</v>
      </c>
      <c r="H38">
        <v>13.9</v>
      </c>
      <c r="I38">
        <f>MAX(0,1-Fitting!$B$7*(Fitting!$B$6-Herm8889!C38)^2)</f>
        <v>0.43262166016842818</v>
      </c>
      <c r="J38">
        <f>tt(G38,H38,Fitting!$B$1:$E$1,Fitting!$B$2:$E$2)*I38</f>
        <v>7.5059859689542954</v>
      </c>
    </row>
    <row r="39" spans="1:10">
      <c r="A39" s="1">
        <f t="shared" si="2"/>
        <v>32299</v>
      </c>
      <c r="B39">
        <f t="shared" si="0"/>
        <v>246.45476436999806</v>
      </c>
      <c r="C39">
        <f>day_length(F39,$B$1,Fitting!$B$4)</f>
        <v>11.26663875579834</v>
      </c>
      <c r="D39" s="1">
        <f t="shared" si="1"/>
        <v>32299</v>
      </c>
      <c r="E39">
        <f t="shared" si="3"/>
        <v>1988</v>
      </c>
      <c r="F39" s="6">
        <f t="shared" si="4"/>
        <v>157</v>
      </c>
      <c r="G39">
        <v>18.7</v>
      </c>
      <c r="H39">
        <v>15.6</v>
      </c>
      <c r="I39">
        <f>MAX(0,1-Fitting!$B$7*(Fitting!$B$6-Herm8889!C39)^2)</f>
        <v>0.43157007333923869</v>
      </c>
      <c r="J39">
        <f>tt(G39,H39,Fitting!$B$1:$E$1,Fitting!$B$2:$E$2)*I39</f>
        <v>7.4014265931370256</v>
      </c>
    </row>
    <row r="40" spans="1:10">
      <c r="A40" s="1">
        <f t="shared" si="2"/>
        <v>32300</v>
      </c>
      <c r="B40">
        <f t="shared" si="0"/>
        <v>252.80576432246403</v>
      </c>
      <c r="C40">
        <f>day_length(F40,$B$1,Fitting!$B$4)</f>
        <v>11.258133888244629</v>
      </c>
      <c r="D40" s="1">
        <f t="shared" si="1"/>
        <v>32300</v>
      </c>
      <c r="E40">
        <f t="shared" si="3"/>
        <v>1988</v>
      </c>
      <c r="F40" s="6">
        <f t="shared" si="4"/>
        <v>158</v>
      </c>
      <c r="G40">
        <v>19.5</v>
      </c>
      <c r="H40">
        <v>10</v>
      </c>
      <c r="I40">
        <f>MAX(0,1-Fitting!$B$7*(Fitting!$B$6-Herm8889!C40)^2)</f>
        <v>0.43057626796379367</v>
      </c>
      <c r="J40">
        <f>tt(G40,H40,Fitting!$B$1:$E$1,Fitting!$B$2:$E$2)*I40</f>
        <v>6.3509999524659566</v>
      </c>
    </row>
    <row r="41" spans="1:10">
      <c r="A41" s="1">
        <f t="shared" si="2"/>
        <v>32301</v>
      </c>
      <c r="B41">
        <f t="shared" si="0"/>
        <v>257.96145486302214</v>
      </c>
      <c r="C41">
        <f>day_length(F41,$B$1,Fitting!$B$4)</f>
        <v>11.25013542175293</v>
      </c>
      <c r="D41" s="1">
        <f t="shared" si="1"/>
        <v>32301</v>
      </c>
      <c r="E41">
        <f t="shared" si="3"/>
        <v>1988</v>
      </c>
      <c r="F41" s="6">
        <f t="shared" si="4"/>
        <v>159</v>
      </c>
      <c r="G41">
        <v>19</v>
      </c>
      <c r="H41">
        <v>5</v>
      </c>
      <c r="I41">
        <f>MAX(0,1-Fitting!$B$7*(Fitting!$B$6-Herm8889!C41)^2)</f>
        <v>0.42964084423505844</v>
      </c>
      <c r="J41">
        <f>tt(G41,H41,Fitting!$B$1:$E$1,Fitting!$B$2:$E$2)*I41</f>
        <v>5.1556905405581395</v>
      </c>
    </row>
    <row r="42" spans="1:10">
      <c r="A42" s="1">
        <f t="shared" si="2"/>
        <v>32302</v>
      </c>
      <c r="B42">
        <f t="shared" si="0"/>
        <v>261.67027001954955</v>
      </c>
      <c r="C42">
        <f>day_length(F42,$B$1,Fitting!$B$4)</f>
        <v>11.242650032043457</v>
      </c>
      <c r="D42" s="1">
        <f t="shared" si="1"/>
        <v>32302</v>
      </c>
      <c r="E42">
        <f t="shared" si="3"/>
        <v>1988</v>
      </c>
      <c r="F42" s="6">
        <f t="shared" si="4"/>
        <v>160</v>
      </c>
      <c r="G42">
        <v>16.100000000000001</v>
      </c>
      <c r="H42">
        <v>1.2</v>
      </c>
      <c r="I42">
        <f>MAX(0,1-Fitting!$B$7*(Fitting!$B$6-Herm8889!C42)^2)</f>
        <v>0.4287647296169107</v>
      </c>
      <c r="J42">
        <f>tt(G42,H42,Fitting!$B$1:$E$1,Fitting!$B$2:$E$2)*I42</f>
        <v>3.7088151565274239</v>
      </c>
    </row>
    <row r="43" spans="1:10">
      <c r="A43" s="1">
        <f t="shared" si="2"/>
        <v>32303</v>
      </c>
      <c r="B43">
        <f t="shared" si="0"/>
        <v>265.62879103822735</v>
      </c>
      <c r="C43">
        <f>day_length(F43,$B$1,Fitting!$B$4)</f>
        <v>11.235678672790527</v>
      </c>
      <c r="D43" s="1">
        <f t="shared" si="1"/>
        <v>32303</v>
      </c>
      <c r="E43">
        <f t="shared" si="3"/>
        <v>1988</v>
      </c>
      <c r="F43" s="6">
        <f t="shared" si="4"/>
        <v>161</v>
      </c>
      <c r="G43">
        <v>17.5</v>
      </c>
      <c r="H43">
        <v>1</v>
      </c>
      <c r="I43">
        <f>MAX(0,1-Fitting!$B$7*(Fitting!$B$6-Herm8889!C43)^2)</f>
        <v>0.42794817411401342</v>
      </c>
      <c r="J43">
        <f>tt(G43,H43,Fitting!$B$1:$E$1,Fitting!$B$2:$E$2)*I43</f>
        <v>3.9585210186778066</v>
      </c>
    </row>
    <row r="44" spans="1:10">
      <c r="A44" s="1">
        <f t="shared" si="2"/>
        <v>32304</v>
      </c>
      <c r="B44">
        <f t="shared" si="0"/>
        <v>270.00750725548397</v>
      </c>
      <c r="C44">
        <f>day_length(F44,$B$1,Fitting!$B$4)</f>
        <v>11.229226112365723</v>
      </c>
      <c r="D44" s="1">
        <f t="shared" si="1"/>
        <v>32304</v>
      </c>
      <c r="E44">
        <f t="shared" si="3"/>
        <v>1988</v>
      </c>
      <c r="F44" s="6">
        <f t="shared" si="4"/>
        <v>162</v>
      </c>
      <c r="G44">
        <v>17.3</v>
      </c>
      <c r="H44">
        <v>3.2</v>
      </c>
      <c r="I44">
        <f>MAX(0,1-Fitting!$B$7*(Fitting!$B$6-Herm8889!C44)^2)</f>
        <v>0.42719186582034485</v>
      </c>
      <c r="J44">
        <f>tt(G44,H44,Fitting!$B$1:$E$1,Fitting!$B$2:$E$2)*I44</f>
        <v>4.3787162172566241</v>
      </c>
    </row>
    <row r="45" spans="1:10">
      <c r="A45" s="1">
        <f t="shared" si="2"/>
        <v>32305</v>
      </c>
      <c r="B45">
        <f t="shared" si="0"/>
        <v>275.76520979861505</v>
      </c>
      <c r="C45">
        <f>day_length(F45,$B$1,Fitting!$B$4)</f>
        <v>11.223297119140625</v>
      </c>
      <c r="D45" s="1">
        <f t="shared" si="1"/>
        <v>32305</v>
      </c>
      <c r="E45">
        <f t="shared" si="3"/>
        <v>1988</v>
      </c>
      <c r="F45" s="6">
        <f t="shared" si="4"/>
        <v>163</v>
      </c>
      <c r="G45">
        <v>18.600000000000001</v>
      </c>
      <c r="H45">
        <v>8.4</v>
      </c>
      <c r="I45">
        <f>MAX(0,1-Fitting!$B$7*(Fitting!$B$6-Herm8889!C45)^2)</f>
        <v>0.42649648467637602</v>
      </c>
      <c r="J45">
        <f>tt(G45,H45,Fitting!$B$1:$E$1,Fitting!$B$2:$E$2)*I45</f>
        <v>5.7577025431310762</v>
      </c>
    </row>
    <row r="46" spans="1:10">
      <c r="A46" s="1">
        <f t="shared" si="2"/>
        <v>32306</v>
      </c>
      <c r="B46">
        <f t="shared" si="0"/>
        <v>279.36374576691276</v>
      </c>
      <c r="C46">
        <f>day_length(F46,$B$1,Fitting!$B$4)</f>
        <v>11.217892646789551</v>
      </c>
      <c r="D46" s="1">
        <f t="shared" si="1"/>
        <v>32306</v>
      </c>
      <c r="E46">
        <f t="shared" si="3"/>
        <v>1988</v>
      </c>
      <c r="F46" s="6">
        <f t="shared" si="4"/>
        <v>164</v>
      </c>
      <c r="G46">
        <v>16.8</v>
      </c>
      <c r="H46">
        <v>0.1</v>
      </c>
      <c r="I46">
        <f>MAX(0,1-Fitting!$B$7*(Fitting!$B$6-Herm8889!C46)^2)</f>
        <v>0.42586225438159631</v>
      </c>
      <c r="J46">
        <f>tt(G46,H46,Fitting!$B$1:$E$1,Fitting!$B$2:$E$2)*I46</f>
        <v>3.5985359682977101</v>
      </c>
    </row>
    <row r="47" spans="1:10">
      <c r="A47" s="1">
        <f t="shared" si="2"/>
        <v>32307</v>
      </c>
      <c r="B47">
        <f t="shared" si="0"/>
        <v>282.44026231909447</v>
      </c>
      <c r="C47">
        <f>day_length(F47,$B$1,Fitting!$B$4)</f>
        <v>11.213017463684082</v>
      </c>
      <c r="D47" s="1">
        <f t="shared" si="1"/>
        <v>32307</v>
      </c>
      <c r="E47">
        <f t="shared" si="3"/>
        <v>1988</v>
      </c>
      <c r="F47" s="6">
        <f t="shared" si="4"/>
        <v>165</v>
      </c>
      <c r="G47">
        <v>16.100000000000001</v>
      </c>
      <c r="H47">
        <v>-2</v>
      </c>
      <c r="I47">
        <f>MAX(0,1-Fitting!$B$7*(Fitting!$B$6-Herm8889!C47)^2)</f>
        <v>0.42528983700308343</v>
      </c>
      <c r="J47">
        <f>tt(G47,H47,Fitting!$B$1:$E$1,Fitting!$B$2:$E$2)*I47</f>
        <v>3.0765165521817162</v>
      </c>
    </row>
    <row r="48" spans="1:10">
      <c r="A48" s="1">
        <f t="shared" si="2"/>
        <v>32308</v>
      </c>
      <c r="B48">
        <f t="shared" si="0"/>
        <v>286.28451590427488</v>
      </c>
      <c r="C48">
        <f>day_length(F48,$B$1,Fitting!$B$4)</f>
        <v>11.208672523498535</v>
      </c>
      <c r="D48" s="1">
        <f t="shared" si="1"/>
        <v>32308</v>
      </c>
      <c r="E48">
        <f t="shared" si="3"/>
        <v>1988</v>
      </c>
      <c r="F48" s="6">
        <f t="shared" si="4"/>
        <v>166</v>
      </c>
      <c r="G48">
        <v>18.399999999999999</v>
      </c>
      <c r="H48">
        <v>-0.3</v>
      </c>
      <c r="I48">
        <f>MAX(0,1-Fitting!$B$7*(Fitting!$B$6-Herm8889!C48)^2)</f>
        <v>0.42477943748744473</v>
      </c>
      <c r="J48">
        <f>tt(G48,H48,Fitting!$B$1:$E$1,Fitting!$B$2:$E$2)*I48</f>
        <v>3.844253585180383</v>
      </c>
    </row>
    <row r="49" spans="1:10">
      <c r="A49" s="1">
        <f t="shared" si="2"/>
        <v>32309</v>
      </c>
      <c r="B49">
        <f t="shared" si="0"/>
        <v>290.71878167589654</v>
      </c>
      <c r="C49">
        <f>day_length(F49,$B$1,Fitting!$B$4)</f>
        <v>11.204862594604492</v>
      </c>
      <c r="D49" s="1">
        <f t="shared" si="1"/>
        <v>32309</v>
      </c>
      <c r="E49">
        <f t="shared" si="3"/>
        <v>1988</v>
      </c>
      <c r="F49" s="6">
        <f t="shared" si="4"/>
        <v>167</v>
      </c>
      <c r="G49">
        <v>18.3</v>
      </c>
      <c r="H49">
        <v>2.6</v>
      </c>
      <c r="I49">
        <f>MAX(0,1-Fitting!$B$7*(Fitting!$B$6-Herm8889!C49)^2)</f>
        <v>0.42433169925653058</v>
      </c>
      <c r="J49">
        <f>tt(G49,H49,Fitting!$B$1:$E$1,Fitting!$B$2:$E$2)*I49</f>
        <v>4.4342657716216527</v>
      </c>
    </row>
    <row r="50" spans="1:10">
      <c r="A50" s="1">
        <f t="shared" si="2"/>
        <v>32310</v>
      </c>
      <c r="B50">
        <f t="shared" si="0"/>
        <v>295.91212788949861</v>
      </c>
      <c r="C50">
        <f>day_length(F50,$B$1,Fitting!$B$4)</f>
        <v>11.201587677001953</v>
      </c>
      <c r="D50" s="1">
        <f t="shared" si="1"/>
        <v>32310</v>
      </c>
      <c r="E50">
        <f t="shared" si="3"/>
        <v>1988</v>
      </c>
      <c r="F50" s="6">
        <f t="shared" si="4"/>
        <v>168</v>
      </c>
      <c r="G50">
        <v>19.399999999999999</v>
      </c>
      <c r="H50">
        <v>5.0999999999999996</v>
      </c>
      <c r="I50">
        <f>MAX(0,1-Fitting!$B$7*(Fitting!$B$6-Herm8889!C50)^2)</f>
        <v>0.42394669569112009</v>
      </c>
      <c r="J50">
        <f>tt(G50,H50,Fitting!$B$1:$E$1,Fitting!$B$2:$E$2)*I50</f>
        <v>5.1933462136020703</v>
      </c>
    </row>
    <row r="51" spans="1:10">
      <c r="A51" s="1">
        <f t="shared" si="2"/>
        <v>32311</v>
      </c>
      <c r="B51">
        <f t="shared" si="0"/>
        <v>301.4827927196024</v>
      </c>
      <c r="C51">
        <f>day_length(F51,$B$1,Fitting!$B$4)</f>
        <v>11.198849678039551</v>
      </c>
      <c r="D51" s="1">
        <f t="shared" si="1"/>
        <v>32311</v>
      </c>
      <c r="E51">
        <f t="shared" si="3"/>
        <v>1988</v>
      </c>
      <c r="F51" s="6">
        <f t="shared" si="4"/>
        <v>169</v>
      </c>
      <c r="G51">
        <v>16.8</v>
      </c>
      <c r="H51">
        <v>9.5</v>
      </c>
      <c r="I51">
        <f>MAX(0,1-Fitting!$B$7*(Fitting!$B$6-Herm8889!C51)^2)</f>
        <v>0.42362471419800751</v>
      </c>
      <c r="J51">
        <f>tt(G51,H51,Fitting!$B$1:$E$1,Fitting!$B$2:$E$2)*I51</f>
        <v>5.5706648301037953</v>
      </c>
    </row>
    <row r="52" spans="1:10">
      <c r="A52" s="1">
        <f t="shared" si="2"/>
        <v>32312</v>
      </c>
      <c r="B52">
        <f t="shared" si="0"/>
        <v>306.94421517945329</v>
      </c>
      <c r="C52">
        <f>day_length(F52,$B$1,Fitting!$B$4)</f>
        <v>11.196650505065918</v>
      </c>
      <c r="D52" s="1">
        <f t="shared" si="1"/>
        <v>32312</v>
      </c>
      <c r="E52">
        <f t="shared" si="3"/>
        <v>1988</v>
      </c>
      <c r="F52" s="6">
        <f t="shared" si="4"/>
        <v>170</v>
      </c>
      <c r="G52">
        <v>19.399999999999999</v>
      </c>
      <c r="H52">
        <v>6.4</v>
      </c>
      <c r="I52">
        <f>MAX(0,1-Fitting!$B$7*(Fitting!$B$6-Herm8889!C52)^2)</f>
        <v>0.42336603208105406</v>
      </c>
      <c r="J52">
        <f>tt(G52,H52,Fitting!$B$1:$E$1,Fitting!$B$2:$E$2)*I52</f>
        <v>5.4614224598508949</v>
      </c>
    </row>
    <row r="53" spans="1:10">
      <c r="A53" s="1">
        <f t="shared" si="2"/>
        <v>32313</v>
      </c>
      <c r="B53">
        <f t="shared" si="0"/>
        <v>311.87415619429703</v>
      </c>
      <c r="C53">
        <f>day_length(F53,$B$1,Fitting!$B$4)</f>
        <v>11.194992065429688</v>
      </c>
      <c r="D53" s="1">
        <f t="shared" si="1"/>
        <v>32313</v>
      </c>
      <c r="E53">
        <f t="shared" si="3"/>
        <v>1988</v>
      </c>
      <c r="F53" s="6">
        <f t="shared" si="4"/>
        <v>171</v>
      </c>
      <c r="G53">
        <v>19.7</v>
      </c>
      <c r="H53">
        <v>3.6</v>
      </c>
      <c r="I53">
        <f>MAX(0,1-Fitting!$B$7*(Fitting!$B$6-Herm8889!C53)^2)</f>
        <v>0.42317091641807925</v>
      </c>
      <c r="J53">
        <f>tt(G53,H53,Fitting!$B$1:$E$1,Fitting!$B$2:$E$2)*I53</f>
        <v>4.9299410148437293</v>
      </c>
    </row>
    <row r="54" spans="1:10">
      <c r="A54" s="1">
        <f t="shared" si="2"/>
        <v>32314</v>
      </c>
      <c r="B54">
        <f t="shared" si="0"/>
        <v>316.23146364909314</v>
      </c>
      <c r="C54">
        <f>day_length(F54,$B$1,Fitting!$B$4)</f>
        <v>11.193875312805176</v>
      </c>
      <c r="D54" s="1">
        <f t="shared" si="1"/>
        <v>32314</v>
      </c>
      <c r="E54">
        <f t="shared" si="3"/>
        <v>1988</v>
      </c>
      <c r="F54" s="6">
        <f t="shared" si="4"/>
        <v>172</v>
      </c>
      <c r="G54">
        <v>19.2</v>
      </c>
      <c r="H54">
        <v>1.4</v>
      </c>
      <c r="I54">
        <f>MAX(0,1-Fitting!$B$7*(Fitting!$B$6-Herm8889!C54)^2)</f>
        <v>0.42303951171512921</v>
      </c>
      <c r="J54">
        <f>tt(G54,H54,Fitting!$B$1:$E$1,Fitting!$B$2:$E$2)*I54</f>
        <v>4.3573074547961319</v>
      </c>
    </row>
    <row r="55" spans="1:10">
      <c r="A55" s="1">
        <f t="shared" si="2"/>
        <v>32315</v>
      </c>
      <c r="B55">
        <f t="shared" si="0"/>
        <v>321.62435134069068</v>
      </c>
      <c r="C55">
        <f>day_length(F55,$B$1,Fitting!$B$4)</f>
        <v>11.19329833984375</v>
      </c>
      <c r="D55" s="1">
        <f t="shared" si="1"/>
        <v>32315</v>
      </c>
      <c r="E55">
        <f t="shared" si="3"/>
        <v>1988</v>
      </c>
      <c r="F55" s="6">
        <f t="shared" si="4"/>
        <v>173</v>
      </c>
      <c r="G55">
        <v>19.5</v>
      </c>
      <c r="H55">
        <v>6</v>
      </c>
      <c r="I55">
        <f>MAX(0,1-Fitting!$B$7*(Fitting!$B$6-Herm8889!C55)^2)</f>
        <v>0.4229716152921319</v>
      </c>
      <c r="J55">
        <f>tt(G55,H55,Fitting!$B$1:$E$1,Fitting!$B$2:$E$2)*I55</f>
        <v>5.3928876915975152</v>
      </c>
    </row>
    <row r="56" spans="1:10">
      <c r="A56" s="1">
        <f t="shared" si="2"/>
        <v>32316</v>
      </c>
      <c r="B56">
        <f t="shared" si="0"/>
        <v>325.55795091304759</v>
      </c>
      <c r="C56">
        <f>day_length(F56,$B$1,Fitting!$B$4)</f>
        <v>11.193264961242676</v>
      </c>
      <c r="D56" s="1">
        <f t="shared" si="1"/>
        <v>32316</v>
      </c>
      <c r="E56">
        <f t="shared" si="3"/>
        <v>1988</v>
      </c>
      <c r="F56" s="6">
        <f t="shared" si="4"/>
        <v>174</v>
      </c>
      <c r="G56">
        <v>18.399999999999999</v>
      </c>
      <c r="H56">
        <v>0.2</v>
      </c>
      <c r="I56">
        <f>MAX(0,1-Fitting!$B$7*(Fitting!$B$6-Herm8889!C56)^2)</f>
        <v>0.42296768727765632</v>
      </c>
      <c r="J56">
        <f>tt(G56,H56,Fitting!$B$1:$E$1,Fitting!$B$2:$E$2)*I56</f>
        <v>3.9335995723568877</v>
      </c>
    </row>
    <row r="57" spans="1:10">
      <c r="A57" s="1">
        <f t="shared" si="2"/>
        <v>32317</v>
      </c>
      <c r="B57">
        <f t="shared" si="0"/>
        <v>330.40161575176694</v>
      </c>
      <c r="C57">
        <f>day_length(F57,$B$1,Fitting!$B$4)</f>
        <v>11.19377326965332</v>
      </c>
      <c r="D57" s="1">
        <f t="shared" si="1"/>
        <v>32317</v>
      </c>
      <c r="E57">
        <f t="shared" si="3"/>
        <v>1988</v>
      </c>
      <c r="F57" s="6">
        <f t="shared" si="4"/>
        <v>175</v>
      </c>
      <c r="G57">
        <v>16.5</v>
      </c>
      <c r="H57">
        <v>6.4</v>
      </c>
      <c r="I57">
        <f>MAX(0,1-Fitting!$B$7*(Fitting!$B$6-Herm8889!C57)^2)</f>
        <v>0.42302750387820565</v>
      </c>
      <c r="J57">
        <f>tt(G57,H57,Fitting!$B$1:$E$1,Fitting!$B$2:$E$2)*I57</f>
        <v>4.8436648387193619</v>
      </c>
    </row>
    <row r="58" spans="1:10">
      <c r="A58" s="1">
        <f t="shared" si="2"/>
        <v>32318</v>
      </c>
      <c r="B58">
        <f t="shared" si="0"/>
        <v>335.43711274345793</v>
      </c>
      <c r="C58">
        <f>day_length(F58,$B$1,Fitting!$B$4)</f>
        <v>11.194823265075684</v>
      </c>
      <c r="D58" s="1">
        <f t="shared" si="1"/>
        <v>32318</v>
      </c>
      <c r="E58">
        <f t="shared" si="3"/>
        <v>1988</v>
      </c>
      <c r="F58" s="6">
        <f t="shared" si="4"/>
        <v>176</v>
      </c>
      <c r="G58">
        <v>16.100000000000001</v>
      </c>
      <c r="H58">
        <v>7.7</v>
      </c>
      <c r="I58">
        <f>MAX(0,1-Fitting!$B$7*(Fitting!$B$6-Herm8889!C58)^2)</f>
        <v>0.42315105518139351</v>
      </c>
      <c r="J58">
        <f>tt(G58,H58,Fitting!$B$1:$E$1,Fitting!$B$2:$E$2)*I58</f>
        <v>5.0354969916909722</v>
      </c>
    </row>
    <row r="59" spans="1:10">
      <c r="A59" s="1">
        <f t="shared" si="2"/>
        <v>32319</v>
      </c>
      <c r="B59">
        <f t="shared" si="0"/>
        <v>340.75000693738252</v>
      </c>
      <c r="C59">
        <f>day_length(F59,$B$1,Fitting!$B$4)</f>
        <v>11.196413993835449</v>
      </c>
      <c r="D59" s="1">
        <f t="shared" si="1"/>
        <v>32319</v>
      </c>
      <c r="E59">
        <f t="shared" si="3"/>
        <v>1988</v>
      </c>
      <c r="F59" s="6">
        <f t="shared" si="4"/>
        <v>177</v>
      </c>
      <c r="G59">
        <v>16.8</v>
      </c>
      <c r="H59">
        <v>8.3000000000000007</v>
      </c>
      <c r="I59">
        <f>MAX(0,1-Fitting!$B$7*(Fitting!$B$6-Herm8889!C59)^2)</f>
        <v>0.42333820851840753</v>
      </c>
      <c r="J59">
        <f>tt(G59,H59,Fitting!$B$1:$E$1,Fitting!$B$2:$E$2)*I59</f>
        <v>5.3128941939245928</v>
      </c>
    </row>
    <row r="60" spans="1:10">
      <c r="A60" s="1">
        <f t="shared" si="2"/>
        <v>32320</v>
      </c>
      <c r="B60">
        <f t="shared" si="0"/>
        <v>346.65907327880376</v>
      </c>
      <c r="C60">
        <f>day_length(F60,$B$1,Fitting!$B$4)</f>
        <v>11.198545455932617</v>
      </c>
      <c r="D60" s="1">
        <f t="shared" si="1"/>
        <v>32320</v>
      </c>
      <c r="E60">
        <f t="shared" si="3"/>
        <v>1988</v>
      </c>
      <c r="F60" s="6">
        <f t="shared" si="4"/>
        <v>178</v>
      </c>
      <c r="G60">
        <v>18.600000000000001</v>
      </c>
      <c r="H60">
        <v>9.3000000000000007</v>
      </c>
      <c r="I60">
        <f>MAX(0,1-Fitting!$B$7*(Fitting!$B$6-Herm8889!C60)^2)</f>
        <v>0.4235889329234851</v>
      </c>
      <c r="J60">
        <f>tt(G60,H60,Fitting!$B$1:$E$1,Fitting!$B$2:$E$2)*I60</f>
        <v>5.9090663414212123</v>
      </c>
    </row>
    <row r="61" spans="1:10">
      <c r="A61" s="1">
        <f t="shared" si="2"/>
        <v>32321</v>
      </c>
      <c r="B61">
        <f t="shared" si="0"/>
        <v>351.00407709206291</v>
      </c>
      <c r="C61">
        <f>day_length(F61,$B$1,Fitting!$B$4)</f>
        <v>11.201214790344238</v>
      </c>
      <c r="D61" s="1">
        <f t="shared" si="1"/>
        <v>32321</v>
      </c>
      <c r="E61">
        <f t="shared" si="3"/>
        <v>1988</v>
      </c>
      <c r="F61" s="6">
        <f t="shared" si="4"/>
        <v>179</v>
      </c>
      <c r="G61">
        <v>17.7</v>
      </c>
      <c r="H61">
        <v>2.8</v>
      </c>
      <c r="I61">
        <f>MAX(0,1-Fitting!$B$7*(Fitting!$B$6-Herm8889!C61)^2)</f>
        <v>0.42390285049018894</v>
      </c>
      <c r="J61">
        <f>tt(G61,H61,Fitting!$B$1:$E$1,Fitting!$B$2:$E$2)*I61</f>
        <v>4.3450038132591757</v>
      </c>
    </row>
    <row r="62" spans="1:10">
      <c r="A62" s="1">
        <f t="shared" si="2"/>
        <v>32322</v>
      </c>
      <c r="B62">
        <f t="shared" si="0"/>
        <v>354.97109609970158</v>
      </c>
      <c r="C62">
        <f>day_length(F62,$B$1,Fitting!$B$4)</f>
        <v>11.204423904418945</v>
      </c>
      <c r="D62" s="1">
        <f t="shared" si="1"/>
        <v>32322</v>
      </c>
      <c r="E62">
        <f t="shared" si="3"/>
        <v>1988</v>
      </c>
      <c r="F62" s="6">
        <f t="shared" si="4"/>
        <v>180</v>
      </c>
      <c r="G62">
        <v>18.600000000000001</v>
      </c>
      <c r="H62">
        <v>0.1</v>
      </c>
      <c r="I62">
        <f>MAX(0,1-Fitting!$B$7*(Fitting!$B$6-Herm8889!C62)^2)</f>
        <v>0.42428013373408613</v>
      </c>
      <c r="J62">
        <f>tt(G62,H62,Fitting!$B$1:$E$1,Fitting!$B$2:$E$2)*I62</f>
        <v>3.9670190076386653</v>
      </c>
    </row>
    <row r="63" spans="1:10">
      <c r="A63" s="1">
        <f t="shared" si="2"/>
        <v>32323</v>
      </c>
      <c r="B63">
        <f t="shared" si="0"/>
        <v>358.87852086482059</v>
      </c>
      <c r="C63">
        <f>day_length(F63,$B$1,Fitting!$B$4)</f>
        <v>11.20816707611084</v>
      </c>
      <c r="D63" s="1">
        <f t="shared" si="1"/>
        <v>32323</v>
      </c>
      <c r="E63">
        <f t="shared" si="3"/>
        <v>1988</v>
      </c>
      <c r="F63" s="6">
        <f t="shared" si="4"/>
        <v>181</v>
      </c>
      <c r="G63">
        <v>19.100000000000001</v>
      </c>
      <c r="H63">
        <v>-0.7</v>
      </c>
      <c r="I63">
        <f>MAX(0,1-Fitting!$B$7*(Fitting!$B$6-Herm8889!C63)^2)</f>
        <v>0.42472004794384155</v>
      </c>
      <c r="J63">
        <f>tt(G63,H63,Fitting!$B$1:$E$1,Fitting!$B$2:$E$2)*I63</f>
        <v>3.9074247651190235</v>
      </c>
    </row>
    <row r="64" spans="1:10">
      <c r="A64" s="1">
        <f t="shared" si="2"/>
        <v>32324</v>
      </c>
      <c r="B64">
        <f t="shared" si="0"/>
        <v>363.2370520436898</v>
      </c>
      <c r="C64">
        <f>day_length(F64,$B$1,Fitting!$B$4)</f>
        <v>11.212445259094238</v>
      </c>
      <c r="D64" s="1">
        <f t="shared" si="1"/>
        <v>32324</v>
      </c>
      <c r="E64">
        <f t="shared" si="3"/>
        <v>1988</v>
      </c>
      <c r="F64" s="6">
        <f t="shared" si="4"/>
        <v>182</v>
      </c>
      <c r="G64">
        <v>17.399999999999999</v>
      </c>
      <c r="H64">
        <v>3.1</v>
      </c>
      <c r="I64">
        <f>MAX(0,1-Fitting!$B$7*(Fitting!$B$6-Herm8889!C64)^2)</f>
        <v>0.42522263316263886</v>
      </c>
      <c r="J64">
        <f>tt(G64,H64,Fitting!$B$1:$E$1,Fitting!$B$2:$E$2)*I64</f>
        <v>4.3585311788692405</v>
      </c>
    </row>
    <row r="65" spans="1:10">
      <c r="A65" s="1">
        <f t="shared" si="2"/>
        <v>32325</v>
      </c>
      <c r="B65">
        <f t="shared" si="0"/>
        <v>366.74979775686273</v>
      </c>
      <c r="C65">
        <f>day_length(F65,$B$1,Fitting!$B$4)</f>
        <v>11.217254638671875</v>
      </c>
      <c r="D65" s="1">
        <f t="shared" si="1"/>
        <v>32325</v>
      </c>
      <c r="E65">
        <f t="shared" si="3"/>
        <v>1988</v>
      </c>
      <c r="F65" s="6">
        <f t="shared" si="4"/>
        <v>183</v>
      </c>
      <c r="G65">
        <v>17.100000000000001</v>
      </c>
      <c r="H65">
        <v>-0.6</v>
      </c>
      <c r="I65">
        <f>MAX(0,1-Fitting!$B$7*(Fitting!$B$6-Herm8889!C65)^2)</f>
        <v>0.42578735917247834</v>
      </c>
      <c r="J65">
        <f>tt(G65,H65,Fitting!$B$1:$E$1,Fitting!$B$2:$E$2)*I65</f>
        <v>3.5127457131729463</v>
      </c>
    </row>
    <row r="66" spans="1:10">
      <c r="A66" s="1">
        <f t="shared" si="2"/>
        <v>32326</v>
      </c>
      <c r="B66">
        <f t="shared" si="0"/>
        <v>371.67487720882099</v>
      </c>
      <c r="C66">
        <f>day_length(F66,$B$1,Fitting!$B$4)</f>
        <v>11.222592353820801</v>
      </c>
      <c r="D66" s="1">
        <f t="shared" si="1"/>
        <v>32326</v>
      </c>
      <c r="E66">
        <f t="shared" si="3"/>
        <v>1988</v>
      </c>
      <c r="F66" s="6">
        <f t="shared" si="4"/>
        <v>184</v>
      </c>
      <c r="G66">
        <v>17.600000000000001</v>
      </c>
      <c r="H66">
        <v>5.5</v>
      </c>
      <c r="I66">
        <f>MAX(0,1-Fitting!$B$7*(Fitting!$B$6-Herm8889!C66)^2)</f>
        <v>0.42641379832261916</v>
      </c>
      <c r="J66">
        <f>tt(G66,H66,Fitting!$B$1:$E$1,Fitting!$B$2:$E$2)*I66</f>
        <v>4.9250794519582293</v>
      </c>
    </row>
    <row r="67" spans="1:10">
      <c r="A67" s="1">
        <f t="shared" si="2"/>
        <v>32327</v>
      </c>
      <c r="B67">
        <f t="shared" si="0"/>
        <v>377.37668407132367</v>
      </c>
      <c r="C67">
        <f>day_length(F67,$B$1,Fitting!$B$4)</f>
        <v>11.228456497192383</v>
      </c>
      <c r="D67" s="1">
        <f t="shared" si="1"/>
        <v>32327</v>
      </c>
      <c r="E67">
        <f t="shared" si="3"/>
        <v>1988</v>
      </c>
      <c r="F67" s="6">
        <f t="shared" si="4"/>
        <v>185</v>
      </c>
      <c r="G67">
        <v>16.399999999999999</v>
      </c>
      <c r="H67">
        <v>10.3</v>
      </c>
      <c r="I67">
        <f>MAX(0,1-Fitting!$B$7*(Fitting!$B$6-Herm8889!C67)^2)</f>
        <v>0.42710162543642949</v>
      </c>
      <c r="J67">
        <f>tt(G67,H67,Fitting!$B$1:$E$1,Fitting!$B$2:$E$2)*I67</f>
        <v>5.7018068625026741</v>
      </c>
    </row>
    <row r="68" spans="1:10">
      <c r="A68" s="1">
        <f t="shared" si="2"/>
        <v>32328</v>
      </c>
      <c r="B68">
        <f t="shared" si="0"/>
        <v>383.08848468807241</v>
      </c>
      <c r="C68">
        <f>day_length(F68,$B$1,Fitting!$B$4)</f>
        <v>11.234843254089355</v>
      </c>
      <c r="D68" s="1">
        <f t="shared" si="1"/>
        <v>32328</v>
      </c>
      <c r="E68">
        <f t="shared" si="3"/>
        <v>1988</v>
      </c>
      <c r="F68" s="6">
        <f t="shared" si="4"/>
        <v>186</v>
      </c>
      <c r="G68">
        <v>15.6</v>
      </c>
      <c r="H68">
        <v>11.1</v>
      </c>
      <c r="I68">
        <f>MAX(0,1-Fitting!$B$7*(Fitting!$B$6-Herm8889!C68)^2)</f>
        <v>0.42785028236677503</v>
      </c>
      <c r="J68">
        <f>tt(G68,H68,Fitting!$B$1:$E$1,Fitting!$B$2:$E$2)*I68</f>
        <v>5.7118006167487261</v>
      </c>
    </row>
    <row r="69" spans="1:10">
      <c r="A69" s="1">
        <f t="shared" si="2"/>
        <v>32329</v>
      </c>
      <c r="B69">
        <f t="shared" ref="B69:B132" si="5">B68+J69</f>
        <v>389.41120997733793</v>
      </c>
      <c r="C69">
        <f>day_length(F69,$B$1,Fitting!$B$4)</f>
        <v>11.24174976348877</v>
      </c>
      <c r="D69" s="1">
        <f t="shared" ref="D69:D132" si="6">A69</f>
        <v>32329</v>
      </c>
      <c r="E69">
        <f t="shared" si="3"/>
        <v>1988</v>
      </c>
      <c r="F69" s="6">
        <f t="shared" si="4"/>
        <v>187</v>
      </c>
      <c r="G69">
        <v>16.399999999999999</v>
      </c>
      <c r="H69">
        <v>13.1</v>
      </c>
      <c r="I69">
        <f>MAX(0,1-Fitting!$B$7*(Fitting!$B$6-Herm8889!C69)^2)</f>
        <v>0.42865931392977108</v>
      </c>
      <c r="J69">
        <f>tt(G69,H69,Fitting!$B$1:$E$1,Fitting!$B$2:$E$2)*I69</f>
        <v>6.3227252892655015</v>
      </c>
    </row>
    <row r="70" spans="1:10">
      <c r="A70" s="1">
        <f t="shared" ref="A70:A133" si="7">A69+1</f>
        <v>32330</v>
      </c>
      <c r="B70">
        <f t="shared" si="5"/>
        <v>395.08098140333612</v>
      </c>
      <c r="C70">
        <f>day_length(F70,$B$1,Fitting!$B$4)</f>
        <v>11.249172210693359</v>
      </c>
      <c r="D70" s="1">
        <f t="shared" si="6"/>
        <v>32330</v>
      </c>
      <c r="E70">
        <f t="shared" ref="E70:E133" si="8">YEAR(A70)</f>
        <v>1988</v>
      </c>
      <c r="F70" s="6">
        <f t="shared" ref="F70:F133" si="9">A70-DATE(E70,1,1)+1</f>
        <v>188</v>
      </c>
      <c r="G70">
        <v>17.100000000000001</v>
      </c>
      <c r="H70">
        <v>9.3000000000000007</v>
      </c>
      <c r="I70">
        <f>MAX(0,1-Fitting!$B$7*(Fitting!$B$6-Herm8889!C70)^2)</f>
        <v>0.42952814453971222</v>
      </c>
      <c r="J70">
        <f>tt(G70,H70,Fitting!$B$1:$E$1,Fitting!$B$2:$E$2)*I70</f>
        <v>5.669771425998209</v>
      </c>
    </row>
    <row r="71" spans="1:10">
      <c r="A71" s="1">
        <f t="shared" si="7"/>
        <v>32331</v>
      </c>
      <c r="B71">
        <f t="shared" si="5"/>
        <v>399.92361229029848</v>
      </c>
      <c r="C71">
        <f>day_length(F71,$B$1,Fitting!$B$4)</f>
        <v>11.257105827331543</v>
      </c>
      <c r="D71" s="1">
        <f t="shared" si="6"/>
        <v>32331</v>
      </c>
      <c r="E71">
        <f t="shared" si="8"/>
        <v>1988</v>
      </c>
      <c r="F71" s="6">
        <f t="shared" si="9"/>
        <v>189</v>
      </c>
      <c r="G71">
        <v>19.399999999999999</v>
      </c>
      <c r="H71">
        <v>3.1</v>
      </c>
      <c r="I71">
        <f>MAX(0,1-Fitting!$B$7*(Fitting!$B$6-Herm8889!C71)^2)</f>
        <v>0.43045607884109816</v>
      </c>
      <c r="J71">
        <f>tt(G71,H71,Fitting!$B$1:$E$1,Fitting!$B$2:$E$2)*I71</f>
        <v>4.842630886962354</v>
      </c>
    </row>
    <row r="72" spans="1:10">
      <c r="A72" s="1">
        <f t="shared" si="7"/>
        <v>32332</v>
      </c>
      <c r="B72">
        <f t="shared" si="5"/>
        <v>404.28118349632859</v>
      </c>
      <c r="C72">
        <f>day_length(F72,$B$1,Fitting!$B$4)</f>
        <v>11.265547752380371</v>
      </c>
      <c r="D72" s="1">
        <f t="shared" si="6"/>
        <v>32332</v>
      </c>
      <c r="E72">
        <f t="shared" si="8"/>
        <v>1988</v>
      </c>
      <c r="F72" s="6">
        <f t="shared" si="9"/>
        <v>190</v>
      </c>
      <c r="G72">
        <v>17.2</v>
      </c>
      <c r="H72">
        <v>3</v>
      </c>
      <c r="I72">
        <f>MAX(0,1-Fitting!$B$7*(Fitting!$B$6-Herm8889!C72)^2)</f>
        <v>0.43144263663287896</v>
      </c>
      <c r="J72">
        <f>tt(G72,H72,Fitting!$B$1:$E$1,Fitting!$B$2:$E$2)*I72</f>
        <v>4.3575712060301441</v>
      </c>
    </row>
    <row r="73" spans="1:10">
      <c r="A73" s="1">
        <f t="shared" si="7"/>
        <v>32333</v>
      </c>
      <c r="B73">
        <f t="shared" si="5"/>
        <v>407.8492021285636</v>
      </c>
      <c r="C73">
        <f>day_length(F73,$B$1,Fitting!$B$4)</f>
        <v>11.274493217468262</v>
      </c>
      <c r="D73" s="1">
        <f t="shared" si="6"/>
        <v>32333</v>
      </c>
      <c r="E73">
        <f t="shared" si="8"/>
        <v>1988</v>
      </c>
      <c r="F73" s="6">
        <f t="shared" si="9"/>
        <v>191</v>
      </c>
      <c r="G73">
        <v>16</v>
      </c>
      <c r="H73">
        <v>0.5</v>
      </c>
      <c r="I73">
        <f>MAX(0,1-Fitting!$B$7*(Fitting!$B$6-Herm8889!C73)^2)</f>
        <v>0.43248710693757497</v>
      </c>
      <c r="J73">
        <f>tt(G73,H73,Fitting!$B$1:$E$1,Fitting!$B$2:$E$2)*I73</f>
        <v>3.5680186322349936</v>
      </c>
    </row>
    <row r="74" spans="1:10">
      <c r="A74" s="1">
        <f t="shared" si="7"/>
        <v>32334</v>
      </c>
      <c r="B74">
        <f t="shared" si="5"/>
        <v>412.20676783526261</v>
      </c>
      <c r="C74">
        <f>day_length(F74,$B$1,Fitting!$B$4)</f>
        <v>11.283936500549316</v>
      </c>
      <c r="D74" s="1">
        <f t="shared" si="6"/>
        <v>32334</v>
      </c>
      <c r="E74">
        <f t="shared" si="8"/>
        <v>1988</v>
      </c>
      <c r="F74" s="6">
        <f t="shared" si="9"/>
        <v>192</v>
      </c>
      <c r="G74">
        <v>17.8</v>
      </c>
      <c r="H74">
        <v>2.2999999999999998</v>
      </c>
      <c r="I74">
        <f>MAX(0,1-Fitting!$B$7*(Fitting!$B$6-Herm8889!C74)^2)</f>
        <v>0.43358866044785283</v>
      </c>
      <c r="J74">
        <f>tt(G74,H74,Fitting!$B$1:$E$1,Fitting!$B$2:$E$2)*I74</f>
        <v>4.3575657066990257</v>
      </c>
    </row>
    <row r="75" spans="1:10">
      <c r="A75" s="1">
        <f t="shared" si="7"/>
        <v>32335</v>
      </c>
      <c r="B75">
        <f t="shared" si="5"/>
        <v>418.81491944628311</v>
      </c>
      <c r="C75">
        <f>day_length(F75,$B$1,Fitting!$B$4)</f>
        <v>11.293874740600586</v>
      </c>
      <c r="D75" s="1">
        <f t="shared" si="6"/>
        <v>32335</v>
      </c>
      <c r="E75">
        <f t="shared" si="8"/>
        <v>1988</v>
      </c>
      <c r="F75" s="6">
        <f t="shared" si="9"/>
        <v>193</v>
      </c>
      <c r="G75">
        <v>20.2</v>
      </c>
      <c r="H75">
        <v>10.199999999999999</v>
      </c>
      <c r="I75">
        <f>MAX(0,1-Fitting!$B$7*(Fitting!$B$6-Herm8889!C75)^2)</f>
        <v>0.43474679469309196</v>
      </c>
      <c r="J75">
        <f>tt(G75,H75,Fitting!$B$1:$E$1,Fitting!$B$2:$E$2)*I75</f>
        <v>6.6081516110204799</v>
      </c>
    </row>
    <row r="76" spans="1:10">
      <c r="A76" s="1">
        <f t="shared" si="7"/>
        <v>32336</v>
      </c>
      <c r="B76">
        <f t="shared" si="5"/>
        <v>424.43881188219672</v>
      </c>
      <c r="C76">
        <f>day_length(F76,$B$1,Fitting!$B$4)</f>
        <v>11.304302215576172</v>
      </c>
      <c r="D76" s="1">
        <f t="shared" si="6"/>
        <v>32336</v>
      </c>
      <c r="E76">
        <f t="shared" si="8"/>
        <v>1988</v>
      </c>
      <c r="F76" s="6">
        <f t="shared" si="9"/>
        <v>194</v>
      </c>
      <c r="G76">
        <v>15.2</v>
      </c>
      <c r="H76">
        <v>10.6</v>
      </c>
      <c r="I76">
        <f>MAX(0,1-Fitting!$B$7*(Fitting!$B$6-Herm8889!C76)^2)</f>
        <v>0.43596066683871326</v>
      </c>
      <c r="J76">
        <f>tt(G76,H76,Fitting!$B$1:$E$1,Fitting!$B$2:$E$2)*I76</f>
        <v>5.6238924359136044</v>
      </c>
    </row>
    <row r="77" spans="1:10">
      <c r="A77" s="1">
        <f t="shared" si="7"/>
        <v>32337</v>
      </c>
      <c r="B77">
        <f t="shared" si="5"/>
        <v>430.16651610687836</v>
      </c>
      <c r="C77">
        <f>day_length(F77,$B$1,Fitting!$B$4)</f>
        <v>11.315212249755859</v>
      </c>
      <c r="D77" s="1">
        <f t="shared" si="6"/>
        <v>32337</v>
      </c>
      <c r="E77">
        <f t="shared" si="8"/>
        <v>1988</v>
      </c>
      <c r="F77" s="6">
        <f t="shared" si="9"/>
        <v>195</v>
      </c>
      <c r="G77">
        <v>15.6</v>
      </c>
      <c r="H77">
        <v>10.6</v>
      </c>
      <c r="I77">
        <f>MAX(0,1-Fitting!$B$7*(Fitting!$B$6-Herm8889!C77)^2)</f>
        <v>0.4372293173963262</v>
      </c>
      <c r="J77">
        <f>tt(G77,H77,Fitting!$B$1:$E$1,Fitting!$B$2:$E$2)*I77</f>
        <v>5.727704224681621</v>
      </c>
    </row>
    <row r="78" spans="1:10">
      <c r="A78" s="1">
        <f t="shared" si="7"/>
        <v>32338</v>
      </c>
      <c r="B78">
        <f t="shared" si="5"/>
        <v>435.82383821047307</v>
      </c>
      <c r="C78">
        <f>day_length(F78,$B$1,Fitting!$B$4)</f>
        <v>11.326601028442383</v>
      </c>
      <c r="D78" s="1">
        <f t="shared" si="6"/>
        <v>32338</v>
      </c>
      <c r="E78">
        <f t="shared" si="8"/>
        <v>1988</v>
      </c>
      <c r="F78" s="6">
        <f t="shared" si="9"/>
        <v>196</v>
      </c>
      <c r="G78">
        <v>17.399999999999999</v>
      </c>
      <c r="H78">
        <v>8.4</v>
      </c>
      <c r="I78">
        <f>MAX(0,1-Fitting!$B$7*(Fitting!$B$6-Herm8889!C78)^2)</f>
        <v>0.43855211402240823</v>
      </c>
      <c r="J78">
        <f>tt(G78,H78,Fitting!$B$1:$E$1,Fitting!$B$2:$E$2)*I78</f>
        <v>5.6573221035947112</v>
      </c>
    </row>
    <row r="79" spans="1:10">
      <c r="A79" s="1">
        <f t="shared" si="7"/>
        <v>32339</v>
      </c>
      <c r="B79">
        <f t="shared" si="5"/>
        <v>440.33310264956543</v>
      </c>
      <c r="C79">
        <f>day_length(F79,$B$1,Fitting!$B$4)</f>
        <v>11.338462829589844</v>
      </c>
      <c r="D79" s="1">
        <f t="shared" si="6"/>
        <v>32339</v>
      </c>
      <c r="E79">
        <f t="shared" si="8"/>
        <v>1988</v>
      </c>
      <c r="F79" s="6">
        <f t="shared" si="9"/>
        <v>197</v>
      </c>
      <c r="G79">
        <v>18</v>
      </c>
      <c r="H79">
        <v>2.5</v>
      </c>
      <c r="I79">
        <f>MAX(0,1-Fitting!$B$7*(Fitting!$B$6-Herm8889!C79)^2)</f>
        <v>0.43992819702869745</v>
      </c>
      <c r="J79">
        <f>tt(G79,H79,Fitting!$B$1:$E$1,Fitting!$B$2:$E$2)*I79</f>
        <v>4.5092644390923713</v>
      </c>
    </row>
    <row r="80" spans="1:10">
      <c r="A80" s="1">
        <f t="shared" si="7"/>
        <v>32340</v>
      </c>
      <c r="B80">
        <f t="shared" si="5"/>
        <v>444.4156525627227</v>
      </c>
      <c r="C80">
        <f>day_length(F80,$B$1,Fitting!$B$4)</f>
        <v>11.350791931152344</v>
      </c>
      <c r="D80" s="1">
        <f t="shared" si="6"/>
        <v>32340</v>
      </c>
      <c r="E80">
        <f t="shared" si="8"/>
        <v>1988</v>
      </c>
      <c r="F80" s="6">
        <f t="shared" si="9"/>
        <v>198</v>
      </c>
      <c r="G80">
        <v>17.5</v>
      </c>
      <c r="H80">
        <v>1</v>
      </c>
      <c r="I80">
        <f>MAX(0,1-Fitting!$B$7*(Fitting!$B$6-Herm8889!C80)^2)</f>
        <v>0.4413567018645117</v>
      </c>
      <c r="J80">
        <f>tt(G80,H80,Fitting!$B$1:$E$1,Fitting!$B$2:$E$2)*I80</f>
        <v>4.0825499131572842</v>
      </c>
    </row>
    <row r="81" spans="1:10">
      <c r="A81" s="1">
        <f t="shared" si="7"/>
        <v>32341</v>
      </c>
      <c r="B81">
        <f t="shared" si="5"/>
        <v>450.57108181711141</v>
      </c>
      <c r="C81">
        <f>day_length(F81,$B$1,Fitting!$B$4)</f>
        <v>11.363581657409668</v>
      </c>
      <c r="D81" s="1">
        <f t="shared" si="6"/>
        <v>32341</v>
      </c>
      <c r="E81">
        <f t="shared" si="8"/>
        <v>1988</v>
      </c>
      <c r="F81" s="6">
        <f t="shared" si="9"/>
        <v>199</v>
      </c>
      <c r="G81">
        <v>18.399999999999999</v>
      </c>
      <c r="H81">
        <v>9.4</v>
      </c>
      <c r="I81">
        <f>MAX(0,1-Fitting!$B$7*(Fitting!$B$6-Herm8889!C81)^2)</f>
        <v>0.44283664915953158</v>
      </c>
      <c r="J81">
        <f>tt(G81,H81,Fitting!$B$1:$E$1,Fitting!$B$2:$E$2)*I81</f>
        <v>6.1554292543887135</v>
      </c>
    </row>
    <row r="82" spans="1:10">
      <c r="A82" s="1">
        <f t="shared" si="7"/>
        <v>32342</v>
      </c>
      <c r="B82">
        <f t="shared" si="5"/>
        <v>455.21472019228082</v>
      </c>
      <c r="C82">
        <f>day_length(F82,$B$1,Fitting!$B$4)</f>
        <v>11.376827239990234</v>
      </c>
      <c r="D82" s="1">
        <f t="shared" si="6"/>
        <v>32342</v>
      </c>
      <c r="E82">
        <f t="shared" si="8"/>
        <v>1988</v>
      </c>
      <c r="F82" s="6">
        <f t="shared" si="9"/>
        <v>200</v>
      </c>
      <c r="G82">
        <v>18.100000000000001</v>
      </c>
      <c r="H82">
        <v>2.8</v>
      </c>
      <c r="I82">
        <f>MAX(0,1-Fitting!$B$7*(Fitting!$B$6-Herm8889!C82)^2)</f>
        <v>0.44436727618603622</v>
      </c>
      <c r="J82">
        <f>tt(G82,H82,Fitting!$B$1:$E$1,Fitting!$B$2:$E$2)*I82</f>
        <v>4.643638375169405</v>
      </c>
    </row>
    <row r="83" spans="1:10">
      <c r="A83" s="1">
        <f t="shared" si="7"/>
        <v>32343</v>
      </c>
      <c r="B83">
        <f t="shared" si="5"/>
        <v>459.69649361483795</v>
      </c>
      <c r="C83">
        <f>day_length(F83,$B$1,Fitting!$B$4)</f>
        <v>11.390522003173828</v>
      </c>
      <c r="D83" s="1">
        <f t="shared" si="6"/>
        <v>32343</v>
      </c>
      <c r="E83">
        <f t="shared" si="8"/>
        <v>1988</v>
      </c>
      <c r="F83" s="6">
        <f t="shared" si="9"/>
        <v>201</v>
      </c>
      <c r="G83">
        <v>17.7</v>
      </c>
      <c r="H83">
        <v>2.4</v>
      </c>
      <c r="I83">
        <f>MAX(0,1-Fitting!$B$7*(Fitting!$B$6-Herm8889!C83)^2)</f>
        <v>0.44594759577108201</v>
      </c>
      <c r="J83">
        <f>tt(G83,H83,Fitting!$B$1:$E$1,Fitting!$B$2:$E$2)*I83</f>
        <v>4.4817734225571275</v>
      </c>
    </row>
    <row r="84" spans="1:10">
      <c r="A84" s="1">
        <f t="shared" si="7"/>
        <v>32344</v>
      </c>
      <c r="B84">
        <f t="shared" si="5"/>
        <v>464.41842701793337</v>
      </c>
      <c r="C84">
        <f>day_length(F84,$B$1,Fitting!$B$4)</f>
        <v>11.404659271240234</v>
      </c>
      <c r="D84" s="1">
        <f t="shared" si="6"/>
        <v>32344</v>
      </c>
      <c r="E84">
        <f t="shared" si="8"/>
        <v>1988</v>
      </c>
      <c r="F84" s="6">
        <f t="shared" si="9"/>
        <v>202</v>
      </c>
      <c r="G84">
        <v>18.8</v>
      </c>
      <c r="H84">
        <v>2.2999999999999998</v>
      </c>
      <c r="I84">
        <f>MAX(0,1-Fitting!$B$7*(Fitting!$B$6-Herm8889!C84)^2)</f>
        <v>0.44757661779402402</v>
      </c>
      <c r="J84">
        <f>tt(G84,H84,Fitting!$B$1:$E$1,Fitting!$B$2:$E$2)*I84</f>
        <v>4.7219334030954183</v>
      </c>
    </row>
    <row r="85" spans="1:10">
      <c r="A85" s="1">
        <f t="shared" si="7"/>
        <v>32345</v>
      </c>
      <c r="B85">
        <f t="shared" si="5"/>
        <v>470.25872056200114</v>
      </c>
      <c r="C85">
        <f>day_length(F85,$B$1,Fitting!$B$4)</f>
        <v>11.419232368469238</v>
      </c>
      <c r="D85" s="1">
        <f t="shared" si="6"/>
        <v>32345</v>
      </c>
      <c r="E85">
        <f t="shared" si="8"/>
        <v>1988</v>
      </c>
      <c r="F85" s="6">
        <f t="shared" si="9"/>
        <v>203</v>
      </c>
      <c r="G85">
        <v>19.5</v>
      </c>
      <c r="H85">
        <v>6.5</v>
      </c>
      <c r="I85">
        <f>MAX(0,1-Fitting!$B$7*(Fitting!$B$6-Herm8889!C85)^2)</f>
        <v>0.44925334954367457</v>
      </c>
      <c r="J85">
        <f>tt(G85,H85,Fitting!$B$1:$E$1,Fitting!$B$2:$E$2)*I85</f>
        <v>5.8402935440677695</v>
      </c>
    </row>
    <row r="86" spans="1:10">
      <c r="A86" s="1">
        <f t="shared" si="7"/>
        <v>32346</v>
      </c>
      <c r="B86">
        <f t="shared" si="5"/>
        <v>477.13611837151063</v>
      </c>
      <c r="C86">
        <f>day_length(F86,$B$1,Fitting!$B$4)</f>
        <v>11.434235572814941</v>
      </c>
      <c r="D86" s="1">
        <f t="shared" si="6"/>
        <v>32346</v>
      </c>
      <c r="E86">
        <f t="shared" si="8"/>
        <v>1988</v>
      </c>
      <c r="F86" s="6">
        <f t="shared" si="9"/>
        <v>204</v>
      </c>
      <c r="G86">
        <v>20.2</v>
      </c>
      <c r="H86">
        <v>10.3</v>
      </c>
      <c r="I86">
        <f>MAX(0,1-Fitting!$B$7*(Fitting!$B$6-Herm8889!C86)^2)</f>
        <v>0.45097690554160541</v>
      </c>
      <c r="J86">
        <f>tt(G86,H86,Fitting!$B$1:$E$1,Fitting!$B$2:$E$2)*I86</f>
        <v>6.8773978095094828</v>
      </c>
    </row>
    <row r="87" spans="1:10">
      <c r="A87" s="1">
        <f t="shared" si="7"/>
        <v>32347</v>
      </c>
      <c r="B87">
        <f t="shared" si="5"/>
        <v>482.00314257867615</v>
      </c>
      <c r="C87">
        <f>day_length(F87,$B$1,Fitting!$B$4)</f>
        <v>11.449663162231445</v>
      </c>
      <c r="D87" s="1">
        <f t="shared" si="6"/>
        <v>32347</v>
      </c>
      <c r="E87">
        <f t="shared" si="8"/>
        <v>1988</v>
      </c>
      <c r="F87" s="6">
        <f t="shared" si="9"/>
        <v>205</v>
      </c>
      <c r="G87">
        <v>15</v>
      </c>
      <c r="H87">
        <v>6.5</v>
      </c>
      <c r="I87">
        <f>MAX(0,1-Fitting!$B$7*(Fitting!$B$6-Herm8889!C87)^2)</f>
        <v>0.45274639771096548</v>
      </c>
      <c r="J87">
        <f>tt(G87,H87,Fitting!$B$1:$E$1,Fitting!$B$2:$E$2)*I87</f>
        <v>4.8670242071654899</v>
      </c>
    </row>
    <row r="88" spans="1:10">
      <c r="A88" s="1">
        <f t="shared" si="7"/>
        <v>32348</v>
      </c>
      <c r="B88">
        <f t="shared" si="5"/>
        <v>486.41238039276732</v>
      </c>
      <c r="C88">
        <f>day_length(F88,$B$1,Fitting!$B$4)</f>
        <v>11.465506553649902</v>
      </c>
      <c r="D88" s="1">
        <f t="shared" si="6"/>
        <v>32348</v>
      </c>
      <c r="E88">
        <f t="shared" si="8"/>
        <v>1988</v>
      </c>
      <c r="F88" s="6">
        <f t="shared" si="9"/>
        <v>206</v>
      </c>
      <c r="G88">
        <v>14.2</v>
      </c>
      <c r="H88">
        <v>5.2</v>
      </c>
      <c r="I88">
        <f>MAX(0,1-Fitting!$B$7*(Fitting!$B$6-Herm8889!C88)^2)</f>
        <v>0.45456060832904222</v>
      </c>
      <c r="J88">
        <f>tt(G88,H88,Fitting!$B$1:$E$1,Fitting!$B$2:$E$2)*I88</f>
        <v>4.4092378140911537</v>
      </c>
    </row>
    <row r="89" spans="1:10">
      <c r="A89" s="1">
        <f t="shared" si="7"/>
        <v>32349</v>
      </c>
      <c r="B89">
        <f t="shared" si="5"/>
        <v>489.90398225004435</v>
      </c>
      <c r="C89">
        <f>day_length(F89,$B$1,Fitting!$B$4)</f>
        <v>11.481759071350098</v>
      </c>
      <c r="D89" s="1">
        <f t="shared" si="6"/>
        <v>32349</v>
      </c>
      <c r="E89">
        <f t="shared" si="8"/>
        <v>1988</v>
      </c>
      <c r="F89" s="6">
        <f t="shared" si="9"/>
        <v>207</v>
      </c>
      <c r="G89">
        <v>14.9</v>
      </c>
      <c r="H89">
        <v>0.4</v>
      </c>
      <c r="I89">
        <f>MAX(0,1-Fitting!$B$7*(Fitting!$B$6-Herm8889!C89)^2)</f>
        <v>0.45641853774504304</v>
      </c>
      <c r="J89">
        <f>tt(G89,H89,Fitting!$B$1:$E$1,Fitting!$B$2:$E$2)*I89</f>
        <v>3.4916018572770429</v>
      </c>
    </row>
    <row r="90" spans="1:10">
      <c r="A90" s="1">
        <f t="shared" si="7"/>
        <v>32350</v>
      </c>
      <c r="B90">
        <f t="shared" si="5"/>
        <v>495.35798340678474</v>
      </c>
      <c r="C90">
        <f>day_length(F90,$B$1,Fitting!$B$4)</f>
        <v>11.498415946960449</v>
      </c>
      <c r="D90" s="1">
        <f t="shared" si="6"/>
        <v>32350</v>
      </c>
      <c r="E90">
        <f t="shared" si="8"/>
        <v>1988</v>
      </c>
      <c r="F90" s="6">
        <f t="shared" si="9"/>
        <v>208</v>
      </c>
      <c r="G90">
        <v>17.100000000000001</v>
      </c>
      <c r="H90">
        <v>6.7</v>
      </c>
      <c r="I90">
        <f>MAX(0,1-Fitting!$B$7*(Fitting!$B$6-Herm8889!C90)^2)</f>
        <v>0.45831940289814699</v>
      </c>
      <c r="J90">
        <f>tt(G90,H90,Fitting!$B$1:$E$1,Fitting!$B$2:$E$2)*I90</f>
        <v>5.4540011567404152</v>
      </c>
    </row>
    <row r="91" spans="1:10">
      <c r="A91" s="1">
        <f t="shared" si="7"/>
        <v>32351</v>
      </c>
      <c r="B91">
        <f t="shared" si="5"/>
        <v>500.78907491096408</v>
      </c>
      <c r="C91">
        <f>day_length(F91,$B$1,Fitting!$B$4)</f>
        <v>11.515468597412109</v>
      </c>
      <c r="D91" s="1">
        <f t="shared" si="6"/>
        <v>32351</v>
      </c>
      <c r="E91">
        <f t="shared" si="8"/>
        <v>1988</v>
      </c>
      <c r="F91" s="6">
        <f t="shared" si="9"/>
        <v>209</v>
      </c>
      <c r="G91">
        <v>21.1</v>
      </c>
      <c r="H91">
        <v>2.5</v>
      </c>
      <c r="I91">
        <f>MAX(0,1-Fitting!$B$7*(Fitting!$B$6-Herm8889!C91)^2)</f>
        <v>0.46026198443994504</v>
      </c>
      <c r="J91">
        <f>tt(G91,H91,Fitting!$B$1:$E$1,Fitting!$B$2:$E$2)*I91</f>
        <v>5.4310915041793582</v>
      </c>
    </row>
    <row r="92" spans="1:10">
      <c r="A92" s="1">
        <f t="shared" si="7"/>
        <v>32352</v>
      </c>
      <c r="B92">
        <f t="shared" si="5"/>
        <v>504.3389113989935</v>
      </c>
      <c r="C92">
        <f>day_length(F92,$B$1,Fitting!$B$4)</f>
        <v>11.532910346984863</v>
      </c>
      <c r="D92" s="1">
        <f t="shared" si="6"/>
        <v>32352</v>
      </c>
      <c r="E92">
        <f t="shared" si="8"/>
        <v>1988</v>
      </c>
      <c r="F92" s="6">
        <f t="shared" si="9"/>
        <v>210</v>
      </c>
      <c r="G92">
        <v>16.7</v>
      </c>
      <c r="H92">
        <v>-1.5</v>
      </c>
      <c r="I92">
        <f>MAX(0,1-Fitting!$B$7*(Fitting!$B$6-Herm8889!C92)^2)</f>
        <v>0.46224528101064244</v>
      </c>
      <c r="J92">
        <f>tt(G92,H92,Fitting!$B$1:$E$1,Fitting!$B$2:$E$2)*I92</f>
        <v>3.5498364880294542</v>
      </c>
    </row>
    <row r="93" spans="1:10">
      <c r="A93" s="1">
        <f t="shared" si="7"/>
        <v>32353</v>
      </c>
      <c r="B93">
        <f t="shared" si="5"/>
        <v>509.81727732519454</v>
      </c>
      <c r="C93">
        <f>day_length(F93,$B$1,Fitting!$B$4)</f>
        <v>11.550734519958496</v>
      </c>
      <c r="D93" s="1">
        <f t="shared" si="6"/>
        <v>32353</v>
      </c>
      <c r="E93">
        <f t="shared" si="8"/>
        <v>1988</v>
      </c>
      <c r="F93" s="6">
        <f t="shared" si="9"/>
        <v>211</v>
      </c>
      <c r="G93">
        <v>18.7</v>
      </c>
      <c r="H93">
        <v>4.9000000000000004</v>
      </c>
      <c r="I93">
        <f>MAX(0,1-Fitting!$B$7*(Fitting!$B$6-Herm8889!C93)^2)</f>
        <v>0.46426829132617597</v>
      </c>
      <c r="J93">
        <f>tt(G93,H93,Fitting!$B$1:$E$1,Fitting!$B$2:$E$2)*I93</f>
        <v>5.4783659262010254</v>
      </c>
    </row>
    <row r="94" spans="1:10">
      <c r="A94" s="1">
        <f t="shared" si="7"/>
        <v>32354</v>
      </c>
      <c r="B94">
        <f t="shared" si="5"/>
        <v>513.94429768657051</v>
      </c>
      <c r="C94">
        <f>day_length(F94,$B$1,Fitting!$B$4)</f>
        <v>11.568934440612793</v>
      </c>
      <c r="D94" s="1">
        <f t="shared" si="6"/>
        <v>32354</v>
      </c>
      <c r="E94">
        <f t="shared" si="8"/>
        <v>1988</v>
      </c>
      <c r="F94" s="6">
        <f t="shared" si="9"/>
        <v>212</v>
      </c>
      <c r="G94">
        <v>17.2</v>
      </c>
      <c r="H94">
        <v>0.5</v>
      </c>
      <c r="I94">
        <f>MAX(0,1-Fitting!$B$7*(Fitting!$B$6-Herm8889!C94)^2)</f>
        <v>0.46633001448724276</v>
      </c>
      <c r="J94">
        <f>tt(G94,H94,Fitting!$B$1:$E$1,Fitting!$B$2:$E$2)*I94</f>
        <v>4.1270203613759238</v>
      </c>
    </row>
    <row r="95" spans="1:10">
      <c r="A95" s="1">
        <f t="shared" si="7"/>
        <v>32355</v>
      </c>
      <c r="B95">
        <f t="shared" si="5"/>
        <v>518.69885533491868</v>
      </c>
      <c r="C95">
        <f>day_length(F95,$B$1,Fitting!$B$4)</f>
        <v>11.587502479553223</v>
      </c>
      <c r="D95" s="1">
        <f t="shared" si="6"/>
        <v>32355</v>
      </c>
      <c r="E95">
        <f t="shared" si="8"/>
        <v>1988</v>
      </c>
      <c r="F95" s="6">
        <f t="shared" si="9"/>
        <v>213</v>
      </c>
      <c r="G95">
        <v>18.3</v>
      </c>
      <c r="H95">
        <v>2</v>
      </c>
      <c r="I95">
        <f>MAX(0,1-Fitting!$B$7*(Fitting!$B$6-Herm8889!C95)^2)</f>
        <v>0.46842934256549962</v>
      </c>
      <c r="J95">
        <f>tt(G95,H95,Fitting!$B$1:$E$1,Fitting!$B$2:$E$2)*I95</f>
        <v>4.7545576483482082</v>
      </c>
    </row>
    <row r="96" spans="1:10">
      <c r="A96" s="1">
        <f t="shared" si="7"/>
        <v>32356</v>
      </c>
      <c r="B96">
        <f t="shared" si="5"/>
        <v>522.81630195731907</v>
      </c>
      <c r="C96">
        <f>day_length(F96,$B$1,Fitting!$B$4)</f>
        <v>11.60643196105957</v>
      </c>
      <c r="D96" s="1">
        <f t="shared" si="6"/>
        <v>32356</v>
      </c>
      <c r="E96">
        <f t="shared" si="8"/>
        <v>1988</v>
      </c>
      <c r="F96" s="6">
        <f t="shared" si="9"/>
        <v>214</v>
      </c>
      <c r="G96">
        <v>18.2</v>
      </c>
      <c r="H96">
        <v>-0.7</v>
      </c>
      <c r="I96">
        <f>MAX(0,1-Fitting!$B$7*(Fitting!$B$6-Herm8889!C96)^2)</f>
        <v>0.47056527698678108</v>
      </c>
      <c r="J96">
        <f>tt(G96,H96,Fitting!$B$1:$E$1,Fitting!$B$2:$E$2)*I96</f>
        <v>4.1174466224003536</v>
      </c>
    </row>
    <row r="97" spans="1:10">
      <c r="A97" s="1">
        <f t="shared" si="7"/>
        <v>32357</v>
      </c>
      <c r="B97">
        <f t="shared" si="5"/>
        <v>528.27641187320592</v>
      </c>
      <c r="C97">
        <f>day_length(F97,$B$1,Fitting!$B$4)</f>
        <v>11.625716209411621</v>
      </c>
      <c r="D97" s="1">
        <f t="shared" si="6"/>
        <v>32357</v>
      </c>
      <c r="E97">
        <f t="shared" si="8"/>
        <v>1988</v>
      </c>
      <c r="F97" s="6">
        <f t="shared" si="9"/>
        <v>215</v>
      </c>
      <c r="G97">
        <v>18.2</v>
      </c>
      <c r="H97">
        <v>4.9000000000000004</v>
      </c>
      <c r="I97">
        <f>MAX(0,1-Fitting!$B$7*(Fitting!$B$6-Herm8889!C97)^2)</f>
        <v>0.4727368204810718</v>
      </c>
      <c r="J97">
        <f>tt(G97,H97,Fitting!$B$1:$E$1,Fitting!$B$2:$E$2)*I97</f>
        <v>5.4601099158868083</v>
      </c>
    </row>
    <row r="98" spans="1:10">
      <c r="A98" s="1">
        <f t="shared" si="7"/>
        <v>32358</v>
      </c>
      <c r="B98">
        <f t="shared" si="5"/>
        <v>533.76200087942834</v>
      </c>
      <c r="C98">
        <f>day_length(F98,$B$1,Fitting!$B$4)</f>
        <v>11.645346641540527</v>
      </c>
      <c r="D98" s="1">
        <f t="shared" si="6"/>
        <v>32358</v>
      </c>
      <c r="E98">
        <f t="shared" si="8"/>
        <v>1988</v>
      </c>
      <c r="F98" s="6">
        <f t="shared" si="9"/>
        <v>216</v>
      </c>
      <c r="G98">
        <v>17.600000000000001</v>
      </c>
      <c r="H98">
        <v>5.5</v>
      </c>
      <c r="I98">
        <f>MAX(0,1-Fitting!$B$7*(Fitting!$B$6-Herm8889!C98)^2)</f>
        <v>0.47494276325837748</v>
      </c>
      <c r="J98">
        <f>tt(G98,H98,Fitting!$B$1:$E$1,Fitting!$B$2:$E$2)*I98</f>
        <v>5.4855890062224031</v>
      </c>
    </row>
    <row r="99" spans="1:10">
      <c r="A99" s="1">
        <f t="shared" si="7"/>
        <v>32359</v>
      </c>
      <c r="B99">
        <f t="shared" si="5"/>
        <v>539.55976641990537</v>
      </c>
      <c r="C99">
        <f>day_length(F99,$B$1,Fitting!$B$4)</f>
        <v>11.665318489074707</v>
      </c>
      <c r="D99" s="1">
        <f t="shared" si="6"/>
        <v>32359</v>
      </c>
      <c r="E99">
        <f t="shared" si="8"/>
        <v>1988</v>
      </c>
      <c r="F99" s="6">
        <f t="shared" si="9"/>
        <v>217</v>
      </c>
      <c r="G99">
        <v>20.7</v>
      </c>
      <c r="H99">
        <v>3.6</v>
      </c>
      <c r="I99">
        <f>MAX(0,1-Fitting!$B$7*(Fitting!$B$6-Herm8889!C99)^2)</f>
        <v>0.47718232653753689</v>
      </c>
      <c r="J99">
        <f>tt(G99,H99,Fitting!$B$1:$E$1,Fitting!$B$2:$E$2)*I99</f>
        <v>5.7977655404769903</v>
      </c>
    </row>
    <row r="100" spans="1:10">
      <c r="A100" s="1">
        <f t="shared" si="7"/>
        <v>32360</v>
      </c>
      <c r="B100">
        <f t="shared" si="5"/>
        <v>545.91253551046645</v>
      </c>
      <c r="C100">
        <f>day_length(F100,$B$1,Fitting!$B$4)</f>
        <v>11.685623168945312</v>
      </c>
      <c r="D100" s="1">
        <f t="shared" si="6"/>
        <v>32360</v>
      </c>
      <c r="E100">
        <f t="shared" si="8"/>
        <v>1988</v>
      </c>
      <c r="F100" s="6">
        <f t="shared" si="9"/>
        <v>218</v>
      </c>
      <c r="G100">
        <v>21.9</v>
      </c>
      <c r="H100">
        <v>4.5999999999999996</v>
      </c>
      <c r="I100">
        <f>MAX(0,1-Fitting!$B$7*(Fitting!$B$6-Herm8889!C100)^2)</f>
        <v>0.47945430549466983</v>
      </c>
      <c r="J100">
        <f>tt(G100,H100,Fitting!$B$1:$E$1,Fitting!$B$2:$E$2)*I100</f>
        <v>6.352769090561118</v>
      </c>
    </row>
    <row r="101" spans="1:10">
      <c r="A101" s="1">
        <f t="shared" si="7"/>
        <v>32361</v>
      </c>
      <c r="B101">
        <f t="shared" si="5"/>
        <v>553.54839712046623</v>
      </c>
      <c r="C101">
        <f>day_length(F101,$B$1,Fitting!$B$4)</f>
        <v>11.706254959106445</v>
      </c>
      <c r="D101" s="1">
        <f t="shared" si="6"/>
        <v>32361</v>
      </c>
      <c r="E101">
        <f t="shared" si="8"/>
        <v>1988</v>
      </c>
      <c r="F101" s="6">
        <f t="shared" si="9"/>
        <v>219</v>
      </c>
      <c r="G101">
        <v>22.3</v>
      </c>
      <c r="H101">
        <v>9.4</v>
      </c>
      <c r="I101">
        <f>MAX(0,1-Fitting!$B$7*(Fitting!$B$6-Herm8889!C101)^2)</f>
        <v>0.48175781868919876</v>
      </c>
      <c r="J101">
        <f>tt(G101,H101,Fitting!$B$1:$E$1,Fitting!$B$2:$E$2)*I101</f>
        <v>7.6358616099998233</v>
      </c>
    </row>
    <row r="102" spans="1:10">
      <c r="A102" s="1">
        <f t="shared" si="7"/>
        <v>32362</v>
      </c>
      <c r="B102">
        <f t="shared" si="5"/>
        <v>558.19567787590665</v>
      </c>
      <c r="C102">
        <f>day_length(F102,$B$1,Fitting!$B$4)</f>
        <v>11.727206230163574</v>
      </c>
      <c r="D102" s="1">
        <f t="shared" si="6"/>
        <v>32362</v>
      </c>
      <c r="E102">
        <f t="shared" si="8"/>
        <v>1988</v>
      </c>
      <c r="F102" s="6">
        <f t="shared" si="9"/>
        <v>220</v>
      </c>
      <c r="G102">
        <v>16.399999999999999</v>
      </c>
      <c r="H102">
        <v>2.8</v>
      </c>
      <c r="I102">
        <f>MAX(0,1-Fitting!$B$7*(Fitting!$B$6-Herm8889!C102)^2)</f>
        <v>0.48409177421249661</v>
      </c>
      <c r="J102">
        <f>tt(G102,H102,Fitting!$B$1:$E$1,Fitting!$B$2:$E$2)*I102</f>
        <v>4.6472807554404323</v>
      </c>
    </row>
    <row r="103" spans="1:10">
      <c r="A103" s="1">
        <f t="shared" si="7"/>
        <v>32363</v>
      </c>
      <c r="B103">
        <f t="shared" si="5"/>
        <v>562.81700218062383</v>
      </c>
      <c r="C103">
        <f>day_length(F103,$B$1,Fitting!$B$4)</f>
        <v>11.748470306396484</v>
      </c>
      <c r="D103" s="1">
        <f t="shared" si="6"/>
        <v>32363</v>
      </c>
      <c r="E103">
        <f t="shared" si="8"/>
        <v>1988</v>
      </c>
      <c r="F103" s="6">
        <f t="shared" si="9"/>
        <v>221</v>
      </c>
      <c r="G103">
        <v>14.4</v>
      </c>
      <c r="H103">
        <v>4.5999999999999996</v>
      </c>
      <c r="I103">
        <f>MAX(0,1-Fitting!$B$7*(Fitting!$B$6-Herm8889!C103)^2)</f>
        <v>0.48645518997023462</v>
      </c>
      <c r="J103">
        <f>tt(G103,H103,Fitting!$B$1:$E$1,Fitting!$B$2:$E$2)*I103</f>
        <v>4.6213243047172288</v>
      </c>
    </row>
    <row r="104" spans="1:10">
      <c r="A104" s="1">
        <f t="shared" si="7"/>
        <v>32364</v>
      </c>
      <c r="B104">
        <f t="shared" si="5"/>
        <v>565.39410189747343</v>
      </c>
      <c r="C104">
        <f>day_length(F104,$B$1,Fitting!$B$4)</f>
        <v>11.770038604736328</v>
      </c>
      <c r="D104" s="1">
        <f t="shared" si="6"/>
        <v>32364</v>
      </c>
      <c r="E104">
        <f t="shared" si="8"/>
        <v>1988</v>
      </c>
      <c r="F104" s="6">
        <f t="shared" si="9"/>
        <v>222</v>
      </c>
      <c r="G104">
        <v>12.2</v>
      </c>
      <c r="H104">
        <v>-2.2999999999999998</v>
      </c>
      <c r="I104">
        <f>MAX(0,1-Fitting!$B$7*(Fitting!$B$6-Herm8889!C104)^2)</f>
        <v>0.48884687585165376</v>
      </c>
      <c r="J104">
        <f>tt(G104,H104,Fitting!$B$1:$E$1,Fitting!$B$2:$E$2)*I104</f>
        <v>2.5770997168496481</v>
      </c>
    </row>
    <row r="105" spans="1:10">
      <c r="A105" s="1">
        <f t="shared" si="7"/>
        <v>32365</v>
      </c>
      <c r="B105">
        <f t="shared" si="5"/>
        <v>568.86998427067772</v>
      </c>
      <c r="C105">
        <f>day_length(F105,$B$1,Fitting!$B$4)</f>
        <v>11.79190731048584</v>
      </c>
      <c r="D105" s="1">
        <f t="shared" si="6"/>
        <v>32365</v>
      </c>
      <c r="E105">
        <f t="shared" si="8"/>
        <v>1988</v>
      </c>
      <c r="F105" s="6">
        <f t="shared" si="9"/>
        <v>223</v>
      </c>
      <c r="G105">
        <v>15.4</v>
      </c>
      <c r="H105">
        <v>-1.4</v>
      </c>
      <c r="I105">
        <f>MAX(0,1-Fitting!$B$7*(Fitting!$B$6-Herm8889!C105)^2)</f>
        <v>0.49126617412789531</v>
      </c>
      <c r="J105">
        <f>tt(G105,H105,Fitting!$B$1:$E$1,Fitting!$B$2:$E$2)*I105</f>
        <v>3.4758823732042687</v>
      </c>
    </row>
    <row r="106" spans="1:10">
      <c r="A106" s="1">
        <f t="shared" si="7"/>
        <v>32366</v>
      </c>
      <c r="B106">
        <f t="shared" si="5"/>
        <v>574.27612788336819</v>
      </c>
      <c r="C106">
        <f>day_length(F106,$B$1,Fitting!$B$4)</f>
        <v>11.814066886901855</v>
      </c>
      <c r="D106" s="1">
        <f t="shared" si="6"/>
        <v>32366</v>
      </c>
      <c r="E106">
        <f t="shared" si="8"/>
        <v>1988</v>
      </c>
      <c r="F106" s="6">
        <f t="shared" si="9"/>
        <v>224</v>
      </c>
      <c r="G106">
        <v>17.899999999999999</v>
      </c>
      <c r="H106">
        <v>4</v>
      </c>
      <c r="I106">
        <f>MAX(0,1-Fitting!$B$7*(Fitting!$B$6-Herm8889!C106)^2)</f>
        <v>0.49371179705012214</v>
      </c>
      <c r="J106">
        <f>tt(G106,H106,Fitting!$B$1:$E$1,Fitting!$B$2:$E$2)*I106</f>
        <v>5.4061436126905251</v>
      </c>
    </row>
    <row r="107" spans="1:10">
      <c r="A107" s="1">
        <f t="shared" si="7"/>
        <v>32367</v>
      </c>
      <c r="B107">
        <f t="shared" si="5"/>
        <v>580.45360646550091</v>
      </c>
      <c r="C107">
        <f>day_length(F107,$B$1,Fitting!$B$4)</f>
        <v>11.836512565612793</v>
      </c>
      <c r="D107" s="1">
        <f t="shared" si="6"/>
        <v>32367</v>
      </c>
      <c r="E107">
        <f t="shared" si="8"/>
        <v>1988</v>
      </c>
      <c r="F107" s="6">
        <f t="shared" si="9"/>
        <v>225</v>
      </c>
      <c r="G107">
        <v>18.100000000000001</v>
      </c>
      <c r="H107">
        <v>6.8</v>
      </c>
      <c r="I107">
        <f>MAX(0,1-Fitting!$B$7*(Fitting!$B$6-Herm8889!C107)^2)</f>
        <v>0.49618298823896656</v>
      </c>
      <c r="J107">
        <f>tt(G107,H107,Fitting!$B$1:$E$1,Fitting!$B$2:$E$2)*I107</f>
        <v>6.1774785821327116</v>
      </c>
    </row>
    <row r="108" spans="1:10">
      <c r="A108" s="1">
        <f t="shared" si="7"/>
        <v>32368</v>
      </c>
      <c r="B108">
        <f t="shared" si="5"/>
        <v>586.3130834096645</v>
      </c>
      <c r="C108">
        <f>day_length(F108,$B$1,Fitting!$B$4)</f>
        <v>11.859238624572754</v>
      </c>
      <c r="D108" s="1">
        <f t="shared" si="6"/>
        <v>32368</v>
      </c>
      <c r="E108">
        <f t="shared" si="8"/>
        <v>1988</v>
      </c>
      <c r="F108" s="6">
        <f t="shared" si="9"/>
        <v>226</v>
      </c>
      <c r="G108">
        <v>16.7</v>
      </c>
      <c r="H108">
        <v>6.8</v>
      </c>
      <c r="I108">
        <f>MAX(0,1-Fitting!$B$7*(Fitting!$B$6-Herm8889!C108)^2)</f>
        <v>0.49867888886498435</v>
      </c>
      <c r="J108">
        <f>tt(G108,H108,Fitting!$B$1:$E$1,Fitting!$B$2:$E$2)*I108</f>
        <v>5.8594769441635659</v>
      </c>
    </row>
    <row r="109" spans="1:10">
      <c r="A109" s="1">
        <f t="shared" si="7"/>
        <v>32369</v>
      </c>
      <c r="B109">
        <f t="shared" si="5"/>
        <v>592.57806171381458</v>
      </c>
      <c r="C109">
        <f>day_length(F109,$B$1,Fitting!$B$4)</f>
        <v>11.882235527038574</v>
      </c>
      <c r="D109" s="1">
        <f t="shared" si="6"/>
        <v>32369</v>
      </c>
      <c r="E109">
        <f t="shared" si="8"/>
        <v>1988</v>
      </c>
      <c r="F109" s="6">
        <f t="shared" si="9"/>
        <v>227</v>
      </c>
      <c r="G109">
        <v>17.100000000000001</v>
      </c>
      <c r="H109">
        <v>7.9</v>
      </c>
      <c r="I109">
        <f>MAX(0,1-Fitting!$B$7*(Fitting!$B$6-Herm8889!C109)^2)</f>
        <v>0.50119822609361475</v>
      </c>
      <c r="J109">
        <f>tt(G109,H109,Fitting!$B$1:$E$1,Fitting!$B$2:$E$2)*I109</f>
        <v>6.26497830415006</v>
      </c>
    </row>
    <row r="110" spans="1:10">
      <c r="A110" s="1">
        <f t="shared" si="7"/>
        <v>32370</v>
      </c>
      <c r="B110">
        <f t="shared" si="5"/>
        <v>598.64812937803572</v>
      </c>
      <c r="C110">
        <f>day_length(F110,$B$1,Fitting!$B$4)</f>
        <v>11.905496597290039</v>
      </c>
      <c r="D110" s="1">
        <f t="shared" si="6"/>
        <v>32370</v>
      </c>
      <c r="E110">
        <f t="shared" si="8"/>
        <v>1988</v>
      </c>
      <c r="F110" s="6">
        <f t="shared" si="9"/>
        <v>228</v>
      </c>
      <c r="G110">
        <v>17.600000000000001</v>
      </c>
      <c r="H110">
        <v>6.5</v>
      </c>
      <c r="I110">
        <f>MAX(0,1-Fitting!$B$7*(Fitting!$B$6-Herm8889!C110)^2)</f>
        <v>0.50374004714858156</v>
      </c>
      <c r="J110">
        <f>tt(G110,H110,Fitting!$B$1:$E$1,Fitting!$B$2:$E$2)*I110</f>
        <v>6.070067664221197</v>
      </c>
    </row>
    <row r="111" spans="1:10">
      <c r="A111" s="1">
        <f t="shared" si="7"/>
        <v>32371</v>
      </c>
      <c r="B111">
        <f t="shared" si="5"/>
        <v>605.53386151486302</v>
      </c>
      <c r="C111">
        <f>day_length(F111,$B$1,Fitting!$B$4)</f>
        <v>11.929018974304199</v>
      </c>
      <c r="D111" s="1">
        <f t="shared" si="6"/>
        <v>32371</v>
      </c>
      <c r="E111">
        <f t="shared" si="8"/>
        <v>1988</v>
      </c>
      <c r="F111" s="6">
        <f t="shared" si="9"/>
        <v>229</v>
      </c>
      <c r="G111">
        <v>18.2</v>
      </c>
      <c r="H111">
        <v>9</v>
      </c>
      <c r="I111">
        <f>MAX(0,1-Fitting!$B$7*(Fitting!$B$6-Herm8889!C111)^2)</f>
        <v>0.50630381938880054</v>
      </c>
      <c r="J111">
        <f>tt(G111,H111,Fitting!$B$1:$E$1,Fitting!$B$2:$E$2)*I111</f>
        <v>6.8857321368272668</v>
      </c>
    </row>
    <row r="112" spans="1:10">
      <c r="A112" s="1">
        <f t="shared" si="7"/>
        <v>32372</v>
      </c>
      <c r="B112">
        <f t="shared" si="5"/>
        <v>611.23340973756967</v>
      </c>
      <c r="C112">
        <f>day_length(F112,$B$1,Fitting!$B$4)</f>
        <v>11.952793121337891</v>
      </c>
      <c r="D112" s="1">
        <f t="shared" si="6"/>
        <v>32372</v>
      </c>
      <c r="E112">
        <f t="shared" si="8"/>
        <v>1988</v>
      </c>
      <c r="F112" s="6">
        <f t="shared" si="9"/>
        <v>230</v>
      </c>
      <c r="G112">
        <v>18.899999999999999</v>
      </c>
      <c r="H112">
        <v>3.5</v>
      </c>
      <c r="I112">
        <f>MAX(0,1-Fitting!$B$7*(Fitting!$B$6-Herm8889!C112)^2)</f>
        <v>0.50888828616813409</v>
      </c>
      <c r="J112">
        <f>tt(G112,H112,Fitting!$B$1:$E$1,Fitting!$B$2:$E$2)*I112</f>
        <v>5.6995482227066754</v>
      </c>
    </row>
    <row r="113" spans="1:10">
      <c r="A113" s="1">
        <f t="shared" si="7"/>
        <v>32373</v>
      </c>
      <c r="B113">
        <f t="shared" si="5"/>
        <v>618.62447986958102</v>
      </c>
      <c r="C113">
        <f>day_length(F113,$B$1,Fitting!$B$4)</f>
        <v>11.976814270019531</v>
      </c>
      <c r="D113" s="1">
        <f t="shared" si="6"/>
        <v>32373</v>
      </c>
      <c r="E113">
        <f t="shared" si="8"/>
        <v>1988</v>
      </c>
      <c r="F113" s="6">
        <f t="shared" si="9"/>
        <v>231</v>
      </c>
      <c r="G113">
        <v>21.9</v>
      </c>
      <c r="H113">
        <v>7</v>
      </c>
      <c r="I113">
        <f>MAX(0,1-Fitting!$B$7*(Fitting!$B$6-Herm8889!C113)^2)</f>
        <v>0.51149271569366106</v>
      </c>
      <c r="J113">
        <f>tt(G113,H113,Fitting!$B$1:$E$1,Fitting!$B$2:$E$2)*I113</f>
        <v>7.3910701320113752</v>
      </c>
    </row>
    <row r="114" spans="1:10">
      <c r="A114" s="1">
        <f t="shared" si="7"/>
        <v>32374</v>
      </c>
      <c r="B114">
        <f t="shared" si="5"/>
        <v>626.07916289171567</v>
      </c>
      <c r="C114">
        <f>day_length(F114,$B$1,Fitting!$B$4)</f>
        <v>12.00107479095459</v>
      </c>
      <c r="D114" s="1">
        <f t="shared" si="6"/>
        <v>32374</v>
      </c>
      <c r="E114">
        <f t="shared" si="8"/>
        <v>1988</v>
      </c>
      <c r="F114" s="6">
        <f t="shared" si="9"/>
        <v>232</v>
      </c>
      <c r="G114">
        <v>20.5</v>
      </c>
      <c r="H114">
        <v>8.5</v>
      </c>
      <c r="I114">
        <f>MAX(0,1-Fitting!$B$7*(Fitting!$B$6-Herm8889!C114)^2)</f>
        <v>0.51411607049204211</v>
      </c>
      <c r="J114">
        <f>tt(G114,H114,Fitting!$B$1:$E$1,Fitting!$B$2:$E$2)*I114</f>
        <v>7.4546830221346108</v>
      </c>
    </row>
    <row r="115" spans="1:10">
      <c r="A115" s="1">
        <f t="shared" si="7"/>
        <v>32375</v>
      </c>
      <c r="B115">
        <f t="shared" si="5"/>
        <v>631.89268719212498</v>
      </c>
      <c r="C115">
        <f>day_length(F115,$B$1,Fitting!$B$4)</f>
        <v>12.025569915771484</v>
      </c>
      <c r="D115" s="1">
        <f t="shared" si="6"/>
        <v>32375</v>
      </c>
      <c r="E115">
        <f t="shared" si="8"/>
        <v>1988</v>
      </c>
      <c r="F115" s="6">
        <f t="shared" si="9"/>
        <v>233</v>
      </c>
      <c r="G115">
        <v>19.2</v>
      </c>
      <c r="H115">
        <v>3.3</v>
      </c>
      <c r="I115">
        <f>MAX(0,1-Fitting!$B$7*(Fitting!$B$6-Herm8889!C115)^2)</f>
        <v>0.51675762797976499</v>
      </c>
      <c r="J115">
        <f>tt(G115,H115,Fitting!$B$1:$E$1,Fitting!$B$2:$E$2)*I115</f>
        <v>5.8135243004093118</v>
      </c>
    </row>
    <row r="116" spans="1:10">
      <c r="A116" s="1">
        <f t="shared" si="7"/>
        <v>32376</v>
      </c>
      <c r="B116">
        <f t="shared" si="5"/>
        <v>639.60601937388481</v>
      </c>
      <c r="C116">
        <f>day_length(F116,$B$1,Fitting!$B$4)</f>
        <v>12.050292015075684</v>
      </c>
      <c r="D116" s="1">
        <f t="shared" si="6"/>
        <v>32376</v>
      </c>
      <c r="E116">
        <f t="shared" si="8"/>
        <v>1988</v>
      </c>
      <c r="F116" s="6">
        <f t="shared" si="9"/>
        <v>234</v>
      </c>
      <c r="G116">
        <v>23.5</v>
      </c>
      <c r="H116">
        <v>6.2</v>
      </c>
      <c r="I116">
        <f>MAX(0,1-Fitting!$B$7*(Fitting!$B$6-Herm8889!C116)^2)</f>
        <v>0.51941636190749163</v>
      </c>
      <c r="J116">
        <f>tt(G116,H116,Fitting!$B$1:$E$1,Fitting!$B$2:$E$2)*I116</f>
        <v>7.7133321817597809</v>
      </c>
    </row>
    <row r="117" spans="1:10">
      <c r="A117" s="1">
        <f t="shared" si="7"/>
        <v>32377</v>
      </c>
      <c r="B117">
        <f t="shared" si="5"/>
        <v>648.2988453424573</v>
      </c>
      <c r="C117">
        <f>day_length(F117,$B$1,Fitting!$B$4)</f>
        <v>12.075237274169922</v>
      </c>
      <c r="D117" s="1">
        <f t="shared" si="6"/>
        <v>32377</v>
      </c>
      <c r="E117">
        <f t="shared" si="8"/>
        <v>1988</v>
      </c>
      <c r="F117" s="6">
        <f t="shared" si="9"/>
        <v>235</v>
      </c>
      <c r="G117">
        <v>24.5</v>
      </c>
      <c r="H117">
        <v>8.8000000000000007</v>
      </c>
      <c r="I117">
        <f>MAX(0,1-Fitting!$B$7*(Fitting!$B$6-Herm8889!C117)^2)</f>
        <v>0.52209166172580446</v>
      </c>
      <c r="J117">
        <f>tt(G117,H117,Fitting!$B$1:$E$1,Fitting!$B$2:$E$2)*I117</f>
        <v>8.69282596857248</v>
      </c>
    </row>
    <row r="118" spans="1:10">
      <c r="A118" s="1">
        <f t="shared" si="7"/>
        <v>32378</v>
      </c>
      <c r="B118">
        <f t="shared" si="5"/>
        <v>657.82364689197641</v>
      </c>
      <c r="C118">
        <f>day_length(F118,$B$1,Fitting!$B$4)</f>
        <v>12.100397109985352</v>
      </c>
      <c r="D118" s="1">
        <f t="shared" si="6"/>
        <v>32378</v>
      </c>
      <c r="E118">
        <f t="shared" si="8"/>
        <v>1988</v>
      </c>
      <c r="F118" s="6">
        <f t="shared" si="9"/>
        <v>236</v>
      </c>
      <c r="G118">
        <v>22.1</v>
      </c>
      <c r="H118">
        <v>14.2</v>
      </c>
      <c r="I118">
        <f>MAX(0,1-Fitting!$B$7*(Fitting!$B$6-Herm8889!C118)^2)</f>
        <v>0.52478241040025742</v>
      </c>
      <c r="J118">
        <f>tt(G118,H118,Fitting!$B$1:$E$1,Fitting!$B$2:$E$2)*I118</f>
        <v>9.5248015495190828</v>
      </c>
    </row>
    <row r="119" spans="1:10">
      <c r="A119" s="1">
        <f t="shared" si="7"/>
        <v>32379</v>
      </c>
      <c r="B119">
        <f t="shared" si="5"/>
        <v>664.41724571434577</v>
      </c>
      <c r="C119">
        <f>day_length(F119,$B$1,Fitting!$B$4)</f>
        <v>12.125766754150391</v>
      </c>
      <c r="D119" s="1">
        <f t="shared" si="6"/>
        <v>32379</v>
      </c>
      <c r="E119">
        <f t="shared" si="8"/>
        <v>1988</v>
      </c>
      <c r="F119" s="6">
        <f t="shared" si="9"/>
        <v>237</v>
      </c>
      <c r="G119">
        <v>18</v>
      </c>
      <c r="H119">
        <v>7</v>
      </c>
      <c r="I119">
        <f>MAX(0,1-Fitting!$B$7*(Fitting!$B$6-Herm8889!C119)^2)</f>
        <v>0.52748790578954496</v>
      </c>
      <c r="J119">
        <f>tt(G119,H119,Fitting!$B$1:$E$1,Fitting!$B$2:$E$2)*I119</f>
        <v>6.5935988223693123</v>
      </c>
    </row>
    <row r="120" spans="1:10">
      <c r="A120" s="1">
        <f t="shared" si="7"/>
        <v>32380</v>
      </c>
      <c r="B120">
        <f t="shared" si="5"/>
        <v>667.73104139080544</v>
      </c>
      <c r="C120">
        <f>day_length(F120,$B$1,Fitting!$B$4)</f>
        <v>12.151340484619141</v>
      </c>
      <c r="D120" s="1">
        <f t="shared" si="6"/>
        <v>32380</v>
      </c>
      <c r="E120">
        <f t="shared" si="8"/>
        <v>1988</v>
      </c>
      <c r="F120" s="6">
        <f t="shared" si="9"/>
        <v>238</v>
      </c>
      <c r="G120">
        <v>12</v>
      </c>
      <c r="H120">
        <v>0.5</v>
      </c>
      <c r="I120">
        <f>MAX(0,1-Fitting!$B$7*(Fitting!$B$6-Herm8889!C120)^2)</f>
        <v>0.53020734868515862</v>
      </c>
      <c r="J120">
        <f>tt(G120,H120,Fitting!$B$1:$E$1,Fitting!$B$2:$E$2)*I120</f>
        <v>3.3137956764596761</v>
      </c>
    </row>
    <row r="121" spans="1:10">
      <c r="A121" s="1">
        <f t="shared" si="7"/>
        <v>32381</v>
      </c>
      <c r="B121">
        <f t="shared" si="5"/>
        <v>673.7266152680204</v>
      </c>
      <c r="C121">
        <f>day_length(F121,$B$1,Fitting!$B$4)</f>
        <v>12.177112579345703</v>
      </c>
      <c r="D121" s="1">
        <f t="shared" si="6"/>
        <v>32381</v>
      </c>
      <c r="E121">
        <f t="shared" si="8"/>
        <v>1988</v>
      </c>
      <c r="F121" s="6">
        <f t="shared" si="9"/>
        <v>239</v>
      </c>
      <c r="G121">
        <v>18</v>
      </c>
      <c r="H121">
        <v>4.5</v>
      </c>
      <c r="I121">
        <f>MAX(0,1-Fitting!$B$7*(Fitting!$B$6-Herm8889!C121)^2)</f>
        <v>0.53293994537476097</v>
      </c>
      <c r="J121">
        <f>tt(G121,H121,Fitting!$B$1:$E$1,Fitting!$B$2:$E$2)*I121</f>
        <v>5.9955738772149232</v>
      </c>
    </row>
    <row r="122" spans="1:10">
      <c r="A122" s="1">
        <f t="shared" si="7"/>
        <v>32382</v>
      </c>
      <c r="B122">
        <f t="shared" si="5"/>
        <v>680.85122330472473</v>
      </c>
      <c r="C122">
        <f>day_length(F122,$B$1,Fitting!$B$4)</f>
        <v>12.203076362609863</v>
      </c>
      <c r="D122" s="1">
        <f t="shared" si="6"/>
        <v>32382</v>
      </c>
      <c r="E122">
        <f t="shared" si="8"/>
        <v>1988</v>
      </c>
      <c r="F122" s="6">
        <f t="shared" si="9"/>
        <v>240</v>
      </c>
      <c r="G122">
        <v>18.600000000000001</v>
      </c>
      <c r="H122">
        <v>8</v>
      </c>
      <c r="I122">
        <f>MAX(0,1-Fitting!$B$7*(Fitting!$B$6-Herm8889!C122)^2)</f>
        <v>0.53568480710756017</v>
      </c>
      <c r="J122">
        <f>tt(G122,H122,Fitting!$B$1:$E$1,Fitting!$B$2:$E$2)*I122</f>
        <v>7.124608036704319</v>
      </c>
    </row>
    <row r="123" spans="1:10">
      <c r="A123" s="1">
        <f t="shared" si="7"/>
        <v>32383</v>
      </c>
      <c r="B123">
        <f t="shared" si="5"/>
        <v>688.36248059292814</v>
      </c>
      <c r="C123">
        <f>day_length(F123,$B$1,Fitting!$B$4)</f>
        <v>12.229228019714355</v>
      </c>
      <c r="D123" s="1">
        <f t="shared" si="6"/>
        <v>32383</v>
      </c>
      <c r="E123">
        <f t="shared" si="8"/>
        <v>1988</v>
      </c>
      <c r="F123" s="6">
        <f t="shared" si="9"/>
        <v>241</v>
      </c>
      <c r="G123">
        <v>18.100000000000001</v>
      </c>
      <c r="H123">
        <v>9.8000000000000007</v>
      </c>
      <c r="I123">
        <f>MAX(0,1-Fitting!$B$7*(Fitting!$B$6-Herm8889!C123)^2)</f>
        <v>0.53844135321901732</v>
      </c>
      <c r="J123">
        <f>tt(G123,H123,Fitting!$B$1:$E$1,Fitting!$B$2:$E$2)*I123</f>
        <v>7.511257288203443</v>
      </c>
    </row>
    <row r="124" spans="1:10">
      <c r="A124" s="1">
        <f t="shared" si="7"/>
        <v>32384</v>
      </c>
      <c r="B124">
        <f t="shared" si="5"/>
        <v>692.52978752843103</v>
      </c>
      <c r="C124">
        <f>day_length(F124,$B$1,Fitting!$B$4)</f>
        <v>12.255560874938965</v>
      </c>
      <c r="D124" s="1">
        <f t="shared" si="6"/>
        <v>32384</v>
      </c>
      <c r="E124">
        <f t="shared" si="8"/>
        <v>1988</v>
      </c>
      <c r="F124" s="6">
        <f t="shared" si="9"/>
        <v>242</v>
      </c>
      <c r="G124">
        <v>15.9</v>
      </c>
      <c r="H124">
        <v>-0.5</v>
      </c>
      <c r="I124">
        <f>MAX(0,1-Fitting!$B$7*(Fitting!$B$6-Herm8889!C124)^2)</f>
        <v>0.54120870632861084</v>
      </c>
      <c r="J124">
        <f>tt(G124,H124,Fitting!$B$1:$E$1,Fitting!$B$2:$E$2)*I124</f>
        <v>4.1673069355029346</v>
      </c>
    </row>
    <row r="125" spans="1:10">
      <c r="A125" s="1">
        <f t="shared" si="7"/>
        <v>32385</v>
      </c>
      <c r="B125">
        <f t="shared" si="5"/>
        <v>697.15420803372206</v>
      </c>
      <c r="C125">
        <f>day_length(F125,$B$1,Fitting!$B$4)</f>
        <v>12.282068252563477</v>
      </c>
      <c r="D125" s="1">
        <f t="shared" si="6"/>
        <v>32385</v>
      </c>
      <c r="E125">
        <f t="shared" si="8"/>
        <v>1988</v>
      </c>
      <c r="F125" s="6">
        <f t="shared" si="9"/>
        <v>243</v>
      </c>
      <c r="G125">
        <v>17.899999999999999</v>
      </c>
      <c r="H125">
        <v>-0.9</v>
      </c>
      <c r="I125">
        <f>MAX(0,1-Fitting!$B$7*(Fitting!$B$6-Herm8889!C125)^2)</f>
        <v>0.54398599628223021</v>
      </c>
      <c r="J125">
        <f>tt(G125,H125,Fitting!$B$1:$E$1,Fitting!$B$2:$E$2)*I125</f>
        <v>4.6244205052910212</v>
      </c>
    </row>
    <row r="126" spans="1:10">
      <c r="A126" s="1">
        <f t="shared" si="7"/>
        <v>32386</v>
      </c>
      <c r="B126">
        <f t="shared" si="5"/>
        <v>704.07088247895592</v>
      </c>
      <c r="C126">
        <f>day_length(F126,$B$1,Fitting!$B$4)</f>
        <v>12.308746337890625</v>
      </c>
      <c r="D126" s="1">
        <f t="shared" si="6"/>
        <v>32386</v>
      </c>
      <c r="E126">
        <f t="shared" si="8"/>
        <v>1988</v>
      </c>
      <c r="F126" s="6">
        <f t="shared" si="9"/>
        <v>244</v>
      </c>
      <c r="G126">
        <v>19.399999999999999</v>
      </c>
      <c r="H126">
        <v>5.9</v>
      </c>
      <c r="I126">
        <f>MAX(0,1-Fitting!$B$7*(Fitting!$B$6-Herm8889!C126)^2)</f>
        <v>0.54677265868522218</v>
      </c>
      <c r="J126">
        <f>tt(G126,H126,Fitting!$B$1:$E$1,Fitting!$B$2:$E$2)*I126</f>
        <v>6.9166744452338857</v>
      </c>
    </row>
    <row r="127" spans="1:10">
      <c r="A127" s="1">
        <f t="shared" si="7"/>
        <v>32387</v>
      </c>
      <c r="B127">
        <f t="shared" si="5"/>
        <v>712.47927198392813</v>
      </c>
      <c r="C127">
        <f>day_length(F127,$B$1,Fitting!$B$4)</f>
        <v>12.335589408874512</v>
      </c>
      <c r="D127" s="1">
        <f t="shared" si="6"/>
        <v>32387</v>
      </c>
      <c r="E127">
        <f t="shared" si="8"/>
        <v>1988</v>
      </c>
      <c r="F127" s="6">
        <f t="shared" si="9"/>
        <v>245</v>
      </c>
      <c r="G127">
        <v>19.2</v>
      </c>
      <c r="H127">
        <v>11.4</v>
      </c>
      <c r="I127">
        <f>MAX(0,1-Fitting!$B$7*(Fitting!$B$6-Herm8889!C127)^2)</f>
        <v>0.54956793465035481</v>
      </c>
      <c r="J127">
        <f>tt(G127,H127,Fitting!$B$1:$E$1,Fitting!$B$2:$E$2)*I127</f>
        <v>8.4083895049721935</v>
      </c>
    </row>
    <row r="128" spans="1:10">
      <c r="A128" s="1">
        <f t="shared" si="7"/>
        <v>32388</v>
      </c>
      <c r="B128">
        <f t="shared" si="5"/>
        <v>720.15722914250841</v>
      </c>
      <c r="C128">
        <f>day_length(F128,$B$1,Fitting!$B$4)</f>
        <v>12.362591743469238</v>
      </c>
      <c r="D128" s="1">
        <f t="shared" si="6"/>
        <v>32388</v>
      </c>
      <c r="E128">
        <f t="shared" si="8"/>
        <v>1988</v>
      </c>
      <c r="F128" s="6">
        <f t="shared" si="9"/>
        <v>246</v>
      </c>
      <c r="G128">
        <v>18.100000000000001</v>
      </c>
      <c r="H128">
        <v>9.6999999999999993</v>
      </c>
      <c r="I128">
        <f>MAX(0,1-Fitting!$B$7*(Fitting!$B$6-Herm8889!C128)^2)</f>
        <v>0.55237107166008537</v>
      </c>
      <c r="J128">
        <f>tt(G128,H128,Fitting!$B$1:$E$1,Fitting!$B$2:$E$2)*I128</f>
        <v>7.6779571585802406</v>
      </c>
    </row>
    <row r="129" spans="1:10">
      <c r="A129" s="1">
        <f t="shared" si="7"/>
        <v>32389</v>
      </c>
      <c r="B129">
        <f t="shared" si="5"/>
        <v>727.56890134085552</v>
      </c>
      <c r="C129">
        <f>day_length(F129,$B$1,Fitting!$B$4)</f>
        <v>12.389748573303223</v>
      </c>
      <c r="D129" s="1">
        <f t="shared" si="6"/>
        <v>32389</v>
      </c>
      <c r="E129">
        <f t="shared" si="8"/>
        <v>1988</v>
      </c>
      <c r="F129" s="6">
        <f t="shared" si="9"/>
        <v>247</v>
      </c>
      <c r="G129">
        <v>19.2</v>
      </c>
      <c r="H129">
        <v>7.5</v>
      </c>
      <c r="I129">
        <f>MAX(0,1-Fitting!$B$7*(Fitting!$B$6-Herm8889!C129)^2)</f>
        <v>0.5551814222143967</v>
      </c>
      <c r="J129">
        <f>tt(G129,H129,Fitting!$B$1:$E$1,Fitting!$B$2:$E$2)*I129</f>
        <v>7.4116721983471017</v>
      </c>
    </row>
    <row r="130" spans="1:10">
      <c r="A130" s="1">
        <f t="shared" si="7"/>
        <v>32390</v>
      </c>
      <c r="B130">
        <f t="shared" si="5"/>
        <v>737.02697037015218</v>
      </c>
      <c r="C130">
        <f>day_length(F130,$B$1,Fitting!$B$4)</f>
        <v>12.41705322265625</v>
      </c>
      <c r="D130" s="1">
        <f t="shared" si="6"/>
        <v>32390</v>
      </c>
      <c r="E130">
        <f t="shared" si="8"/>
        <v>1988</v>
      </c>
      <c r="F130" s="6">
        <f t="shared" si="9"/>
        <v>248</v>
      </c>
      <c r="G130">
        <v>22.4</v>
      </c>
      <c r="H130">
        <v>11.5</v>
      </c>
      <c r="I130">
        <f>MAX(0,1-Fitting!$B$7*(Fitting!$B$6-Herm8889!C130)^2)</f>
        <v>0.55799814770370726</v>
      </c>
      <c r="J130">
        <f>tt(G130,H130,Fitting!$B$1:$E$1,Fitting!$B$2:$E$2)*I130</f>
        <v>9.4580690292966398</v>
      </c>
    </row>
    <row r="131" spans="1:10">
      <c r="A131" s="1">
        <f t="shared" si="7"/>
        <v>32391</v>
      </c>
      <c r="B131">
        <f t="shared" si="5"/>
        <v>747.12174493389125</v>
      </c>
      <c r="C131">
        <f>day_length(F131,$B$1,Fitting!$B$4)</f>
        <v>12.444502830505371</v>
      </c>
      <c r="D131" s="1">
        <f t="shared" si="6"/>
        <v>32391</v>
      </c>
      <c r="E131">
        <f t="shared" si="8"/>
        <v>1988</v>
      </c>
      <c r="F131" s="6">
        <f t="shared" si="9"/>
        <v>249</v>
      </c>
      <c r="G131">
        <v>24.5</v>
      </c>
      <c r="H131">
        <v>11.5</v>
      </c>
      <c r="I131">
        <f>MAX(0,1-Fitting!$B$7*(Fitting!$B$6-Herm8889!C131)^2)</f>
        <v>0.56082080909661636</v>
      </c>
      <c r="J131">
        <f>tt(G131,H131,Fitting!$B$1:$E$1,Fitting!$B$2:$E$2)*I131</f>
        <v>10.094774563739094</v>
      </c>
    </row>
    <row r="132" spans="1:10">
      <c r="A132" s="1">
        <f t="shared" si="7"/>
        <v>32392</v>
      </c>
      <c r="B132">
        <f t="shared" si="5"/>
        <v>755.3228304602319</v>
      </c>
      <c r="C132">
        <f>day_length(F132,$B$1,Fitting!$B$4)</f>
        <v>12.472089767456055</v>
      </c>
      <c r="D132" s="1">
        <f t="shared" si="6"/>
        <v>32392</v>
      </c>
      <c r="E132">
        <f t="shared" si="8"/>
        <v>1988</v>
      </c>
      <c r="F132" s="6">
        <f t="shared" si="9"/>
        <v>250</v>
      </c>
      <c r="G132">
        <v>18.600000000000001</v>
      </c>
      <c r="H132">
        <v>10.5</v>
      </c>
      <c r="I132">
        <f>MAX(0,1-Fitting!$B$7*(Fitting!$B$6-Herm8889!C132)^2)</f>
        <v>0.56364848239403365</v>
      </c>
      <c r="J132">
        <f>tt(G132,H132,Fitting!$B$1:$E$1,Fitting!$B$2:$E$2)*I132</f>
        <v>8.2010855263406057</v>
      </c>
    </row>
    <row r="133" spans="1:10">
      <c r="A133" s="1">
        <f t="shared" si="7"/>
        <v>32393</v>
      </c>
      <c r="B133">
        <f t="shared" ref="B133:B196" si="10">B132+J133</f>
        <v>764.10328041282253</v>
      </c>
      <c r="C133">
        <f>day_length(F133,$B$1,Fitting!$B$4)</f>
        <v>12.499810218811035</v>
      </c>
      <c r="D133" s="1">
        <f t="shared" ref="D133:D196" si="11">A133</f>
        <v>32393</v>
      </c>
      <c r="E133">
        <f t="shared" si="8"/>
        <v>1988</v>
      </c>
      <c r="F133" s="6">
        <f t="shared" si="9"/>
        <v>251</v>
      </c>
      <c r="G133">
        <v>18.899999999999999</v>
      </c>
      <c r="H133">
        <v>12.1</v>
      </c>
      <c r="I133">
        <f>MAX(0,1-Fitting!$B$7*(Fitting!$B$6-Herm8889!C133)^2)</f>
        <v>0.56648064210262417</v>
      </c>
      <c r="J133">
        <f>tt(G133,H133,Fitting!$B$1:$E$1,Fitting!$B$2:$E$2)*I133</f>
        <v>8.7804499525906738</v>
      </c>
    </row>
    <row r="134" spans="1:10">
      <c r="A134" s="1">
        <f t="shared" ref="A134:A197" si="12">A133+1</f>
        <v>32394</v>
      </c>
      <c r="B134">
        <f t="shared" si="10"/>
        <v>773.04155050401084</v>
      </c>
      <c r="C134">
        <f>day_length(F134,$B$1,Fitting!$B$4)</f>
        <v>12.527658462524414</v>
      </c>
      <c r="D134" s="1">
        <f t="shared" si="11"/>
        <v>32394</v>
      </c>
      <c r="E134">
        <f t="shared" ref="E134:E197" si="13">YEAR(A134)</f>
        <v>1988</v>
      </c>
      <c r="F134" s="6">
        <f t="shared" ref="F134:F197" si="14">A134-DATE(E134,1,1)+1</f>
        <v>252</v>
      </c>
      <c r="G134">
        <v>21.2</v>
      </c>
      <c r="H134">
        <v>10.199999999999999</v>
      </c>
      <c r="I134">
        <f>MAX(0,1-Fitting!$B$7*(Fitting!$B$6-Herm8889!C134)^2)</f>
        <v>0.56931657323419493</v>
      </c>
      <c r="J134">
        <f>tt(G134,H134,Fitting!$B$1:$E$1,Fitting!$B$2:$E$2)*I134</f>
        <v>8.9382700911883415</v>
      </c>
    </row>
    <row r="135" spans="1:10">
      <c r="A135" s="1">
        <f t="shared" si="12"/>
        <v>32395</v>
      </c>
      <c r="B135">
        <f t="shared" si="10"/>
        <v>782.36768739854085</v>
      </c>
      <c r="C135">
        <f>day_length(F135,$B$1,Fitting!$B$4)</f>
        <v>12.555629730224609</v>
      </c>
      <c r="D135" s="1">
        <f t="shared" si="11"/>
        <v>32395</v>
      </c>
      <c r="E135">
        <f t="shared" si="13"/>
        <v>1988</v>
      </c>
      <c r="F135" s="6">
        <f t="shared" si="14"/>
        <v>253</v>
      </c>
      <c r="G135">
        <v>21.2</v>
      </c>
      <c r="H135">
        <v>11.4</v>
      </c>
      <c r="I135">
        <f>MAX(0,1-Fitting!$B$7*(Fitting!$B$6-Herm8889!C135)^2)</f>
        <v>0.57215566448160105</v>
      </c>
      <c r="J135">
        <f>tt(G135,H135,Fitting!$B$1:$E$1,Fitting!$B$2:$E$2)*I135</f>
        <v>9.3261368945299665</v>
      </c>
    </row>
    <row r="136" spans="1:10">
      <c r="A136" s="1">
        <f t="shared" si="12"/>
        <v>32396</v>
      </c>
      <c r="B136">
        <f t="shared" si="10"/>
        <v>791.59639379146142</v>
      </c>
      <c r="C136">
        <f>day_length(F136,$B$1,Fitting!$B$4)</f>
        <v>12.583719253540039</v>
      </c>
      <c r="D136" s="1">
        <f t="shared" si="11"/>
        <v>32396</v>
      </c>
      <c r="E136">
        <f t="shared" si="13"/>
        <v>1988</v>
      </c>
      <c r="F136" s="6">
        <f t="shared" si="14"/>
        <v>254</v>
      </c>
      <c r="G136">
        <v>19.3</v>
      </c>
      <c r="H136">
        <v>12.8</v>
      </c>
      <c r="I136">
        <f>MAX(0,1-Fitting!$B$7*(Fitting!$B$6-Herm8889!C136)^2)</f>
        <v>0.57499731038060409</v>
      </c>
      <c r="J136">
        <f>tt(G136,H136,Fitting!$B$1:$E$1,Fitting!$B$2:$E$2)*I136</f>
        <v>9.2287063929205626</v>
      </c>
    </row>
    <row r="137" spans="1:10">
      <c r="A137" s="1">
        <f t="shared" si="12"/>
        <v>32397</v>
      </c>
      <c r="B137">
        <f t="shared" si="10"/>
        <v>800.49514305519574</v>
      </c>
      <c r="C137">
        <f>day_length(F137,$B$1,Fitting!$B$4)</f>
        <v>12.611922264099121</v>
      </c>
      <c r="D137" s="1">
        <f t="shared" si="11"/>
        <v>32397</v>
      </c>
      <c r="E137">
        <f t="shared" si="13"/>
        <v>1988</v>
      </c>
      <c r="F137" s="6">
        <f t="shared" si="14"/>
        <v>255</v>
      </c>
      <c r="G137">
        <v>20.399999999999999</v>
      </c>
      <c r="H137">
        <v>10.4</v>
      </c>
      <c r="I137">
        <f>MAX(0,1-Fitting!$B$7*(Fitting!$B$6-Herm8889!C137)^2)</f>
        <v>0.57784091137890392</v>
      </c>
      <c r="J137">
        <f>tt(G137,H137,Fitting!$B$1:$E$1,Fitting!$B$2:$E$2)*I137</f>
        <v>8.8987492637342704</v>
      </c>
    </row>
    <row r="138" spans="1:10">
      <c r="A138" s="1">
        <f t="shared" si="12"/>
        <v>32398</v>
      </c>
      <c r="B138">
        <f t="shared" si="10"/>
        <v>811.90561760360606</v>
      </c>
      <c r="C138">
        <f>day_length(F138,$B$1,Fitting!$B$4)</f>
        <v>12.640232086181641</v>
      </c>
      <c r="D138" s="1">
        <f t="shared" si="11"/>
        <v>32398</v>
      </c>
      <c r="E138">
        <f t="shared" si="13"/>
        <v>1988</v>
      </c>
      <c r="F138" s="6">
        <f t="shared" si="14"/>
        <v>256</v>
      </c>
      <c r="G138">
        <v>23.6</v>
      </c>
      <c r="H138">
        <v>15.7</v>
      </c>
      <c r="I138">
        <f>MAX(0,1-Fitting!$B$7*(Fitting!$B$6-Herm8889!C138)^2)</f>
        <v>0.58068568256255815</v>
      </c>
      <c r="J138">
        <f>tt(G138,H138,Fitting!$B$1:$E$1,Fitting!$B$2:$E$2)*I138</f>
        <v>11.410474548410301</v>
      </c>
    </row>
    <row r="139" spans="1:10">
      <c r="A139" s="1">
        <f t="shared" si="12"/>
        <v>32399</v>
      </c>
      <c r="B139">
        <f t="shared" si="10"/>
        <v>819.75411252289325</v>
      </c>
      <c r="C139">
        <f>day_length(F139,$B$1,Fitting!$B$4)</f>
        <v>12.668645858764648</v>
      </c>
      <c r="D139" s="1">
        <f t="shared" si="11"/>
        <v>32399</v>
      </c>
      <c r="E139">
        <f t="shared" si="13"/>
        <v>1988</v>
      </c>
      <c r="F139" s="6">
        <f t="shared" si="14"/>
        <v>257</v>
      </c>
      <c r="G139">
        <v>20.100000000000001</v>
      </c>
      <c r="H139">
        <v>6.8</v>
      </c>
      <c r="I139">
        <f>MAX(0,1-Fitting!$B$7*(Fitting!$B$6-Herm8889!C139)^2)</f>
        <v>0.58353122903992327</v>
      </c>
      <c r="J139">
        <f>tt(G139,H139,Fitting!$B$1:$E$1,Fitting!$B$2:$E$2)*I139</f>
        <v>7.8484949192872184</v>
      </c>
    </row>
    <row r="140" spans="1:10">
      <c r="A140" s="1">
        <f t="shared" si="12"/>
        <v>32400</v>
      </c>
      <c r="B140">
        <f t="shared" si="10"/>
        <v>827.20109630207662</v>
      </c>
      <c r="C140">
        <f>day_length(F140,$B$1,Fitting!$B$4)</f>
        <v>12.697155952453613</v>
      </c>
      <c r="D140" s="1">
        <f t="shared" si="11"/>
        <v>32400</v>
      </c>
      <c r="E140">
        <f t="shared" si="13"/>
        <v>1988</v>
      </c>
      <c r="F140" s="6">
        <f t="shared" si="14"/>
        <v>258</v>
      </c>
      <c r="G140">
        <v>18.2</v>
      </c>
      <c r="H140">
        <v>7.2</v>
      </c>
      <c r="I140">
        <f>MAX(0,1-Fitting!$B$7*(Fitting!$B$6-Herm8889!C140)^2)</f>
        <v>0.58637668433274115</v>
      </c>
      <c r="J140">
        <f>tt(G140,H140,Fitting!$B$1:$E$1,Fitting!$B$2:$E$2)*I140</f>
        <v>7.446983779183336</v>
      </c>
    </row>
    <row r="141" spans="1:10">
      <c r="A141" s="1">
        <f t="shared" si="12"/>
        <v>32401</v>
      </c>
      <c r="B141">
        <f t="shared" si="10"/>
        <v>835.06720463751549</v>
      </c>
      <c r="C141">
        <f>day_length(F141,$B$1,Fitting!$B$4)</f>
        <v>12.725759506225586</v>
      </c>
      <c r="D141" s="1">
        <f t="shared" si="11"/>
        <v>32401</v>
      </c>
      <c r="E141">
        <f t="shared" si="13"/>
        <v>1988</v>
      </c>
      <c r="F141" s="6">
        <f t="shared" si="14"/>
        <v>259</v>
      </c>
      <c r="G141">
        <v>15.6</v>
      </c>
      <c r="H141">
        <v>11.1</v>
      </c>
      <c r="I141">
        <f>MAX(0,1-Fitting!$B$7*(Fitting!$B$6-Herm8889!C141)^2)</f>
        <v>0.58922166550710242</v>
      </c>
      <c r="J141">
        <f>tt(G141,H141,Fitting!$B$1:$E$1,Fitting!$B$2:$E$2)*I141</f>
        <v>7.8661083354389065</v>
      </c>
    </row>
    <row r="142" spans="1:10">
      <c r="A142" s="1">
        <f t="shared" si="12"/>
        <v>32402</v>
      </c>
      <c r="B142">
        <f t="shared" si="10"/>
        <v>843.08969241294585</v>
      </c>
      <c r="C142">
        <f>day_length(F142,$B$1,Fitting!$B$4)</f>
        <v>12.754450798034668</v>
      </c>
      <c r="D142" s="1">
        <f t="shared" si="11"/>
        <v>32402</v>
      </c>
      <c r="E142">
        <f t="shared" si="13"/>
        <v>1988</v>
      </c>
      <c r="F142" s="6">
        <f t="shared" si="14"/>
        <v>260</v>
      </c>
      <c r="G142">
        <v>18.3</v>
      </c>
      <c r="H142">
        <v>8.8000000000000007</v>
      </c>
      <c r="I142">
        <f>MAX(0,1-Fitting!$B$7*(Fitting!$B$6-Herm8889!C142)^2)</f>
        <v>0.59206551014781317</v>
      </c>
      <c r="J142">
        <f>tt(G142,H142,Fitting!$B$1:$E$1,Fitting!$B$2:$E$2)*I142</f>
        <v>8.0224877754304025</v>
      </c>
    </row>
    <row r="143" spans="1:10">
      <c r="A143" s="1">
        <f t="shared" si="12"/>
        <v>32403</v>
      </c>
      <c r="B143">
        <f t="shared" si="10"/>
        <v>852.19177911826569</v>
      </c>
      <c r="C143">
        <f>day_length(F143,$B$1,Fitting!$B$4)</f>
        <v>12.783225059509277</v>
      </c>
      <c r="D143" s="1">
        <f t="shared" si="11"/>
        <v>32403</v>
      </c>
      <c r="E143">
        <f t="shared" si="13"/>
        <v>1988</v>
      </c>
      <c r="F143" s="6">
        <f t="shared" si="14"/>
        <v>261</v>
      </c>
      <c r="G143">
        <v>21.2</v>
      </c>
      <c r="H143">
        <v>9.4</v>
      </c>
      <c r="I143">
        <f>MAX(0,1-Fitting!$B$7*(Fitting!$B$6-Herm8889!C143)^2)</f>
        <v>0.59490765746394203</v>
      </c>
      <c r="J143">
        <f>tt(G143,H143,Fitting!$B$1:$E$1,Fitting!$B$2:$E$2)*I143</f>
        <v>9.10208670531979</v>
      </c>
    </row>
    <row r="144" spans="1:10">
      <c r="A144" s="1">
        <f t="shared" si="12"/>
        <v>32404</v>
      </c>
      <c r="B144">
        <f t="shared" si="10"/>
        <v>862.65235965583247</v>
      </c>
      <c r="C144">
        <f>day_length(F144,$B$1,Fitting!$B$4)</f>
        <v>12.812076568603516</v>
      </c>
      <c r="D144" s="1">
        <f t="shared" si="11"/>
        <v>32404</v>
      </c>
      <c r="E144">
        <f t="shared" si="13"/>
        <v>1988</v>
      </c>
      <c r="F144" s="6">
        <f t="shared" si="14"/>
        <v>262</v>
      </c>
      <c r="G144">
        <v>24.8</v>
      </c>
      <c r="H144">
        <v>10.199999999999999</v>
      </c>
      <c r="I144">
        <f>MAX(0,1-Fitting!$B$7*(Fitting!$B$6-Herm8889!C144)^2)</f>
        <v>0.59774745928953044</v>
      </c>
      <c r="J144">
        <f>tt(G144,H144,Fitting!$B$1:$E$1,Fitting!$B$2:$E$2)*I144</f>
        <v>10.460580537566782</v>
      </c>
    </row>
    <row r="145" spans="1:10">
      <c r="A145" s="1">
        <f t="shared" si="12"/>
        <v>32405</v>
      </c>
      <c r="B145">
        <f t="shared" si="10"/>
        <v>870.12963550223355</v>
      </c>
      <c r="C145">
        <f>day_length(F145,$B$1,Fitting!$B$4)</f>
        <v>12.841000556945801</v>
      </c>
      <c r="D145" s="1">
        <f t="shared" si="11"/>
        <v>32405</v>
      </c>
      <c r="E145">
        <f t="shared" si="13"/>
        <v>1988</v>
      </c>
      <c r="F145" s="6">
        <f t="shared" si="14"/>
        <v>263</v>
      </c>
      <c r="G145">
        <v>17.600000000000001</v>
      </c>
      <c r="H145">
        <v>7.3</v>
      </c>
      <c r="I145">
        <f>MAX(0,1-Fitting!$B$7*(Fitting!$B$6-Herm8889!C145)^2)</f>
        <v>0.60058436852944763</v>
      </c>
      <c r="J145">
        <f>tt(G145,H145,Fitting!$B$1:$E$1,Fitting!$B$2:$E$2)*I145</f>
        <v>7.4772758464011329</v>
      </c>
    </row>
    <row r="146" spans="1:10">
      <c r="A146" s="1">
        <f t="shared" si="12"/>
        <v>32406</v>
      </c>
      <c r="B146">
        <f t="shared" si="10"/>
        <v>877.64218696841237</v>
      </c>
      <c r="C146">
        <f>day_length(F146,$B$1,Fitting!$B$4)</f>
        <v>12.869991302490234</v>
      </c>
      <c r="D146" s="1">
        <f t="shared" si="11"/>
        <v>32406</v>
      </c>
      <c r="E146">
        <f t="shared" si="13"/>
        <v>1988</v>
      </c>
      <c r="F146" s="6">
        <f t="shared" si="14"/>
        <v>264</v>
      </c>
      <c r="G146">
        <v>18.600000000000001</v>
      </c>
      <c r="H146">
        <v>6.3</v>
      </c>
      <c r="I146">
        <f>MAX(0,1-Fitting!$B$7*(Fitting!$B$6-Herm8889!C146)^2)</f>
        <v>0.60341775147049337</v>
      </c>
      <c r="J146">
        <f>tt(G146,H146,Fitting!$B$1:$E$1,Fitting!$B$2:$E$2)*I146</f>
        <v>7.5125514661788522</v>
      </c>
    </row>
    <row r="147" spans="1:10">
      <c r="A147" s="1">
        <f t="shared" si="12"/>
        <v>32407</v>
      </c>
      <c r="B147">
        <f t="shared" si="10"/>
        <v>883.21966137293759</v>
      </c>
      <c r="C147">
        <f>day_length(F147,$B$1,Fitting!$B$4)</f>
        <v>12.899044990539551</v>
      </c>
      <c r="D147" s="1">
        <f t="shared" si="11"/>
        <v>32407</v>
      </c>
      <c r="E147">
        <f t="shared" si="13"/>
        <v>1988</v>
      </c>
      <c r="F147" s="6">
        <f t="shared" si="14"/>
        <v>265</v>
      </c>
      <c r="G147">
        <v>17.399999999999999</v>
      </c>
      <c r="H147">
        <v>1</v>
      </c>
      <c r="I147">
        <f>MAX(0,1-Fitting!$B$7*(Fitting!$B$6-Herm8889!C147)^2)</f>
        <v>0.60624716760818598</v>
      </c>
      <c r="J147">
        <f>tt(G147,H147,Fitting!$B$1:$E$1,Fitting!$B$2:$E$2)*I147</f>
        <v>5.5774744045251934</v>
      </c>
    </row>
    <row r="148" spans="1:10">
      <c r="A148" s="1">
        <f t="shared" si="12"/>
        <v>32408</v>
      </c>
      <c r="B148">
        <f t="shared" si="10"/>
        <v>890.92442190086831</v>
      </c>
      <c r="C148">
        <f>day_length(F148,$B$1,Fitting!$B$4)</f>
        <v>12.928155899047852</v>
      </c>
      <c r="D148" s="1">
        <f t="shared" si="11"/>
        <v>32408</v>
      </c>
      <c r="E148">
        <f t="shared" si="13"/>
        <v>1988</v>
      </c>
      <c r="F148" s="6">
        <f t="shared" si="14"/>
        <v>266</v>
      </c>
      <c r="G148">
        <v>20.8</v>
      </c>
      <c r="H148">
        <v>4.5</v>
      </c>
      <c r="I148">
        <f>MAX(0,1-Fitting!$B$7*(Fitting!$B$6-Herm8889!C148)^2)</f>
        <v>0.60907199685954394</v>
      </c>
      <c r="J148">
        <f>tt(G148,H148,Fitting!$B$1:$E$1,Fitting!$B$2:$E$2)*I148</f>
        <v>7.704760527930703</v>
      </c>
    </row>
    <row r="149" spans="1:10">
      <c r="A149" s="1">
        <f t="shared" si="12"/>
        <v>32409</v>
      </c>
      <c r="B149">
        <f t="shared" si="10"/>
        <v>899.09317412613348</v>
      </c>
      <c r="C149">
        <f>day_length(F149,$B$1,Fitting!$B$4)</f>
        <v>12.957317352294922</v>
      </c>
      <c r="D149" s="1">
        <f t="shared" si="11"/>
        <v>32409</v>
      </c>
      <c r="E149">
        <f t="shared" si="13"/>
        <v>1988</v>
      </c>
      <c r="F149" s="6">
        <f t="shared" si="14"/>
        <v>267</v>
      </c>
      <c r="G149">
        <v>22.7</v>
      </c>
      <c r="H149">
        <v>4</v>
      </c>
      <c r="I149">
        <f>MAX(0,1-Fitting!$B$7*(Fitting!$B$6-Herm8889!C149)^2)</f>
        <v>0.61189153496982174</v>
      </c>
      <c r="J149">
        <f>tt(G149,H149,Fitting!$B$1:$E$1,Fitting!$B$2:$E$2)*I149</f>
        <v>8.1687522252652176</v>
      </c>
    </row>
    <row r="150" spans="1:10">
      <c r="A150" s="1">
        <f t="shared" si="12"/>
        <v>32410</v>
      </c>
      <c r="B150">
        <f t="shared" si="10"/>
        <v>908.19081437273621</v>
      </c>
      <c r="C150">
        <f>day_length(F150,$B$1,Fitting!$B$4)</f>
        <v>12.986526489257812</v>
      </c>
      <c r="D150" s="1">
        <f t="shared" si="11"/>
        <v>32410</v>
      </c>
      <c r="E150">
        <f t="shared" si="13"/>
        <v>1988</v>
      </c>
      <c r="F150" s="6">
        <f t="shared" si="14"/>
        <v>268</v>
      </c>
      <c r="G150">
        <v>23.5</v>
      </c>
      <c r="H150">
        <v>6.1</v>
      </c>
      <c r="I150">
        <f>MAX(0,1-Fitting!$B$7*(Fitting!$B$6-Herm8889!C150)^2)</f>
        <v>0.61470545375579966</v>
      </c>
      <c r="J150">
        <f>tt(G150,H150,Fitting!$B$1:$E$1,Fitting!$B$2:$E$2)*I150</f>
        <v>9.0976402466027917</v>
      </c>
    </row>
    <row r="151" spans="1:10">
      <c r="A151" s="1">
        <f t="shared" si="12"/>
        <v>32411</v>
      </c>
      <c r="B151">
        <f t="shared" si="10"/>
        <v>917.70051508531776</v>
      </c>
      <c r="C151">
        <f>day_length(F151,$B$1,Fitting!$B$4)</f>
        <v>13.015775680541992</v>
      </c>
      <c r="D151" s="1">
        <f t="shared" si="11"/>
        <v>32411</v>
      </c>
      <c r="E151">
        <f t="shared" si="13"/>
        <v>1988</v>
      </c>
      <c r="F151" s="6">
        <f t="shared" si="14"/>
        <v>269</v>
      </c>
      <c r="G151">
        <v>24.2</v>
      </c>
      <c r="H151">
        <v>6.6</v>
      </c>
      <c r="I151">
        <f>MAX(0,1-Fitting!$B$7*(Fitting!$B$6-Herm8889!C151)^2)</f>
        <v>0.61751297209945188</v>
      </c>
      <c r="J151">
        <f>tt(G151,H151,Fitting!$B$1:$E$1,Fitting!$B$2:$E$2)*I151</f>
        <v>9.5097007125815782</v>
      </c>
    </row>
    <row r="152" spans="1:10">
      <c r="A152" s="1">
        <f t="shared" si="12"/>
        <v>32412</v>
      </c>
      <c r="B152">
        <f t="shared" si="10"/>
        <v>928.95920939057214</v>
      </c>
      <c r="C152">
        <f>day_length(F152,$B$1,Fitting!$B$4)</f>
        <v>13.045061111450195</v>
      </c>
      <c r="D152" s="1">
        <f t="shared" si="11"/>
        <v>32412</v>
      </c>
      <c r="E152">
        <f t="shared" si="13"/>
        <v>1988</v>
      </c>
      <c r="F152" s="6">
        <f t="shared" si="14"/>
        <v>270</v>
      </c>
      <c r="G152">
        <v>26.2</v>
      </c>
      <c r="H152">
        <v>10.1</v>
      </c>
      <c r="I152">
        <f>MAX(0,1-Fitting!$B$7*(Fitting!$B$6-Herm8889!C152)^2)</f>
        <v>0.62031368367662798</v>
      </c>
      <c r="J152">
        <f>tt(G152,H152,Fitting!$B$1:$E$1,Fitting!$B$2:$E$2)*I152</f>
        <v>11.258694305254362</v>
      </c>
    </row>
    <row r="153" spans="1:10">
      <c r="A153" s="1">
        <f t="shared" si="12"/>
        <v>32413</v>
      </c>
      <c r="B153">
        <f t="shared" si="10"/>
        <v>940.01935993682605</v>
      </c>
      <c r="C153">
        <f>day_length(F153,$B$1,Fitting!$B$4)</f>
        <v>13.074377059936523</v>
      </c>
      <c r="D153" s="1">
        <f t="shared" si="11"/>
        <v>32413</v>
      </c>
      <c r="E153">
        <f t="shared" si="13"/>
        <v>1988</v>
      </c>
      <c r="F153" s="6">
        <f t="shared" si="14"/>
        <v>271</v>
      </c>
      <c r="G153">
        <v>25.1</v>
      </c>
      <c r="H153">
        <v>10.4</v>
      </c>
      <c r="I153">
        <f>MAX(0,1-Fitting!$B$7*(Fitting!$B$6-Herm8889!C153)^2)</f>
        <v>0.62310700607163749</v>
      </c>
      <c r="J153">
        <f>tt(G153,H153,Fitting!$B$1:$E$1,Fitting!$B$2:$E$2)*I153</f>
        <v>11.060150546253862</v>
      </c>
    </row>
    <row r="154" spans="1:10">
      <c r="A154" s="1">
        <f t="shared" si="12"/>
        <v>32414</v>
      </c>
      <c r="B154">
        <f t="shared" si="10"/>
        <v>950.81600167224019</v>
      </c>
      <c r="C154">
        <f>day_length(F154,$B$1,Fitting!$B$4)</f>
        <v>13.103716850280762</v>
      </c>
      <c r="D154" s="1">
        <f t="shared" si="11"/>
        <v>32414</v>
      </c>
      <c r="E154">
        <f t="shared" si="13"/>
        <v>1988</v>
      </c>
      <c r="F154" s="6">
        <f t="shared" si="14"/>
        <v>272</v>
      </c>
      <c r="G154">
        <v>22.4</v>
      </c>
      <c r="H154">
        <v>12.1</v>
      </c>
      <c r="I154">
        <f>MAX(0,1-Fitting!$B$7*(Fitting!$B$6-Herm8889!C154)^2)</f>
        <v>0.62589227451676011</v>
      </c>
      <c r="J154">
        <f>tt(G154,H154,Fitting!$B$1:$E$1,Fitting!$B$2:$E$2)*I154</f>
        <v>10.796641735414111</v>
      </c>
    </row>
    <row r="155" spans="1:10">
      <c r="A155" s="1">
        <f t="shared" si="12"/>
        <v>32415</v>
      </c>
      <c r="B155">
        <f t="shared" si="10"/>
        <v>960.81183994903404</v>
      </c>
      <c r="C155">
        <f>day_length(F155,$B$1,Fitting!$B$4)</f>
        <v>13.133075714111328</v>
      </c>
      <c r="D155" s="1">
        <f t="shared" si="11"/>
        <v>32415</v>
      </c>
      <c r="E155">
        <f t="shared" si="13"/>
        <v>1988</v>
      </c>
      <c r="F155" s="6">
        <f t="shared" si="14"/>
        <v>273</v>
      </c>
      <c r="G155">
        <v>24.7</v>
      </c>
      <c r="H155">
        <v>7.1</v>
      </c>
      <c r="I155">
        <f>MAX(0,1-Fitting!$B$7*(Fitting!$B$6-Herm8889!C155)^2)</f>
        <v>0.62866901368057004</v>
      </c>
      <c r="J155">
        <f>tt(G155,H155,Fitting!$B$1:$E$1,Fitting!$B$2:$E$2)*I155</f>
        <v>9.995838276793851</v>
      </c>
    </row>
    <row r="156" spans="1:10">
      <c r="A156" s="1">
        <f t="shared" si="12"/>
        <v>32416</v>
      </c>
      <c r="B156">
        <f t="shared" si="10"/>
        <v>972.20927247927659</v>
      </c>
      <c r="C156">
        <f>day_length(F156,$B$1,Fitting!$B$4)</f>
        <v>13.162447929382324</v>
      </c>
      <c r="D156" s="1">
        <f t="shared" si="11"/>
        <v>32416</v>
      </c>
      <c r="E156">
        <f t="shared" si="13"/>
        <v>1988</v>
      </c>
      <c r="F156" s="6">
        <f t="shared" si="14"/>
        <v>274</v>
      </c>
      <c r="G156">
        <v>27.2</v>
      </c>
      <c r="H156">
        <v>8.9</v>
      </c>
      <c r="I156">
        <f>MAX(0,1-Fitting!$B$7*(Fitting!$B$6-Herm8889!C156)^2)</f>
        <v>0.63143666524213948</v>
      </c>
      <c r="J156">
        <f>tt(G156,H156,Fitting!$B$1:$E$1,Fitting!$B$2:$E$2)*I156</f>
        <v>11.397432530242535</v>
      </c>
    </row>
    <row r="157" spans="1:10">
      <c r="A157" s="1">
        <f t="shared" si="12"/>
        <v>32417</v>
      </c>
      <c r="B157">
        <f t="shared" si="10"/>
        <v>987.36504355064062</v>
      </c>
      <c r="C157">
        <f>day_length(F157,$B$1,Fitting!$B$4)</f>
        <v>13.191826820373535</v>
      </c>
      <c r="D157" s="1">
        <f t="shared" si="11"/>
        <v>32417</v>
      </c>
      <c r="E157">
        <f t="shared" si="13"/>
        <v>1988</v>
      </c>
      <c r="F157" s="6">
        <f t="shared" si="14"/>
        <v>275</v>
      </c>
      <c r="G157">
        <v>30.6</v>
      </c>
      <c r="H157">
        <v>17.399999999999999</v>
      </c>
      <c r="I157">
        <f>MAX(0,1-Fitting!$B$7*(Fitting!$B$6-Herm8889!C157)^2)</f>
        <v>0.63419458958177166</v>
      </c>
      <c r="J157">
        <f>tt(G157,H157,Fitting!$B$1:$E$1,Fitting!$B$2:$E$2)*I157</f>
        <v>15.155771071364038</v>
      </c>
    </row>
    <row r="158" spans="1:10">
      <c r="A158" s="1">
        <f t="shared" si="12"/>
        <v>32418</v>
      </c>
      <c r="B158">
        <f t="shared" si="10"/>
        <v>997.77905096322979</v>
      </c>
      <c r="C158">
        <f>day_length(F158,$B$1,Fitting!$B$4)</f>
        <v>13.221207618713379</v>
      </c>
      <c r="D158" s="1">
        <f t="shared" si="11"/>
        <v>32418</v>
      </c>
      <c r="E158">
        <f t="shared" si="13"/>
        <v>1988</v>
      </c>
      <c r="F158" s="6">
        <f t="shared" si="14"/>
        <v>276</v>
      </c>
      <c r="G158">
        <v>25.6</v>
      </c>
      <c r="H158">
        <v>7.1</v>
      </c>
      <c r="I158">
        <f>MAX(0,1-Fitting!$B$7*(Fitting!$B$6-Herm8889!C158)^2)</f>
        <v>0.63694233453302329</v>
      </c>
      <c r="J158">
        <f>tt(G158,H158,Fitting!$B$1:$E$1,Fitting!$B$2:$E$2)*I158</f>
        <v>10.414007412589148</v>
      </c>
    </row>
    <row r="159" spans="1:10">
      <c r="A159" s="1">
        <f t="shared" si="12"/>
        <v>32419</v>
      </c>
      <c r="B159">
        <f t="shared" si="10"/>
        <v>1007.150352131415</v>
      </c>
      <c r="C159">
        <f>day_length(F159,$B$1,Fitting!$B$4)</f>
        <v>13.250583648681641</v>
      </c>
      <c r="D159" s="1">
        <f t="shared" si="11"/>
        <v>32419</v>
      </c>
      <c r="E159">
        <f t="shared" si="13"/>
        <v>1988</v>
      </c>
      <c r="F159" s="6">
        <f t="shared" si="14"/>
        <v>277</v>
      </c>
      <c r="G159">
        <v>24.2</v>
      </c>
      <c r="H159">
        <v>5.0999999999999996</v>
      </c>
      <c r="I159">
        <f>MAX(0,1-Fitting!$B$7*(Fitting!$B$6-Herm8889!C159)^2)</f>
        <v>0.63967927728351781</v>
      </c>
      <c r="J159">
        <f>tt(G159,H159,Fitting!$B$1:$E$1,Fitting!$B$2:$E$2)*I159</f>
        <v>9.3713011681852567</v>
      </c>
    </row>
    <row r="160" spans="1:10">
      <c r="A160" s="1">
        <f t="shared" si="12"/>
        <v>32420</v>
      </c>
      <c r="B160">
        <f t="shared" si="10"/>
        <v>1018.4887951252467</v>
      </c>
      <c r="C160">
        <f>day_length(F160,$B$1,Fitting!$B$4)</f>
        <v>13.279947280883789</v>
      </c>
      <c r="D160" s="1">
        <f t="shared" si="11"/>
        <v>32420</v>
      </c>
      <c r="E160">
        <f t="shared" si="13"/>
        <v>1988</v>
      </c>
      <c r="F160" s="6">
        <f t="shared" si="14"/>
        <v>278</v>
      </c>
      <c r="G160">
        <v>27</v>
      </c>
      <c r="H160">
        <v>8.3000000000000007</v>
      </c>
      <c r="I160">
        <f>MAX(0,1-Fitting!$B$7*(Fitting!$B$6-Herm8889!C160)^2)</f>
        <v>0.64240471608439842</v>
      </c>
      <c r="J160">
        <f>tt(G160,H160,Fitting!$B$1:$E$1,Fitting!$B$2:$E$2)*I160</f>
        <v>11.338442993831681</v>
      </c>
    </row>
    <row r="161" spans="1:10">
      <c r="A161" s="1">
        <f t="shared" si="12"/>
        <v>32421</v>
      </c>
      <c r="B161">
        <f t="shared" si="10"/>
        <v>1032.7136572937916</v>
      </c>
      <c r="C161">
        <f>day_length(F161,$B$1,Fitting!$B$4)</f>
        <v>13.309296607971191</v>
      </c>
      <c r="D161" s="1">
        <f t="shared" si="11"/>
        <v>32421</v>
      </c>
      <c r="E161">
        <f t="shared" si="13"/>
        <v>1988</v>
      </c>
      <c r="F161" s="6">
        <f t="shared" si="14"/>
        <v>279</v>
      </c>
      <c r="G161">
        <v>29.4</v>
      </c>
      <c r="H161">
        <v>14.7</v>
      </c>
      <c r="I161">
        <f>MAX(0,1-Fitting!$B$7*(Fitting!$B$6-Herm8889!C161)^2)</f>
        <v>0.64511848801501948</v>
      </c>
      <c r="J161">
        <f>tt(G161,H161,Fitting!$B$1:$E$1,Fitting!$B$2:$E$2)*I161</f>
        <v>14.224862168544833</v>
      </c>
    </row>
    <row r="162" spans="1:10">
      <c r="A162" s="1">
        <f t="shared" si="12"/>
        <v>32422</v>
      </c>
      <c r="B162">
        <f t="shared" si="10"/>
        <v>1048.0707766916121</v>
      </c>
      <c r="C162">
        <f>day_length(F162,$B$1,Fitting!$B$4)</f>
        <v>13.338621139526367</v>
      </c>
      <c r="D162" s="1">
        <f t="shared" si="11"/>
        <v>32422</v>
      </c>
      <c r="E162">
        <f t="shared" si="13"/>
        <v>1988</v>
      </c>
      <c r="F162" s="6">
        <f t="shared" si="14"/>
        <v>280</v>
      </c>
      <c r="G162">
        <v>32.4</v>
      </c>
      <c r="H162">
        <v>18.100000000000001</v>
      </c>
      <c r="I162">
        <f>MAX(0,1-Fitting!$B$7*(Fitting!$B$6-Herm8889!C162)^2)</f>
        <v>0.64781964373772638</v>
      </c>
      <c r="J162">
        <f>tt(G162,H162,Fitting!$B$1:$E$1,Fitting!$B$2:$E$2)*I162</f>
        <v>15.357119397820481</v>
      </c>
    </row>
    <row r="163" spans="1:10">
      <c r="A163" s="1">
        <f t="shared" si="12"/>
        <v>32423</v>
      </c>
      <c r="B163">
        <f t="shared" si="10"/>
        <v>1061.6338609390905</v>
      </c>
      <c r="C163">
        <f>day_length(F163,$B$1,Fitting!$B$4)</f>
        <v>13.367915153503418</v>
      </c>
      <c r="D163" s="1">
        <f t="shared" si="11"/>
        <v>32423</v>
      </c>
      <c r="E163">
        <f t="shared" si="13"/>
        <v>1988</v>
      </c>
      <c r="F163" s="6">
        <f t="shared" si="14"/>
        <v>281</v>
      </c>
      <c r="G163">
        <v>29.6</v>
      </c>
      <c r="H163">
        <v>12.1</v>
      </c>
      <c r="I163">
        <f>MAX(0,1-Fitting!$B$7*(Fitting!$B$6-Herm8889!C163)^2)</f>
        <v>0.65050768537526338</v>
      </c>
      <c r="J163">
        <f>tt(G163,H163,Fitting!$B$1:$E$1,Fitting!$B$2:$E$2)*I163</f>
        <v>13.563084247478287</v>
      </c>
    </row>
    <row r="164" spans="1:10">
      <c r="A164" s="1">
        <f t="shared" si="12"/>
        <v>32424</v>
      </c>
      <c r="B164">
        <f t="shared" si="10"/>
        <v>1072.6073215699942</v>
      </c>
      <c r="C164">
        <f>day_length(F164,$B$1,Fitting!$B$4)</f>
        <v>13.397173881530762</v>
      </c>
      <c r="D164" s="1">
        <f t="shared" si="11"/>
        <v>32424</v>
      </c>
      <c r="E164">
        <f t="shared" si="13"/>
        <v>1988</v>
      </c>
      <c r="F164" s="6">
        <f t="shared" si="14"/>
        <v>282</v>
      </c>
      <c r="G164">
        <v>21.9</v>
      </c>
      <c r="H164">
        <v>11.7</v>
      </c>
      <c r="I164">
        <f>MAX(0,1-Fitting!$B$7*(Fitting!$B$6-Herm8889!C164)^2)</f>
        <v>0.65318221007393185</v>
      </c>
      <c r="J164">
        <f>tt(G164,H164,Fitting!$B$1:$E$1,Fitting!$B$2:$E$2)*I164</f>
        <v>10.973460630903578</v>
      </c>
    </row>
    <row r="165" spans="1:10">
      <c r="A165" s="1">
        <f t="shared" si="12"/>
        <v>32425</v>
      </c>
      <c r="B165">
        <f t="shared" si="10"/>
        <v>1085.8225454434573</v>
      </c>
      <c r="C165">
        <f>day_length(F165,$B$1,Fitting!$B$4)</f>
        <v>13.426387786865234</v>
      </c>
      <c r="D165" s="1">
        <f t="shared" si="11"/>
        <v>32425</v>
      </c>
      <c r="E165">
        <f t="shared" si="13"/>
        <v>1988</v>
      </c>
      <c r="F165" s="6">
        <f t="shared" si="14"/>
        <v>283</v>
      </c>
      <c r="G165">
        <v>24.8</v>
      </c>
      <c r="H165">
        <v>15.5</v>
      </c>
      <c r="I165">
        <f>MAX(0,1-Fitting!$B$7*(Fitting!$B$6-Herm8889!C165)^2)</f>
        <v>0.65584238827033547</v>
      </c>
      <c r="J165">
        <f>tt(G165,H165,Fitting!$B$1:$E$1,Fitting!$B$2:$E$2)*I165</f>
        <v>13.215223873463243</v>
      </c>
    </row>
    <row r="166" spans="1:10">
      <c r="A166" s="1">
        <f t="shared" si="12"/>
        <v>32426</v>
      </c>
      <c r="B166">
        <f t="shared" si="10"/>
        <v>1097.5765550978388</v>
      </c>
      <c r="C166">
        <f>day_length(F166,$B$1,Fitting!$B$4)</f>
        <v>13.45555305480957</v>
      </c>
      <c r="D166" s="1">
        <f t="shared" si="11"/>
        <v>32426</v>
      </c>
      <c r="E166">
        <f t="shared" si="13"/>
        <v>1988</v>
      </c>
      <c r="F166" s="6">
        <f t="shared" si="14"/>
        <v>284</v>
      </c>
      <c r="G166">
        <v>25.2</v>
      </c>
      <c r="H166">
        <v>10.5</v>
      </c>
      <c r="I166">
        <f>MAX(0,1-Fitting!$B$7*(Fitting!$B$6-Herm8889!C166)^2)</f>
        <v>0.6584879217472408</v>
      </c>
      <c r="J166">
        <f>tt(G166,H166,Fitting!$B$1:$E$1,Fitting!$B$2:$E$2)*I166</f>
        <v>11.754009654381456</v>
      </c>
    </row>
    <row r="167" spans="1:10">
      <c r="A167" s="1">
        <f t="shared" si="12"/>
        <v>32427</v>
      </c>
      <c r="B167">
        <f t="shared" si="10"/>
        <v>1107.1958215250022</v>
      </c>
      <c r="C167">
        <f>day_length(F167,$B$1,Fitting!$B$4)</f>
        <v>13.484659194946289</v>
      </c>
      <c r="D167" s="1">
        <f t="shared" si="11"/>
        <v>32427</v>
      </c>
      <c r="E167">
        <f t="shared" si="13"/>
        <v>1988</v>
      </c>
      <c r="F167" s="6">
        <f t="shared" si="14"/>
        <v>285</v>
      </c>
      <c r="G167">
        <v>23.6</v>
      </c>
      <c r="H167">
        <v>5.5</v>
      </c>
      <c r="I167">
        <f>MAX(0,1-Fitting!$B$7*(Fitting!$B$6-Herm8889!C167)^2)</f>
        <v>0.66111791550336785</v>
      </c>
      <c r="J167">
        <f>tt(G167,H167,Fitting!$B$1:$E$1,Fitting!$B$2:$E$2)*I167</f>
        <v>9.6192664271634136</v>
      </c>
    </row>
    <row r="168" spans="1:10">
      <c r="A168" s="1">
        <f t="shared" si="12"/>
        <v>32428</v>
      </c>
      <c r="B168">
        <f t="shared" si="10"/>
        <v>1118.3465213764007</v>
      </c>
      <c r="C168">
        <f>day_length(F168,$B$1,Fitting!$B$4)</f>
        <v>13.513702392578125</v>
      </c>
      <c r="D168" s="1">
        <f t="shared" si="11"/>
        <v>32428</v>
      </c>
      <c r="E168">
        <f t="shared" si="13"/>
        <v>1988</v>
      </c>
      <c r="F168" s="6">
        <f t="shared" si="14"/>
        <v>286</v>
      </c>
      <c r="G168">
        <v>24.6</v>
      </c>
      <c r="H168">
        <v>9</v>
      </c>
      <c r="I168">
        <f>MAX(0,1-Fitting!$B$7*(Fitting!$B$6-Herm8889!C168)^2)</f>
        <v>0.66373208879865708</v>
      </c>
      <c r="J168">
        <f>tt(G168,H168,Fitting!$B$1:$E$1,Fitting!$B$2:$E$2)*I168</f>
        <v>11.150699851398535</v>
      </c>
    </row>
    <row r="169" spans="1:10">
      <c r="A169" s="1">
        <f t="shared" si="12"/>
        <v>32429</v>
      </c>
      <c r="B169">
        <f t="shared" si="10"/>
        <v>1131.2733164102076</v>
      </c>
      <c r="C169">
        <f>day_length(F169,$B$1,Fitting!$B$4)</f>
        <v>13.542673110961914</v>
      </c>
      <c r="D169" s="1">
        <f t="shared" si="11"/>
        <v>32429</v>
      </c>
      <c r="E169">
        <f t="shared" si="13"/>
        <v>1988</v>
      </c>
      <c r="F169" s="6">
        <f t="shared" si="14"/>
        <v>287</v>
      </c>
      <c r="G169">
        <v>29</v>
      </c>
      <c r="H169">
        <v>9.8000000000000007</v>
      </c>
      <c r="I169">
        <f>MAX(0,1-Fitting!$B$7*(Fitting!$B$6-Herm8889!C169)^2)</f>
        <v>0.6663296540201773</v>
      </c>
      <c r="J169">
        <f>tt(G169,H169,Fitting!$B$1:$E$1,Fitting!$B$2:$E$2)*I169</f>
        <v>12.926795033806849</v>
      </c>
    </row>
    <row r="170" spans="1:10">
      <c r="A170" s="1">
        <f t="shared" si="12"/>
        <v>32430</v>
      </c>
      <c r="B170">
        <f t="shared" si="10"/>
        <v>1145.654884657135</v>
      </c>
      <c r="C170">
        <f>day_length(F170,$B$1,Fitting!$B$4)</f>
        <v>13.571564674377441</v>
      </c>
      <c r="D170" s="1">
        <f t="shared" si="11"/>
        <v>32430</v>
      </c>
      <c r="E170">
        <f t="shared" si="13"/>
        <v>1988</v>
      </c>
      <c r="F170" s="6">
        <f t="shared" si="14"/>
        <v>288</v>
      </c>
      <c r="G170">
        <v>30</v>
      </c>
      <c r="H170">
        <v>13</v>
      </c>
      <c r="I170">
        <f>MAX(0,1-Fitting!$B$7*(Fitting!$B$6-Herm8889!C170)^2)</f>
        <v>0.66891009167825721</v>
      </c>
      <c r="J170">
        <f>tt(G170,H170,Fitting!$B$1:$E$1,Fitting!$B$2:$E$2)*I170</f>
        <v>14.381568246927278</v>
      </c>
    </row>
    <row r="171" spans="1:10">
      <c r="A171" s="1">
        <f t="shared" si="12"/>
        <v>32431</v>
      </c>
      <c r="B171">
        <f t="shared" si="10"/>
        <v>1160.6909034653547</v>
      </c>
      <c r="C171">
        <f>day_length(F171,$B$1,Fitting!$B$4)</f>
        <v>13.600369453430176</v>
      </c>
      <c r="D171" s="1">
        <f t="shared" si="11"/>
        <v>32431</v>
      </c>
      <c r="E171">
        <f t="shared" si="13"/>
        <v>1988</v>
      </c>
      <c r="F171" s="6">
        <f t="shared" si="14"/>
        <v>289</v>
      </c>
      <c r="G171">
        <v>30.5</v>
      </c>
      <c r="H171">
        <v>14.3</v>
      </c>
      <c r="I171">
        <f>MAX(0,1-Fitting!$B$7*(Fitting!$B$6-Herm8889!C171)^2)</f>
        <v>0.67147280664562459</v>
      </c>
      <c r="J171">
        <f>tt(G171,H171,Fitting!$B$1:$E$1,Fitting!$B$2:$E$2)*I171</f>
        <v>15.036018808219826</v>
      </c>
    </row>
    <row r="172" spans="1:10">
      <c r="A172" s="1">
        <f t="shared" si="12"/>
        <v>32432</v>
      </c>
      <c r="B172">
        <f t="shared" si="10"/>
        <v>1175.2382345836088</v>
      </c>
      <c r="C172">
        <f>day_length(F172,$B$1,Fitting!$B$4)</f>
        <v>13.62907886505127</v>
      </c>
      <c r="D172" s="1">
        <f t="shared" si="11"/>
        <v>32432</v>
      </c>
      <c r="E172">
        <f t="shared" si="13"/>
        <v>1988</v>
      </c>
      <c r="F172" s="6">
        <f t="shared" si="14"/>
        <v>290</v>
      </c>
      <c r="G172">
        <v>31.5</v>
      </c>
      <c r="H172">
        <v>12.6</v>
      </c>
      <c r="I172">
        <f>MAX(0,1-Fitting!$B$7*(Fitting!$B$6-Herm8889!C172)^2)</f>
        <v>0.6740171297341967</v>
      </c>
      <c r="J172">
        <f>tt(G172,H172,Fitting!$B$1:$E$1,Fitting!$B$2:$E$2)*I172</f>
        <v>14.547331118254153</v>
      </c>
    </row>
    <row r="173" spans="1:10">
      <c r="A173" s="1">
        <f t="shared" si="12"/>
        <v>32433</v>
      </c>
      <c r="B173">
        <f t="shared" si="10"/>
        <v>1189.7838967701839</v>
      </c>
      <c r="C173">
        <f>day_length(F173,$B$1,Fitting!$B$4)</f>
        <v>13.657685279846191</v>
      </c>
      <c r="D173" s="1">
        <f t="shared" si="11"/>
        <v>32433</v>
      </c>
      <c r="E173">
        <f t="shared" si="13"/>
        <v>1988</v>
      </c>
      <c r="F173" s="6">
        <f t="shared" si="14"/>
        <v>291</v>
      </c>
      <c r="G173">
        <v>29</v>
      </c>
      <c r="H173">
        <v>14</v>
      </c>
      <c r="I173">
        <f>MAX(0,1-Fitting!$B$7*(Fitting!$B$6-Herm8889!C173)^2)</f>
        <v>0.6765424873012762</v>
      </c>
      <c r="J173">
        <f>tt(G173,H173,Fitting!$B$1:$E$1,Fitting!$B$2:$E$2)*I173</f>
        <v>14.545662186575051</v>
      </c>
    </row>
    <row r="174" spans="1:10">
      <c r="A174" s="1">
        <f t="shared" si="12"/>
        <v>32434</v>
      </c>
      <c r="B174">
        <f t="shared" si="10"/>
        <v>1201.259811753263</v>
      </c>
      <c r="C174">
        <f>day_length(F174,$B$1,Fitting!$B$4)</f>
        <v>13.68618106842041</v>
      </c>
      <c r="D174" s="1">
        <f t="shared" si="11"/>
        <v>32434</v>
      </c>
      <c r="E174">
        <f t="shared" si="13"/>
        <v>1988</v>
      </c>
      <c r="F174" s="6">
        <f t="shared" si="14"/>
        <v>292</v>
      </c>
      <c r="G174">
        <v>28.2</v>
      </c>
      <c r="H174">
        <v>5.6</v>
      </c>
      <c r="I174">
        <f>MAX(0,1-Fitting!$B$7*(Fitting!$B$6-Herm8889!C174)^2)</f>
        <v>0.6790483158164079</v>
      </c>
      <c r="J174">
        <f>tt(G174,H174,Fitting!$B$1:$E$1,Fitting!$B$2:$E$2)*I174</f>
        <v>11.475914983079042</v>
      </c>
    </row>
    <row r="175" spans="1:10">
      <c r="A175" s="1">
        <f t="shared" si="12"/>
        <v>32435</v>
      </c>
      <c r="B175">
        <f t="shared" si="10"/>
        <v>1212.6755072878032</v>
      </c>
      <c r="C175">
        <f>day_length(F175,$B$1,Fitting!$B$4)</f>
        <v>13.714558601379395</v>
      </c>
      <c r="D175" s="1">
        <f t="shared" si="11"/>
        <v>32435</v>
      </c>
      <c r="E175">
        <f t="shared" si="13"/>
        <v>1988</v>
      </c>
      <c r="F175" s="6">
        <f t="shared" si="14"/>
        <v>293</v>
      </c>
      <c r="G175">
        <v>28</v>
      </c>
      <c r="H175">
        <v>5.5</v>
      </c>
      <c r="I175">
        <f>MAX(0,1-Fitting!$B$7*(Fitting!$B$6-Herm8889!C175)^2)</f>
        <v>0.68153406176359022</v>
      </c>
      <c r="J175">
        <f>tt(G175,H175,Fitting!$B$1:$E$1,Fitting!$B$2:$E$2)*I175</f>
        <v>11.415695534540136</v>
      </c>
    </row>
    <row r="176" spans="1:10">
      <c r="A176" s="1">
        <f t="shared" si="12"/>
        <v>32436</v>
      </c>
      <c r="B176">
        <f t="shared" si="10"/>
        <v>1224.9190864298607</v>
      </c>
      <c r="C176">
        <f>day_length(F176,$B$1,Fitting!$B$4)</f>
        <v>13.742806434631348</v>
      </c>
      <c r="D176" s="1">
        <f t="shared" si="11"/>
        <v>32436</v>
      </c>
      <c r="E176">
        <f t="shared" si="13"/>
        <v>1988</v>
      </c>
      <c r="F176" s="6">
        <f t="shared" si="14"/>
        <v>294</v>
      </c>
      <c r="G176">
        <v>28.8</v>
      </c>
      <c r="H176">
        <v>7</v>
      </c>
      <c r="I176">
        <f>MAX(0,1-Fitting!$B$7*(Fitting!$B$6-Herm8889!C176)^2)</f>
        <v>0.68399884932863098</v>
      </c>
      <c r="J176">
        <f>tt(G176,H176,Fitting!$B$1:$E$1,Fitting!$B$2:$E$2)*I176</f>
        <v>12.243579142057641</v>
      </c>
    </row>
    <row r="177" spans="1:10">
      <c r="A177" s="1">
        <f t="shared" si="12"/>
        <v>32437</v>
      </c>
      <c r="B177">
        <f t="shared" si="10"/>
        <v>1238.7444741350409</v>
      </c>
      <c r="C177">
        <f>day_length(F177,$B$1,Fitting!$B$4)</f>
        <v>13.770918846130371</v>
      </c>
      <c r="D177" s="1">
        <f t="shared" si="11"/>
        <v>32437</v>
      </c>
      <c r="E177">
        <f t="shared" si="13"/>
        <v>1988</v>
      </c>
      <c r="F177" s="6">
        <f t="shared" si="14"/>
        <v>295</v>
      </c>
      <c r="G177">
        <v>34.200000000000003</v>
      </c>
      <c r="H177">
        <v>11.8</v>
      </c>
      <c r="I177">
        <f>MAX(0,1-Fitting!$B$7*(Fitting!$B$6-Herm8889!C177)^2)</f>
        <v>0.68644231402460165</v>
      </c>
      <c r="J177">
        <f>tt(G177,H177,Fitting!$B$1:$E$1,Fitting!$B$2:$E$2)*I177</f>
        <v>13.825387705180216</v>
      </c>
    </row>
    <row r="178" spans="1:10">
      <c r="A178" s="1">
        <f t="shared" si="12"/>
        <v>32438</v>
      </c>
      <c r="B178">
        <f t="shared" si="10"/>
        <v>1252.3900057343358</v>
      </c>
      <c r="C178">
        <f>day_length(F178,$B$1,Fitting!$B$4)</f>
        <v>13.798886299133301</v>
      </c>
      <c r="D178" s="1">
        <f t="shared" si="11"/>
        <v>32438</v>
      </c>
      <c r="E178">
        <f t="shared" si="13"/>
        <v>1988</v>
      </c>
      <c r="F178" s="6">
        <f t="shared" si="14"/>
        <v>296</v>
      </c>
      <c r="G178">
        <v>36</v>
      </c>
      <c r="H178">
        <v>14</v>
      </c>
      <c r="I178">
        <f>MAX(0,1-Fitting!$B$7*(Fitting!$B$6-Herm8889!C178)^2)</f>
        <v>0.68886376880313938</v>
      </c>
      <c r="J178">
        <f>tt(G178,H178,Fitting!$B$1:$E$1,Fitting!$B$2:$E$2)*I178</f>
        <v>13.645531599294824</v>
      </c>
    </row>
    <row r="179" spans="1:10">
      <c r="A179" s="1">
        <f t="shared" si="12"/>
        <v>32439</v>
      </c>
      <c r="B179">
        <f t="shared" si="10"/>
        <v>1265.5154821115614</v>
      </c>
      <c r="C179">
        <f>day_length(F179,$B$1,Fitting!$B$4)</f>
        <v>13.826700210571289</v>
      </c>
      <c r="D179" s="1">
        <f t="shared" si="11"/>
        <v>32439</v>
      </c>
      <c r="E179">
        <f t="shared" si="13"/>
        <v>1988</v>
      </c>
      <c r="F179" s="6">
        <f t="shared" si="14"/>
        <v>297</v>
      </c>
      <c r="G179">
        <v>36.4</v>
      </c>
      <c r="H179">
        <v>12.5</v>
      </c>
      <c r="I179">
        <f>MAX(0,1-Fitting!$B$7*(Fitting!$B$6-Herm8889!C179)^2)</f>
        <v>0.69126262078589207</v>
      </c>
      <c r="J179">
        <f>tt(G179,H179,Fitting!$B$1:$E$1,Fitting!$B$2:$E$2)*I179</f>
        <v>13.125476377225622</v>
      </c>
    </row>
    <row r="180" spans="1:10">
      <c r="A180" s="1">
        <f t="shared" si="12"/>
        <v>32440</v>
      </c>
      <c r="B180">
        <f t="shared" si="10"/>
        <v>1280.8102004174787</v>
      </c>
      <c r="C180">
        <f>day_length(F180,$B$1,Fitting!$B$4)</f>
        <v>13.854349136352539</v>
      </c>
      <c r="D180" s="1">
        <f t="shared" si="11"/>
        <v>32440</v>
      </c>
      <c r="E180">
        <f t="shared" si="13"/>
        <v>1988</v>
      </c>
      <c r="F180" s="6">
        <f t="shared" si="14"/>
        <v>298</v>
      </c>
      <c r="G180">
        <v>28.9</v>
      </c>
      <c r="H180">
        <v>15.2</v>
      </c>
      <c r="I180">
        <f>MAX(0,1-Fitting!$B$7*(Fitting!$B$6-Herm8889!C180)^2)</f>
        <v>0.69363804240912574</v>
      </c>
      <c r="J180">
        <f>tt(G180,H180,Fitting!$B$1:$E$1,Fitting!$B$2:$E$2)*I180</f>
        <v>15.294718305917394</v>
      </c>
    </row>
    <row r="181" spans="1:10">
      <c r="A181" s="1">
        <f t="shared" si="12"/>
        <v>32441</v>
      </c>
      <c r="B181">
        <f t="shared" si="10"/>
        <v>1293.6860085293038</v>
      </c>
      <c r="C181">
        <f>day_length(F181,$B$1,Fitting!$B$4)</f>
        <v>13.881826400756836</v>
      </c>
      <c r="D181" s="1">
        <f t="shared" si="11"/>
        <v>32441</v>
      </c>
      <c r="E181">
        <f t="shared" si="13"/>
        <v>1988</v>
      </c>
      <c r="F181" s="6">
        <f t="shared" si="14"/>
        <v>299</v>
      </c>
      <c r="G181">
        <v>26.4</v>
      </c>
      <c r="H181">
        <v>10.6</v>
      </c>
      <c r="I181">
        <f>MAX(0,1-Fitting!$B$7*(Fitting!$B$6-Herm8889!C181)^2)</f>
        <v>0.69598962766622563</v>
      </c>
      <c r="J181">
        <f>tt(G181,H181,Fitting!$B$1:$E$1,Fitting!$B$2:$E$2)*I181</f>
        <v>12.875808111825174</v>
      </c>
    </row>
    <row r="182" spans="1:10">
      <c r="A182" s="1">
        <f t="shared" si="12"/>
        <v>32442</v>
      </c>
      <c r="B182">
        <f t="shared" si="10"/>
        <v>1306.779444454748</v>
      </c>
      <c r="C182">
        <f>day_length(F182,$B$1,Fitting!$B$4)</f>
        <v>13.909121513366699</v>
      </c>
      <c r="D182" s="1">
        <f t="shared" si="11"/>
        <v>32442</v>
      </c>
      <c r="E182">
        <f t="shared" si="13"/>
        <v>1988</v>
      </c>
      <c r="F182" s="6">
        <f t="shared" si="14"/>
        <v>300</v>
      </c>
      <c r="G182">
        <v>24.5</v>
      </c>
      <c r="H182">
        <v>13</v>
      </c>
      <c r="I182">
        <f>MAX(0,1-Fitting!$B$7*(Fitting!$B$6-Herm8889!C182)^2)</f>
        <v>0.69831665372680618</v>
      </c>
      <c r="J182">
        <f>tt(G182,H182,Fitting!$B$1:$E$1,Fitting!$B$2:$E$2)*I182</f>
        <v>13.0934359254443</v>
      </c>
    </row>
    <row r="183" spans="1:10">
      <c r="A183" s="1">
        <f t="shared" si="12"/>
        <v>32443</v>
      </c>
      <c r="B183">
        <f t="shared" si="10"/>
        <v>1318.9351714690206</v>
      </c>
      <c r="C183">
        <f>day_length(F183,$B$1,Fitting!$B$4)</f>
        <v>13.936223983764648</v>
      </c>
      <c r="D183" s="1">
        <f t="shared" si="11"/>
        <v>32443</v>
      </c>
      <c r="E183">
        <f t="shared" si="13"/>
        <v>1988</v>
      </c>
      <c r="F183" s="6">
        <f t="shared" si="14"/>
        <v>301</v>
      </c>
      <c r="G183">
        <v>26.5</v>
      </c>
      <c r="H183">
        <v>8.1999999999999993</v>
      </c>
      <c r="I183">
        <f>MAX(0,1-Fitting!$B$7*(Fitting!$B$6-Herm8889!C183)^2)</f>
        <v>0.70061841035474937</v>
      </c>
      <c r="J183">
        <f>tt(G183,H183,Fitting!$B$1:$E$1,Fitting!$B$2:$E$2)*I183</f>
        <v>12.155727014272481</v>
      </c>
    </row>
    <row r="184" spans="1:10">
      <c r="A184" s="1">
        <f t="shared" si="12"/>
        <v>32444</v>
      </c>
      <c r="B184">
        <f t="shared" si="10"/>
        <v>1332.536176276684</v>
      </c>
      <c r="C184">
        <f>day_length(F184,$B$1,Fitting!$B$4)</f>
        <v>13.963125228881836</v>
      </c>
      <c r="D184" s="1">
        <f t="shared" si="11"/>
        <v>32444</v>
      </c>
      <c r="E184">
        <f t="shared" si="13"/>
        <v>1988</v>
      </c>
      <c r="F184" s="6">
        <f t="shared" si="14"/>
        <v>302</v>
      </c>
      <c r="G184">
        <v>29.6</v>
      </c>
      <c r="H184">
        <v>9.1</v>
      </c>
      <c r="I184">
        <f>MAX(0,1-Fitting!$B$7*(Fitting!$B$6-Herm8889!C184)^2)</f>
        <v>0.70289436073360412</v>
      </c>
      <c r="J184">
        <f>tt(G184,H184,Fitting!$B$1:$E$1,Fitting!$B$2:$E$2)*I184</f>
        <v>13.601004807663561</v>
      </c>
    </row>
    <row r="185" spans="1:10">
      <c r="A185" s="1">
        <f t="shared" si="12"/>
        <v>32445</v>
      </c>
      <c r="B185">
        <f t="shared" si="10"/>
        <v>1347.3589640461457</v>
      </c>
      <c r="C185">
        <f>day_length(F185,$B$1,Fitting!$B$4)</f>
        <v>13.989814758300781</v>
      </c>
      <c r="D185" s="1">
        <f t="shared" si="11"/>
        <v>32445</v>
      </c>
      <c r="E185">
        <f t="shared" si="13"/>
        <v>1988</v>
      </c>
      <c r="F185" s="6">
        <f t="shared" si="14"/>
        <v>303</v>
      </c>
      <c r="G185">
        <v>33.1</v>
      </c>
      <c r="H185">
        <v>12.7</v>
      </c>
      <c r="I185">
        <f>MAX(0,1-Fitting!$B$7*(Fitting!$B$6-Herm8889!C185)^2)</f>
        <v>0.70514381726237474</v>
      </c>
      <c r="J185">
        <f>tt(G185,H185,Fitting!$B$1:$E$1,Fitting!$B$2:$E$2)*I185</f>
        <v>14.822787769461661</v>
      </c>
    </row>
    <row r="186" spans="1:10">
      <c r="A186" s="1">
        <f t="shared" si="12"/>
        <v>32446</v>
      </c>
      <c r="B186">
        <f t="shared" si="10"/>
        <v>1361.3261282861533</v>
      </c>
      <c r="C186">
        <f>day_length(F186,$B$1,Fitting!$B$4)</f>
        <v>14.016282081604004</v>
      </c>
      <c r="D186" s="1">
        <f t="shared" si="11"/>
        <v>32446</v>
      </c>
      <c r="E186">
        <f t="shared" si="13"/>
        <v>1988</v>
      </c>
      <c r="F186" s="6">
        <f t="shared" si="14"/>
        <v>304</v>
      </c>
      <c r="G186">
        <v>35.799999999999997</v>
      </c>
      <c r="H186">
        <v>13.3</v>
      </c>
      <c r="I186">
        <f>MAX(0,1-Fitting!$B$7*(Fitting!$B$6-Herm8889!C186)^2)</f>
        <v>0.70736610421764823</v>
      </c>
      <c r="J186">
        <f>tt(G186,H186,Fitting!$B$1:$E$1,Fitting!$B$2:$E$2)*I186</f>
        <v>13.967164240007524</v>
      </c>
    </row>
    <row r="187" spans="1:10">
      <c r="A187" s="1">
        <f t="shared" si="12"/>
        <v>32447</v>
      </c>
      <c r="B187">
        <f t="shared" si="10"/>
        <v>1375.9874268661515</v>
      </c>
      <c r="C187">
        <f>day_length(F187,$B$1,Fitting!$B$4)</f>
        <v>14.042518615722656</v>
      </c>
      <c r="D187" s="1">
        <f t="shared" si="11"/>
        <v>32447</v>
      </c>
      <c r="E187">
        <f t="shared" si="13"/>
        <v>1988</v>
      </c>
      <c r="F187" s="6">
        <f t="shared" si="14"/>
        <v>305</v>
      </c>
      <c r="G187">
        <v>35.6</v>
      </c>
      <c r="H187">
        <v>15.6</v>
      </c>
      <c r="I187">
        <f>MAX(0,1-Fitting!$B$7*(Fitting!$B$6-Herm8889!C187)^2)</f>
        <v>0.7095607167246053</v>
      </c>
      <c r="J187">
        <f>tt(G187,H187,Fitting!$B$1:$E$1,Fitting!$B$2:$E$2)*I187</f>
        <v>14.661298579998089</v>
      </c>
    </row>
    <row r="188" spans="1:10">
      <c r="A188" s="1">
        <f t="shared" si="12"/>
        <v>32448</v>
      </c>
      <c r="B188">
        <f t="shared" si="10"/>
        <v>1391.4653482120514</v>
      </c>
      <c r="C188">
        <f>day_length(F188,$B$1,Fitting!$B$4)</f>
        <v>14.068510055541992</v>
      </c>
      <c r="D188" s="1">
        <f t="shared" si="11"/>
        <v>32448</v>
      </c>
      <c r="E188">
        <f t="shared" si="13"/>
        <v>1988</v>
      </c>
      <c r="F188" s="6">
        <f t="shared" si="14"/>
        <v>306</v>
      </c>
      <c r="G188">
        <v>35</v>
      </c>
      <c r="H188">
        <v>17.399999999999999</v>
      </c>
      <c r="I188">
        <f>MAX(0,1-Fitting!$B$7*(Fitting!$B$6-Herm8889!C188)^2)</f>
        <v>0.71172668289926522</v>
      </c>
      <c r="J188">
        <f>tt(G188,H188,Fitting!$B$1:$E$1,Fitting!$B$2:$E$2)*I188</f>
        <v>15.477921345899752</v>
      </c>
    </row>
    <row r="189" spans="1:10">
      <c r="A189" s="1">
        <f t="shared" si="12"/>
        <v>32449</v>
      </c>
      <c r="B189">
        <f t="shared" si="10"/>
        <v>1407.9912921054436</v>
      </c>
      <c r="C189">
        <f>day_length(F189,$B$1,Fitting!$B$4)</f>
        <v>14.094249725341797</v>
      </c>
      <c r="D189" s="1">
        <f t="shared" si="11"/>
        <v>32449</v>
      </c>
      <c r="E189">
        <f t="shared" si="13"/>
        <v>1988</v>
      </c>
      <c r="F189" s="6">
        <f t="shared" si="14"/>
        <v>307</v>
      </c>
      <c r="G189">
        <v>30.1</v>
      </c>
      <c r="H189">
        <v>16.2</v>
      </c>
      <c r="I189">
        <f>MAX(0,1-Fitting!$B$7*(Fitting!$B$6-Herm8889!C189)^2)</f>
        <v>0.71386367886434887</v>
      </c>
      <c r="J189">
        <f>tt(G189,H189,Fitting!$B$1:$E$1,Fitting!$B$2:$E$2)*I189</f>
        <v>16.525943893392295</v>
      </c>
    </row>
    <row r="190" spans="1:10">
      <c r="A190" s="1">
        <f t="shared" si="12"/>
        <v>32450</v>
      </c>
      <c r="B190">
        <f t="shared" si="10"/>
        <v>1423.1340780357439</v>
      </c>
      <c r="C190">
        <f>day_length(F190,$B$1,Fitting!$B$4)</f>
        <v>14.119725227355957</v>
      </c>
      <c r="D190" s="1">
        <f t="shared" si="11"/>
        <v>32450</v>
      </c>
      <c r="E190">
        <f t="shared" si="13"/>
        <v>1988</v>
      </c>
      <c r="F190" s="6">
        <f t="shared" si="14"/>
        <v>308</v>
      </c>
      <c r="G190">
        <v>30.4</v>
      </c>
      <c r="H190">
        <v>11.9</v>
      </c>
      <c r="I190">
        <f>MAX(0,1-Fitting!$B$7*(Fitting!$B$6-Herm8889!C190)^2)</f>
        <v>0.7159709143175077</v>
      </c>
      <c r="J190">
        <f>tt(G190,H190,Fitting!$B$1:$E$1,Fitting!$B$2:$E$2)*I190</f>
        <v>15.142785930300203</v>
      </c>
    </row>
    <row r="191" spans="1:10">
      <c r="A191" s="1">
        <f t="shared" si="12"/>
        <v>32451</v>
      </c>
      <c r="B191">
        <f t="shared" si="10"/>
        <v>1439.0498416797736</v>
      </c>
      <c r="C191">
        <f>day_length(F191,$B$1,Fitting!$B$4)</f>
        <v>14.144926071166992</v>
      </c>
      <c r="D191" s="1">
        <f t="shared" si="11"/>
        <v>32451</v>
      </c>
      <c r="E191">
        <f t="shared" si="13"/>
        <v>1988</v>
      </c>
      <c r="F191" s="6">
        <f t="shared" si="14"/>
        <v>309</v>
      </c>
      <c r="G191">
        <v>33.1</v>
      </c>
      <c r="H191">
        <v>15.3</v>
      </c>
      <c r="I191">
        <f>MAX(0,1-Fitting!$B$7*(Fitting!$B$6-Herm8889!C191)^2)</f>
        <v>0.71804776858140396</v>
      </c>
      <c r="J191">
        <f>tt(G191,H191,Fitting!$B$1:$E$1,Fitting!$B$2:$E$2)*I191</f>
        <v>15.915763644029663</v>
      </c>
    </row>
    <row r="192" spans="1:10">
      <c r="A192" s="1">
        <f t="shared" si="12"/>
        <v>32452</v>
      </c>
      <c r="B192">
        <f t="shared" si="10"/>
        <v>1455.359596010923</v>
      </c>
      <c r="C192">
        <f>day_length(F192,$B$1,Fitting!$B$4)</f>
        <v>14.169839859008789</v>
      </c>
      <c r="D192" s="1">
        <f t="shared" si="11"/>
        <v>32452</v>
      </c>
      <c r="E192">
        <f t="shared" si="13"/>
        <v>1988</v>
      </c>
      <c r="F192" s="6">
        <f t="shared" si="14"/>
        <v>310</v>
      </c>
      <c r="G192">
        <v>32.9</v>
      </c>
      <c r="H192">
        <v>16.2</v>
      </c>
      <c r="I192">
        <f>MAX(0,1-Fitting!$B$7*(Fitting!$B$6-Herm8889!C192)^2)</f>
        <v>0.72009347469048945</v>
      </c>
      <c r="J192">
        <f>tt(G192,H192,Fitting!$B$1:$E$1,Fitting!$B$2:$E$2)*I192</f>
        <v>16.30975433114935</v>
      </c>
    </row>
    <row r="193" spans="1:10">
      <c r="A193" s="1">
        <f t="shared" si="12"/>
        <v>32453</v>
      </c>
      <c r="B193">
        <f t="shared" si="10"/>
        <v>1470.5707610839781</v>
      </c>
      <c r="C193">
        <f>day_length(F193,$B$1,Fitting!$B$4)</f>
        <v>14.1944580078125</v>
      </c>
      <c r="D193" s="1">
        <f t="shared" si="11"/>
        <v>32453</v>
      </c>
      <c r="E193">
        <f t="shared" si="13"/>
        <v>1988</v>
      </c>
      <c r="F193" s="6">
        <f t="shared" si="14"/>
        <v>311</v>
      </c>
      <c r="G193">
        <v>34</v>
      </c>
      <c r="H193">
        <v>13.7</v>
      </c>
      <c r="I193">
        <f>MAX(0,1-Fitting!$B$7*(Fitting!$B$6-Herm8889!C193)^2)</f>
        <v>0.7221075891554356</v>
      </c>
      <c r="J193">
        <f>tt(G193,H193,Fitting!$B$1:$E$1,Fitting!$B$2:$E$2)*I193</f>
        <v>15.211165073055083</v>
      </c>
    </row>
    <row r="194" spans="1:10">
      <c r="A194" s="1">
        <f t="shared" si="12"/>
        <v>32454</v>
      </c>
      <c r="B194">
        <f t="shared" si="10"/>
        <v>1480.9976472385601</v>
      </c>
      <c r="C194">
        <f>day_length(F194,$B$1,Fitting!$B$4)</f>
        <v>14.218767166137695</v>
      </c>
      <c r="D194" s="1">
        <f t="shared" si="11"/>
        <v>32454</v>
      </c>
      <c r="E194">
        <f t="shared" si="13"/>
        <v>1988</v>
      </c>
      <c r="F194" s="6">
        <f t="shared" si="14"/>
        <v>312</v>
      </c>
      <c r="G194">
        <v>17.2</v>
      </c>
      <c r="H194">
        <v>11.6</v>
      </c>
      <c r="I194">
        <f>MAX(0,1-Fitting!$B$7*(Fitting!$B$6-Herm8889!C194)^2)</f>
        <v>0.72408928751768697</v>
      </c>
      <c r="J194">
        <f>tt(G194,H194,Fitting!$B$1:$E$1,Fitting!$B$2:$E$2)*I194</f>
        <v>10.426886154581906</v>
      </c>
    </row>
    <row r="195" spans="1:10">
      <c r="A195" s="1">
        <f t="shared" si="12"/>
        <v>32455</v>
      </c>
      <c r="B195">
        <f t="shared" si="10"/>
        <v>1494.0663324423917</v>
      </c>
      <c r="C195">
        <f>day_length(F195,$B$1,Fitting!$B$4)</f>
        <v>14.242757797241211</v>
      </c>
      <c r="D195" s="1">
        <f t="shared" si="11"/>
        <v>32455</v>
      </c>
      <c r="E195">
        <f t="shared" si="13"/>
        <v>1988</v>
      </c>
      <c r="F195" s="6">
        <f t="shared" si="14"/>
        <v>313</v>
      </c>
      <c r="G195">
        <v>22.9</v>
      </c>
      <c r="H195">
        <v>13.1</v>
      </c>
      <c r="I195">
        <f>MAX(0,1-Fitting!$B$7*(Fitting!$B$6-Herm8889!C195)^2)</f>
        <v>0.72603806687953321</v>
      </c>
      <c r="J195">
        <f>tt(G195,H195,Fitting!$B$1:$E$1,Fitting!$B$2:$E$2)*I195</f>
        <v>13.068685203831597</v>
      </c>
    </row>
    <row r="196" spans="1:10">
      <c r="A196" s="1">
        <f t="shared" si="12"/>
        <v>32456</v>
      </c>
      <c r="B196">
        <f t="shared" si="10"/>
        <v>1506.4051371350342</v>
      </c>
      <c r="C196">
        <f>day_length(F196,$B$1,Fitting!$B$4)</f>
        <v>14.266415596008301</v>
      </c>
      <c r="D196" s="1">
        <f t="shared" si="11"/>
        <v>32456</v>
      </c>
      <c r="E196">
        <f t="shared" si="13"/>
        <v>1988</v>
      </c>
      <c r="F196" s="6">
        <f t="shared" si="14"/>
        <v>314</v>
      </c>
      <c r="G196">
        <v>24.2</v>
      </c>
      <c r="H196">
        <v>9.6999999999999993</v>
      </c>
      <c r="I196">
        <f>MAX(0,1-Fitting!$B$7*(Fitting!$B$6-Herm8889!C196)^2)</f>
        <v>0.72795304644591852</v>
      </c>
      <c r="J196">
        <f>tt(G196,H196,Fitting!$B$1:$E$1,Fitting!$B$2:$E$2)*I196</f>
        <v>12.338804692642418</v>
      </c>
    </row>
    <row r="197" spans="1:10">
      <c r="A197" s="1">
        <f t="shared" si="12"/>
        <v>32457</v>
      </c>
      <c r="B197">
        <f t="shared" ref="B197:B260" si="15">B196+J197</f>
        <v>1522.0235791815016</v>
      </c>
      <c r="C197">
        <f>day_length(F197,$B$1,Fitting!$B$4)</f>
        <v>14.289731979370117</v>
      </c>
      <c r="D197" s="1">
        <f t="shared" ref="D197:D260" si="16">A197</f>
        <v>32457</v>
      </c>
      <c r="E197">
        <f t="shared" si="13"/>
        <v>1988</v>
      </c>
      <c r="F197" s="6">
        <f t="shared" si="14"/>
        <v>315</v>
      </c>
      <c r="G197">
        <v>30.3</v>
      </c>
      <c r="H197">
        <v>12.5</v>
      </c>
      <c r="I197">
        <f>MAX(0,1-Fitting!$B$7*(Fitting!$B$6-Herm8889!C197)^2)</f>
        <v>0.72983381854787144</v>
      </c>
      <c r="J197">
        <f>tt(G197,H197,Fitting!$B$1:$E$1,Fitting!$B$2:$E$2)*I197</f>
        <v>15.618442046467406</v>
      </c>
    </row>
    <row r="198" spans="1:10">
      <c r="A198" s="1">
        <f t="shared" ref="A198:A261" si="17">A197+1</f>
        <v>32458</v>
      </c>
      <c r="B198">
        <f t="shared" si="15"/>
        <v>1538.5907059424505</v>
      </c>
      <c r="C198">
        <f>day_length(F198,$B$1,Fitting!$B$4)</f>
        <v>14.312694549560547</v>
      </c>
      <c r="D198" s="1">
        <f t="shared" si="16"/>
        <v>32458</v>
      </c>
      <c r="E198">
        <f t="shared" ref="E198:E261" si="18">YEAR(A198)</f>
        <v>1988</v>
      </c>
      <c r="F198" s="6">
        <f t="shared" ref="F198:F261" si="19">A198-DATE(E198,1,1)+1</f>
        <v>316</v>
      </c>
      <c r="G198">
        <v>31</v>
      </c>
      <c r="H198">
        <v>14.8</v>
      </c>
      <c r="I198">
        <f>MAX(0,1-Fitting!$B$7*(Fitting!$B$6-Herm8889!C198)^2)</f>
        <v>0.73167967487513663</v>
      </c>
      <c r="J198">
        <f>tt(G198,H198,Fitting!$B$1:$E$1,Fitting!$B$2:$E$2)*I198</f>
        <v>16.567126760948927</v>
      </c>
    </row>
    <row r="199" spans="1:10">
      <c r="A199" s="1">
        <f t="shared" si="17"/>
        <v>32459</v>
      </c>
      <c r="B199">
        <f t="shared" si="15"/>
        <v>1553.9939925847098</v>
      </c>
      <c r="C199">
        <f>day_length(F199,$B$1,Fitting!$B$4)</f>
        <v>14.33528995513916</v>
      </c>
      <c r="D199" s="1">
        <f t="shared" si="16"/>
        <v>32459</v>
      </c>
      <c r="E199">
        <f t="shared" si="18"/>
        <v>1988</v>
      </c>
      <c r="F199" s="6">
        <f t="shared" si="19"/>
        <v>317</v>
      </c>
      <c r="G199">
        <v>27</v>
      </c>
      <c r="H199">
        <v>15</v>
      </c>
      <c r="I199">
        <f>MAX(0,1-Fitting!$B$7*(Fitting!$B$6-Herm8889!C199)^2)</f>
        <v>0.73348984010758611</v>
      </c>
      <c r="J199">
        <f>tt(G199,H199,Fitting!$B$1:$E$1,Fitting!$B$2:$E$2)*I199</f>
        <v>15.403286642259308</v>
      </c>
    </row>
    <row r="200" spans="1:10">
      <c r="A200" s="1">
        <f t="shared" si="17"/>
        <v>32460</v>
      </c>
      <c r="B200">
        <f t="shared" si="15"/>
        <v>1568.0742964865537</v>
      </c>
      <c r="C200">
        <f>day_length(F200,$B$1,Fitting!$B$4)</f>
        <v>14.357508659362793</v>
      </c>
      <c r="D200" s="1">
        <f t="shared" si="16"/>
        <v>32460</v>
      </c>
      <c r="E200">
        <f t="shared" si="18"/>
        <v>1988</v>
      </c>
      <c r="F200" s="6">
        <f t="shared" si="19"/>
        <v>318</v>
      </c>
      <c r="G200">
        <v>25.8</v>
      </c>
      <c r="H200">
        <v>12.5</v>
      </c>
      <c r="I200">
        <f>MAX(0,1-Fitting!$B$7*(Fitting!$B$6-Herm8889!C200)^2)</f>
        <v>0.73526385273735828</v>
      </c>
      <c r="J200">
        <f>tt(G200,H200,Fitting!$B$1:$E$1,Fitting!$B$2:$E$2)*I200</f>
        <v>14.080303901844015</v>
      </c>
    </row>
    <row r="201" spans="1:10">
      <c r="A201" s="1">
        <f t="shared" si="17"/>
        <v>32461</v>
      </c>
      <c r="B201">
        <f t="shared" si="15"/>
        <v>1582.114164085285</v>
      </c>
      <c r="C201">
        <f>day_length(F201,$B$1,Fitting!$B$4)</f>
        <v>14.379337310791016</v>
      </c>
      <c r="D201" s="1">
        <f t="shared" si="16"/>
        <v>32461</v>
      </c>
      <c r="E201">
        <f t="shared" si="18"/>
        <v>1988</v>
      </c>
      <c r="F201" s="6">
        <f t="shared" si="19"/>
        <v>319</v>
      </c>
      <c r="G201">
        <v>26.4</v>
      </c>
      <c r="H201">
        <v>11.7</v>
      </c>
      <c r="I201">
        <f>MAX(0,1-Fitting!$B$7*(Fitting!$B$6-Herm8889!C201)^2)</f>
        <v>0.73700095333429627</v>
      </c>
      <c r="J201">
        <f>tt(G201,H201,Fitting!$B$1:$E$1,Fitting!$B$2:$E$2)*I201</f>
        <v>14.03986759873124</v>
      </c>
    </row>
    <row r="202" spans="1:10">
      <c r="A202" s="1">
        <f t="shared" si="17"/>
        <v>32462</v>
      </c>
      <c r="B202">
        <f t="shared" si="15"/>
        <v>1596.8512420690965</v>
      </c>
      <c r="C202">
        <f>day_length(F202,$B$1,Fitting!$B$4)</f>
        <v>14.400766372680664</v>
      </c>
      <c r="D202" s="1">
        <f t="shared" si="16"/>
        <v>32462</v>
      </c>
      <c r="E202">
        <f t="shared" si="18"/>
        <v>1988</v>
      </c>
      <c r="F202" s="6">
        <f t="shared" si="19"/>
        <v>320</v>
      </c>
      <c r="G202">
        <v>28.2</v>
      </c>
      <c r="H202">
        <v>11.7</v>
      </c>
      <c r="I202">
        <f>MAX(0,1-Fitting!$B$7*(Fitting!$B$6-Herm8889!C202)^2)</f>
        <v>0.7387006931923461</v>
      </c>
      <c r="J202">
        <f>tt(G202,H202,Fitting!$B$1:$E$1,Fitting!$B$2:$E$2)*I202</f>
        <v>14.737077983811451</v>
      </c>
    </row>
    <row r="203" spans="1:10">
      <c r="A203" s="1">
        <f t="shared" si="17"/>
        <v>32463</v>
      </c>
      <c r="B203">
        <f t="shared" si="15"/>
        <v>1611.9631342669386</v>
      </c>
      <c r="C203">
        <f>day_length(F203,$B$1,Fitting!$B$4)</f>
        <v>14.421782493591309</v>
      </c>
      <c r="D203" s="1">
        <f t="shared" si="16"/>
        <v>32463</v>
      </c>
      <c r="E203">
        <f t="shared" si="18"/>
        <v>1988</v>
      </c>
      <c r="F203" s="6">
        <f t="shared" si="19"/>
        <v>321</v>
      </c>
      <c r="G203">
        <v>31</v>
      </c>
      <c r="H203">
        <v>10.199999999999999</v>
      </c>
      <c r="I203">
        <f>MAX(0,1-Fitting!$B$7*(Fitting!$B$6-Herm8889!C203)^2)</f>
        <v>0.74036232663026924</v>
      </c>
      <c r="J203">
        <f>tt(G203,H203,Fitting!$B$1:$E$1,Fitting!$B$2:$E$2)*I203</f>
        <v>15.111892197842012</v>
      </c>
    </row>
    <row r="204" spans="1:10">
      <c r="A204" s="1">
        <f t="shared" si="17"/>
        <v>32464</v>
      </c>
      <c r="B204">
        <f t="shared" si="15"/>
        <v>1622.8703175285459</v>
      </c>
      <c r="C204">
        <f>day_length(F204,$B$1,Fitting!$B$4)</f>
        <v>14.442374229431152</v>
      </c>
      <c r="D204" s="1">
        <f t="shared" si="16"/>
        <v>32464</v>
      </c>
      <c r="E204">
        <f t="shared" si="18"/>
        <v>1988</v>
      </c>
      <c r="F204" s="6">
        <f t="shared" si="19"/>
        <v>322</v>
      </c>
      <c r="G204">
        <v>19.5</v>
      </c>
      <c r="H204">
        <v>9.9</v>
      </c>
      <c r="I204">
        <f>MAX(0,1-Fitting!$B$7*(Fitting!$B$6-Herm8889!C204)^2)</f>
        <v>0.74198526551902799</v>
      </c>
      <c r="J204">
        <f>tt(G204,H204,Fitting!$B$1:$E$1,Fitting!$B$2:$E$2)*I204</f>
        <v>10.907183261607253</v>
      </c>
    </row>
    <row r="205" spans="1:10">
      <c r="A205" s="1">
        <f t="shared" si="17"/>
        <v>32465</v>
      </c>
      <c r="B205">
        <f t="shared" si="15"/>
        <v>1633.8751359687292</v>
      </c>
      <c r="C205">
        <f>day_length(F205,$B$1,Fitting!$B$4)</f>
        <v>14.462529182434082</v>
      </c>
      <c r="D205" s="1">
        <f t="shared" si="16"/>
        <v>32465</v>
      </c>
      <c r="E205">
        <f t="shared" si="18"/>
        <v>1988</v>
      </c>
      <c r="F205" s="6">
        <f t="shared" si="19"/>
        <v>323</v>
      </c>
      <c r="G205">
        <v>22.3</v>
      </c>
      <c r="H205">
        <v>7.3</v>
      </c>
      <c r="I205">
        <f>MAX(0,1-Fitting!$B$7*(Fitting!$B$6-Herm8889!C205)^2)</f>
        <v>0.74356885185684407</v>
      </c>
      <c r="J205">
        <f>tt(G205,H205,Fitting!$B$1:$E$1,Fitting!$B$2:$E$2)*I205</f>
        <v>11.004818440183278</v>
      </c>
    </row>
    <row r="206" spans="1:10">
      <c r="A206" s="1">
        <f t="shared" si="17"/>
        <v>32466</v>
      </c>
      <c r="B206">
        <f t="shared" si="15"/>
        <v>1647.8832547667587</v>
      </c>
      <c r="C206">
        <f>day_length(F206,$B$1,Fitting!$B$4)</f>
        <v>14.482237815856934</v>
      </c>
      <c r="D206" s="1">
        <f t="shared" si="16"/>
        <v>32466</v>
      </c>
      <c r="E206">
        <f t="shared" si="18"/>
        <v>1988</v>
      </c>
      <c r="F206" s="6">
        <f t="shared" si="19"/>
        <v>324</v>
      </c>
      <c r="G206">
        <v>26.7</v>
      </c>
      <c r="H206">
        <v>10.9</v>
      </c>
      <c r="I206">
        <f>MAX(0,1-Fitting!$B$7*(Fitting!$B$6-Herm8889!C206)^2)</f>
        <v>0.74511265666572757</v>
      </c>
      <c r="J206">
        <f>tt(G206,H206,Fitting!$B$1:$E$1,Fitting!$B$2:$E$2)*I206</f>
        <v>14.008118798029443</v>
      </c>
    </row>
    <row r="207" spans="1:10">
      <c r="A207" s="1">
        <f t="shared" si="17"/>
        <v>32467</v>
      </c>
      <c r="B207">
        <f t="shared" si="15"/>
        <v>1665.3713342115366</v>
      </c>
      <c r="C207">
        <f>day_length(F207,$B$1,Fitting!$B$4)</f>
        <v>14.501485824584961</v>
      </c>
      <c r="D207" s="1">
        <f t="shared" si="16"/>
        <v>32467</v>
      </c>
      <c r="E207">
        <f t="shared" si="18"/>
        <v>1988</v>
      </c>
      <c r="F207" s="6">
        <f t="shared" si="19"/>
        <v>325</v>
      </c>
      <c r="G207">
        <v>31.3</v>
      </c>
      <c r="H207">
        <v>16.399999999999999</v>
      </c>
      <c r="I207">
        <f>MAX(0,1-Fitting!$B$7*(Fitting!$B$6-Herm8889!C207)^2)</f>
        <v>0.74661588107157884</v>
      </c>
      <c r="J207">
        <f>tt(G207,H207,Fitting!$B$1:$E$1,Fitting!$B$2:$E$2)*I207</f>
        <v>17.488079444777846</v>
      </c>
    </row>
    <row r="208" spans="1:10">
      <c r="A208" s="1">
        <f t="shared" si="17"/>
        <v>32468</v>
      </c>
      <c r="B208">
        <f t="shared" si="15"/>
        <v>1680.6695334991141</v>
      </c>
      <c r="C208">
        <f>day_length(F208,$B$1,Fitting!$B$4)</f>
        <v>14.520264625549316</v>
      </c>
      <c r="D208" s="1">
        <f t="shared" si="16"/>
        <v>32468</v>
      </c>
      <c r="E208">
        <f t="shared" si="18"/>
        <v>1988</v>
      </c>
      <c r="F208" s="6">
        <f t="shared" si="19"/>
        <v>326</v>
      </c>
      <c r="G208">
        <v>25.7</v>
      </c>
      <c r="H208">
        <v>15.2</v>
      </c>
      <c r="I208">
        <f>MAX(0,1-Fitting!$B$7*(Fitting!$B$6-Herm8889!C208)^2)</f>
        <v>0.74807817686255473</v>
      </c>
      <c r="J208">
        <f>tt(G208,H208,Fitting!$B$1:$E$1,Fitting!$B$2:$E$2)*I208</f>
        <v>15.298199287577599</v>
      </c>
    </row>
    <row r="209" spans="1:10">
      <c r="A209" s="1">
        <f t="shared" si="17"/>
        <v>32469</v>
      </c>
      <c r="B209">
        <f t="shared" si="15"/>
        <v>1698.0707496742216</v>
      </c>
      <c r="C209">
        <f>day_length(F209,$B$1,Fitting!$B$4)</f>
        <v>14.538559913635254</v>
      </c>
      <c r="D209" s="1">
        <f t="shared" si="16"/>
        <v>32469</v>
      </c>
      <c r="E209">
        <f t="shared" si="18"/>
        <v>1988</v>
      </c>
      <c r="F209" s="6">
        <f t="shared" si="19"/>
        <v>327</v>
      </c>
      <c r="G209">
        <v>30.5</v>
      </c>
      <c r="H209">
        <v>16</v>
      </c>
      <c r="I209">
        <f>MAX(0,1-Fitting!$B$7*(Fitting!$B$6-Herm8889!C209)^2)</f>
        <v>0.74949875206191252</v>
      </c>
      <c r="J209">
        <f>tt(G209,H209,Fitting!$B$1:$E$1,Fitting!$B$2:$E$2)*I209</f>
        <v>17.401216175107599</v>
      </c>
    </row>
    <row r="210" spans="1:10">
      <c r="A210" s="1">
        <f t="shared" si="17"/>
        <v>32470</v>
      </c>
      <c r="B210">
        <f t="shared" si="15"/>
        <v>1712.5251355376513</v>
      </c>
      <c r="C210">
        <f>day_length(F210,$B$1,Fitting!$B$4)</f>
        <v>14.556362152099609</v>
      </c>
      <c r="D210" s="1">
        <f t="shared" si="16"/>
        <v>32470</v>
      </c>
      <c r="E210">
        <f t="shared" si="18"/>
        <v>1988</v>
      </c>
      <c r="F210" s="6">
        <f t="shared" si="19"/>
        <v>328</v>
      </c>
      <c r="G210">
        <v>28.5</v>
      </c>
      <c r="H210">
        <v>10</v>
      </c>
      <c r="I210">
        <f>MAX(0,1-Fitting!$B$7*(Fitting!$B$6-Herm8889!C210)^2)</f>
        <v>0.75087718771063372</v>
      </c>
      <c r="J210">
        <f>tt(G210,H210,Fitting!$B$1:$E$1,Fitting!$B$2:$E$2)*I210</f>
        <v>14.4543858634297</v>
      </c>
    </row>
    <row r="211" spans="1:10">
      <c r="A211" s="1">
        <f t="shared" si="17"/>
        <v>32471</v>
      </c>
      <c r="B211">
        <f t="shared" si="15"/>
        <v>1729.4168859433773</v>
      </c>
      <c r="C211">
        <f>day_length(F211,$B$1,Fitting!$B$4)</f>
        <v>14.573660850524902</v>
      </c>
      <c r="D211" s="1">
        <f t="shared" si="16"/>
        <v>32471</v>
      </c>
      <c r="E211">
        <f t="shared" si="18"/>
        <v>1988</v>
      </c>
      <c r="F211" s="6">
        <f t="shared" si="19"/>
        <v>329</v>
      </c>
      <c r="G211">
        <v>31.5</v>
      </c>
      <c r="H211">
        <v>14.4</v>
      </c>
      <c r="I211">
        <f>MAX(0,1-Fitting!$B$7*(Fitting!$B$6-Herm8889!C211)^2)</f>
        <v>0.75221299081554205</v>
      </c>
      <c r="J211">
        <f>tt(G211,H211,Fitting!$B$1:$E$1,Fitting!$B$2:$E$2)*I211</f>
        <v>16.891750405725944</v>
      </c>
    </row>
    <row r="212" spans="1:10">
      <c r="A212" s="1">
        <f t="shared" si="17"/>
        <v>32472</v>
      </c>
      <c r="B212">
        <f t="shared" si="15"/>
        <v>1745.6798173074428</v>
      </c>
      <c r="C212">
        <f>day_length(F212,$B$1,Fitting!$B$4)</f>
        <v>14.59044361114502</v>
      </c>
      <c r="D212" s="1">
        <f t="shared" si="16"/>
        <v>32472</v>
      </c>
      <c r="E212">
        <f t="shared" si="18"/>
        <v>1988</v>
      </c>
      <c r="F212" s="6">
        <f t="shared" si="19"/>
        <v>330</v>
      </c>
      <c r="G212">
        <v>31.5</v>
      </c>
      <c r="H212">
        <v>12.6</v>
      </c>
      <c r="I212">
        <f>MAX(0,1-Fitting!$B$7*(Fitting!$B$6-Herm8889!C212)^2)</f>
        <v>0.75350552138852978</v>
      </c>
      <c r="J212">
        <f>tt(G212,H212,Fitting!$B$1:$E$1,Fitting!$B$2:$E$2)*I212</f>
        <v>16.262931364065512</v>
      </c>
    </row>
    <row r="213" spans="1:10">
      <c r="A213" s="1">
        <f t="shared" si="17"/>
        <v>32473</v>
      </c>
      <c r="B213">
        <f t="shared" si="15"/>
        <v>1761.2752878592744</v>
      </c>
      <c r="C213">
        <f>day_length(F213,$B$1,Fitting!$B$4)</f>
        <v>14.606698989868164</v>
      </c>
      <c r="D213" s="1">
        <f t="shared" si="16"/>
        <v>32473</v>
      </c>
      <c r="E213">
        <f t="shared" si="18"/>
        <v>1988</v>
      </c>
      <c r="F213" s="6">
        <f t="shared" si="19"/>
        <v>331</v>
      </c>
      <c r="G213">
        <v>31.6</v>
      </c>
      <c r="H213">
        <v>10.7</v>
      </c>
      <c r="I213">
        <f>MAX(0,1-Fitting!$B$7*(Fitting!$B$6-Herm8889!C213)^2)</f>
        <v>0.75475421316308344</v>
      </c>
      <c r="J213">
        <f>tt(G213,H213,Fitting!$B$1:$E$1,Fitting!$B$2:$E$2)*I213</f>
        <v>15.595470551831658</v>
      </c>
    </row>
    <row r="214" spans="1:10">
      <c r="A214" s="1">
        <f t="shared" si="17"/>
        <v>32474</v>
      </c>
      <c r="B214">
        <f t="shared" si="15"/>
        <v>1777.3016102661106</v>
      </c>
      <c r="C214">
        <f>day_length(F214,$B$1,Fitting!$B$4)</f>
        <v>14.622417449951172</v>
      </c>
      <c r="D214" s="1">
        <f t="shared" si="16"/>
        <v>32474</v>
      </c>
      <c r="E214">
        <f t="shared" si="18"/>
        <v>1988</v>
      </c>
      <c r="F214" s="6">
        <f t="shared" si="19"/>
        <v>332</v>
      </c>
      <c r="G214">
        <v>29.2</v>
      </c>
      <c r="H214">
        <v>13.2</v>
      </c>
      <c r="I214">
        <f>MAX(0,1-Fitting!$B$7*(Fitting!$B$6-Herm8889!C214)^2)</f>
        <v>0.7559586449038761</v>
      </c>
      <c r="J214">
        <f>tt(G214,H214,Fitting!$B$1:$E$1,Fitting!$B$2:$E$2)*I214</f>
        <v>16.026322406836162</v>
      </c>
    </row>
    <row r="215" spans="1:10">
      <c r="A215" s="1">
        <f t="shared" si="17"/>
        <v>32475</v>
      </c>
      <c r="B215">
        <f t="shared" si="15"/>
        <v>1790.0211986793602</v>
      </c>
      <c r="C215">
        <f>day_length(F215,$B$1,Fitting!$B$4)</f>
        <v>14.637589454650879</v>
      </c>
      <c r="D215" s="1">
        <f t="shared" si="16"/>
        <v>32475</v>
      </c>
      <c r="E215">
        <f t="shared" si="18"/>
        <v>1988</v>
      </c>
      <c r="F215" s="6">
        <f t="shared" si="19"/>
        <v>333</v>
      </c>
      <c r="G215">
        <v>25.3</v>
      </c>
      <c r="H215">
        <v>8.3000000000000007</v>
      </c>
      <c r="I215">
        <f>MAX(0,1-Fitting!$B$7*(Fitting!$B$6-Herm8889!C215)^2)</f>
        <v>0.75711839231458178</v>
      </c>
      <c r="J215">
        <f>tt(G215,H215,Fitting!$B$1:$E$1,Fitting!$B$2:$E$2)*I215</f>
        <v>12.719588413249483</v>
      </c>
    </row>
    <row r="216" spans="1:10">
      <c r="A216" s="1">
        <f t="shared" si="17"/>
        <v>32476</v>
      </c>
      <c r="B216">
        <f t="shared" si="15"/>
        <v>1804.1622430880275</v>
      </c>
      <c r="C216">
        <f>day_length(F216,$B$1,Fitting!$B$4)</f>
        <v>14.652203559875488</v>
      </c>
      <c r="D216" s="1">
        <f t="shared" si="16"/>
        <v>32476</v>
      </c>
      <c r="E216">
        <f t="shared" si="18"/>
        <v>1988</v>
      </c>
      <c r="F216" s="6">
        <f t="shared" si="19"/>
        <v>334</v>
      </c>
      <c r="G216">
        <v>26.7</v>
      </c>
      <c r="H216">
        <v>10.6</v>
      </c>
      <c r="I216">
        <f>MAX(0,1-Fitting!$B$7*(Fitting!$B$6-Herm8889!C216)^2)</f>
        <v>0.75823288212845541</v>
      </c>
      <c r="J216">
        <f>tt(G216,H216,Fitting!$B$1:$E$1,Fitting!$B$2:$E$2)*I216</f>
        <v>14.141044408667254</v>
      </c>
    </row>
    <row r="217" spans="1:10">
      <c r="A217" s="1">
        <f t="shared" si="17"/>
        <v>32477</v>
      </c>
      <c r="B217">
        <f t="shared" si="15"/>
        <v>1818.1713596081461</v>
      </c>
      <c r="C217">
        <f>day_length(F217,$B$1,Fitting!$B$4)</f>
        <v>14.666251182556152</v>
      </c>
      <c r="D217" s="1">
        <f t="shared" si="16"/>
        <v>32477</v>
      </c>
      <c r="E217">
        <f t="shared" si="18"/>
        <v>1988</v>
      </c>
      <c r="F217" s="6">
        <f t="shared" si="19"/>
        <v>335</v>
      </c>
      <c r="G217">
        <v>29.1</v>
      </c>
      <c r="H217">
        <v>7.8</v>
      </c>
      <c r="I217">
        <f>MAX(0,1-Fitting!$B$7*(Fitting!$B$6-Herm8889!C217)^2)</f>
        <v>0.75930175550517198</v>
      </c>
      <c r="J217">
        <f>tt(G217,H217,Fitting!$B$1:$E$1,Fitting!$B$2:$E$2)*I217</f>
        <v>14.009116520118523</v>
      </c>
    </row>
    <row r="218" spans="1:10">
      <c r="A218" s="1">
        <f t="shared" si="17"/>
        <v>32478</v>
      </c>
      <c r="B218">
        <f t="shared" si="15"/>
        <v>1835.309903764776</v>
      </c>
      <c r="C218">
        <f>day_length(F218,$B$1,Fitting!$B$4)</f>
        <v>14.679719924926758</v>
      </c>
      <c r="D218" s="1">
        <f t="shared" si="16"/>
        <v>32478</v>
      </c>
      <c r="E218">
        <f t="shared" si="18"/>
        <v>1988</v>
      </c>
      <c r="F218" s="6">
        <f t="shared" si="19"/>
        <v>336</v>
      </c>
      <c r="G218">
        <v>30.7</v>
      </c>
      <c r="H218">
        <v>14.6</v>
      </c>
      <c r="I218">
        <f>MAX(0,1-Fitting!$B$7*(Fitting!$B$6-Herm8889!C218)^2)</f>
        <v>0.76032435863579306</v>
      </c>
      <c r="J218">
        <f>tt(G218,H218,Fitting!$B$1:$E$1,Fitting!$B$2:$E$2)*I218</f>
        <v>17.138544156629806</v>
      </c>
    </row>
    <row r="219" spans="1:10">
      <c r="A219" s="1">
        <f t="shared" si="17"/>
        <v>32479</v>
      </c>
      <c r="B219">
        <f t="shared" si="15"/>
        <v>1852.184377614411</v>
      </c>
      <c r="C219">
        <f>day_length(F219,$B$1,Fitting!$B$4)</f>
        <v>14.69260311126709</v>
      </c>
      <c r="D219" s="1">
        <f t="shared" si="16"/>
        <v>32479</v>
      </c>
      <c r="E219">
        <f t="shared" si="18"/>
        <v>1988</v>
      </c>
      <c r="F219" s="6">
        <f t="shared" si="19"/>
        <v>337</v>
      </c>
      <c r="G219">
        <v>32.1</v>
      </c>
      <c r="H219">
        <v>14.3</v>
      </c>
      <c r="I219">
        <f>MAX(0,1-Fitting!$B$7*(Fitting!$B$6-Herm8889!C219)^2)</f>
        <v>0.76130046692801445</v>
      </c>
      <c r="J219">
        <f>tt(G219,H219,Fitting!$B$1:$E$1,Fitting!$B$2:$E$2)*I219</f>
        <v>16.874473849635049</v>
      </c>
    </row>
    <row r="220" spans="1:10">
      <c r="A220" s="1">
        <f t="shared" si="17"/>
        <v>32480</v>
      </c>
      <c r="B220">
        <f t="shared" si="15"/>
        <v>1869.2583835852063</v>
      </c>
      <c r="C220">
        <f>day_length(F220,$B$1,Fitting!$B$4)</f>
        <v>14.704891204833984</v>
      </c>
      <c r="D220" s="1">
        <f t="shared" si="16"/>
        <v>32480</v>
      </c>
      <c r="E220">
        <f t="shared" si="18"/>
        <v>1988</v>
      </c>
      <c r="F220" s="6">
        <f t="shared" si="19"/>
        <v>338</v>
      </c>
      <c r="G220">
        <v>31</v>
      </c>
      <c r="H220">
        <v>14.3</v>
      </c>
      <c r="I220">
        <f>MAX(0,1-Fitting!$B$7*(Fitting!$B$6-Herm8889!C220)^2)</f>
        <v>0.76222963154214085</v>
      </c>
      <c r="J220">
        <f>tt(G220,H220,Fitting!$B$1:$E$1,Fitting!$B$2:$E$2)*I220</f>
        <v>17.074005970795188</v>
      </c>
    </row>
    <row r="221" spans="1:10">
      <c r="A221" s="1">
        <f t="shared" si="17"/>
        <v>32481</v>
      </c>
      <c r="B221">
        <f t="shared" si="15"/>
        <v>1885.5508121947826</v>
      </c>
      <c r="C221">
        <f>day_length(F221,$B$1,Fitting!$B$4)</f>
        <v>14.716574668884277</v>
      </c>
      <c r="D221" s="1">
        <f t="shared" si="16"/>
        <v>32481</v>
      </c>
      <c r="E221">
        <f t="shared" si="18"/>
        <v>1988</v>
      </c>
      <c r="F221" s="6">
        <f t="shared" si="19"/>
        <v>339</v>
      </c>
      <c r="G221">
        <v>30</v>
      </c>
      <c r="H221">
        <v>12.7</v>
      </c>
      <c r="I221">
        <f>MAX(0,1-Fitting!$B$7*(Fitting!$B$6-Herm8889!C221)^2)</f>
        <v>0.76311139664975958</v>
      </c>
      <c r="J221">
        <f>tt(G221,H221,Fitting!$B$1:$E$1,Fitting!$B$2:$E$2)*I221</f>
        <v>16.292428609576262</v>
      </c>
    </row>
    <row r="222" spans="1:10">
      <c r="A222" s="1">
        <f t="shared" si="17"/>
        <v>32482</v>
      </c>
      <c r="B222">
        <f t="shared" si="15"/>
        <v>1902.1781278884787</v>
      </c>
      <c r="C222">
        <f>day_length(F222,$B$1,Fitting!$B$4)</f>
        <v>14.727644920349121</v>
      </c>
      <c r="D222" s="1">
        <f t="shared" si="16"/>
        <v>32482</v>
      </c>
      <c r="E222">
        <f t="shared" si="18"/>
        <v>1988</v>
      </c>
      <c r="F222" s="6">
        <f t="shared" si="19"/>
        <v>340</v>
      </c>
      <c r="G222">
        <v>30.7</v>
      </c>
      <c r="H222">
        <v>13</v>
      </c>
      <c r="I222">
        <f>MAX(0,1-Fitting!$B$7*(Fitting!$B$6-Herm8889!C222)^2)</f>
        <v>0.76394537052866696</v>
      </c>
      <c r="J222">
        <f>tt(G222,H222,Fitting!$B$1:$E$1,Fitting!$B$2:$E$2)*I222</f>
        <v>16.627315693696083</v>
      </c>
    </row>
    <row r="223" spans="1:10">
      <c r="A223" s="1">
        <f t="shared" si="17"/>
        <v>32483</v>
      </c>
      <c r="B223">
        <f t="shared" si="15"/>
        <v>1918.1992461617206</v>
      </c>
      <c r="C223">
        <f>day_length(F223,$B$1,Fitting!$B$4)</f>
        <v>14.738094329833984</v>
      </c>
      <c r="D223" s="1">
        <f t="shared" si="16"/>
        <v>32483</v>
      </c>
      <c r="E223">
        <f t="shared" si="18"/>
        <v>1988</v>
      </c>
      <c r="F223" s="6">
        <f t="shared" si="19"/>
        <v>341</v>
      </c>
      <c r="G223">
        <v>29.7</v>
      </c>
      <c r="H223">
        <v>12.2</v>
      </c>
      <c r="I223">
        <f>MAX(0,1-Fitting!$B$7*(Fitting!$B$6-Herm8889!C223)^2)</f>
        <v>0.76473122426765627</v>
      </c>
      <c r="J223">
        <f>tt(G223,H223,Fitting!$B$1:$E$1,Fitting!$B$2:$E$2)*I223</f>
        <v>16.021118273241967</v>
      </c>
    </row>
    <row r="224" spans="1:10">
      <c r="A224" s="1">
        <f t="shared" si="17"/>
        <v>32484</v>
      </c>
      <c r="B224">
        <f t="shared" si="15"/>
        <v>1935.3682667400317</v>
      </c>
      <c r="C224">
        <f>day_length(F224,$B$1,Fitting!$B$4)</f>
        <v>14.747916221618652</v>
      </c>
      <c r="D224" s="1">
        <f t="shared" si="16"/>
        <v>32484</v>
      </c>
      <c r="E224">
        <f t="shared" si="18"/>
        <v>1988</v>
      </c>
      <c r="F224" s="6">
        <f t="shared" si="19"/>
        <v>342</v>
      </c>
      <c r="G224">
        <v>32.799999999999997</v>
      </c>
      <c r="H224">
        <v>15.6</v>
      </c>
      <c r="I224">
        <f>MAX(0,1-Fitting!$B$7*(Fitting!$B$6-Herm8889!C224)^2)</f>
        <v>0.76546869056860489</v>
      </c>
      <c r="J224">
        <f>tt(G224,H224,Fitting!$B$1:$E$1,Fitting!$B$2:$E$2)*I224</f>
        <v>17.169020578311208</v>
      </c>
    </row>
    <row r="225" spans="1:10">
      <c r="A225" s="1">
        <f t="shared" si="17"/>
        <v>32485</v>
      </c>
      <c r="B225">
        <f t="shared" si="15"/>
        <v>1952.6834232575525</v>
      </c>
      <c r="C225">
        <f>day_length(F225,$B$1,Fitting!$B$4)</f>
        <v>14.757102966308594</v>
      </c>
      <c r="D225" s="1">
        <f t="shared" si="16"/>
        <v>32485</v>
      </c>
      <c r="E225">
        <f t="shared" si="18"/>
        <v>1988</v>
      </c>
      <c r="F225" s="6">
        <f t="shared" si="19"/>
        <v>343</v>
      </c>
      <c r="G225">
        <v>27.6</v>
      </c>
      <c r="H225">
        <v>17.600000000000001</v>
      </c>
      <c r="I225">
        <f>MAX(0,1-Fitting!$B$7*(Fitting!$B$6-Herm8889!C225)^2)</f>
        <v>0.76615741976036222</v>
      </c>
      <c r="J225">
        <f>tt(G225,H225,Fitting!$B$1:$E$1,Fitting!$B$2:$E$2)*I225</f>
        <v>17.315156517520741</v>
      </c>
    </row>
    <row r="226" spans="1:10">
      <c r="A226" s="1">
        <f t="shared" si="17"/>
        <v>32486</v>
      </c>
      <c r="B226">
        <f t="shared" si="15"/>
        <v>1970.6648100933694</v>
      </c>
      <c r="C226">
        <f>day_length(F226,$B$1,Fitting!$B$4)</f>
        <v>14.765645980834961</v>
      </c>
      <c r="D226" s="1">
        <f t="shared" si="16"/>
        <v>32486</v>
      </c>
      <c r="E226">
        <f t="shared" si="18"/>
        <v>1988</v>
      </c>
      <c r="F226" s="6">
        <f t="shared" si="19"/>
        <v>344</v>
      </c>
      <c r="G226">
        <v>27.1</v>
      </c>
      <c r="H226">
        <v>19.8</v>
      </c>
      <c r="I226">
        <f>MAX(0,1-Fitting!$B$7*(Fitting!$B$6-Herm8889!C226)^2)</f>
        <v>0.76679697978232431</v>
      </c>
      <c r="J226">
        <f>tt(G226,H226,Fitting!$B$1:$E$1,Fitting!$B$2:$E$2)*I226</f>
        <v>17.981386835816831</v>
      </c>
    </row>
    <row r="227" spans="1:10">
      <c r="A227" s="1">
        <f t="shared" si="17"/>
        <v>32487</v>
      </c>
      <c r="B227">
        <f t="shared" si="15"/>
        <v>1990.3051338773666</v>
      </c>
      <c r="C227">
        <f>day_length(F227,$B$1,Fitting!$B$4)</f>
        <v>14.773540496826172</v>
      </c>
      <c r="D227" s="1">
        <f t="shared" si="16"/>
        <v>32487</v>
      </c>
      <c r="E227">
        <f t="shared" si="18"/>
        <v>1988</v>
      </c>
      <c r="F227" s="6">
        <f t="shared" si="19"/>
        <v>345</v>
      </c>
      <c r="G227">
        <v>30.5</v>
      </c>
      <c r="H227">
        <v>20.9</v>
      </c>
      <c r="I227">
        <f>MAX(0,1-Fitting!$B$7*(Fitting!$B$6-Herm8889!C227)^2)</f>
        <v>0.76738721233201801</v>
      </c>
      <c r="J227">
        <f>tt(G227,H227,Fitting!$B$1:$E$1,Fitting!$B$2:$E$2)*I227</f>
        <v>19.640323783997339</v>
      </c>
    </row>
    <row r="228" spans="1:10">
      <c r="A228" s="1">
        <f t="shared" si="17"/>
        <v>32488</v>
      </c>
      <c r="B228">
        <f t="shared" si="15"/>
        <v>2009.8872946815716</v>
      </c>
      <c r="C228">
        <f>day_length(F228,$B$1,Fitting!$B$4)</f>
        <v>14.780780792236328</v>
      </c>
      <c r="D228" s="1">
        <f t="shared" si="16"/>
        <v>32488</v>
      </c>
      <c r="E228">
        <f t="shared" si="18"/>
        <v>1988</v>
      </c>
      <c r="F228" s="6">
        <f t="shared" si="19"/>
        <v>346</v>
      </c>
      <c r="G228">
        <v>30.2</v>
      </c>
      <c r="H228">
        <v>20.8</v>
      </c>
      <c r="I228">
        <f>MAX(0,1-Fitting!$B$7*(Fitting!$B$6-Herm8889!C228)^2)</f>
        <v>0.76792787467470047</v>
      </c>
      <c r="J228">
        <f>tt(G228,H228,Fitting!$B$1:$E$1,Fitting!$B$2:$E$2)*I228</f>
        <v>19.582160804204861</v>
      </c>
    </row>
    <row r="229" spans="1:10">
      <c r="A229" s="1">
        <f t="shared" si="17"/>
        <v>32489</v>
      </c>
      <c r="B229">
        <f t="shared" si="15"/>
        <v>2027.9594537101182</v>
      </c>
      <c r="C229">
        <f>day_length(F229,$B$1,Fitting!$B$4)</f>
        <v>14.787361145019531</v>
      </c>
      <c r="D229" s="1">
        <f t="shared" si="16"/>
        <v>32489</v>
      </c>
      <c r="E229">
        <f t="shared" si="18"/>
        <v>1988</v>
      </c>
      <c r="F229" s="6">
        <f t="shared" si="19"/>
        <v>347</v>
      </c>
      <c r="G229">
        <v>31.2</v>
      </c>
      <c r="H229">
        <v>16.600000000000001</v>
      </c>
      <c r="I229">
        <f>MAX(0,1-Fitting!$B$7*(Fitting!$B$6-Herm8889!C229)^2)</f>
        <v>0.76841871074552182</v>
      </c>
      <c r="J229">
        <f>tt(G229,H229,Fitting!$B$1:$E$1,Fitting!$B$2:$E$2)*I229</f>
        <v>18.072159028546647</v>
      </c>
    </row>
    <row r="230" spans="1:10">
      <c r="A230" s="1">
        <f t="shared" si="17"/>
        <v>32490</v>
      </c>
      <c r="B230">
        <f t="shared" si="15"/>
        <v>2043.6826285970094</v>
      </c>
      <c r="C230">
        <f>day_length(F230,$B$1,Fitting!$B$4)</f>
        <v>14.793275833129883</v>
      </c>
      <c r="D230" s="1">
        <f t="shared" si="16"/>
        <v>32490</v>
      </c>
      <c r="E230">
        <f t="shared" si="18"/>
        <v>1988</v>
      </c>
      <c r="F230" s="6">
        <f t="shared" si="19"/>
        <v>348</v>
      </c>
      <c r="G230">
        <v>26.1</v>
      </c>
      <c r="H230">
        <v>14.8</v>
      </c>
      <c r="I230">
        <f>MAX(0,1-Fitting!$B$7*(Fitting!$B$6-Herm8889!C230)^2)</f>
        <v>0.76885945069834272</v>
      </c>
      <c r="J230">
        <f>tt(G230,H230,Fitting!$B$1:$E$1,Fitting!$B$2:$E$2)*I230</f>
        <v>15.723174886891295</v>
      </c>
    </row>
    <row r="231" spans="1:10">
      <c r="A231" s="1">
        <f t="shared" si="17"/>
        <v>32491</v>
      </c>
      <c r="B231">
        <f t="shared" si="15"/>
        <v>2057.913752716247</v>
      </c>
      <c r="C231">
        <f>day_length(F231,$B$1,Fitting!$B$4)</f>
        <v>14.798521041870117</v>
      </c>
      <c r="D231" s="1">
        <f t="shared" si="16"/>
        <v>32491</v>
      </c>
      <c r="E231">
        <f t="shared" si="18"/>
        <v>1988</v>
      </c>
      <c r="F231" s="6">
        <f t="shared" si="19"/>
        <v>349</v>
      </c>
      <c r="G231">
        <v>24.7</v>
      </c>
      <c r="H231">
        <v>12.3</v>
      </c>
      <c r="I231">
        <f>MAX(0,1-Fitting!$B$7*(Fitting!$B$6-Herm8889!C231)^2)</f>
        <v>0.76924995239123384</v>
      </c>
      <c r="J231">
        <f>tt(G231,H231,Fitting!$B$1:$E$1,Fitting!$B$2:$E$2)*I231</f>
        <v>14.231124119237826</v>
      </c>
    </row>
    <row r="232" spans="1:10">
      <c r="A232" s="1">
        <f t="shared" si="17"/>
        <v>32492</v>
      </c>
      <c r="B232">
        <f t="shared" si="15"/>
        <v>2072.9592378555408</v>
      </c>
      <c r="C232">
        <f>day_length(F232,$B$1,Fitting!$B$4)</f>
        <v>14.803092002868652</v>
      </c>
      <c r="D232" s="1">
        <f t="shared" si="16"/>
        <v>32492</v>
      </c>
      <c r="E232">
        <f t="shared" si="18"/>
        <v>1988</v>
      </c>
      <c r="F232" s="6">
        <f t="shared" si="19"/>
        <v>350</v>
      </c>
      <c r="G232">
        <v>23.7</v>
      </c>
      <c r="H232">
        <v>15.4</v>
      </c>
      <c r="I232">
        <f>MAX(0,1-Fitting!$B$7*(Fitting!$B$6-Herm8889!C232)^2)</f>
        <v>0.76958998765053732</v>
      </c>
      <c r="J232">
        <f>tt(G232,H232,Fitting!$B$1:$E$1,Fitting!$B$2:$E$2)*I232</f>
        <v>15.04548513929385</v>
      </c>
    </row>
    <row r="233" spans="1:10">
      <c r="A233" s="1">
        <f t="shared" si="17"/>
        <v>32493</v>
      </c>
      <c r="B233">
        <f t="shared" si="15"/>
        <v>2089.8195990905483</v>
      </c>
      <c r="C233">
        <f>day_length(F233,$B$1,Fitting!$B$4)</f>
        <v>14.806985855102539</v>
      </c>
      <c r="D233" s="1">
        <f t="shared" si="16"/>
        <v>32493</v>
      </c>
      <c r="E233">
        <f t="shared" si="18"/>
        <v>1988</v>
      </c>
      <c r="F233" s="6">
        <f t="shared" si="19"/>
        <v>351</v>
      </c>
      <c r="G233">
        <v>26.1</v>
      </c>
      <c r="H233">
        <v>17.7</v>
      </c>
      <c r="I233">
        <f>MAX(0,1-Fitting!$B$7*(Fitting!$B$6-Herm8889!C233)^2)</f>
        <v>0.76987945480659981</v>
      </c>
      <c r="J233">
        <f>tt(G233,H233,Fitting!$B$1:$E$1,Fitting!$B$2:$E$2)*I233</f>
        <v>16.860361235007357</v>
      </c>
    </row>
    <row r="234" spans="1:10">
      <c r="A234" s="1">
        <f t="shared" si="17"/>
        <v>32494</v>
      </c>
      <c r="B234">
        <f t="shared" si="15"/>
        <v>2107.2627768481907</v>
      </c>
      <c r="C234">
        <f>day_length(F234,$B$1,Fitting!$B$4)</f>
        <v>14.810199737548828</v>
      </c>
      <c r="D234" s="1">
        <f t="shared" si="16"/>
        <v>32494</v>
      </c>
      <c r="E234">
        <f t="shared" si="18"/>
        <v>1988</v>
      </c>
      <c r="F234" s="6">
        <f t="shared" si="19"/>
        <v>352</v>
      </c>
      <c r="G234">
        <v>27.3</v>
      </c>
      <c r="H234">
        <v>18</v>
      </c>
      <c r="I234">
        <f>MAX(0,1-Fitting!$B$7*(Fitting!$B$6-Herm8889!C234)^2)</f>
        <v>0.77011823626575637</v>
      </c>
      <c r="J234">
        <f>tt(G234,H234,Fitting!$B$1:$E$1,Fitting!$B$2:$E$2)*I234</f>
        <v>17.443177757642587</v>
      </c>
    </row>
    <row r="235" spans="1:10">
      <c r="A235" s="1">
        <f t="shared" si="17"/>
        <v>32495</v>
      </c>
      <c r="B235">
        <f t="shared" si="15"/>
        <v>2123.5162364564494</v>
      </c>
      <c r="C235">
        <f>day_length(F235,$B$1,Fitting!$B$4)</f>
        <v>14.81273078918457</v>
      </c>
      <c r="D235" s="1">
        <f t="shared" si="16"/>
        <v>32495</v>
      </c>
      <c r="E235">
        <f t="shared" si="18"/>
        <v>1988</v>
      </c>
      <c r="F235" s="6">
        <f t="shared" si="19"/>
        <v>353</v>
      </c>
      <c r="G235">
        <v>24.4</v>
      </c>
      <c r="H235">
        <v>17.8</v>
      </c>
      <c r="I235">
        <f>MAX(0,1-Fitting!$B$7*(Fitting!$B$6-Herm8889!C235)^2)</f>
        <v>0.77030619827737246</v>
      </c>
      <c r="J235">
        <f>tt(G235,H235,Fitting!$B$1:$E$1,Fitting!$B$2:$E$2)*I235</f>
        <v>16.253459608258581</v>
      </c>
    </row>
    <row r="236" spans="1:10">
      <c r="A236" s="1">
        <f t="shared" si="17"/>
        <v>32496</v>
      </c>
      <c r="B236">
        <f t="shared" si="15"/>
        <v>2140.6200758777886</v>
      </c>
      <c r="C236">
        <f>day_length(F236,$B$1,Fitting!$B$4)</f>
        <v>14.814576148986816</v>
      </c>
      <c r="D236" s="1">
        <f t="shared" si="16"/>
        <v>32496</v>
      </c>
      <c r="E236">
        <f t="shared" si="18"/>
        <v>1988</v>
      </c>
      <c r="F236" s="6">
        <f t="shared" si="19"/>
        <v>354</v>
      </c>
      <c r="G236">
        <v>25.1</v>
      </c>
      <c r="H236">
        <v>19.3</v>
      </c>
      <c r="I236">
        <f>MAX(0,1-Fitting!$B$7*(Fitting!$B$6-Herm8889!C236)^2)</f>
        <v>0.77044319069990341</v>
      </c>
      <c r="J236">
        <f>tt(G236,H236,Fitting!$B$1:$E$1,Fitting!$B$2:$E$2)*I236</f>
        <v>17.103839421339362</v>
      </c>
    </row>
    <row r="237" spans="1:10">
      <c r="A237" s="1">
        <f t="shared" si="17"/>
        <v>32497</v>
      </c>
      <c r="B237">
        <f t="shared" si="15"/>
        <v>2158.9971990009203</v>
      </c>
      <c r="C237">
        <f>day_length(F237,$B$1,Fitting!$B$4)</f>
        <v>14.815735816955566</v>
      </c>
      <c r="D237" s="1">
        <f t="shared" si="16"/>
        <v>32497</v>
      </c>
      <c r="E237">
        <f t="shared" si="18"/>
        <v>1988</v>
      </c>
      <c r="F237" s="6">
        <f t="shared" si="19"/>
        <v>355</v>
      </c>
      <c r="G237">
        <v>28.4</v>
      </c>
      <c r="H237">
        <v>19.3</v>
      </c>
      <c r="I237">
        <f>MAX(0,1-Fitting!$B$7*(Fitting!$B$6-Herm8889!C237)^2)</f>
        <v>0.77052925908588255</v>
      </c>
      <c r="J237">
        <f>tt(G237,H237,Fitting!$B$1:$E$1,Fitting!$B$2:$E$2)*I237</f>
        <v>18.377123123131884</v>
      </c>
    </row>
    <row r="238" spans="1:10">
      <c r="A238" s="1">
        <f t="shared" si="17"/>
        <v>32498</v>
      </c>
      <c r="B238">
        <f t="shared" si="15"/>
        <v>2178.1955991262034</v>
      </c>
      <c r="C238">
        <f>day_length(F238,$B$1,Fitting!$B$4)</f>
        <v>14.816208839416504</v>
      </c>
      <c r="D238" s="1">
        <f t="shared" si="16"/>
        <v>32498</v>
      </c>
      <c r="E238">
        <f t="shared" si="18"/>
        <v>1988</v>
      </c>
      <c r="F238" s="6">
        <f t="shared" si="19"/>
        <v>356</v>
      </c>
      <c r="G238">
        <v>30.5</v>
      </c>
      <c r="H238">
        <v>19.5</v>
      </c>
      <c r="I238">
        <f>MAX(0,1-Fitting!$B$7*(Fitting!$B$6-Herm8889!C238)^2)</f>
        <v>0.77056436129373651</v>
      </c>
      <c r="J238">
        <f>tt(G238,H238,Fitting!$B$1:$E$1,Fitting!$B$2:$E$2)*I238</f>
        <v>19.198400125283325</v>
      </c>
    </row>
    <row r="239" spans="1:10">
      <c r="A239" s="1">
        <f t="shared" si="17"/>
        <v>32499</v>
      </c>
      <c r="B239">
        <f t="shared" si="15"/>
        <v>2195.9898743634772</v>
      </c>
      <c r="C239">
        <f>day_length(F239,$B$1,Fitting!$B$4)</f>
        <v>14.815993309020996</v>
      </c>
      <c r="D239" s="1">
        <f t="shared" si="16"/>
        <v>32499</v>
      </c>
      <c r="E239">
        <f t="shared" si="18"/>
        <v>1988</v>
      </c>
      <c r="F239" s="6">
        <f t="shared" si="19"/>
        <v>357</v>
      </c>
      <c r="G239">
        <v>34.4</v>
      </c>
      <c r="H239">
        <v>20</v>
      </c>
      <c r="I239">
        <f>MAX(0,1-Fitting!$B$7*(Fitting!$B$6-Herm8889!C239)^2)</f>
        <v>0.77054836747556144</v>
      </c>
      <c r="J239">
        <f>tt(G239,H239,Fitting!$B$1:$E$1,Fitting!$B$2:$E$2)*I239</f>
        <v>17.794275237273659</v>
      </c>
    </row>
    <row r="240" spans="1:10">
      <c r="A240" s="1">
        <f t="shared" si="17"/>
        <v>32500</v>
      </c>
      <c r="B240">
        <f t="shared" si="15"/>
        <v>2214.9330515212737</v>
      </c>
      <c r="C240">
        <f>day_length(F240,$B$1,Fitting!$B$4)</f>
        <v>14.815092086791992</v>
      </c>
      <c r="D240" s="1">
        <f t="shared" si="16"/>
        <v>32500</v>
      </c>
      <c r="E240">
        <f t="shared" si="18"/>
        <v>1988</v>
      </c>
      <c r="F240" s="6">
        <f t="shared" si="19"/>
        <v>358</v>
      </c>
      <c r="G240">
        <v>31.3</v>
      </c>
      <c r="H240">
        <v>19</v>
      </c>
      <c r="I240">
        <f>MAX(0,1-Fitting!$B$7*(Fitting!$B$6-Herm8889!C240)^2)</f>
        <v>0.77048148463082178</v>
      </c>
      <c r="J240">
        <f>tt(G240,H240,Fitting!$B$1:$E$1,Fitting!$B$2:$E$2)*I240</f>
        <v>18.943177157796516</v>
      </c>
    </row>
    <row r="241" spans="1:10">
      <c r="A241" s="1">
        <f t="shared" si="17"/>
        <v>32501</v>
      </c>
      <c r="B241">
        <f t="shared" si="15"/>
        <v>2233.9750491033155</v>
      </c>
      <c r="C241">
        <f>day_length(F241,$B$1,Fitting!$B$4)</f>
        <v>14.813502311706543</v>
      </c>
      <c r="D241" s="1">
        <f t="shared" si="16"/>
        <v>32501</v>
      </c>
      <c r="E241">
        <f t="shared" si="18"/>
        <v>1988</v>
      </c>
      <c r="F241" s="6">
        <f t="shared" si="19"/>
        <v>359</v>
      </c>
      <c r="G241">
        <v>31.5</v>
      </c>
      <c r="H241">
        <v>19.5</v>
      </c>
      <c r="I241">
        <f>MAX(0,1-Fitting!$B$7*(Fitting!$B$6-Herm8889!C241)^2)</f>
        <v>0.77036347811643824</v>
      </c>
      <c r="J241">
        <f>tt(G241,H241,Fitting!$B$1:$E$1,Fitting!$B$2:$E$2)*I241</f>
        <v>19.041997582041677</v>
      </c>
    </row>
    <row r="242" spans="1:10">
      <c r="A242" s="1">
        <f t="shared" si="17"/>
        <v>32502</v>
      </c>
      <c r="B242">
        <f t="shared" si="15"/>
        <v>2252.2670709781937</v>
      </c>
      <c r="C242">
        <f>day_length(F242,$B$1,Fitting!$B$4)</f>
        <v>14.81122875213623</v>
      </c>
      <c r="D242" s="1">
        <f t="shared" si="16"/>
        <v>32502</v>
      </c>
      <c r="E242">
        <f t="shared" si="18"/>
        <v>1988</v>
      </c>
      <c r="F242" s="6">
        <f t="shared" si="19"/>
        <v>360</v>
      </c>
      <c r="G242">
        <v>32</v>
      </c>
      <c r="H242">
        <v>17.8</v>
      </c>
      <c r="I242">
        <f>MAX(0,1-Fitting!$B$7*(Fitting!$B$6-Herm8889!C242)^2)</f>
        <v>0.77019466264968828</v>
      </c>
      <c r="J242">
        <f>tt(G242,H242,Fitting!$B$1:$E$1,Fitting!$B$2:$E$2)*I242</f>
        <v>18.292021874878259</v>
      </c>
    </row>
    <row r="243" spans="1:10">
      <c r="A243" s="1">
        <f t="shared" si="17"/>
        <v>32503</v>
      </c>
      <c r="B243">
        <f t="shared" si="15"/>
        <v>2270.4143293484653</v>
      </c>
      <c r="C243">
        <f>day_length(F243,$B$1,Fitting!$B$4)</f>
        <v>14.808270454406738</v>
      </c>
      <c r="D243" s="1">
        <f t="shared" si="16"/>
        <v>32503</v>
      </c>
      <c r="E243">
        <f t="shared" si="18"/>
        <v>1988</v>
      </c>
      <c r="F243" s="6">
        <f t="shared" si="19"/>
        <v>361</v>
      </c>
      <c r="G243">
        <v>31.3</v>
      </c>
      <c r="H243">
        <v>16.7</v>
      </c>
      <c r="I243">
        <f>MAX(0,1-Fitting!$B$7*(Fitting!$B$6-Herm8889!C243)^2)</f>
        <v>0.76997491140536478</v>
      </c>
      <c r="J243">
        <f>tt(G243,H243,Fitting!$B$1:$E$1,Fitting!$B$2:$E$2)*I243</f>
        <v>18.147258370271636</v>
      </c>
    </row>
    <row r="244" spans="1:10">
      <c r="A244" s="1">
        <f t="shared" si="17"/>
        <v>32504</v>
      </c>
      <c r="B244">
        <f t="shared" si="15"/>
        <v>2289.7449469425178</v>
      </c>
      <c r="C244">
        <f>day_length(F244,$B$1,Fitting!$B$4)</f>
        <v>14.804632186889648</v>
      </c>
      <c r="D244" s="1">
        <f t="shared" si="16"/>
        <v>32504</v>
      </c>
      <c r="E244">
        <f t="shared" si="18"/>
        <v>1988</v>
      </c>
      <c r="F244" s="6">
        <f t="shared" si="19"/>
        <v>362</v>
      </c>
      <c r="G244">
        <v>31.8</v>
      </c>
      <c r="H244">
        <v>20.7</v>
      </c>
      <c r="I244">
        <f>MAX(0,1-Fitting!$B$7*(Fitting!$B$6-Herm8889!C244)^2)</f>
        <v>0.76970450596165751</v>
      </c>
      <c r="J244">
        <f>tt(G244,H244,Fitting!$B$1:$E$1,Fitting!$B$2:$E$2)*I244</f>
        <v>19.330617594052331</v>
      </c>
    </row>
    <row r="245" spans="1:10">
      <c r="A245" s="1">
        <f t="shared" si="17"/>
        <v>32505</v>
      </c>
      <c r="B245">
        <f t="shared" si="15"/>
        <v>2305.0556754584504</v>
      </c>
      <c r="C245">
        <f>day_length(F245,$B$1,Fitting!$B$4)</f>
        <v>14.800313949584961</v>
      </c>
      <c r="D245" s="1">
        <f t="shared" si="16"/>
        <v>32505</v>
      </c>
      <c r="E245">
        <f t="shared" si="18"/>
        <v>1988</v>
      </c>
      <c r="F245" s="6">
        <f t="shared" si="19"/>
        <v>363</v>
      </c>
      <c r="G245">
        <v>25.2</v>
      </c>
      <c r="H245">
        <v>14.6</v>
      </c>
      <c r="I245">
        <f>MAX(0,1-Fitting!$B$7*(Fitting!$B$6-Herm8889!C245)^2)</f>
        <v>0.7693833572577351</v>
      </c>
      <c r="J245">
        <f>tt(G245,H245,Fitting!$B$1:$E$1,Fitting!$B$2:$E$2)*I245</f>
        <v>15.310728515932469</v>
      </c>
    </row>
    <row r="246" spans="1:10">
      <c r="A246" s="1">
        <f t="shared" si="17"/>
        <v>32506</v>
      </c>
      <c r="B246">
        <f t="shared" si="15"/>
        <v>2322.913427971992</v>
      </c>
      <c r="C246">
        <f>day_length(F246,$B$1,Fitting!$B$4)</f>
        <v>14.795320510864258</v>
      </c>
      <c r="D246" s="1">
        <f t="shared" si="16"/>
        <v>32506</v>
      </c>
      <c r="E246">
        <f t="shared" si="18"/>
        <v>1988</v>
      </c>
      <c r="F246" s="6">
        <f t="shared" si="19"/>
        <v>364</v>
      </c>
      <c r="G246">
        <v>32.5</v>
      </c>
      <c r="H246">
        <v>17.100000000000001</v>
      </c>
      <c r="I246">
        <f>MAX(0,1-Fitting!$B$7*(Fitting!$B$6-Herm8889!C246)^2)</f>
        <v>0.76901171462258933</v>
      </c>
      <c r="J246">
        <f>tt(G246,H246,Fitting!$B$1:$E$1,Fitting!$B$2:$E$2)*I246</f>
        <v>17.857752513541584</v>
      </c>
    </row>
    <row r="247" spans="1:10">
      <c r="A247" s="1">
        <f t="shared" si="17"/>
        <v>32507</v>
      </c>
      <c r="B247">
        <f t="shared" si="15"/>
        <v>2340.0914106867258</v>
      </c>
      <c r="C247">
        <f>day_length(F247,$B$1,Fitting!$B$4)</f>
        <v>14.789657592773437</v>
      </c>
      <c r="D247" s="1">
        <f t="shared" si="16"/>
        <v>32507</v>
      </c>
      <c r="E247">
        <f t="shared" si="18"/>
        <v>1988</v>
      </c>
      <c r="F247" s="6">
        <f t="shared" si="19"/>
        <v>365</v>
      </c>
      <c r="G247">
        <v>27.8</v>
      </c>
      <c r="H247">
        <v>16.899999999999999</v>
      </c>
      <c r="I247">
        <f>MAX(0,1-Fitting!$B$7*(Fitting!$B$6-Herm8889!C247)^2)</f>
        <v>0.7685898831100203</v>
      </c>
      <c r="J247">
        <f>tt(G247,H247,Fitting!$B$1:$E$1,Fitting!$B$2:$E$2)*I247</f>
        <v>17.177982714733865</v>
      </c>
    </row>
    <row r="248" spans="1:10">
      <c r="A248" s="1">
        <f t="shared" si="17"/>
        <v>32508</v>
      </c>
      <c r="B248">
        <f t="shared" si="15"/>
        <v>2357.6044958809803</v>
      </c>
      <c r="C248">
        <f>day_length(F248,$B$1,Fitting!$B$4)</f>
        <v>14.783326148986816</v>
      </c>
      <c r="D248" s="1">
        <f t="shared" si="16"/>
        <v>32508</v>
      </c>
      <c r="E248">
        <f t="shared" si="18"/>
        <v>1988</v>
      </c>
      <c r="F248" s="6">
        <f t="shared" si="19"/>
        <v>366</v>
      </c>
      <c r="G248">
        <v>28.6</v>
      </c>
      <c r="H248">
        <v>17</v>
      </c>
      <c r="I248">
        <f>MAX(0,1-Fitting!$B$7*(Fitting!$B$6-Herm8889!C248)^2)</f>
        <v>0.76811779738077346</v>
      </c>
      <c r="J248">
        <f>tt(G248,H248,Fitting!$B$1:$E$1,Fitting!$B$2:$E$2)*I248</f>
        <v>17.513085194254263</v>
      </c>
    </row>
    <row r="249" spans="1:10">
      <c r="A249" s="1">
        <f t="shared" si="17"/>
        <v>32509</v>
      </c>
      <c r="B249">
        <f t="shared" si="15"/>
        <v>2373.9243243135488</v>
      </c>
      <c r="C249">
        <f>day_length(F249,$B$1,Fitting!$B$4)</f>
        <v>14.781639099121094</v>
      </c>
      <c r="D249" s="1">
        <f t="shared" si="16"/>
        <v>32509</v>
      </c>
      <c r="E249">
        <f t="shared" si="18"/>
        <v>1989</v>
      </c>
      <c r="F249" s="6">
        <f t="shared" si="19"/>
        <v>1</v>
      </c>
      <c r="G249">
        <v>27.8</v>
      </c>
      <c r="H249">
        <v>14.7</v>
      </c>
      <c r="I249">
        <f>MAX(0,1-Fitting!$B$7*(Fitting!$B$6-Herm8889!C249)^2)</f>
        <v>0.76799192623852286</v>
      </c>
      <c r="J249">
        <f>tt(G249,H249,Fitting!$B$1:$E$1,Fitting!$B$2:$E$2)*I249</f>
        <v>16.31982843256861</v>
      </c>
    </row>
    <row r="250" spans="1:10">
      <c r="A250" s="1">
        <f t="shared" si="17"/>
        <v>32510</v>
      </c>
      <c r="B250">
        <f t="shared" si="15"/>
        <v>2390.5014059386749</v>
      </c>
      <c r="C250">
        <f>day_length(F250,$B$1,Fitting!$B$4)</f>
        <v>14.774481773376465</v>
      </c>
      <c r="D250" s="1">
        <f t="shared" si="16"/>
        <v>32510</v>
      </c>
      <c r="E250">
        <f t="shared" si="18"/>
        <v>1989</v>
      </c>
      <c r="F250" s="6">
        <f t="shared" si="19"/>
        <v>2</v>
      </c>
      <c r="G250">
        <v>27.5</v>
      </c>
      <c r="H250">
        <v>15.7</v>
      </c>
      <c r="I250">
        <f>MAX(0,1-Fitting!$B$7*(Fitting!$B$6-Herm8889!C250)^2)</f>
        <v>0.76745753685986895</v>
      </c>
      <c r="J250">
        <f>tt(G250,H250,Fitting!$B$1:$E$1,Fitting!$B$2:$E$2)*I250</f>
        <v>16.577081625125903</v>
      </c>
    </row>
    <row r="251" spans="1:10">
      <c r="A251" s="1">
        <f t="shared" si="17"/>
        <v>32511</v>
      </c>
      <c r="B251">
        <f t="shared" si="15"/>
        <v>2407.6410265320301</v>
      </c>
      <c r="C251">
        <f>day_length(F251,$B$1,Fitting!$B$4)</f>
        <v>14.766668319702148</v>
      </c>
      <c r="D251" s="1">
        <f t="shared" si="16"/>
        <v>32511</v>
      </c>
      <c r="E251">
        <f t="shared" si="18"/>
        <v>1989</v>
      </c>
      <c r="F251" s="6">
        <f t="shared" si="19"/>
        <v>3</v>
      </c>
      <c r="G251">
        <v>28.5</v>
      </c>
      <c r="H251">
        <v>16.2</v>
      </c>
      <c r="I251">
        <f>MAX(0,1-Fitting!$B$7*(Fitting!$B$6-Herm8889!C251)^2)</f>
        <v>0.76687345698037102</v>
      </c>
      <c r="J251">
        <f>tt(G251,H251,Fitting!$B$1:$E$1,Fitting!$B$2:$E$2)*I251</f>
        <v>17.139620593355261</v>
      </c>
    </row>
    <row r="252" spans="1:10">
      <c r="A252" s="1">
        <f t="shared" si="17"/>
        <v>32512</v>
      </c>
      <c r="B252">
        <f t="shared" si="15"/>
        <v>2424.4599951619184</v>
      </c>
      <c r="C252">
        <f>day_length(F252,$B$1,Fitting!$B$4)</f>
        <v>14.758205413818359</v>
      </c>
      <c r="D252" s="1">
        <f t="shared" si="16"/>
        <v>32512</v>
      </c>
      <c r="E252">
        <f t="shared" si="18"/>
        <v>1989</v>
      </c>
      <c r="F252" s="6">
        <f t="shared" si="19"/>
        <v>4</v>
      </c>
      <c r="G252">
        <v>29.2</v>
      </c>
      <c r="H252">
        <v>14.7</v>
      </c>
      <c r="I252">
        <f>MAX(0,1-Fitting!$B$7*(Fitting!$B$6-Herm8889!C252)^2)</f>
        <v>0.76624000206348142</v>
      </c>
      <c r="J252">
        <f>tt(G252,H252,Fitting!$B$1:$E$1,Fitting!$B$2:$E$2)*I252</f>
        <v>16.818968629888147</v>
      </c>
    </row>
    <row r="253" spans="1:10">
      <c r="A253" s="1">
        <f t="shared" si="17"/>
        <v>32513</v>
      </c>
      <c r="B253">
        <f t="shared" si="15"/>
        <v>2442.6418859004812</v>
      </c>
      <c r="C253">
        <f>day_length(F253,$B$1,Fitting!$B$4)</f>
        <v>14.749099731445312</v>
      </c>
      <c r="D253" s="1">
        <f t="shared" si="16"/>
        <v>32513</v>
      </c>
      <c r="E253">
        <f t="shared" si="18"/>
        <v>1989</v>
      </c>
      <c r="F253" s="6">
        <f t="shared" si="19"/>
        <v>5</v>
      </c>
      <c r="G253">
        <v>33.200000000000003</v>
      </c>
      <c r="H253">
        <v>19</v>
      </c>
      <c r="I253">
        <f>MAX(0,1-Fitting!$B$7*(Fitting!$B$6-Herm8889!C253)^2)</f>
        <v>0.76555747499549764</v>
      </c>
      <c r="J253">
        <f>tt(G253,H253,Fitting!$B$1:$E$1,Fitting!$B$2:$E$2)*I253</f>
        <v>18.181890738562846</v>
      </c>
    </row>
    <row r="254" spans="1:10">
      <c r="A254" s="1">
        <f t="shared" si="17"/>
        <v>32514</v>
      </c>
      <c r="B254">
        <f t="shared" si="15"/>
        <v>2460.23197725829</v>
      </c>
      <c r="C254">
        <f>day_length(F254,$B$1,Fitting!$B$4)</f>
        <v>14.739356994628906</v>
      </c>
      <c r="D254" s="1">
        <f t="shared" si="16"/>
        <v>32514</v>
      </c>
      <c r="E254">
        <f t="shared" si="18"/>
        <v>1989</v>
      </c>
      <c r="F254" s="6">
        <f t="shared" si="19"/>
        <v>6</v>
      </c>
      <c r="G254">
        <v>34</v>
      </c>
      <c r="H254">
        <v>18.7</v>
      </c>
      <c r="I254">
        <f>MAX(0,1-Fitting!$B$7*(Fitting!$B$6-Herm8889!C254)^2)</f>
        <v>0.76482609495578802</v>
      </c>
      <c r="J254">
        <f>tt(G254,H254,Fitting!$B$1:$E$1,Fitting!$B$2:$E$2)*I254</f>
        <v>17.59009135780904</v>
      </c>
    </row>
    <row r="255" spans="1:10">
      <c r="A255" s="1">
        <f t="shared" si="17"/>
        <v>32515</v>
      </c>
      <c r="B255">
        <f t="shared" si="15"/>
        <v>2477.8050401488663</v>
      </c>
      <c r="C255">
        <f>day_length(F255,$B$1,Fitting!$B$4)</f>
        <v>14.728984832763672</v>
      </c>
      <c r="D255" s="1">
        <f t="shared" si="16"/>
        <v>32515</v>
      </c>
      <c r="E255">
        <f t="shared" si="18"/>
        <v>1989</v>
      </c>
      <c r="F255" s="6">
        <f t="shared" si="19"/>
        <v>7</v>
      </c>
      <c r="G255">
        <v>28.2</v>
      </c>
      <c r="H255">
        <v>17.8</v>
      </c>
      <c r="I255">
        <f>MAX(0,1-Fitting!$B$7*(Fitting!$B$6-Herm8889!C255)^2)</f>
        <v>0.7640462126337515</v>
      </c>
      <c r="J255">
        <f>tt(G255,H255,Fitting!$B$1:$E$1,Fitting!$B$2:$E$2)*I255</f>
        <v>17.573062890576285</v>
      </c>
    </row>
    <row r="256" spans="1:10">
      <c r="A256" s="1">
        <f t="shared" si="17"/>
        <v>32516</v>
      </c>
      <c r="B256">
        <f t="shared" si="15"/>
        <v>2495.2064168950023</v>
      </c>
      <c r="C256">
        <f>day_length(F256,$B$1,Fitting!$B$4)</f>
        <v>14.717991828918457</v>
      </c>
      <c r="D256" s="1">
        <f t="shared" si="16"/>
        <v>32516</v>
      </c>
      <c r="E256">
        <f t="shared" si="18"/>
        <v>1989</v>
      </c>
      <c r="F256" s="6">
        <f t="shared" si="19"/>
        <v>8</v>
      </c>
      <c r="G256">
        <v>27.8</v>
      </c>
      <c r="H256">
        <v>17.8</v>
      </c>
      <c r="I256">
        <f>MAX(0,1-Fitting!$B$7*(Fitting!$B$6-Herm8889!C256)^2)</f>
        <v>0.76321824003078831</v>
      </c>
      <c r="J256">
        <f>tt(G256,H256,Fitting!$B$1:$E$1,Fitting!$B$2:$E$2)*I256</f>
        <v>17.401376746135934</v>
      </c>
    </row>
    <row r="257" spans="1:10">
      <c r="A257" s="1">
        <f t="shared" si="17"/>
        <v>32517</v>
      </c>
      <c r="B257">
        <f t="shared" si="15"/>
        <v>2511.7111317894846</v>
      </c>
      <c r="C257">
        <f>day_length(F257,$B$1,Fitting!$B$4)</f>
        <v>14.706384658813477</v>
      </c>
      <c r="D257" s="1">
        <f t="shared" si="16"/>
        <v>32517</v>
      </c>
      <c r="E257">
        <f t="shared" si="18"/>
        <v>1989</v>
      </c>
      <c r="F257" s="6">
        <f t="shared" si="19"/>
        <v>9</v>
      </c>
      <c r="G257">
        <v>28.7</v>
      </c>
      <c r="H257">
        <v>14.6</v>
      </c>
      <c r="I257">
        <f>MAX(0,1-Fitting!$B$7*(Fitting!$B$6-Herm8889!C257)^2)</f>
        <v>0.7623424356230899</v>
      </c>
      <c r="J257">
        <f>tt(G257,H257,Fitting!$B$1:$E$1,Fitting!$B$2:$E$2)*I257</f>
        <v>16.504714894482138</v>
      </c>
    </row>
    <row r="258" spans="1:10">
      <c r="A258" s="1">
        <f t="shared" si="17"/>
        <v>32518</v>
      </c>
      <c r="B258">
        <f t="shared" si="15"/>
        <v>2529.6606821454511</v>
      </c>
      <c r="C258">
        <f>day_length(F258,$B$1,Fitting!$B$4)</f>
        <v>14.694171905517578</v>
      </c>
      <c r="D258" s="1">
        <f t="shared" si="16"/>
        <v>32518</v>
      </c>
      <c r="E258">
        <f t="shared" si="18"/>
        <v>1989</v>
      </c>
      <c r="F258" s="6">
        <f t="shared" si="19"/>
        <v>10</v>
      </c>
      <c r="G258">
        <v>31.6</v>
      </c>
      <c r="H258">
        <v>17</v>
      </c>
      <c r="I258">
        <f>MAX(0,1-Fitting!$B$7*(Fitting!$B$6-Herm8889!C258)^2)</f>
        <v>0.76141919225701715</v>
      </c>
      <c r="J258">
        <f>tt(G258,H258,Fitting!$B$1:$E$1,Fitting!$B$2:$E$2)*I258</f>
        <v>17.949550355966327</v>
      </c>
    </row>
    <row r="259" spans="1:10">
      <c r="A259" s="1">
        <f t="shared" si="17"/>
        <v>32519</v>
      </c>
      <c r="B259">
        <f t="shared" si="15"/>
        <v>2546.2727386179013</v>
      </c>
      <c r="C259">
        <f>day_length(F259,$B$1,Fitting!$B$4)</f>
        <v>14.681363105773926</v>
      </c>
      <c r="D259" s="1">
        <f t="shared" si="16"/>
        <v>32519</v>
      </c>
      <c r="E259">
        <f t="shared" si="18"/>
        <v>1989</v>
      </c>
      <c r="F259" s="6">
        <f t="shared" si="19"/>
        <v>11</v>
      </c>
      <c r="G259">
        <v>35</v>
      </c>
      <c r="H259">
        <v>17.7</v>
      </c>
      <c r="I259">
        <f>MAX(0,1-Fitting!$B$7*(Fitting!$B$6-Herm8889!C259)^2)</f>
        <v>0.76044896679355045</v>
      </c>
      <c r="J259">
        <f>tt(G259,H259,Fitting!$B$1:$E$1,Fitting!$B$2:$E$2)*I259</f>
        <v>16.612056472450345</v>
      </c>
    </row>
    <row r="260" spans="1:10">
      <c r="A260" s="1">
        <f t="shared" si="17"/>
        <v>32520</v>
      </c>
      <c r="B260">
        <f t="shared" si="15"/>
        <v>2563.4400651016958</v>
      </c>
      <c r="C260">
        <f>day_length(F260,$B$1,Fitting!$B$4)</f>
        <v>14.667965888977051</v>
      </c>
      <c r="D260" s="1">
        <f t="shared" si="16"/>
        <v>32520</v>
      </c>
      <c r="E260">
        <f t="shared" si="18"/>
        <v>1989</v>
      </c>
      <c r="F260" s="6">
        <f t="shared" si="19"/>
        <v>12</v>
      </c>
      <c r="G260">
        <v>32.6</v>
      </c>
      <c r="H260">
        <v>15.8</v>
      </c>
      <c r="I260">
        <f>MAX(0,1-Fitting!$B$7*(Fitting!$B$6-Herm8889!C260)^2)</f>
        <v>0.7594320641010508</v>
      </c>
      <c r="J260">
        <f>tt(G260,H260,Fitting!$B$1:$E$1,Fitting!$B$2:$E$2)*I260</f>
        <v>17.167326483794557</v>
      </c>
    </row>
    <row r="261" spans="1:10">
      <c r="A261" s="1">
        <f t="shared" si="17"/>
        <v>32521</v>
      </c>
      <c r="B261">
        <f t="shared" ref="B261:B324" si="20">B260+J261</f>
        <v>2581.3375740408487</v>
      </c>
      <c r="C261">
        <f>day_length(F261,$B$1,Fitting!$B$4)</f>
        <v>14.65399169921875</v>
      </c>
      <c r="D261" s="1">
        <f t="shared" ref="D261:D324" si="21">A261</f>
        <v>32521</v>
      </c>
      <c r="E261">
        <f t="shared" si="18"/>
        <v>1989</v>
      </c>
      <c r="F261" s="6">
        <f t="shared" si="19"/>
        <v>13</v>
      </c>
      <c r="G261">
        <v>30.1</v>
      </c>
      <c r="H261">
        <v>17.100000000000001</v>
      </c>
      <c r="I261">
        <f>MAX(0,1-Fitting!$B$7*(Fitting!$B$6-Herm8889!C261)^2)</f>
        <v>0.75836907187849278</v>
      </c>
      <c r="J261">
        <f>tt(G261,H261,Fitting!$B$1:$E$1,Fitting!$B$2:$E$2)*I261</f>
        <v>17.89750893915306</v>
      </c>
    </row>
    <row r="262" spans="1:10">
      <c r="A262" s="1">
        <f t="shared" ref="A262:A325" si="22">A261+1</f>
        <v>32522</v>
      </c>
      <c r="B262">
        <f t="shared" si="20"/>
        <v>2596.7856849530913</v>
      </c>
      <c r="C262">
        <f>day_length(F262,$B$1,Fitting!$B$4)</f>
        <v>14.639448165893555</v>
      </c>
      <c r="D262" s="1">
        <f t="shared" si="21"/>
        <v>32522</v>
      </c>
      <c r="E262">
        <f t="shared" ref="E262:E325" si="23">YEAR(A262)</f>
        <v>1989</v>
      </c>
      <c r="F262" s="6">
        <f t="shared" ref="F262:F325" si="24">A262-DATE(E262,1,1)+1</f>
        <v>14</v>
      </c>
      <c r="G262">
        <v>25.2</v>
      </c>
      <c r="H262">
        <v>15.6</v>
      </c>
      <c r="I262">
        <f>MAX(0,1-Fitting!$B$7*(Fitting!$B$6-Herm8889!C262)^2)</f>
        <v>0.75726028219387076</v>
      </c>
      <c r="J262">
        <f>tt(G262,H262,Fitting!$B$1:$E$1,Fitting!$B$2:$E$2)*I262</f>
        <v>15.448110912242454</v>
      </c>
    </row>
    <row r="263" spans="1:10">
      <c r="A263" s="1">
        <f t="shared" si="22"/>
        <v>32523</v>
      </c>
      <c r="B263">
        <f t="shared" si="20"/>
        <v>2611.9078074849704</v>
      </c>
      <c r="C263">
        <f>day_length(F263,$B$1,Fitting!$B$4)</f>
        <v>14.624344825744629</v>
      </c>
      <c r="D263" s="1">
        <f t="shared" si="21"/>
        <v>32523</v>
      </c>
      <c r="E263">
        <f t="shared" si="23"/>
        <v>1989</v>
      </c>
      <c r="F263" s="6">
        <f t="shared" si="24"/>
        <v>15</v>
      </c>
      <c r="G263">
        <v>26</v>
      </c>
      <c r="H263">
        <v>14</v>
      </c>
      <c r="I263">
        <f>MAX(0,1-Fitting!$B$7*(Fitting!$B$6-Herm8889!C263)^2)</f>
        <v>0.75610612659394427</v>
      </c>
      <c r="J263">
        <f>tt(G263,H263,Fitting!$B$1:$E$1,Fitting!$B$2:$E$2)*I263</f>
        <v>15.122122531878885</v>
      </c>
    </row>
    <row r="264" spans="1:10">
      <c r="A264" s="1">
        <f t="shared" si="22"/>
        <v>32524</v>
      </c>
      <c r="B264">
        <f t="shared" si="20"/>
        <v>2627.987332807043</v>
      </c>
      <c r="C264">
        <f>day_length(F264,$B$1,Fitting!$B$4)</f>
        <v>14.608694076538086</v>
      </c>
      <c r="D264" s="1">
        <f t="shared" si="21"/>
        <v>32524</v>
      </c>
      <c r="E264">
        <f t="shared" si="23"/>
        <v>1989</v>
      </c>
      <c r="F264" s="6">
        <f t="shared" si="24"/>
        <v>16</v>
      </c>
      <c r="G264">
        <v>27.2</v>
      </c>
      <c r="H264">
        <v>15.4</v>
      </c>
      <c r="I264">
        <f>MAX(0,1-Fitting!$B$7*(Fitting!$B$6-Herm8889!C264)^2)</f>
        <v>0.75490725155632388</v>
      </c>
      <c r="J264">
        <f>tt(G264,H264,Fitting!$B$1:$E$1,Fitting!$B$2:$E$2)*I264</f>
        <v>16.079525322072488</v>
      </c>
    </row>
    <row r="265" spans="1:10">
      <c r="A265" s="1">
        <f t="shared" si="22"/>
        <v>32525</v>
      </c>
      <c r="B265">
        <f t="shared" si="20"/>
        <v>2643.6635436110919</v>
      </c>
      <c r="C265">
        <f>day_length(F265,$B$1,Fitting!$B$4)</f>
        <v>14.592504501342773</v>
      </c>
      <c r="D265" s="1">
        <f t="shared" si="21"/>
        <v>32525</v>
      </c>
      <c r="E265">
        <f t="shared" si="23"/>
        <v>1989</v>
      </c>
      <c r="F265" s="6">
        <f t="shared" si="24"/>
        <v>17</v>
      </c>
      <c r="G265">
        <v>27.2</v>
      </c>
      <c r="H265">
        <v>14.4</v>
      </c>
      <c r="I265">
        <f>MAX(0,1-Fitting!$B$7*(Fitting!$B$6-Herm8889!C265)^2)</f>
        <v>0.75366400860812433</v>
      </c>
      <c r="J265">
        <f>tt(G265,H265,Fitting!$B$1:$E$1,Fitting!$B$2:$E$2)*I265</f>
        <v>15.67621080404898</v>
      </c>
    </row>
    <row r="266" spans="1:10">
      <c r="A266" s="1">
        <f t="shared" si="22"/>
        <v>32526</v>
      </c>
      <c r="B266">
        <f t="shared" si="20"/>
        <v>2659.6891708456428</v>
      </c>
      <c r="C266">
        <f>day_length(F266,$B$1,Fitting!$B$4)</f>
        <v>14.575786590576172</v>
      </c>
      <c r="D266" s="1">
        <f t="shared" si="21"/>
        <v>32526</v>
      </c>
      <c r="E266">
        <f t="shared" si="23"/>
        <v>1989</v>
      </c>
      <c r="F266" s="6">
        <f t="shared" si="24"/>
        <v>18</v>
      </c>
      <c r="G266">
        <v>29.2</v>
      </c>
      <c r="H266">
        <v>13.4</v>
      </c>
      <c r="I266">
        <f>MAX(0,1-Fitting!$B$7*(Fitting!$B$6-Herm8889!C266)^2)</f>
        <v>0.75237689242107442</v>
      </c>
      <c r="J266">
        <f>tt(G266,H266,Fitting!$B$1:$E$1,Fitting!$B$2:$E$2)*I266</f>
        <v>16.025627234550871</v>
      </c>
    </row>
    <row r="267" spans="1:10">
      <c r="A267" s="1">
        <f t="shared" si="22"/>
        <v>32527</v>
      </c>
      <c r="B267">
        <f t="shared" si="20"/>
        <v>2677.1297402679047</v>
      </c>
      <c r="C267">
        <f>day_length(F267,$B$1,Fitting!$B$4)</f>
        <v>14.558552742004395</v>
      </c>
      <c r="D267" s="1">
        <f t="shared" si="21"/>
        <v>32527</v>
      </c>
      <c r="E267">
        <f t="shared" si="23"/>
        <v>1989</v>
      </c>
      <c r="F267" s="6">
        <f t="shared" si="24"/>
        <v>19</v>
      </c>
      <c r="G267">
        <v>32.1</v>
      </c>
      <c r="H267">
        <v>16.7</v>
      </c>
      <c r="I267">
        <f>MAX(0,1-Fitting!$B$7*(Fitting!$B$6-Herm8889!C267)^2)</f>
        <v>0.75104654333476539</v>
      </c>
      <c r="J267">
        <f>tt(G267,H267,Fitting!$B$1:$E$1,Fitting!$B$2:$E$2)*I267</f>
        <v>17.440569422261998</v>
      </c>
    </row>
    <row r="268" spans="1:10">
      <c r="A268" s="1">
        <f t="shared" si="22"/>
        <v>32528</v>
      </c>
      <c r="B268">
        <f t="shared" si="20"/>
        <v>2695.1917543115173</v>
      </c>
      <c r="C268">
        <f>day_length(F268,$B$1,Fitting!$B$4)</f>
        <v>14.540812492370605</v>
      </c>
      <c r="D268" s="1">
        <f t="shared" si="21"/>
        <v>32528</v>
      </c>
      <c r="E268">
        <f t="shared" si="23"/>
        <v>1989</v>
      </c>
      <c r="F268" s="6">
        <f t="shared" si="24"/>
        <v>20</v>
      </c>
      <c r="G268">
        <v>30.7</v>
      </c>
      <c r="H268">
        <v>17.8</v>
      </c>
      <c r="I268">
        <f>MAX(0,1-Fitting!$B$7*(Fitting!$B$6-Herm8889!C268)^2)</f>
        <v>0.74967338044770626</v>
      </c>
      <c r="J268">
        <f>tt(G268,H268,Fitting!$B$1:$E$1,Fitting!$B$2:$E$2)*I268</f>
        <v>18.062014043612749</v>
      </c>
    </row>
    <row r="269" spans="1:10">
      <c r="A269" s="1">
        <f t="shared" si="22"/>
        <v>32529</v>
      </c>
      <c r="B269">
        <f t="shared" si="20"/>
        <v>2713.6737253114079</v>
      </c>
      <c r="C269">
        <f>day_length(F269,$B$1,Fitting!$B$4)</f>
        <v>14.522577285766602</v>
      </c>
      <c r="D269" s="1">
        <f t="shared" si="21"/>
        <v>32529</v>
      </c>
      <c r="E269">
        <f t="shared" si="23"/>
        <v>1989</v>
      </c>
      <c r="F269" s="6">
        <f t="shared" si="24"/>
        <v>21</v>
      </c>
      <c r="G269">
        <v>30.1</v>
      </c>
      <c r="H269">
        <v>19.3</v>
      </c>
      <c r="I269">
        <f>MAX(0,1-Fitting!$B$7*(Fitting!$B$6-Herm8889!C269)^2)</f>
        <v>0.74825796988679938</v>
      </c>
      <c r="J269">
        <f>tt(G269,H269,Fitting!$B$1:$E$1,Fitting!$B$2:$E$2)*I269</f>
        <v>18.481970999890656</v>
      </c>
    </row>
    <row r="270" spans="1:10">
      <c r="A270" s="1">
        <f t="shared" si="22"/>
        <v>32530</v>
      </c>
      <c r="B270">
        <f t="shared" si="20"/>
        <v>2731.3444117295717</v>
      </c>
      <c r="C270">
        <f>day_length(F270,$B$1,Fitting!$B$4)</f>
        <v>14.503859519958496</v>
      </c>
      <c r="D270" s="1">
        <f t="shared" si="21"/>
        <v>32530</v>
      </c>
      <c r="E270">
        <f t="shared" si="23"/>
        <v>1989</v>
      </c>
      <c r="F270" s="6">
        <f t="shared" si="24"/>
        <v>22</v>
      </c>
      <c r="G270">
        <v>32.6</v>
      </c>
      <c r="H270">
        <v>18.2</v>
      </c>
      <c r="I270">
        <f>MAX(0,1-Fitting!$B$7*(Fitting!$B$6-Herm8889!C270)^2)</f>
        <v>0.74680095318139683</v>
      </c>
      <c r="J270">
        <f>tt(G270,H270,Fitting!$B$1:$E$1,Fitting!$B$2:$E$2)*I270</f>
        <v>17.67068641816368</v>
      </c>
    </row>
    <row r="271" spans="1:10">
      <c r="A271" s="1">
        <f t="shared" si="22"/>
        <v>32531</v>
      </c>
      <c r="B271">
        <f t="shared" si="20"/>
        <v>2748.337317000417</v>
      </c>
      <c r="C271">
        <f>day_length(F271,$B$1,Fitting!$B$4)</f>
        <v>14.48466968536377</v>
      </c>
      <c r="D271" s="1">
        <f t="shared" si="21"/>
        <v>32531</v>
      </c>
      <c r="E271">
        <f t="shared" si="23"/>
        <v>1989</v>
      </c>
      <c r="F271" s="6">
        <f t="shared" si="24"/>
        <v>23</v>
      </c>
      <c r="G271">
        <v>28.2</v>
      </c>
      <c r="H271">
        <v>17.399999999999999</v>
      </c>
      <c r="I271">
        <f>MAX(0,1-Fitting!$B$7*(Fitting!$B$6-Herm8889!C271)^2)</f>
        <v>0.74530282534709302</v>
      </c>
      <c r="J271">
        <f>tt(G271,H271,Fitting!$B$1:$E$1,Fitting!$B$2:$E$2)*I271</f>
        <v>16.992905270845117</v>
      </c>
    </row>
    <row r="272" spans="1:10">
      <c r="A272" s="1">
        <f t="shared" si="22"/>
        <v>32532</v>
      </c>
      <c r="B272">
        <f t="shared" si="20"/>
        <v>2763.5844821188862</v>
      </c>
      <c r="C272">
        <f>day_length(F272,$B$1,Fitting!$B$4)</f>
        <v>14.465018272399902</v>
      </c>
      <c r="D272" s="1">
        <f t="shared" si="21"/>
        <v>32532</v>
      </c>
      <c r="E272">
        <f t="shared" si="23"/>
        <v>1989</v>
      </c>
      <c r="F272" s="6">
        <f t="shared" si="24"/>
        <v>24</v>
      </c>
      <c r="G272">
        <v>24.6</v>
      </c>
      <c r="H272">
        <v>16.399999999999999</v>
      </c>
      <c r="I272">
        <f>MAX(0,1-Fitting!$B$7*(Fitting!$B$6-Herm8889!C272)^2)</f>
        <v>0.74376408291959706</v>
      </c>
      <c r="J272">
        <f>tt(G272,H272,Fitting!$B$1:$E$1,Fitting!$B$2:$E$2)*I272</f>
        <v>15.247165118469146</v>
      </c>
    </row>
    <row r="273" spans="1:10">
      <c r="A273" s="1">
        <f t="shared" si="22"/>
        <v>32533</v>
      </c>
      <c r="B273">
        <f t="shared" si="20"/>
        <v>2778.9477199388589</v>
      </c>
      <c r="C273">
        <f>day_length(F273,$B$1,Fitting!$B$4)</f>
        <v>14.444917678833008</v>
      </c>
      <c r="D273" s="1">
        <f t="shared" si="21"/>
        <v>32533</v>
      </c>
      <c r="E273">
        <f t="shared" si="23"/>
        <v>1989</v>
      </c>
      <c r="F273" s="6">
        <f t="shared" si="24"/>
        <v>25</v>
      </c>
      <c r="G273">
        <v>25.6</v>
      </c>
      <c r="H273">
        <v>15.8</v>
      </c>
      <c r="I273">
        <f>MAX(0,1-Fitting!$B$7*(Fitting!$B$6-Herm8889!C273)^2)</f>
        <v>0.74218537457634381</v>
      </c>
      <c r="J273">
        <f>tt(G273,H273,Fitting!$B$1:$E$1,Fitting!$B$2:$E$2)*I273</f>
        <v>15.36323781997282</v>
      </c>
    </row>
    <row r="274" spans="1:10">
      <c r="A274" s="1">
        <f t="shared" si="22"/>
        <v>32534</v>
      </c>
      <c r="B274">
        <f t="shared" si="20"/>
        <v>2793.0925566743113</v>
      </c>
      <c r="C274">
        <f>day_length(F274,$B$1,Fitting!$B$4)</f>
        <v>14.424380302429199</v>
      </c>
      <c r="D274" s="1">
        <f t="shared" si="21"/>
        <v>32534</v>
      </c>
      <c r="E274">
        <f t="shared" si="23"/>
        <v>1989</v>
      </c>
      <c r="F274" s="6">
        <f t="shared" si="24"/>
        <v>26</v>
      </c>
      <c r="G274">
        <v>24.6</v>
      </c>
      <c r="H274">
        <v>13.6</v>
      </c>
      <c r="I274">
        <f>MAX(0,1-Fitting!$B$7*(Fitting!$B$6-Herm8889!C274)^2)</f>
        <v>0.74056735355751335</v>
      </c>
      <c r="J274">
        <f>tt(G274,H274,Fitting!$B$1:$E$1,Fitting!$B$2:$E$2)*I274</f>
        <v>14.144836735452531</v>
      </c>
    </row>
    <row r="275" spans="1:10">
      <c r="A275" s="1">
        <f t="shared" si="22"/>
        <v>32535</v>
      </c>
      <c r="B275">
        <f t="shared" si="20"/>
        <v>2807.1318581031555</v>
      </c>
      <c r="C275">
        <f>day_length(F275,$B$1,Fitting!$B$4)</f>
        <v>14.403416633605957</v>
      </c>
      <c r="D275" s="1">
        <f t="shared" si="21"/>
        <v>32535</v>
      </c>
      <c r="E275">
        <f t="shared" si="23"/>
        <v>1989</v>
      </c>
      <c r="F275" s="6">
        <f t="shared" si="24"/>
        <v>27</v>
      </c>
      <c r="G275">
        <v>26</v>
      </c>
      <c r="H275">
        <v>12</v>
      </c>
      <c r="I275">
        <f>MAX(0,1-Fitting!$B$7*(Fitting!$B$6-Herm8889!C275)^2)</f>
        <v>0.7389105273412806</v>
      </c>
      <c r="J275">
        <f>tt(G275,H275,Fitting!$B$1:$E$1,Fitting!$B$2:$E$2)*I275</f>
        <v>14.039301428844315</v>
      </c>
    </row>
    <row r="276" spans="1:10">
      <c r="A276" s="1">
        <f t="shared" si="22"/>
        <v>32536</v>
      </c>
      <c r="B276">
        <f t="shared" si="20"/>
        <v>2822.207916842744</v>
      </c>
      <c r="C276">
        <f>day_length(F276,$B$1,Fitting!$B$4)</f>
        <v>14.382039070129395</v>
      </c>
      <c r="D276" s="1">
        <f t="shared" si="21"/>
        <v>32536</v>
      </c>
      <c r="E276">
        <f t="shared" si="23"/>
        <v>1989</v>
      </c>
      <c r="F276" s="6">
        <f t="shared" si="24"/>
        <v>28</v>
      </c>
      <c r="G276">
        <v>25.9</v>
      </c>
      <c r="H276">
        <v>15</v>
      </c>
      <c r="I276">
        <f>MAX(0,1-Fitting!$B$7*(Fitting!$B$6-Herm8889!C276)^2)</f>
        <v>0.73721555878423717</v>
      </c>
      <c r="J276">
        <f>tt(G276,H276,Fitting!$B$1:$E$1,Fitting!$B$2:$E$2)*I276</f>
        <v>15.076058739588486</v>
      </c>
    </row>
    <row r="277" spans="1:10">
      <c r="A277" s="1">
        <f t="shared" si="22"/>
        <v>32537</v>
      </c>
      <c r="B277">
        <f t="shared" si="20"/>
        <v>2835.0053200760053</v>
      </c>
      <c r="C277">
        <f>day_length(F277,$B$1,Fitting!$B$4)</f>
        <v>14.360259056091309</v>
      </c>
      <c r="D277" s="1">
        <f t="shared" si="21"/>
        <v>32537</v>
      </c>
      <c r="E277">
        <f t="shared" si="23"/>
        <v>1989</v>
      </c>
      <c r="F277" s="6">
        <f t="shared" si="24"/>
        <v>29</v>
      </c>
      <c r="G277">
        <v>20.9</v>
      </c>
      <c r="H277">
        <v>13.9</v>
      </c>
      <c r="I277">
        <f>MAX(0,1-Fitting!$B$7*(Fitting!$B$6-Herm8889!C277)^2)</f>
        <v>0.73548304118669505</v>
      </c>
      <c r="J277">
        <f>tt(G277,H277,Fitting!$B$1:$E$1,Fitting!$B$2:$E$2)*I277</f>
        <v>12.797403233261406</v>
      </c>
    </row>
    <row r="278" spans="1:10">
      <c r="A278" s="1">
        <f t="shared" si="22"/>
        <v>32538</v>
      </c>
      <c r="B278">
        <f t="shared" si="20"/>
        <v>2849.6429050350471</v>
      </c>
      <c r="C278">
        <f>day_length(F278,$B$1,Fitting!$B$4)</f>
        <v>14.338088035583496</v>
      </c>
      <c r="D278" s="1">
        <f t="shared" si="21"/>
        <v>32538</v>
      </c>
      <c r="E278">
        <f t="shared" si="23"/>
        <v>1989</v>
      </c>
      <c r="F278" s="6">
        <f t="shared" si="24"/>
        <v>30</v>
      </c>
      <c r="G278">
        <v>26</v>
      </c>
      <c r="H278">
        <v>13.9</v>
      </c>
      <c r="I278">
        <f>MAX(0,1-Fitting!$B$7*(Fitting!$B$6-Herm8889!C278)^2)</f>
        <v>0.73371357387018543</v>
      </c>
      <c r="J278">
        <f>tt(G278,H278,Fitting!$B$1:$E$1,Fitting!$B$2:$E$2)*I278</f>
        <v>14.63758495904165</v>
      </c>
    </row>
    <row r="279" spans="1:10">
      <c r="A279" s="1">
        <f t="shared" si="22"/>
        <v>32539</v>
      </c>
      <c r="B279">
        <f t="shared" si="20"/>
        <v>2867.0262006297048</v>
      </c>
      <c r="C279">
        <f>day_length(F279,$B$1,Fitting!$B$4)</f>
        <v>14.31553840637207</v>
      </c>
      <c r="D279" s="1">
        <f t="shared" si="21"/>
        <v>32539</v>
      </c>
      <c r="E279">
        <f t="shared" si="23"/>
        <v>1989</v>
      </c>
      <c r="F279" s="6">
        <f t="shared" si="24"/>
        <v>31</v>
      </c>
      <c r="G279">
        <v>30.5</v>
      </c>
      <c r="H279">
        <v>17.100000000000001</v>
      </c>
      <c r="I279">
        <f>MAX(0,1-Fitting!$B$7*(Fitting!$B$6-Herm8889!C279)^2)</f>
        <v>0.73190783921987901</v>
      </c>
      <c r="J279">
        <f>tt(G279,H279,Fitting!$B$1:$E$1,Fitting!$B$2:$E$2)*I279</f>
        <v>17.383295594657646</v>
      </c>
    </row>
    <row r="280" spans="1:10">
      <c r="A280" s="1">
        <f t="shared" si="22"/>
        <v>32540</v>
      </c>
      <c r="B280">
        <f t="shared" si="20"/>
        <v>2883.4333025517249</v>
      </c>
      <c r="C280">
        <f>day_length(F280,$B$1,Fitting!$B$4)</f>
        <v>14.292621612548828</v>
      </c>
      <c r="D280" s="1">
        <f t="shared" si="21"/>
        <v>32540</v>
      </c>
      <c r="E280">
        <f t="shared" si="23"/>
        <v>1989</v>
      </c>
      <c r="F280" s="6">
        <f t="shared" si="24"/>
        <v>32</v>
      </c>
      <c r="G280">
        <v>33.1</v>
      </c>
      <c r="H280">
        <v>16</v>
      </c>
      <c r="I280">
        <f>MAX(0,1-Fitting!$B$7*(Fitting!$B$6-Herm8889!C280)^2)</f>
        <v>0.73006645100531742</v>
      </c>
      <c r="J280">
        <f>tt(G280,H280,Fitting!$B$1:$E$1,Fitting!$B$2:$E$2)*I280</f>
        <v>16.407101922020065</v>
      </c>
    </row>
    <row r="281" spans="1:10">
      <c r="A281" s="1">
        <f t="shared" si="22"/>
        <v>32541</v>
      </c>
      <c r="B281">
        <f t="shared" si="20"/>
        <v>2899.5991203983422</v>
      </c>
      <c r="C281">
        <f>day_length(F281,$B$1,Fitting!$B$4)</f>
        <v>14.269349098205566</v>
      </c>
      <c r="D281" s="1">
        <f t="shared" si="21"/>
        <v>32541</v>
      </c>
      <c r="E281">
        <f t="shared" si="23"/>
        <v>1989</v>
      </c>
      <c r="F281" s="6">
        <f t="shared" si="24"/>
        <v>33</v>
      </c>
      <c r="G281">
        <v>27.4</v>
      </c>
      <c r="H281">
        <v>17</v>
      </c>
      <c r="I281">
        <f>MAX(0,1-Fitting!$B$7*(Fitting!$B$6-Herm8889!C281)^2)</f>
        <v>0.72819003062904264</v>
      </c>
      <c r="J281">
        <f>tt(G281,H281,Fitting!$B$1:$E$1,Fitting!$B$2:$E$2)*I281</f>
        <v>16.16581784661739</v>
      </c>
    </row>
    <row r="282" spans="1:10">
      <c r="A282" s="1">
        <f t="shared" si="22"/>
        <v>32542</v>
      </c>
      <c r="B282">
        <f t="shared" si="20"/>
        <v>2914.66941556042</v>
      </c>
      <c r="C282">
        <f>day_length(F282,$B$1,Fitting!$B$4)</f>
        <v>14.245733261108398</v>
      </c>
      <c r="D282" s="1">
        <f t="shared" si="21"/>
        <v>32542</v>
      </c>
      <c r="E282">
        <f t="shared" si="23"/>
        <v>1989</v>
      </c>
      <c r="F282" s="6">
        <f t="shared" si="24"/>
        <v>34</v>
      </c>
      <c r="G282">
        <v>25.5</v>
      </c>
      <c r="H282">
        <v>16</v>
      </c>
      <c r="I282">
        <f>MAX(0,1-Fitting!$B$7*(Fitting!$B$6-Herm8889!C282)^2)</f>
        <v>0.72627928491941574</v>
      </c>
      <c r="J282">
        <f>tt(G282,H282,Fitting!$B$1:$E$1,Fitting!$B$2:$E$2)*I282</f>
        <v>15.070295162077876</v>
      </c>
    </row>
    <row r="283" spans="1:10">
      <c r="A283" s="1">
        <f t="shared" si="22"/>
        <v>32543</v>
      </c>
      <c r="B283">
        <f t="shared" si="20"/>
        <v>2929.4096269349175</v>
      </c>
      <c r="C283">
        <f>day_length(F283,$B$1,Fitting!$B$4)</f>
        <v>14.221783638000488</v>
      </c>
      <c r="D283" s="1">
        <f t="shared" si="21"/>
        <v>32543</v>
      </c>
      <c r="E283">
        <f t="shared" si="23"/>
        <v>1989</v>
      </c>
      <c r="F283" s="6">
        <f t="shared" si="24"/>
        <v>35</v>
      </c>
      <c r="G283">
        <v>26</v>
      </c>
      <c r="H283">
        <v>14.7</v>
      </c>
      <c r="I283">
        <f>MAX(0,1-Fitting!$B$7*(Fitting!$B$6-Herm8889!C283)^2)</f>
        <v>0.72433469769953263</v>
      </c>
      <c r="J283">
        <f>tt(G283,H283,Fitting!$B$1:$E$1,Fitting!$B$2:$E$2)*I283</f>
        <v>14.740211374497248</v>
      </c>
    </row>
    <row r="284" spans="1:10">
      <c r="A284" s="1">
        <f t="shared" si="22"/>
        <v>32544</v>
      </c>
      <c r="B284">
        <f t="shared" si="20"/>
        <v>2943.4233553481922</v>
      </c>
      <c r="C284">
        <f>day_length(F284,$B$1,Fitting!$B$4)</f>
        <v>14.197514533996582</v>
      </c>
      <c r="D284" s="1">
        <f t="shared" si="21"/>
        <v>32544</v>
      </c>
      <c r="E284">
        <f t="shared" si="23"/>
        <v>1989</v>
      </c>
      <c r="F284" s="6">
        <f t="shared" si="24"/>
        <v>36</v>
      </c>
      <c r="G284">
        <v>23.2</v>
      </c>
      <c r="H284">
        <v>15.6</v>
      </c>
      <c r="I284">
        <f>MAX(0,1-Fitting!$B$7*(Fitting!$B$6-Herm8889!C284)^2)</f>
        <v>0.72235714890887359</v>
      </c>
      <c r="J284">
        <f>tt(G284,H284,Fitting!$B$1:$E$1,Fitting!$B$2:$E$2)*I284</f>
        <v>14.013728413274764</v>
      </c>
    </row>
    <row r="285" spans="1:10">
      <c r="A285" s="1">
        <f t="shared" si="22"/>
        <v>32545</v>
      </c>
      <c r="B285">
        <f t="shared" si="20"/>
        <v>2956.6057059881423</v>
      </c>
      <c r="C285">
        <f>day_length(F285,$B$1,Fitting!$B$4)</f>
        <v>14.172933578491211</v>
      </c>
      <c r="D285" s="1">
        <f t="shared" si="21"/>
        <v>32545</v>
      </c>
      <c r="E285">
        <f t="shared" si="23"/>
        <v>1989</v>
      </c>
      <c r="F285" s="6">
        <f t="shared" si="24"/>
        <v>37</v>
      </c>
      <c r="G285">
        <v>22.1</v>
      </c>
      <c r="H285">
        <v>14.5</v>
      </c>
      <c r="I285">
        <f>MAX(0,1-Fitting!$B$7*(Fitting!$B$6-Herm8889!C285)^2)</f>
        <v>0.72034698445784306</v>
      </c>
      <c r="J285">
        <f>tt(G285,H285,Fitting!$B$1:$E$1,Fitting!$B$2:$E$2)*I285</f>
        <v>13.182350639950229</v>
      </c>
    </row>
    <row r="286" spans="1:10">
      <c r="A286" s="1">
        <f t="shared" si="22"/>
        <v>32546</v>
      </c>
      <c r="B286">
        <f t="shared" si="20"/>
        <v>2970.5767425008939</v>
      </c>
      <c r="C286">
        <f>day_length(F286,$B$1,Fitting!$B$4)</f>
        <v>14.148056983947754</v>
      </c>
      <c r="D286" s="1">
        <f t="shared" si="21"/>
        <v>32546</v>
      </c>
      <c r="E286">
        <f t="shared" si="23"/>
        <v>1989</v>
      </c>
      <c r="F286" s="6">
        <f t="shared" si="24"/>
        <v>38</v>
      </c>
      <c r="G286">
        <v>21.8</v>
      </c>
      <c r="H286">
        <v>17.100000000000001</v>
      </c>
      <c r="I286">
        <f>MAX(0,1-Fitting!$B$7*(Fitting!$B$6-Herm8889!C286)^2)</f>
        <v>0.71830526142863715</v>
      </c>
      <c r="J286">
        <f>tt(G286,H286,Fitting!$B$1:$E$1,Fitting!$B$2:$E$2)*I286</f>
        <v>13.971036512751857</v>
      </c>
    </row>
    <row r="287" spans="1:10">
      <c r="A287" s="1">
        <f t="shared" si="22"/>
        <v>32547</v>
      </c>
      <c r="B287">
        <f t="shared" si="20"/>
        <v>2984.7939503253865</v>
      </c>
      <c r="C287">
        <f>day_length(F287,$B$1,Fitting!$B$4)</f>
        <v>14.122890472412109</v>
      </c>
      <c r="D287" s="1">
        <f t="shared" si="21"/>
        <v>32547</v>
      </c>
      <c r="E287">
        <f t="shared" si="23"/>
        <v>1989</v>
      </c>
      <c r="F287" s="6">
        <f t="shared" si="24"/>
        <v>39</v>
      </c>
      <c r="G287">
        <v>24.2</v>
      </c>
      <c r="H287">
        <v>15.5</v>
      </c>
      <c r="I287">
        <f>MAX(0,1-Fitting!$B$7*(Fitting!$B$6-Herm8889!C287)^2)</f>
        <v>0.71623218727335913</v>
      </c>
      <c r="J287">
        <f>tt(G287,H287,Fitting!$B$1:$E$1,Fitting!$B$2:$E$2)*I287</f>
        <v>14.217207824492592</v>
      </c>
    </row>
    <row r="288" spans="1:10">
      <c r="A288" s="1">
        <f t="shared" si="22"/>
        <v>32548</v>
      </c>
      <c r="B288">
        <f t="shared" si="20"/>
        <v>3000.6119021584018</v>
      </c>
      <c r="C288">
        <f>day_length(F288,$B$1,Fitting!$B$4)</f>
        <v>14.09744930267334</v>
      </c>
      <c r="D288" s="1">
        <f t="shared" si="21"/>
        <v>32548</v>
      </c>
      <c r="E288">
        <f t="shared" si="23"/>
        <v>1989</v>
      </c>
      <c r="F288" s="6">
        <f t="shared" si="24"/>
        <v>40</v>
      </c>
      <c r="G288">
        <v>28.2</v>
      </c>
      <c r="H288">
        <v>16.100000000000001</v>
      </c>
      <c r="I288">
        <f>MAX(0,1-Fitting!$B$7*(Fitting!$B$6-Herm8889!C288)^2)</f>
        <v>0.7141287632250114</v>
      </c>
      <c r="J288">
        <f>tt(G288,H288,Fitting!$B$1:$E$1,Fitting!$B$2:$E$2)*I288</f>
        <v>15.817951833015499</v>
      </c>
    </row>
    <row r="289" spans="1:10">
      <c r="A289" s="1">
        <f t="shared" si="22"/>
        <v>32549</v>
      </c>
      <c r="B289">
        <f t="shared" si="20"/>
        <v>3017.0483939075707</v>
      </c>
      <c r="C289">
        <f>day_length(F289,$B$1,Fitting!$B$4)</f>
        <v>14.071742057800293</v>
      </c>
      <c r="D289" s="1">
        <f t="shared" si="21"/>
        <v>32549</v>
      </c>
      <c r="E289">
        <f t="shared" si="23"/>
        <v>1989</v>
      </c>
      <c r="F289" s="6">
        <f t="shared" si="24"/>
        <v>41</v>
      </c>
      <c r="G289">
        <v>31.4</v>
      </c>
      <c r="H289">
        <v>15.7</v>
      </c>
      <c r="I289">
        <f>MAX(0,1-Fitting!$B$7*(Fitting!$B$6-Herm8889!C289)^2)</f>
        <v>0.71199545131808006</v>
      </c>
      <c r="J289">
        <f>tt(G289,H289,Fitting!$B$1:$E$1,Fitting!$B$2:$E$2)*I289</f>
        <v>16.436491749168962</v>
      </c>
    </row>
    <row r="290" spans="1:10">
      <c r="A290" s="1">
        <f t="shared" si="22"/>
        <v>32550</v>
      </c>
      <c r="B290">
        <f t="shared" si="20"/>
        <v>3033.2331169437675</v>
      </c>
      <c r="C290">
        <f>day_length(F290,$B$1,Fitting!$B$4)</f>
        <v>14.045780181884766</v>
      </c>
      <c r="D290" s="1">
        <f t="shared" si="21"/>
        <v>32550</v>
      </c>
      <c r="E290">
        <f t="shared" si="23"/>
        <v>1989</v>
      </c>
      <c r="F290" s="6">
        <f t="shared" si="24"/>
        <v>42</v>
      </c>
      <c r="G290">
        <v>34.200000000000003</v>
      </c>
      <c r="H290">
        <v>18.600000000000001</v>
      </c>
      <c r="I290">
        <f>MAX(0,1-Fitting!$B$7*(Fitting!$B$6-Herm8889!C290)^2)</f>
        <v>0.70983296032799992</v>
      </c>
      <c r="J290">
        <f>tt(G290,H290,Fitting!$B$1:$E$1,Fitting!$B$2:$E$2)*I290</f>
        <v>16.184723036196907</v>
      </c>
    </row>
    <row r="291" spans="1:10">
      <c r="A291" s="1">
        <f t="shared" si="22"/>
        <v>32551</v>
      </c>
      <c r="B291">
        <f t="shared" si="20"/>
        <v>3049.3319726914206</v>
      </c>
      <c r="C291">
        <f>day_length(F291,$B$1,Fitting!$B$4)</f>
        <v>14.019575119018555</v>
      </c>
      <c r="D291" s="1">
        <f t="shared" si="21"/>
        <v>32551</v>
      </c>
      <c r="E291">
        <f t="shared" si="23"/>
        <v>1989</v>
      </c>
      <c r="F291" s="6">
        <f t="shared" si="24"/>
        <v>43</v>
      </c>
      <c r="G291">
        <v>29</v>
      </c>
      <c r="H291">
        <v>16.5</v>
      </c>
      <c r="I291">
        <f>MAX(0,1-Fitting!$B$7*(Fitting!$B$6-Herm8889!C291)^2)</f>
        <v>0.70764201088585099</v>
      </c>
      <c r="J291">
        <f>tt(G291,H291,Fitting!$B$1:$E$1,Fitting!$B$2:$E$2)*I291</f>
        <v>16.098855747653111</v>
      </c>
    </row>
    <row r="292" spans="1:10">
      <c r="A292" s="1">
        <f t="shared" si="22"/>
        <v>32552</v>
      </c>
      <c r="B292">
        <f t="shared" si="20"/>
        <v>3065.0276396905783</v>
      </c>
      <c r="C292">
        <f>day_length(F292,$B$1,Fitting!$B$4)</f>
        <v>13.993136405944824</v>
      </c>
      <c r="D292" s="1">
        <f t="shared" si="21"/>
        <v>32552</v>
      </c>
      <c r="E292">
        <f t="shared" si="23"/>
        <v>1989</v>
      </c>
      <c r="F292" s="6">
        <f t="shared" si="24"/>
        <v>44</v>
      </c>
      <c r="G292">
        <v>26.9</v>
      </c>
      <c r="H292">
        <v>17.600000000000001</v>
      </c>
      <c r="I292">
        <f>MAX(0,1-Fitting!$B$7*(Fitting!$B$6-Herm8889!C292)^2)</f>
        <v>0.70542317544582511</v>
      </c>
      <c r="J292">
        <f>tt(G292,H292,Fitting!$B$1:$E$1,Fitting!$B$2:$E$2)*I292</f>
        <v>15.695666999157538</v>
      </c>
    </row>
    <row r="293" spans="1:10">
      <c r="A293" s="1">
        <f t="shared" si="22"/>
        <v>32553</v>
      </c>
      <c r="B293">
        <f t="shared" si="20"/>
        <v>3081.0249159307709</v>
      </c>
      <c r="C293">
        <f>day_length(F293,$B$1,Fitting!$B$4)</f>
        <v>13.966473579406738</v>
      </c>
      <c r="D293" s="1">
        <f t="shared" si="21"/>
        <v>32553</v>
      </c>
      <c r="E293">
        <f t="shared" si="23"/>
        <v>1989</v>
      </c>
      <c r="F293" s="6">
        <f t="shared" si="24"/>
        <v>45</v>
      </c>
      <c r="G293">
        <v>28.5</v>
      </c>
      <c r="H293">
        <v>17</v>
      </c>
      <c r="I293">
        <f>MAX(0,1-Fitting!$B$7*(Fitting!$B$6-Herm8889!C293)^2)</f>
        <v>0.70317703654489927</v>
      </c>
      <c r="J293">
        <f>tt(G293,H293,Fitting!$B$1:$E$1,Fitting!$B$2:$E$2)*I293</f>
        <v>15.997276240192699</v>
      </c>
    </row>
    <row r="294" spans="1:10">
      <c r="A294" s="1">
        <f t="shared" si="22"/>
        <v>32554</v>
      </c>
      <c r="B294">
        <f t="shared" si="20"/>
        <v>3096.479856284077</v>
      </c>
      <c r="C294">
        <f>day_length(F294,$B$1,Fitting!$B$4)</f>
        <v>13.939598083496094</v>
      </c>
      <c r="D294" s="1">
        <f t="shared" si="21"/>
        <v>32554</v>
      </c>
      <c r="E294">
        <f t="shared" si="23"/>
        <v>1989</v>
      </c>
      <c r="F294" s="6">
        <f t="shared" si="24"/>
        <v>46</v>
      </c>
      <c r="G294">
        <v>27</v>
      </c>
      <c r="H294">
        <v>17.100000000000001</v>
      </c>
      <c r="I294">
        <f>MAX(0,1-Fitting!$B$7*(Fitting!$B$6-Herm8889!C294)^2)</f>
        <v>0.70090434866456786</v>
      </c>
      <c r="J294">
        <f>tt(G294,H294,Fitting!$B$1:$E$1,Fitting!$B$2:$E$2)*I294</f>
        <v>15.45494035330614</v>
      </c>
    </row>
    <row r="295" spans="1:10">
      <c r="A295" s="1">
        <f t="shared" si="22"/>
        <v>32555</v>
      </c>
      <c r="B295">
        <f t="shared" si="20"/>
        <v>3112.0238348229655</v>
      </c>
      <c r="C295">
        <f>day_length(F295,$B$1,Fitting!$B$4)</f>
        <v>13.912519454956055</v>
      </c>
      <c r="D295" s="1">
        <f t="shared" si="21"/>
        <v>32555</v>
      </c>
      <c r="E295">
        <f t="shared" si="23"/>
        <v>1989</v>
      </c>
      <c r="F295" s="6">
        <f t="shared" si="24"/>
        <v>47</v>
      </c>
      <c r="G295">
        <v>28.1</v>
      </c>
      <c r="H295">
        <v>16.399999999999999</v>
      </c>
      <c r="I295">
        <f>MAX(0,1-Fitting!$B$7*(Fitting!$B$6-Herm8889!C295)^2)</f>
        <v>0.69860571714174147</v>
      </c>
      <c r="J295">
        <f>tt(G295,H295,Fitting!$B$1:$E$1,Fitting!$B$2:$E$2)*I295</f>
        <v>15.543978538888407</v>
      </c>
    </row>
    <row r="296" spans="1:10">
      <c r="A296" s="1">
        <f t="shared" si="22"/>
        <v>32556</v>
      </c>
      <c r="B296">
        <f t="shared" si="20"/>
        <v>3126.8894523639883</v>
      </c>
      <c r="C296">
        <f>day_length(F296,$B$1,Fitting!$B$4)</f>
        <v>13.885248184204102</v>
      </c>
      <c r="D296" s="1">
        <f t="shared" si="21"/>
        <v>32556</v>
      </c>
      <c r="E296">
        <f t="shared" si="23"/>
        <v>1989</v>
      </c>
      <c r="F296" s="6">
        <f t="shared" si="24"/>
        <v>48</v>
      </c>
      <c r="G296">
        <v>27.9</v>
      </c>
      <c r="H296">
        <v>14.8</v>
      </c>
      <c r="I296">
        <f>MAX(0,1-Fitting!$B$7*(Fitting!$B$6-Herm8889!C296)^2)</f>
        <v>0.69628183959777379</v>
      </c>
      <c r="J296">
        <f>tt(G296,H296,Fitting!$B$1:$E$1,Fitting!$B$2:$E$2)*I296</f>
        <v>14.865617541022914</v>
      </c>
    </row>
    <row r="297" spans="1:10">
      <c r="A297" s="1">
        <f t="shared" si="22"/>
        <v>32557</v>
      </c>
      <c r="B297">
        <f t="shared" si="20"/>
        <v>3141.7049295287461</v>
      </c>
      <c r="C297">
        <f>day_length(F297,$B$1,Fitting!$B$4)</f>
        <v>13.857793807983398</v>
      </c>
      <c r="D297" s="1">
        <f t="shared" si="21"/>
        <v>32557</v>
      </c>
      <c r="E297">
        <f t="shared" si="23"/>
        <v>1989</v>
      </c>
      <c r="F297" s="6">
        <f t="shared" si="24"/>
        <v>49</v>
      </c>
      <c r="G297">
        <v>27</v>
      </c>
      <c r="H297">
        <v>15.7</v>
      </c>
      <c r="I297">
        <f>MAX(0,1-Fitting!$B$7*(Fitting!$B$6-Herm8889!C297)^2)</f>
        <v>0.6939333442643183</v>
      </c>
      <c r="J297">
        <f>tt(G297,H297,Fitting!$B$1:$E$1,Fitting!$B$2:$E$2)*I297</f>
        <v>14.815477164757759</v>
      </c>
    </row>
    <row r="298" spans="1:10">
      <c r="A298" s="1">
        <f t="shared" si="22"/>
        <v>32558</v>
      </c>
      <c r="B298">
        <f t="shared" si="20"/>
        <v>3156.6426415080978</v>
      </c>
      <c r="C298">
        <f>day_length(F298,$B$1,Fitting!$B$4)</f>
        <v>13.830164909362793</v>
      </c>
      <c r="D298" s="1">
        <f t="shared" si="21"/>
        <v>32558</v>
      </c>
      <c r="E298">
        <f t="shared" si="23"/>
        <v>1989</v>
      </c>
      <c r="F298" s="6">
        <f t="shared" si="24"/>
        <v>50</v>
      </c>
      <c r="G298">
        <v>27.2</v>
      </c>
      <c r="H298">
        <v>16</v>
      </c>
      <c r="I298">
        <f>MAX(0,1-Fitting!$B$7*(Fitting!$B$6-Herm8889!C298)^2)</f>
        <v>0.69156078863840409</v>
      </c>
      <c r="J298">
        <f>tt(G298,H298,Fitting!$B$1:$E$1,Fitting!$B$2:$E$2)*I298</f>
        <v>14.937711979351509</v>
      </c>
    </row>
    <row r="299" spans="1:10">
      <c r="A299" s="1">
        <f t="shared" si="22"/>
        <v>32559</v>
      </c>
      <c r="B299">
        <f t="shared" si="20"/>
        <v>3171.9421029294876</v>
      </c>
      <c r="C299">
        <f>day_length(F299,$B$1,Fitting!$B$4)</f>
        <v>13.802371978759766</v>
      </c>
      <c r="D299" s="1">
        <f t="shared" si="21"/>
        <v>32559</v>
      </c>
      <c r="E299">
        <f t="shared" si="23"/>
        <v>1989</v>
      </c>
      <c r="F299" s="6">
        <f t="shared" si="24"/>
        <v>51</v>
      </c>
      <c r="G299">
        <v>28.7</v>
      </c>
      <c r="H299">
        <v>15.7</v>
      </c>
      <c r="I299">
        <f>MAX(0,1-Fitting!$B$7*(Fitting!$B$6-Herm8889!C299)^2)</f>
        <v>0.68916490520714424</v>
      </c>
      <c r="J299">
        <f>tt(G299,H299,Fitting!$B$1:$E$1,Fitting!$B$2:$E$2)*I299</f>
        <v>15.299461421389697</v>
      </c>
    </row>
    <row r="300" spans="1:10">
      <c r="A300" s="1">
        <f t="shared" si="22"/>
        <v>32560</v>
      </c>
      <c r="B300">
        <f t="shared" si="20"/>
        <v>3187.6685923435107</v>
      </c>
      <c r="C300">
        <f>day_length(F300,$B$1,Fitting!$B$4)</f>
        <v>13.774423599243164</v>
      </c>
      <c r="D300" s="1">
        <f t="shared" si="21"/>
        <v>32560</v>
      </c>
      <c r="E300">
        <f t="shared" si="23"/>
        <v>1989</v>
      </c>
      <c r="F300" s="6">
        <f t="shared" si="24"/>
        <v>52</v>
      </c>
      <c r="G300">
        <v>30.1</v>
      </c>
      <c r="H300">
        <v>15.7</v>
      </c>
      <c r="I300">
        <f>MAX(0,1-Fitting!$B$7*(Fitting!$B$6-Herm8889!C300)^2)</f>
        <v>0.68674627406095534</v>
      </c>
      <c r="J300">
        <f>tt(G300,H300,Fitting!$B$1:$E$1,Fitting!$B$2:$E$2)*I300</f>
        <v>15.726489414022964</v>
      </c>
    </row>
    <row r="301" spans="1:10">
      <c r="A301" s="1">
        <f t="shared" si="22"/>
        <v>32561</v>
      </c>
      <c r="B301">
        <f t="shared" si="20"/>
        <v>3204.2593562327302</v>
      </c>
      <c r="C301">
        <f>day_length(F301,$B$1,Fitting!$B$4)</f>
        <v>13.746328353881836</v>
      </c>
      <c r="D301" s="1">
        <f t="shared" si="21"/>
        <v>32561</v>
      </c>
      <c r="E301">
        <f t="shared" si="23"/>
        <v>1989</v>
      </c>
      <c r="F301" s="6">
        <f t="shared" si="24"/>
        <v>53</v>
      </c>
      <c r="G301">
        <v>31.1</v>
      </c>
      <c r="H301">
        <v>18.100000000000001</v>
      </c>
      <c r="I301">
        <f>MAX(0,1-Fitting!$B$7*(Fitting!$B$6-Herm8889!C301)^2)</f>
        <v>0.6843054859018084</v>
      </c>
      <c r="J301">
        <f>tt(G301,H301,Fitting!$B$1:$E$1,Fitting!$B$2:$E$2)*I301</f>
        <v>16.590763889219627</v>
      </c>
    </row>
    <row r="302" spans="1:10">
      <c r="A302" s="1">
        <f t="shared" si="22"/>
        <v>32562</v>
      </c>
      <c r="B302">
        <f t="shared" si="20"/>
        <v>3218.9189855817049</v>
      </c>
      <c r="C302">
        <f>day_length(F302,$B$1,Fitting!$B$4)</f>
        <v>13.718095779418945</v>
      </c>
      <c r="D302" s="1">
        <f t="shared" si="21"/>
        <v>32562</v>
      </c>
      <c r="E302">
        <f t="shared" si="23"/>
        <v>1989</v>
      </c>
      <c r="F302" s="6">
        <f t="shared" si="24"/>
        <v>54</v>
      </c>
      <c r="G302">
        <v>28</v>
      </c>
      <c r="H302">
        <v>15</v>
      </c>
      <c r="I302">
        <f>MAX(0,1-Fitting!$B$7*(Fitting!$B$6-Herm8889!C302)^2)</f>
        <v>0.68184322553370291</v>
      </c>
      <c r="J302">
        <f>tt(G302,H302,Fitting!$B$1:$E$1,Fitting!$B$2:$E$2)*I302</f>
        <v>14.659629348974613</v>
      </c>
    </row>
    <row r="303" spans="1:10">
      <c r="A303" s="1">
        <f t="shared" si="22"/>
        <v>32563</v>
      </c>
      <c r="B303">
        <f t="shared" si="20"/>
        <v>3233.4912621749372</v>
      </c>
      <c r="C303">
        <f>day_length(F303,$B$1,Fitting!$B$4)</f>
        <v>13.689735412597656</v>
      </c>
      <c r="D303" s="1">
        <f t="shared" si="21"/>
        <v>32563</v>
      </c>
      <c r="E303">
        <f t="shared" si="23"/>
        <v>1989</v>
      </c>
      <c r="F303" s="6">
        <f t="shared" si="24"/>
        <v>55</v>
      </c>
      <c r="G303">
        <v>27</v>
      </c>
      <c r="H303">
        <v>15.9</v>
      </c>
      <c r="I303">
        <f>MAX(0,1-Fitting!$B$7*(Fitting!$B$6-Herm8889!C303)^2)</f>
        <v>0.6793601899730275</v>
      </c>
      <c r="J303">
        <f>tt(G303,H303,Fitting!$B$1:$E$1,Fitting!$B$2:$E$2)*I303</f>
        <v>14.572276593232132</v>
      </c>
    </row>
    <row r="304" spans="1:10">
      <c r="A304" s="1">
        <f t="shared" si="22"/>
        <v>32564</v>
      </c>
      <c r="B304">
        <f t="shared" si="20"/>
        <v>3247.6037274771747</v>
      </c>
      <c r="C304">
        <f>day_length(F304,$B$1,Fitting!$B$4)</f>
        <v>13.661253929138184</v>
      </c>
      <c r="D304" s="1">
        <f t="shared" si="21"/>
        <v>32564</v>
      </c>
      <c r="E304">
        <f t="shared" si="23"/>
        <v>1989</v>
      </c>
      <c r="F304" s="6">
        <f t="shared" si="24"/>
        <v>56</v>
      </c>
      <c r="G304">
        <v>26</v>
      </c>
      <c r="H304">
        <v>15.7</v>
      </c>
      <c r="I304">
        <f>MAX(0,1-Fitting!$B$7*(Fitting!$B$6-Herm8889!C304)^2)</f>
        <v>0.6768568366444615</v>
      </c>
      <c r="J304">
        <f>tt(G304,H304,Fitting!$B$1:$E$1,Fitting!$B$2:$E$2)*I304</f>
        <v>14.112465302237414</v>
      </c>
    </row>
    <row r="305" spans="1:10">
      <c r="A305" s="1">
        <f t="shared" si="22"/>
        <v>32565</v>
      </c>
      <c r="B305">
        <f t="shared" si="20"/>
        <v>3261.5287206484381</v>
      </c>
      <c r="C305">
        <f>day_length(F305,$B$1,Fitting!$B$4)</f>
        <v>13.632660865783691</v>
      </c>
      <c r="D305" s="1">
        <f t="shared" si="21"/>
        <v>32565</v>
      </c>
      <c r="E305">
        <f t="shared" si="23"/>
        <v>1989</v>
      </c>
      <c r="F305" s="6">
        <f t="shared" si="24"/>
        <v>57</v>
      </c>
      <c r="G305">
        <v>27.5</v>
      </c>
      <c r="H305">
        <v>13.8</v>
      </c>
      <c r="I305">
        <f>MAX(0,1-Fitting!$B$7*(Fitting!$B$6-Herm8889!C305)^2)</f>
        <v>0.67433388448866927</v>
      </c>
      <c r="J305">
        <f>tt(G305,H305,Fitting!$B$1:$E$1,Fitting!$B$2:$E$2)*I305</f>
        <v>13.924993171263246</v>
      </c>
    </row>
    <row r="306" spans="1:10">
      <c r="A306" s="1">
        <f t="shared" si="22"/>
        <v>32566</v>
      </c>
      <c r="B306">
        <f t="shared" si="20"/>
        <v>3275.3676309328002</v>
      </c>
      <c r="C306">
        <f>day_length(F306,$B$1,Fitting!$B$4)</f>
        <v>13.603962898254395</v>
      </c>
      <c r="D306" s="1">
        <f t="shared" si="21"/>
        <v>32566</v>
      </c>
      <c r="E306">
        <f t="shared" si="23"/>
        <v>1989</v>
      </c>
      <c r="F306" s="6">
        <f t="shared" si="24"/>
        <v>58</v>
      </c>
      <c r="G306">
        <v>25.9</v>
      </c>
      <c r="H306">
        <v>15.3</v>
      </c>
      <c r="I306">
        <f>MAX(0,1-Fitting!$B$7*(Fitting!$B$6-Herm8889!C306)^2)</f>
        <v>0.67179181113761477</v>
      </c>
      <c r="J306">
        <f>tt(G306,H306,Fitting!$B$1:$E$1,Fitting!$B$2:$E$2)*I306</f>
        <v>13.83891028436191</v>
      </c>
    </row>
    <row r="307" spans="1:10">
      <c r="A307" s="1">
        <f t="shared" si="22"/>
        <v>32567</v>
      </c>
      <c r="B307">
        <f t="shared" si="20"/>
        <v>3288.9195676512695</v>
      </c>
      <c r="C307">
        <f>day_length(F307,$B$1,Fitting!$B$4)</f>
        <v>13.575170516967773</v>
      </c>
      <c r="D307" s="1">
        <f t="shared" si="21"/>
        <v>32567</v>
      </c>
      <c r="E307">
        <f t="shared" si="23"/>
        <v>1989</v>
      </c>
      <c r="F307" s="6">
        <f t="shared" si="24"/>
        <v>59</v>
      </c>
      <c r="G307">
        <v>25</v>
      </c>
      <c r="H307">
        <v>15.5</v>
      </c>
      <c r="I307">
        <f>MAX(0,1-Fitting!$B$7*(Fitting!$B$6-Herm8889!C307)^2)</f>
        <v>0.66923144288737246</v>
      </c>
      <c r="J307">
        <f>tt(G307,H307,Fitting!$B$1:$E$1,Fitting!$B$2:$E$2)*I307</f>
        <v>13.551936718469292</v>
      </c>
    </row>
    <row r="308" spans="1:10">
      <c r="A308" s="1">
        <f t="shared" si="22"/>
        <v>32568</v>
      </c>
      <c r="B308">
        <f t="shared" si="20"/>
        <v>3300.8193258901711</v>
      </c>
      <c r="C308">
        <f>day_length(F308,$B$1,Fitting!$B$4)</f>
        <v>13.54628849029541</v>
      </c>
      <c r="D308" s="1">
        <f t="shared" si="21"/>
        <v>32568</v>
      </c>
      <c r="E308">
        <f t="shared" si="23"/>
        <v>1989</v>
      </c>
      <c r="F308" s="6">
        <f t="shared" si="24"/>
        <v>60</v>
      </c>
      <c r="G308">
        <v>21.4</v>
      </c>
      <c r="H308">
        <v>14.3</v>
      </c>
      <c r="I308">
        <f>MAX(0,1-Fitting!$B$7*(Fitting!$B$6-Herm8889!C308)^2)</f>
        <v>0.666653108380584</v>
      </c>
      <c r="J308">
        <f>tt(G308,H308,Fitting!$B$1:$E$1,Fitting!$B$2:$E$2)*I308</f>
        <v>11.899758238901404</v>
      </c>
    </row>
    <row r="309" spans="1:10">
      <c r="A309" s="1">
        <f t="shared" si="22"/>
        <v>32569</v>
      </c>
      <c r="B309">
        <f t="shared" si="20"/>
        <v>3314.0008693557484</v>
      </c>
      <c r="C309">
        <f>day_length(F309,$B$1,Fitting!$B$4)</f>
        <v>13.517327308654785</v>
      </c>
      <c r="D309" s="1">
        <f t="shared" si="21"/>
        <v>32569</v>
      </c>
      <c r="E309">
        <f t="shared" si="23"/>
        <v>1989</v>
      </c>
      <c r="F309" s="6">
        <f t="shared" si="24"/>
        <v>61</v>
      </c>
      <c r="G309">
        <v>23.7</v>
      </c>
      <c r="H309">
        <v>16</v>
      </c>
      <c r="I309">
        <f>MAX(0,1-Fitting!$B$7*(Fitting!$B$6-Herm8889!C309)^2)</f>
        <v>0.66405765636517933</v>
      </c>
      <c r="J309">
        <f>tt(G309,H309,Fitting!$B$1:$E$1,Fitting!$B$2:$E$2)*I309</f>
        <v>13.181543465577239</v>
      </c>
    </row>
    <row r="310" spans="1:10">
      <c r="A310" s="1">
        <f t="shared" si="22"/>
        <v>32570</v>
      </c>
      <c r="B310">
        <f t="shared" si="20"/>
        <v>3327.7920104945638</v>
      </c>
      <c r="C310">
        <f>day_length(F310,$B$1,Fitting!$B$4)</f>
        <v>13.488293647766113</v>
      </c>
      <c r="D310" s="1">
        <f t="shared" si="21"/>
        <v>32570</v>
      </c>
      <c r="E310">
        <f t="shared" si="23"/>
        <v>1989</v>
      </c>
      <c r="F310" s="6">
        <f t="shared" si="24"/>
        <v>62</v>
      </c>
      <c r="G310">
        <v>26.6</v>
      </c>
      <c r="H310">
        <v>15.1</v>
      </c>
      <c r="I310">
        <f>MAX(0,1-Fitting!$B$7*(Fitting!$B$6-Herm8889!C310)^2)</f>
        <v>0.66144560606685443</v>
      </c>
      <c r="J310">
        <f>tt(G310,H310,Fitting!$B$1:$E$1,Fitting!$B$2:$E$2)*I310</f>
        <v>13.791141138815389</v>
      </c>
    </row>
    <row r="311" spans="1:10">
      <c r="A311" s="1">
        <f t="shared" si="22"/>
        <v>32571</v>
      </c>
      <c r="B311">
        <f t="shared" si="20"/>
        <v>3341.1330663298136</v>
      </c>
      <c r="C311">
        <f>day_length(F311,$B$1,Fitting!$B$4)</f>
        <v>13.459195137023926</v>
      </c>
      <c r="D311" s="1">
        <f t="shared" si="21"/>
        <v>32571</v>
      </c>
      <c r="E311">
        <f t="shared" si="23"/>
        <v>1989</v>
      </c>
      <c r="F311" s="6">
        <f t="shared" si="24"/>
        <v>63</v>
      </c>
      <c r="G311">
        <v>24.2</v>
      </c>
      <c r="H311">
        <v>16.3</v>
      </c>
      <c r="I311">
        <f>MAX(0,1-Fitting!$B$7*(Fitting!$B$6-Herm8889!C311)^2)</f>
        <v>0.65881757211109826</v>
      </c>
      <c r="J311">
        <f>tt(G311,H311,Fitting!$B$1:$E$1,Fitting!$B$2:$E$2)*I311</f>
        <v>13.34105583524974</v>
      </c>
    </row>
    <row r="312" spans="1:10">
      <c r="A312" s="1">
        <f t="shared" si="22"/>
        <v>32572</v>
      </c>
      <c r="B312">
        <f t="shared" si="20"/>
        <v>3354.9127204632255</v>
      </c>
      <c r="C312">
        <f>day_length(F312,$B$1,Fitting!$B$4)</f>
        <v>13.430037498474121</v>
      </c>
      <c r="D312" s="1">
        <f t="shared" si="21"/>
        <v>32572</v>
      </c>
      <c r="E312">
        <f t="shared" si="23"/>
        <v>1989</v>
      </c>
      <c r="F312" s="6">
        <f t="shared" si="24"/>
        <v>64</v>
      </c>
      <c r="G312">
        <v>24.7</v>
      </c>
      <c r="H312">
        <v>17.3</v>
      </c>
      <c r="I312">
        <f>MAX(0,1-Fitting!$B$7*(Fitting!$B$6-Herm8889!C312)^2)</f>
        <v>0.65617400635295242</v>
      </c>
      <c r="J312">
        <f>tt(G312,H312,Fitting!$B$1:$E$1,Fitting!$B$2:$E$2)*I312</f>
        <v>13.779654133412</v>
      </c>
    </row>
    <row r="313" spans="1:10">
      <c r="A313" s="1">
        <f t="shared" si="22"/>
        <v>32573</v>
      </c>
      <c r="B313">
        <f t="shared" si="20"/>
        <v>3369.5187911426588</v>
      </c>
      <c r="C313">
        <f>day_length(F313,$B$1,Fitting!$B$4)</f>
        <v>13.400827407836914</v>
      </c>
      <c r="D313" s="1">
        <f t="shared" si="21"/>
        <v>32573</v>
      </c>
      <c r="E313">
        <f t="shared" si="23"/>
        <v>1989</v>
      </c>
      <c r="F313" s="6">
        <f t="shared" si="24"/>
        <v>65</v>
      </c>
      <c r="G313">
        <v>28.4</v>
      </c>
      <c r="H313">
        <v>16.3</v>
      </c>
      <c r="I313">
        <f>MAX(0,1-Fitting!$B$7*(Fitting!$B$6-Herm8889!C313)^2)</f>
        <v>0.6535154554871041</v>
      </c>
      <c r="J313">
        <f>tt(G313,H313,Fitting!$B$1:$E$1,Fitting!$B$2:$E$2)*I313</f>
        <v>14.606070679433138</v>
      </c>
    </row>
    <row r="314" spans="1:10">
      <c r="A314" s="1">
        <f t="shared" si="22"/>
        <v>32574</v>
      </c>
      <c r="B314">
        <f t="shared" si="20"/>
        <v>3384.5367440242185</v>
      </c>
      <c r="C314">
        <f>day_length(F314,$B$1,Fitting!$B$4)</f>
        <v>13.371575355529785</v>
      </c>
      <c r="D314" s="1">
        <f t="shared" si="21"/>
        <v>32574</v>
      </c>
      <c r="E314">
        <f t="shared" si="23"/>
        <v>1989</v>
      </c>
      <c r="F314" s="6">
        <f t="shared" si="24"/>
        <v>66</v>
      </c>
      <c r="G314">
        <v>30.7</v>
      </c>
      <c r="H314">
        <v>15.7</v>
      </c>
      <c r="I314">
        <f>MAX(0,1-Fitting!$B$7*(Fitting!$B$6-Herm8889!C314)^2)</f>
        <v>0.65084282466183685</v>
      </c>
      <c r="J314">
        <f>tt(G314,H314,Fitting!$B$1:$E$1,Fitting!$B$2:$E$2)*I314</f>
        <v>15.017952881559539</v>
      </c>
    </row>
    <row r="315" spans="1:10">
      <c r="A315" s="1">
        <f t="shared" si="22"/>
        <v>32575</v>
      </c>
      <c r="B315">
        <f t="shared" si="20"/>
        <v>3398.0183964839562</v>
      </c>
      <c r="C315">
        <f>day_length(F315,$B$1,Fitting!$B$4)</f>
        <v>13.342284202575684</v>
      </c>
      <c r="D315" s="1">
        <f t="shared" si="21"/>
        <v>32575</v>
      </c>
      <c r="E315">
        <f t="shared" si="23"/>
        <v>1989</v>
      </c>
      <c r="F315" s="6">
        <f t="shared" si="24"/>
        <v>67</v>
      </c>
      <c r="G315">
        <v>27.9</v>
      </c>
      <c r="H315">
        <v>13.7</v>
      </c>
      <c r="I315">
        <f>MAX(0,1-Fitting!$B$7*(Fitting!$B$6-Herm8889!C315)^2)</f>
        <v>0.64815633259526839</v>
      </c>
      <c r="J315">
        <f>tt(G315,H315,Fitting!$B$1:$E$1,Fitting!$B$2:$E$2)*I315</f>
        <v>13.481652459737639</v>
      </c>
    </row>
    <row r="316" spans="1:10">
      <c r="A316" s="1">
        <f t="shared" si="22"/>
        <v>32576</v>
      </c>
      <c r="B316">
        <f t="shared" si="20"/>
        <v>3411.3148084073218</v>
      </c>
      <c r="C316">
        <f>day_length(F316,$B$1,Fitting!$B$4)</f>
        <v>13.312963485717773</v>
      </c>
      <c r="D316" s="1">
        <f t="shared" si="21"/>
        <v>32576</v>
      </c>
      <c r="E316">
        <f t="shared" si="23"/>
        <v>1989</v>
      </c>
      <c r="F316" s="6">
        <f t="shared" si="24"/>
        <v>68</v>
      </c>
      <c r="G316">
        <v>28.6</v>
      </c>
      <c r="H316">
        <v>12.6</v>
      </c>
      <c r="I316">
        <f>MAX(0,1-Fitting!$B$7*(Fitting!$B$6-Herm8889!C316)^2)</f>
        <v>0.64545681776855046</v>
      </c>
      <c r="J316">
        <f>tt(G316,H316,Fitting!$B$1:$E$1,Fitting!$B$2:$E$2)*I316</f>
        <v>13.296411923365554</v>
      </c>
    </row>
    <row r="317" spans="1:10">
      <c r="A317" s="1">
        <f t="shared" si="22"/>
        <v>32577</v>
      </c>
      <c r="B317">
        <f t="shared" si="20"/>
        <v>3424.8044255943601</v>
      </c>
      <c r="C317">
        <f>day_length(F317,$B$1,Fitting!$B$4)</f>
        <v>13.283617973327637</v>
      </c>
      <c r="D317" s="1">
        <f t="shared" si="21"/>
        <v>32577</v>
      </c>
      <c r="E317">
        <f t="shared" si="23"/>
        <v>1989</v>
      </c>
      <c r="F317" s="6">
        <f t="shared" si="24"/>
        <v>69</v>
      </c>
      <c r="G317">
        <v>30.6</v>
      </c>
      <c r="H317">
        <v>11.4</v>
      </c>
      <c r="I317">
        <f>MAX(0,1-Fitting!$B$7*(Fitting!$B$6-Herm8889!C317)^2)</f>
        <v>0.64274469051068628</v>
      </c>
      <c r="J317">
        <f>tt(G317,H317,Fitting!$B$1:$E$1,Fitting!$B$2:$E$2)*I317</f>
        <v>13.48961718703802</v>
      </c>
    </row>
    <row r="318" spans="1:10">
      <c r="A318" s="1">
        <f t="shared" si="22"/>
        <v>32578</v>
      </c>
      <c r="B318">
        <f t="shared" si="20"/>
        <v>3438.7402599077368</v>
      </c>
      <c r="C318">
        <f>day_length(F318,$B$1,Fitting!$B$4)</f>
        <v>13.254254341125488</v>
      </c>
      <c r="D318" s="1">
        <f t="shared" si="21"/>
        <v>32578</v>
      </c>
      <c r="E318">
        <f t="shared" si="23"/>
        <v>1989</v>
      </c>
      <c r="F318" s="6">
        <f t="shared" si="24"/>
        <v>70</v>
      </c>
      <c r="G318">
        <v>31.3</v>
      </c>
      <c r="H318">
        <v>13</v>
      </c>
      <c r="I318">
        <f>MAX(0,1-Fitting!$B$7*(Fitting!$B$6-Herm8889!C318)^2)</f>
        <v>0.64002054512815998</v>
      </c>
      <c r="J318">
        <f>tt(G318,H318,Fitting!$B$1:$E$1,Fitting!$B$2:$E$2)*I318</f>
        <v>13.935834313376736</v>
      </c>
    </row>
    <row r="319" spans="1:10">
      <c r="A319" s="1">
        <f t="shared" si="22"/>
        <v>32579</v>
      </c>
      <c r="B319">
        <f t="shared" si="20"/>
        <v>3452.8338556457743</v>
      </c>
      <c r="C319">
        <f>day_length(F319,$B$1,Fitting!$B$4)</f>
        <v>13.224880218505859</v>
      </c>
      <c r="D319" s="1">
        <f t="shared" si="21"/>
        <v>32579</v>
      </c>
      <c r="E319">
        <f t="shared" si="23"/>
        <v>1989</v>
      </c>
      <c r="F319" s="6">
        <f t="shared" si="24"/>
        <v>71</v>
      </c>
      <c r="G319">
        <v>31.4</v>
      </c>
      <c r="H319">
        <v>13.7</v>
      </c>
      <c r="I319">
        <f>MAX(0,1-Fitting!$B$7*(Fitting!$B$6-Herm8889!C319)^2)</f>
        <v>0.63728507430051096</v>
      </c>
      <c r="J319">
        <f>tt(G319,H319,Fitting!$B$1:$E$1,Fitting!$B$2:$E$2)*I319</f>
        <v>14.093595738037278</v>
      </c>
    </row>
    <row r="320" spans="1:10">
      <c r="A320" s="1">
        <f t="shared" si="22"/>
        <v>32580</v>
      </c>
      <c r="B320">
        <f t="shared" si="20"/>
        <v>3466.8042094535599</v>
      </c>
      <c r="C320">
        <f>day_length(F320,$B$1,Fitting!$B$4)</f>
        <v>13.195499420166016</v>
      </c>
      <c r="D320" s="1">
        <f t="shared" si="21"/>
        <v>32580</v>
      </c>
      <c r="E320">
        <f t="shared" si="23"/>
        <v>1989</v>
      </c>
      <c r="F320" s="6">
        <f t="shared" si="24"/>
        <v>72</v>
      </c>
      <c r="G320">
        <v>31.3</v>
      </c>
      <c r="H320">
        <v>13.5</v>
      </c>
      <c r="I320">
        <f>MAX(0,1-Fitting!$B$7*(Fitting!$B$6-Herm8889!C320)^2)</f>
        <v>0.63453862419622598</v>
      </c>
      <c r="J320">
        <f>tt(G320,H320,Fitting!$B$1:$E$1,Fitting!$B$2:$E$2)*I320</f>
        <v>13.970353807785797</v>
      </c>
    </row>
    <row r="321" spans="1:10">
      <c r="A321" s="1">
        <f t="shared" si="22"/>
        <v>32581</v>
      </c>
      <c r="B321">
        <f t="shared" si="20"/>
        <v>3480.8634800990521</v>
      </c>
      <c r="C321">
        <f>day_length(F321,$B$1,Fitting!$B$4)</f>
        <v>13.166119575500488</v>
      </c>
      <c r="D321" s="1">
        <f t="shared" si="21"/>
        <v>32581</v>
      </c>
      <c r="E321">
        <f t="shared" si="23"/>
        <v>1989</v>
      </c>
      <c r="F321" s="6">
        <f t="shared" si="24"/>
        <v>73</v>
      </c>
      <c r="G321">
        <v>31.8</v>
      </c>
      <c r="H321">
        <v>14.2</v>
      </c>
      <c r="I321">
        <f>MAX(0,1-Fitting!$B$7*(Fitting!$B$6-Herm8889!C321)^2)</f>
        <v>0.63178190496786013</v>
      </c>
      <c r="J321">
        <f>tt(G321,H321,Fitting!$B$1:$E$1,Fitting!$B$2:$E$2)*I321</f>
        <v>14.059270645492303</v>
      </c>
    </row>
    <row r="322" spans="1:10">
      <c r="A322" s="1">
        <f t="shared" si="22"/>
        <v>32582</v>
      </c>
      <c r="B322">
        <f t="shared" si="20"/>
        <v>3494.0582919983422</v>
      </c>
      <c r="C322">
        <f>day_length(F322,$B$1,Fitting!$B$4)</f>
        <v>13.136747360229492</v>
      </c>
      <c r="D322" s="1">
        <f t="shared" si="21"/>
        <v>32582</v>
      </c>
      <c r="E322">
        <f t="shared" si="23"/>
        <v>1989</v>
      </c>
      <c r="F322" s="6">
        <f t="shared" si="24"/>
        <v>74</v>
      </c>
      <c r="G322">
        <v>33</v>
      </c>
      <c r="H322">
        <v>12.5</v>
      </c>
      <c r="I322">
        <f>MAX(0,1-Fitting!$B$7*(Fitting!$B$6-Herm8889!C322)^2)</f>
        <v>0.6290155475388528</v>
      </c>
      <c r="J322">
        <f>tt(G322,H322,Fitting!$B$1:$E$1,Fitting!$B$2:$E$2)*I322</f>
        <v>13.194811899289943</v>
      </c>
    </row>
    <row r="323" spans="1:10">
      <c r="A323" s="1">
        <f t="shared" si="22"/>
        <v>32583</v>
      </c>
      <c r="B323">
        <f t="shared" si="20"/>
        <v>3508.3309624374592</v>
      </c>
      <c r="C323">
        <f>day_length(F323,$B$1,Fitting!$B$4)</f>
        <v>13.107385635375977</v>
      </c>
      <c r="D323" s="1">
        <f t="shared" si="21"/>
        <v>32583</v>
      </c>
      <c r="E323">
        <f t="shared" si="23"/>
        <v>1989</v>
      </c>
      <c r="F323" s="6">
        <f t="shared" si="24"/>
        <v>75</v>
      </c>
      <c r="G323">
        <v>35.200000000000003</v>
      </c>
      <c r="H323">
        <v>21.1</v>
      </c>
      <c r="I323">
        <f>MAX(0,1-Fitting!$B$7*(Fitting!$B$6-Herm8889!C323)^2)</f>
        <v>0.62623983094798308</v>
      </c>
      <c r="J323">
        <f>tt(G323,H323,Fitting!$B$1:$E$1,Fitting!$B$2:$E$2)*I323</f>
        <v>14.27267043911729</v>
      </c>
    </row>
    <row r="324" spans="1:10">
      <c r="A324" s="1">
        <f t="shared" si="22"/>
        <v>32584</v>
      </c>
      <c r="B324">
        <f t="shared" si="20"/>
        <v>3521.7664309478041</v>
      </c>
      <c r="C324">
        <f>day_length(F324,$B$1,Fitting!$B$4)</f>
        <v>13.078042984008789</v>
      </c>
      <c r="D324" s="1">
        <f t="shared" si="21"/>
        <v>32584</v>
      </c>
      <c r="E324">
        <f t="shared" si="23"/>
        <v>1989</v>
      </c>
      <c r="F324" s="6">
        <f t="shared" si="24"/>
        <v>76</v>
      </c>
      <c r="G324">
        <v>26.4</v>
      </c>
      <c r="H324">
        <v>16.7</v>
      </c>
      <c r="I324">
        <f>MAX(0,1-Fitting!$B$7*(Fitting!$B$6-Herm8889!C324)^2)</f>
        <v>0.62345558222072572</v>
      </c>
      <c r="J324">
        <f>tt(G324,H324,Fitting!$B$1:$E$1,Fitting!$B$2:$E$2)*I324</f>
        <v>13.435468510344931</v>
      </c>
    </row>
    <row r="325" spans="1:10">
      <c r="A325" s="1">
        <f t="shared" si="22"/>
        <v>32585</v>
      </c>
      <c r="B325">
        <f t="shared" ref="B325:B388" si="25">B324+J325</f>
        <v>3533.6521353820267</v>
      </c>
      <c r="C325">
        <f>day_length(F325,$B$1,Fitting!$B$4)</f>
        <v>13.048725128173828</v>
      </c>
      <c r="D325" s="1">
        <f t="shared" ref="D325:D388" si="26">A325</f>
        <v>32585</v>
      </c>
      <c r="E325">
        <f t="shared" si="23"/>
        <v>1989</v>
      </c>
      <c r="F325" s="6">
        <f t="shared" si="24"/>
        <v>77</v>
      </c>
      <c r="G325">
        <v>22.2</v>
      </c>
      <c r="H325">
        <v>16.100000000000001</v>
      </c>
      <c r="I325">
        <f>MAX(0,1-Fitting!$B$7*(Fitting!$B$6-Herm8889!C325)^2)</f>
        <v>0.62066336747599415</v>
      </c>
      <c r="J325">
        <f>tt(G325,H325,Fitting!$B$1:$E$1,Fitting!$B$2:$E$2)*I325</f>
        <v>11.885704434222429</v>
      </c>
    </row>
    <row r="326" spans="1:10">
      <c r="A326" s="1">
        <f t="shared" ref="A326:A389" si="27">A325+1</f>
        <v>32586</v>
      </c>
      <c r="B326">
        <f t="shared" si="25"/>
        <v>3546.3801246258304</v>
      </c>
      <c r="C326">
        <f>day_length(F326,$B$1,Fitting!$B$4)</f>
        <v>13.019434928894043</v>
      </c>
      <c r="D326" s="1">
        <f t="shared" si="26"/>
        <v>32586</v>
      </c>
      <c r="E326">
        <f t="shared" ref="E326:E389" si="28">YEAR(A326)</f>
        <v>1989</v>
      </c>
      <c r="F326" s="6">
        <f t="shared" ref="F326:F389" si="29">A326-DATE(E326,1,1)+1</f>
        <v>78</v>
      </c>
      <c r="G326">
        <v>24</v>
      </c>
      <c r="H326">
        <v>17.2</v>
      </c>
      <c r="I326">
        <f>MAX(0,1-Fitting!$B$7*(Fitting!$B$6-Herm8889!C326)^2)</f>
        <v>0.61786348687506143</v>
      </c>
      <c r="J326">
        <f>tt(G326,H326,Fitting!$B$1:$E$1,Fitting!$B$2:$E$2)*I326</f>
        <v>12.727989243803558</v>
      </c>
    </row>
    <row r="327" spans="1:10">
      <c r="A327" s="1">
        <f t="shared" si="27"/>
        <v>32587</v>
      </c>
      <c r="B327">
        <f t="shared" si="25"/>
        <v>3559.3578243989409</v>
      </c>
      <c r="C327">
        <f>day_length(F327,$B$1,Fitting!$B$4)</f>
        <v>12.990180969238281</v>
      </c>
      <c r="D327" s="1">
        <f t="shared" si="26"/>
        <v>32587</v>
      </c>
      <c r="E327">
        <f t="shared" si="28"/>
        <v>1989</v>
      </c>
      <c r="F327" s="6">
        <f t="shared" si="29"/>
        <v>79</v>
      </c>
      <c r="G327">
        <v>25.6</v>
      </c>
      <c r="H327">
        <v>16.600000000000001</v>
      </c>
      <c r="I327">
        <f>MAX(0,1-Fitting!$B$7*(Fitting!$B$6-Herm8889!C327)^2)</f>
        <v>0.61505679456668438</v>
      </c>
      <c r="J327">
        <f>tt(G327,H327,Fitting!$B$1:$E$1,Fitting!$B$2:$E$2)*I327</f>
        <v>12.977699773110324</v>
      </c>
    </row>
    <row r="328" spans="1:10">
      <c r="A328" s="1">
        <f t="shared" si="27"/>
        <v>32588</v>
      </c>
      <c r="B328">
        <f t="shared" si="25"/>
        <v>3571.6639241042103</v>
      </c>
      <c r="C328">
        <f>day_length(F328,$B$1,Fitting!$B$4)</f>
        <v>12.960967063903809</v>
      </c>
      <c r="D328" s="1">
        <f t="shared" si="26"/>
        <v>32588</v>
      </c>
      <c r="E328">
        <f t="shared" si="28"/>
        <v>1989</v>
      </c>
      <c r="F328" s="6">
        <f t="shared" si="29"/>
        <v>80</v>
      </c>
      <c r="G328">
        <v>27.2</v>
      </c>
      <c r="H328">
        <v>13</v>
      </c>
      <c r="I328">
        <f>MAX(0,1-Fitting!$B$7*(Fitting!$B$6-Herm8889!C328)^2)</f>
        <v>0.6122436967141639</v>
      </c>
      <c r="J328">
        <f>tt(G328,H328,Fitting!$B$1:$E$1,Fitting!$B$2:$E$2)*I328</f>
        <v>12.306099705269308</v>
      </c>
    </row>
    <row r="329" spans="1:10">
      <c r="A329" s="1">
        <f t="shared" si="27"/>
        <v>32589</v>
      </c>
      <c r="B329">
        <f t="shared" si="25"/>
        <v>3584.1571303949449</v>
      </c>
      <c r="C329">
        <f>day_length(F329,$B$1,Fitting!$B$4)</f>
        <v>12.931797981262207</v>
      </c>
      <c r="D329" s="1">
        <f t="shared" si="26"/>
        <v>32589</v>
      </c>
      <c r="E329">
        <f t="shared" si="28"/>
        <v>1989</v>
      </c>
      <c r="F329" s="6">
        <f t="shared" si="29"/>
        <v>81</v>
      </c>
      <c r="G329">
        <v>27.8</v>
      </c>
      <c r="H329">
        <v>13.2</v>
      </c>
      <c r="I329">
        <f>MAX(0,1-Fitting!$B$7*(Fitting!$B$6-Herm8889!C329)^2)</f>
        <v>0.60942469710901248</v>
      </c>
      <c r="J329">
        <f>tt(G329,H329,Fitting!$B$1:$E$1,Fitting!$B$2:$E$2)*I329</f>
        <v>12.493206290734756</v>
      </c>
    </row>
    <row r="330" spans="1:10">
      <c r="A330" s="1">
        <f t="shared" si="27"/>
        <v>32590</v>
      </c>
      <c r="B330">
        <f t="shared" si="25"/>
        <v>3598.5104177842327</v>
      </c>
      <c r="C330">
        <f>day_length(F330,$B$1,Fitting!$B$4)</f>
        <v>12.902681350708008</v>
      </c>
      <c r="D330" s="1">
        <f t="shared" si="26"/>
        <v>32590</v>
      </c>
      <c r="E330">
        <f t="shared" si="28"/>
        <v>1989</v>
      </c>
      <c r="F330" s="6">
        <f t="shared" si="29"/>
        <v>82</v>
      </c>
      <c r="G330">
        <v>32.1</v>
      </c>
      <c r="H330">
        <v>17.7</v>
      </c>
      <c r="I330">
        <f>MAX(0,1-Fitting!$B$7*(Fitting!$B$6-Herm8889!C330)^2)</f>
        <v>0.60660058415096862</v>
      </c>
      <c r="J330">
        <f>tt(G330,H330,Fitting!$B$1:$E$1,Fitting!$B$2:$E$2)*I330</f>
        <v>14.353287389287834</v>
      </c>
    </row>
    <row r="331" spans="1:10">
      <c r="A331" s="1">
        <f t="shared" si="27"/>
        <v>32591</v>
      </c>
      <c r="B331">
        <f t="shared" si="25"/>
        <v>3612.6449040375965</v>
      </c>
      <c r="C331">
        <f>day_length(F331,$B$1,Fitting!$B$4)</f>
        <v>12.873620986938477</v>
      </c>
      <c r="D331" s="1">
        <f t="shared" si="26"/>
        <v>32591</v>
      </c>
      <c r="E331">
        <f t="shared" si="28"/>
        <v>1989</v>
      </c>
      <c r="F331" s="6">
        <f t="shared" si="29"/>
        <v>83</v>
      </c>
      <c r="G331">
        <v>33.700000000000003</v>
      </c>
      <c r="H331">
        <v>19.2</v>
      </c>
      <c r="I331">
        <f>MAX(0,1-Fitting!$B$7*(Fitting!$B$6-Herm8889!C331)^2)</f>
        <v>0.60377178481643934</v>
      </c>
      <c r="J331">
        <f>tt(G331,H331,Fitting!$B$1:$E$1,Fitting!$B$2:$E$2)*I331</f>
        <v>14.134486253363864</v>
      </c>
    </row>
    <row r="332" spans="1:10">
      <c r="A332" s="1">
        <f t="shared" si="27"/>
        <v>32592</v>
      </c>
      <c r="B332">
        <f t="shared" si="25"/>
        <v>3626.1653114093174</v>
      </c>
      <c r="C332">
        <f>day_length(F332,$B$1,Fitting!$B$4)</f>
        <v>12.844620704650879</v>
      </c>
      <c r="D332" s="1">
        <f t="shared" si="26"/>
        <v>32592</v>
      </c>
      <c r="E332">
        <f t="shared" si="28"/>
        <v>1989</v>
      </c>
      <c r="F332" s="6">
        <f t="shared" si="29"/>
        <v>84</v>
      </c>
      <c r="G332">
        <v>35</v>
      </c>
      <c r="H332">
        <v>19.7</v>
      </c>
      <c r="I332">
        <f>MAX(0,1-Fitting!$B$7*(Fitting!$B$6-Herm8889!C332)^2)</f>
        <v>0.60093873129394515</v>
      </c>
      <c r="J332">
        <f>tt(G332,H332,Fitting!$B$1:$E$1,Fitting!$B$2:$E$2)*I332</f>
        <v>13.520407371720889</v>
      </c>
    </row>
    <row r="333" spans="1:10">
      <c r="A333" s="1">
        <f t="shared" si="27"/>
        <v>32593</v>
      </c>
      <c r="B333">
        <f t="shared" si="25"/>
        <v>3638.2170712286133</v>
      </c>
      <c r="C333">
        <f>day_length(F333,$B$1,Fitting!$B$4)</f>
        <v>12.815688133239746</v>
      </c>
      <c r="D333" s="1">
        <f t="shared" si="26"/>
        <v>32593</v>
      </c>
      <c r="E333">
        <f t="shared" si="28"/>
        <v>1989</v>
      </c>
      <c r="F333" s="6">
        <f t="shared" si="29"/>
        <v>85</v>
      </c>
      <c r="G333">
        <v>24.3</v>
      </c>
      <c r="H333">
        <v>16</v>
      </c>
      <c r="I333">
        <f>MAX(0,1-Fitting!$B$7*(Fitting!$B$6-Herm8889!C333)^2)</f>
        <v>0.59810223560564379</v>
      </c>
      <c r="J333">
        <f>tt(G333,H333,Fitting!$B$1:$E$1,Fitting!$B$2:$E$2)*I333</f>
        <v>12.051759819295826</v>
      </c>
    </row>
    <row r="334" spans="1:10">
      <c r="A334" s="1">
        <f t="shared" si="27"/>
        <v>32594</v>
      </c>
      <c r="B334">
        <f t="shared" si="25"/>
        <v>3649.0210898096152</v>
      </c>
      <c r="C334">
        <f>day_length(F334,$B$1,Fitting!$B$4)</f>
        <v>12.786827087402344</v>
      </c>
      <c r="D334" s="1">
        <f t="shared" si="26"/>
        <v>32594</v>
      </c>
      <c r="E334">
        <f t="shared" si="28"/>
        <v>1989</v>
      </c>
      <c r="F334" s="6">
        <f t="shared" si="29"/>
        <v>86</v>
      </c>
      <c r="G334">
        <v>19.7</v>
      </c>
      <c r="H334">
        <v>16.600000000000001</v>
      </c>
      <c r="I334">
        <f>MAX(0,1-Fitting!$B$7*(Fitting!$B$6-Herm8889!C334)^2)</f>
        <v>0.59526274424663272</v>
      </c>
      <c r="J334">
        <f>tt(G334,H334,Fitting!$B$1:$E$1,Fitting!$B$2:$E$2)*I334</f>
        <v>10.804018581001667</v>
      </c>
    </row>
    <row r="335" spans="1:10">
      <c r="A335" s="1">
        <f t="shared" si="27"/>
        <v>32595</v>
      </c>
      <c r="B335">
        <f t="shared" si="25"/>
        <v>3659.6846676617265</v>
      </c>
      <c r="C335">
        <f>day_length(F335,$B$1,Fitting!$B$4)</f>
        <v>12.758044242858887</v>
      </c>
      <c r="D335" s="1">
        <f t="shared" si="26"/>
        <v>32595</v>
      </c>
      <c r="E335">
        <f t="shared" si="28"/>
        <v>1989</v>
      </c>
      <c r="F335" s="6">
        <f t="shared" si="29"/>
        <v>87</v>
      </c>
      <c r="G335">
        <v>20.399999999999999</v>
      </c>
      <c r="H335">
        <v>15.6</v>
      </c>
      <c r="I335">
        <f>MAX(0,1-Fitting!$B$7*(Fitting!$B$6-Herm8889!C335)^2)</f>
        <v>0.59242099178397067</v>
      </c>
      <c r="J335">
        <f>tt(G335,H335,Fitting!$B$1:$E$1,Fitting!$B$2:$E$2)*I335</f>
        <v>10.663577852111473</v>
      </c>
    </row>
    <row r="336" spans="1:10">
      <c r="A336" s="1">
        <f t="shared" si="27"/>
        <v>32596</v>
      </c>
      <c r="B336">
        <f t="shared" si="25"/>
        <v>3671.9773535188756</v>
      </c>
      <c r="C336">
        <f>day_length(F336,$B$1,Fitting!$B$4)</f>
        <v>12.729341506958008</v>
      </c>
      <c r="D336" s="1">
        <f t="shared" si="26"/>
        <v>32596</v>
      </c>
      <c r="E336">
        <f t="shared" si="28"/>
        <v>1989</v>
      </c>
      <c r="F336" s="6">
        <f t="shared" si="29"/>
        <v>88</v>
      </c>
      <c r="G336">
        <v>26.1</v>
      </c>
      <c r="H336">
        <v>15.6</v>
      </c>
      <c r="I336">
        <f>MAX(0,1-Fitting!$B$7*(Fitting!$B$6-Herm8889!C336)^2)</f>
        <v>0.5895772485488342</v>
      </c>
      <c r="J336">
        <f>tt(G336,H336,Fitting!$B$1:$E$1,Fitting!$B$2:$E$2)*I336</f>
        <v>12.292685857149065</v>
      </c>
    </row>
    <row r="337" spans="1:10">
      <c r="A337" s="1">
        <f t="shared" si="27"/>
        <v>32597</v>
      </c>
      <c r="B337">
        <f t="shared" si="25"/>
        <v>3683.7413368318689</v>
      </c>
      <c r="C337">
        <f>day_length(F337,$B$1,Fitting!$B$4)</f>
        <v>12.700726509094238</v>
      </c>
      <c r="D337" s="1">
        <f t="shared" si="26"/>
        <v>32597</v>
      </c>
      <c r="E337">
        <f t="shared" si="28"/>
        <v>1989</v>
      </c>
      <c r="F337" s="6">
        <f t="shared" si="29"/>
        <v>89</v>
      </c>
      <c r="G337">
        <v>23.4</v>
      </c>
      <c r="H337">
        <v>16.7</v>
      </c>
      <c r="I337">
        <f>MAX(0,1-Fitting!$B$7*(Fitting!$B$6-Herm8889!C337)^2)</f>
        <v>0.58673235713889338</v>
      </c>
      <c r="J337">
        <f>tt(G337,H337,Fitting!$B$1:$E$1,Fitting!$B$2:$E$2)*I337</f>
        <v>11.763983312993549</v>
      </c>
    </row>
    <row r="338" spans="1:10">
      <c r="A338" s="1">
        <f t="shared" si="27"/>
        <v>32598</v>
      </c>
      <c r="B338">
        <f t="shared" si="25"/>
        <v>3695.4482684197624</v>
      </c>
      <c r="C338">
        <f>day_length(F338,$B$1,Fitting!$B$4)</f>
        <v>12.67220401763916</v>
      </c>
      <c r="D338" s="1">
        <f t="shared" si="26"/>
        <v>32598</v>
      </c>
      <c r="E338">
        <f t="shared" si="28"/>
        <v>1989</v>
      </c>
      <c r="F338" s="6">
        <f t="shared" si="29"/>
        <v>90</v>
      </c>
      <c r="G338">
        <v>23.2</v>
      </c>
      <c r="H338">
        <v>16.899999999999999</v>
      </c>
      <c r="I338">
        <f>MAX(0,1-Fitting!$B$7*(Fitting!$B$6-Herm8889!C338)^2)</f>
        <v>0.58388688445704795</v>
      </c>
      <c r="J338">
        <f>tt(G338,H338,Fitting!$B$1:$E$1,Fitting!$B$2:$E$2)*I338</f>
        <v>11.706931587893472</v>
      </c>
    </row>
    <row r="339" spans="1:10">
      <c r="A339" s="1">
        <f t="shared" si="27"/>
        <v>32599</v>
      </c>
      <c r="B339">
        <f t="shared" si="25"/>
        <v>3707.3015117240534</v>
      </c>
      <c r="C339">
        <f>day_length(F339,$B$1,Fitting!$B$4)</f>
        <v>12.643778800964355</v>
      </c>
      <c r="D339" s="1">
        <f t="shared" si="26"/>
        <v>32599</v>
      </c>
      <c r="E339">
        <f t="shared" si="28"/>
        <v>1989</v>
      </c>
      <c r="F339" s="6">
        <f t="shared" si="29"/>
        <v>91</v>
      </c>
      <c r="G339">
        <v>23.9</v>
      </c>
      <c r="H339">
        <v>16.899999999999999</v>
      </c>
      <c r="I339">
        <f>MAX(0,1-Fitting!$B$7*(Fitting!$B$6-Herm8889!C339)^2)</f>
        <v>0.58104140363672374</v>
      </c>
      <c r="J339">
        <f>tt(G339,H339,Fitting!$B$1:$E$1,Fitting!$B$2:$E$2)*I339</f>
        <v>11.853243304290933</v>
      </c>
    </row>
    <row r="340" spans="1:10">
      <c r="A340" s="1">
        <f t="shared" si="27"/>
        <v>32600</v>
      </c>
      <c r="B340">
        <f t="shared" si="25"/>
        <v>3718.7208905852262</v>
      </c>
      <c r="C340">
        <f>day_length(F340,$B$1,Fitting!$B$4)</f>
        <v>12.61545467376709</v>
      </c>
      <c r="D340" s="1">
        <f t="shared" si="26"/>
        <v>32600</v>
      </c>
      <c r="E340">
        <f t="shared" si="28"/>
        <v>1989</v>
      </c>
      <c r="F340" s="6">
        <f t="shared" si="29"/>
        <v>92</v>
      </c>
      <c r="G340">
        <v>21.7</v>
      </c>
      <c r="H340">
        <v>17.8</v>
      </c>
      <c r="I340">
        <f>MAX(0,1-Fitting!$B$7*(Fitting!$B$6-Herm8889!C340)^2)</f>
        <v>0.57819639803407519</v>
      </c>
      <c r="J340">
        <f>tt(G340,H340,Fitting!$B$1:$E$1,Fitting!$B$2:$E$2)*I340</f>
        <v>11.419378861172985</v>
      </c>
    </row>
    <row r="341" spans="1:10">
      <c r="A341" s="1">
        <f t="shared" si="27"/>
        <v>32601</v>
      </c>
      <c r="B341">
        <f t="shared" si="25"/>
        <v>3730.1416416149364</v>
      </c>
      <c r="C341">
        <f>day_length(F341,$B$1,Fitting!$B$4)</f>
        <v>12.587239265441895</v>
      </c>
      <c r="D341" s="1">
        <f t="shared" si="26"/>
        <v>32601</v>
      </c>
      <c r="E341">
        <f t="shared" si="28"/>
        <v>1989</v>
      </c>
      <c r="F341" s="6">
        <f t="shared" si="29"/>
        <v>93</v>
      </c>
      <c r="G341">
        <v>20.9</v>
      </c>
      <c r="H341">
        <v>18.8</v>
      </c>
      <c r="I341">
        <f>MAX(0,1-Fitting!$B$7*(Fitting!$B$6-Herm8889!C341)^2)</f>
        <v>0.57535274093846422</v>
      </c>
      <c r="J341">
        <f>tt(G341,H341,Fitting!$B$1:$E$1,Fitting!$B$2:$E$2)*I341</f>
        <v>11.420751029709903</v>
      </c>
    </row>
    <row r="342" spans="1:10">
      <c r="A342" s="1">
        <f t="shared" si="27"/>
        <v>32602</v>
      </c>
      <c r="B342">
        <f t="shared" si="25"/>
        <v>3741.8208623810856</v>
      </c>
      <c r="C342">
        <f>day_length(F342,$B$1,Fitting!$B$4)</f>
        <v>12.559135437011719</v>
      </c>
      <c r="D342" s="1">
        <f t="shared" si="26"/>
        <v>32602</v>
      </c>
      <c r="E342">
        <f t="shared" si="28"/>
        <v>1989</v>
      </c>
      <c r="F342" s="6">
        <f t="shared" si="29"/>
        <v>94</v>
      </c>
      <c r="G342">
        <v>23</v>
      </c>
      <c r="H342">
        <v>17.8</v>
      </c>
      <c r="I342">
        <f>MAX(0,1-Fitting!$B$7*(Fitting!$B$6-Herm8889!C342)^2)</f>
        <v>0.57251083257573188</v>
      </c>
      <c r="J342">
        <f>tt(G342,H342,Fitting!$B$1:$E$1,Fitting!$B$2:$E$2)*I342</f>
        <v>11.679220766149379</v>
      </c>
    </row>
    <row r="343" spans="1:10">
      <c r="A343" s="1">
        <f t="shared" si="27"/>
        <v>32603</v>
      </c>
      <c r="B343">
        <f t="shared" si="25"/>
        <v>3753.3282244360903</v>
      </c>
      <c r="C343">
        <f>day_length(F343,$B$1,Fitting!$B$4)</f>
        <v>12.531148910522461</v>
      </c>
      <c r="D343" s="1">
        <f t="shared" si="26"/>
        <v>32603</v>
      </c>
      <c r="E343">
        <f t="shared" si="28"/>
        <v>1989</v>
      </c>
      <c r="F343" s="6">
        <f t="shared" si="29"/>
        <v>95</v>
      </c>
      <c r="G343">
        <v>23.2</v>
      </c>
      <c r="H343">
        <v>17.2</v>
      </c>
      <c r="I343">
        <f>MAX(0,1-Fitting!$B$7*(Fitting!$B$6-Herm8889!C343)^2)</f>
        <v>0.56967136734553059</v>
      </c>
      <c r="J343">
        <f>tt(G343,H343,Fitting!$B$1:$E$1,Fitting!$B$2:$E$2)*I343</f>
        <v>11.50736205500448</v>
      </c>
    </row>
    <row r="344" spans="1:10">
      <c r="A344" s="1">
        <f t="shared" si="27"/>
        <v>32604</v>
      </c>
      <c r="B344">
        <f t="shared" si="25"/>
        <v>3764.4098472686501</v>
      </c>
      <c r="C344">
        <f>day_length(F344,$B$1,Fitting!$B$4)</f>
        <v>12.503284454345703</v>
      </c>
      <c r="D344" s="1">
        <f t="shared" si="26"/>
        <v>32604</v>
      </c>
      <c r="E344">
        <f t="shared" si="28"/>
        <v>1989</v>
      </c>
      <c r="F344" s="6">
        <f t="shared" si="29"/>
        <v>96</v>
      </c>
      <c r="G344">
        <v>25.4</v>
      </c>
      <c r="H344">
        <v>13.7</v>
      </c>
      <c r="I344">
        <f>MAX(0,1-Fitting!$B$7*(Fitting!$B$6-Herm8889!C344)^2)</f>
        <v>0.56683494961741965</v>
      </c>
      <c r="J344">
        <f>tt(G344,H344,Fitting!$B$1:$E$1,Fitting!$B$2:$E$2)*I344</f>
        <v>11.081622832559807</v>
      </c>
    </row>
    <row r="345" spans="1:10">
      <c r="A345" s="1">
        <f t="shared" si="27"/>
        <v>32605</v>
      </c>
      <c r="B345">
        <f t="shared" si="25"/>
        <v>3775.6616903060376</v>
      </c>
      <c r="C345">
        <f>day_length(F345,$B$1,Fitting!$B$4)</f>
        <v>12.475546836853027</v>
      </c>
      <c r="D345" s="1">
        <f t="shared" si="26"/>
        <v>32605</v>
      </c>
      <c r="E345">
        <f t="shared" si="28"/>
        <v>1989</v>
      </c>
      <c r="F345" s="6">
        <f t="shared" si="29"/>
        <v>97</v>
      </c>
      <c r="G345">
        <v>24.3</v>
      </c>
      <c r="H345">
        <v>15.6</v>
      </c>
      <c r="I345">
        <f>MAX(0,1-Fitting!$B$7*(Fitting!$B$6-Herm8889!C345)^2)</f>
        <v>0.56400218961588144</v>
      </c>
      <c r="J345">
        <f>tt(G345,H345,Fitting!$B$1:$E$1,Fitting!$B$2:$E$2)*I345</f>
        <v>11.251843037387552</v>
      </c>
    </row>
    <row r="346" spans="1:10">
      <c r="A346" s="1">
        <f t="shared" si="27"/>
        <v>32606</v>
      </c>
      <c r="B346">
        <f t="shared" si="25"/>
        <v>3786.9693472010795</v>
      </c>
      <c r="C346">
        <f>day_length(F346,$B$1,Fitting!$B$4)</f>
        <v>12.447943687438965</v>
      </c>
      <c r="D346" s="1">
        <f t="shared" si="26"/>
        <v>32606</v>
      </c>
      <c r="E346">
        <f t="shared" si="28"/>
        <v>1989</v>
      </c>
      <c r="F346" s="6">
        <f t="shared" si="29"/>
        <v>98</v>
      </c>
      <c r="G346">
        <v>24.2</v>
      </c>
      <c r="H346">
        <v>16.100000000000001</v>
      </c>
      <c r="I346">
        <f>MAX(0,1-Fitting!$B$7*(Fitting!$B$6-Herm8889!C346)^2)</f>
        <v>0.56117399696070969</v>
      </c>
      <c r="J346">
        <f>tt(G346,H346,Fitting!$B$1:$E$1,Fitting!$B$2:$E$2)*I346</f>
        <v>11.307656895041864</v>
      </c>
    </row>
    <row r="347" spans="1:10">
      <c r="A347" s="1">
        <f t="shared" si="27"/>
        <v>32607</v>
      </c>
      <c r="B347">
        <f t="shared" si="25"/>
        <v>3797.9967724935859</v>
      </c>
      <c r="C347">
        <f>day_length(F347,$B$1,Fitting!$B$4)</f>
        <v>12.420476913452148</v>
      </c>
      <c r="D347" s="1">
        <f t="shared" si="26"/>
        <v>32607</v>
      </c>
      <c r="E347">
        <f t="shared" si="28"/>
        <v>1989</v>
      </c>
      <c r="F347" s="6">
        <f t="shared" si="29"/>
        <v>99</v>
      </c>
      <c r="G347">
        <v>25.5</v>
      </c>
      <c r="H347">
        <v>14</v>
      </c>
      <c r="I347">
        <f>MAX(0,1-Fitting!$B$7*(Fitting!$B$6-Herm8889!C347)^2)</f>
        <v>0.55835070164435452</v>
      </c>
      <c r="J347">
        <f>tt(G347,H347,Fitting!$B$1:$E$1,Fitting!$B$2:$E$2)*I347</f>
        <v>11.027425292506555</v>
      </c>
    </row>
    <row r="348" spans="1:10">
      <c r="A348" s="1">
        <f t="shared" si="27"/>
        <v>32608</v>
      </c>
      <c r="B348">
        <f t="shared" si="25"/>
        <v>3808.579678158118</v>
      </c>
      <c r="C348">
        <f>day_length(F348,$B$1,Fitting!$B$4)</f>
        <v>12.393153190612793</v>
      </c>
      <c r="D348" s="1">
        <f t="shared" si="26"/>
        <v>32608</v>
      </c>
      <c r="E348">
        <f t="shared" si="28"/>
        <v>1989</v>
      </c>
      <c r="F348" s="6">
        <f t="shared" si="29"/>
        <v>100</v>
      </c>
      <c r="G348">
        <v>24.9</v>
      </c>
      <c r="H348">
        <v>13.2</v>
      </c>
      <c r="I348">
        <f>MAX(0,1-Fitting!$B$7*(Fitting!$B$6-Herm8889!C348)^2)</f>
        <v>0.55553312799844745</v>
      </c>
      <c r="J348">
        <f>tt(G348,H348,Fitting!$B$1:$E$1,Fitting!$B$2:$E$2)*I348</f>
        <v>10.582905664532284</v>
      </c>
    </row>
    <row r="349" spans="1:10">
      <c r="A349" s="1">
        <f t="shared" si="27"/>
        <v>32609</v>
      </c>
      <c r="B349">
        <f t="shared" si="25"/>
        <v>3820.0486598570533</v>
      </c>
      <c r="C349">
        <f>day_length(F349,$B$1,Fitting!$B$4)</f>
        <v>12.365978240966797</v>
      </c>
      <c r="D349" s="1">
        <f t="shared" si="26"/>
        <v>32609</v>
      </c>
      <c r="E349">
        <f t="shared" si="28"/>
        <v>1989</v>
      </c>
      <c r="F349" s="6">
        <f t="shared" si="29"/>
        <v>101</v>
      </c>
      <c r="G349">
        <v>26.2</v>
      </c>
      <c r="H349">
        <v>15.3</v>
      </c>
      <c r="I349">
        <f>MAX(0,1-Fitting!$B$7*(Fitting!$B$6-Herm8889!C349)^2)</f>
        <v>0.55272200958724715</v>
      </c>
      <c r="J349">
        <f>tt(G349,H349,Fitting!$B$1:$E$1,Fitting!$B$2:$E$2)*I349</f>
        <v>11.468981698935378</v>
      </c>
    </row>
    <row r="350" spans="1:10">
      <c r="A350" s="1">
        <f t="shared" si="27"/>
        <v>32610</v>
      </c>
      <c r="B350">
        <f t="shared" si="25"/>
        <v>3829.892190898996</v>
      </c>
      <c r="C350">
        <f>day_length(F350,$B$1,Fitting!$B$4)</f>
        <v>12.338955879211426</v>
      </c>
      <c r="D350" s="1">
        <f t="shared" si="26"/>
        <v>32610</v>
      </c>
      <c r="E350">
        <f t="shared" si="28"/>
        <v>1989</v>
      </c>
      <c r="F350" s="6">
        <f t="shared" si="29"/>
        <v>102</v>
      </c>
      <c r="G350">
        <v>23.6</v>
      </c>
      <c r="H350">
        <v>12.2</v>
      </c>
      <c r="I350">
        <f>MAX(0,1-Fitting!$B$7*(Fitting!$B$6-Herm8889!C350)^2)</f>
        <v>0.54991788842652201</v>
      </c>
      <c r="J350">
        <f>tt(G350,H350,Fitting!$B$1:$E$1,Fitting!$B$2:$E$2)*I350</f>
        <v>9.8435310419428497</v>
      </c>
    </row>
    <row r="351" spans="1:10">
      <c r="A351" s="1">
        <f t="shared" si="27"/>
        <v>32611</v>
      </c>
      <c r="B351">
        <f t="shared" si="25"/>
        <v>3841.2449632407679</v>
      </c>
      <c r="C351">
        <f>day_length(F351,$B$1,Fitting!$B$4)</f>
        <v>12.312092781066895</v>
      </c>
      <c r="D351" s="1">
        <f t="shared" si="26"/>
        <v>32611</v>
      </c>
      <c r="E351">
        <f t="shared" si="28"/>
        <v>1989</v>
      </c>
      <c r="F351" s="6">
        <f t="shared" si="29"/>
        <v>103</v>
      </c>
      <c r="G351">
        <v>26.5</v>
      </c>
      <c r="H351">
        <v>15</v>
      </c>
      <c r="I351">
        <f>MAX(0,1-Fitting!$B$7*(Fitting!$B$6-Herm8889!C351)^2)</f>
        <v>0.54712160893126016</v>
      </c>
      <c r="J351">
        <f>tt(G351,H351,Fitting!$B$1:$E$1,Fitting!$B$2:$E$2)*I351</f>
        <v>11.352772341771995</v>
      </c>
    </row>
    <row r="352" spans="1:10">
      <c r="A352" s="1">
        <f t="shared" si="27"/>
        <v>32612</v>
      </c>
      <c r="B352">
        <f t="shared" si="25"/>
        <v>3850.3081222372039</v>
      </c>
      <c r="C352">
        <f>day_length(F352,$B$1,Fitting!$B$4)</f>
        <v>12.285393714904785</v>
      </c>
      <c r="D352" s="1">
        <f t="shared" si="26"/>
        <v>32612</v>
      </c>
      <c r="E352">
        <f t="shared" si="28"/>
        <v>1989</v>
      </c>
      <c r="F352" s="6">
        <f t="shared" si="29"/>
        <v>104</v>
      </c>
      <c r="G352">
        <v>23.2</v>
      </c>
      <c r="H352">
        <v>10.1</v>
      </c>
      <c r="I352">
        <f>MAX(0,1-Fitting!$B$7*(Fitting!$B$6-Herm8889!C352)^2)</f>
        <v>0.54433382377467388</v>
      </c>
      <c r="J352">
        <f>tt(G352,H352,Fitting!$B$1:$E$1,Fitting!$B$2:$E$2)*I352</f>
        <v>9.0631589964358188</v>
      </c>
    </row>
    <row r="353" spans="1:10">
      <c r="A353" s="1">
        <f t="shared" si="27"/>
        <v>32613</v>
      </c>
      <c r="B353">
        <f t="shared" si="25"/>
        <v>3858.8917743198367</v>
      </c>
      <c r="C353">
        <f>day_length(F353,$B$1,Fitting!$B$4)</f>
        <v>12.258864402770996</v>
      </c>
      <c r="D353" s="1">
        <f t="shared" si="26"/>
        <v>32613</v>
      </c>
      <c r="E353">
        <f t="shared" si="28"/>
        <v>1989</v>
      </c>
      <c r="F353" s="6">
        <f t="shared" si="29"/>
        <v>105</v>
      </c>
      <c r="G353">
        <v>23.7</v>
      </c>
      <c r="H353">
        <v>8</v>
      </c>
      <c r="I353">
        <f>MAX(0,1-Fitting!$B$7*(Fitting!$B$6-Herm8889!C353)^2)</f>
        <v>0.54155529082513565</v>
      </c>
      <c r="J353">
        <f>tt(G353,H353,Fitting!$B$1:$E$1,Fitting!$B$2:$E$2)*I353</f>
        <v>8.5836520826327209</v>
      </c>
    </row>
    <row r="354" spans="1:10">
      <c r="A354" s="1">
        <f t="shared" si="27"/>
        <v>32614</v>
      </c>
      <c r="B354">
        <f t="shared" si="25"/>
        <v>3868.3744199857802</v>
      </c>
      <c r="C354">
        <f>day_length(F354,$B$1,Fitting!$B$4)</f>
        <v>12.232509613037109</v>
      </c>
      <c r="D354" s="1">
        <f t="shared" si="26"/>
        <v>32614</v>
      </c>
      <c r="E354">
        <f t="shared" si="28"/>
        <v>1989</v>
      </c>
      <c r="F354" s="6">
        <f t="shared" si="29"/>
        <v>106</v>
      </c>
      <c r="G354">
        <v>25.2</v>
      </c>
      <c r="H354">
        <v>10</v>
      </c>
      <c r="I354">
        <f>MAX(0,1-Fitting!$B$7*(Fitting!$B$6-Herm8889!C354)^2)</f>
        <v>0.53878667388707979</v>
      </c>
      <c r="J354">
        <f>tt(G354,H354,Fitting!$B$1:$E$1,Fitting!$B$2:$E$2)*I354</f>
        <v>9.4826456659434086</v>
      </c>
    </row>
    <row r="355" spans="1:10">
      <c r="A355" s="1">
        <f t="shared" si="27"/>
        <v>32615</v>
      </c>
      <c r="B355">
        <f t="shared" si="25"/>
        <v>3877.8621309156838</v>
      </c>
      <c r="C355">
        <f>day_length(F355,$B$1,Fitting!$B$4)</f>
        <v>12.20633602142334</v>
      </c>
      <c r="D355" s="1">
        <f t="shared" si="26"/>
        <v>32615</v>
      </c>
      <c r="E355">
        <f t="shared" si="28"/>
        <v>1989</v>
      </c>
      <c r="F355" s="6">
        <f t="shared" si="29"/>
        <v>107</v>
      </c>
      <c r="G355">
        <v>25.6</v>
      </c>
      <c r="H355">
        <v>9.8000000000000007</v>
      </c>
      <c r="I355">
        <f>MAX(0,1-Fitting!$B$7*(Fitting!$B$6-Herm8889!C355)^2)</f>
        <v>0.53602884299129983</v>
      </c>
      <c r="J355">
        <f>tt(G355,H355,Fitting!$B$1:$E$1,Fitting!$B$2:$E$2)*I355</f>
        <v>9.4877109299035585</v>
      </c>
    </row>
    <row r="356" spans="1:10">
      <c r="A356" s="1">
        <f t="shared" si="27"/>
        <v>32616</v>
      </c>
      <c r="B356">
        <f t="shared" si="25"/>
        <v>3886.8746028092492</v>
      </c>
      <c r="C356">
        <f>day_length(F356,$B$1,Fitting!$B$4)</f>
        <v>12.180347442626953</v>
      </c>
      <c r="D356" s="1">
        <f t="shared" si="26"/>
        <v>32616</v>
      </c>
      <c r="E356">
        <f t="shared" si="28"/>
        <v>1989</v>
      </c>
      <c r="F356" s="6">
        <f t="shared" si="29"/>
        <v>108</v>
      </c>
      <c r="G356">
        <v>25.8</v>
      </c>
      <c r="H356">
        <v>8</v>
      </c>
      <c r="I356">
        <f>MAX(0,1-Fitting!$B$7*(Fitting!$B$6-Herm8889!C356)^2)</f>
        <v>0.53328237260333844</v>
      </c>
      <c r="J356">
        <f>tt(G356,H356,Fitting!$B$1:$E$1,Fitting!$B$2:$E$2)*I356</f>
        <v>9.0124718935653387</v>
      </c>
    </row>
    <row r="357" spans="1:10">
      <c r="A357" s="1">
        <f t="shared" si="27"/>
        <v>32617</v>
      </c>
      <c r="B357">
        <f t="shared" si="25"/>
        <v>3897.7508418449606</v>
      </c>
      <c r="C357">
        <f>day_length(F357,$B$1,Fitting!$B$4)</f>
        <v>12.15455150604248</v>
      </c>
      <c r="D357" s="1">
        <f t="shared" si="26"/>
        <v>32617</v>
      </c>
      <c r="E357">
        <f t="shared" si="28"/>
        <v>1989</v>
      </c>
      <c r="F357" s="6">
        <f t="shared" si="29"/>
        <v>109</v>
      </c>
      <c r="G357">
        <v>25.8</v>
      </c>
      <c r="H357">
        <v>15.2</v>
      </c>
      <c r="I357">
        <f>MAX(0,1-Fitting!$B$7*(Fitting!$B$6-Herm8889!C357)^2)</f>
        <v>0.5305482456444679</v>
      </c>
      <c r="J357">
        <f>tt(G357,H357,Fitting!$B$1:$E$1,Fitting!$B$2:$E$2)*I357</f>
        <v>10.876239035711592</v>
      </c>
    </row>
    <row r="358" spans="1:10">
      <c r="A358" s="1">
        <f t="shared" si="27"/>
        <v>32618</v>
      </c>
      <c r="B358">
        <f t="shared" si="25"/>
        <v>3907.5420331659107</v>
      </c>
      <c r="C358">
        <f>day_length(F358,$B$1,Fitting!$B$4)</f>
        <v>12.128952026367188</v>
      </c>
      <c r="D358" s="1">
        <f t="shared" si="26"/>
        <v>32618</v>
      </c>
      <c r="E358">
        <f t="shared" si="28"/>
        <v>1989</v>
      </c>
      <c r="F358" s="6">
        <f t="shared" si="29"/>
        <v>110</v>
      </c>
      <c r="G358">
        <v>22</v>
      </c>
      <c r="H358">
        <v>15.1</v>
      </c>
      <c r="I358">
        <f>MAX(0,1-Fitting!$B$7*(Fitting!$B$6-Herm8889!C358)^2)</f>
        <v>0.52782704709703099</v>
      </c>
      <c r="J358">
        <f>tt(G358,H358,Fitting!$B$1:$E$1,Fitting!$B$2:$E$2)*I358</f>
        <v>9.7911913209498458</v>
      </c>
    </row>
    <row r="359" spans="1:10">
      <c r="A359" s="1">
        <f t="shared" si="27"/>
        <v>32619</v>
      </c>
      <c r="B359">
        <f t="shared" si="25"/>
        <v>3917.3355167228319</v>
      </c>
      <c r="C359">
        <f>day_length(F359,$B$1,Fitting!$B$4)</f>
        <v>12.103556632995605</v>
      </c>
      <c r="D359" s="1">
        <f t="shared" si="26"/>
        <v>32619</v>
      </c>
      <c r="E359">
        <f t="shared" si="28"/>
        <v>1989</v>
      </c>
      <c r="F359" s="6">
        <f t="shared" si="29"/>
        <v>111</v>
      </c>
      <c r="G359">
        <v>23.7</v>
      </c>
      <c r="H359">
        <v>13.6</v>
      </c>
      <c r="I359">
        <f>MAX(0,1-Fitting!$B$7*(Fitting!$B$6-Herm8889!C359)^2)</f>
        <v>0.52511977250610098</v>
      </c>
      <c r="J359">
        <f>tt(G359,H359,Fitting!$B$1:$E$1,Fitting!$B$2:$E$2)*I359</f>
        <v>9.7934835569214869</v>
      </c>
    </row>
    <row r="360" spans="1:10">
      <c r="A360" s="1">
        <f t="shared" si="27"/>
        <v>32620</v>
      </c>
      <c r="B360">
        <f t="shared" si="25"/>
        <v>3927.5750874571745</v>
      </c>
      <c r="C360">
        <f>day_length(F360,$B$1,Fitting!$B$4)</f>
        <v>12.078370094299316</v>
      </c>
      <c r="D360" s="1">
        <f t="shared" si="26"/>
        <v>32620</v>
      </c>
      <c r="E360">
        <f t="shared" si="28"/>
        <v>1989</v>
      </c>
      <c r="F360" s="6">
        <f t="shared" si="29"/>
        <v>112</v>
      </c>
      <c r="G360">
        <v>24.6</v>
      </c>
      <c r="H360">
        <v>14.6</v>
      </c>
      <c r="I360">
        <f>MAX(0,1-Fitting!$B$7*(Fitting!$B$6-Herm8889!C360)^2)</f>
        <v>0.52242711895424332</v>
      </c>
      <c r="J360">
        <f>tt(G360,H360,Fitting!$B$1:$E$1,Fitting!$B$2:$E$2)*I360</f>
        <v>10.239570734342648</v>
      </c>
    </row>
    <row r="361" spans="1:10">
      <c r="A361" s="1">
        <f t="shared" si="27"/>
        <v>32621</v>
      </c>
      <c r="B361">
        <f t="shared" si="25"/>
        <v>3937.0345377174585</v>
      </c>
      <c r="C361">
        <f>day_length(F361,$B$1,Fitting!$B$4)</f>
        <v>12.053399085998535</v>
      </c>
      <c r="D361" s="1">
        <f t="shared" si="26"/>
        <v>32621</v>
      </c>
      <c r="E361">
        <f t="shared" si="28"/>
        <v>1989</v>
      </c>
      <c r="F361" s="6">
        <f t="shared" si="29"/>
        <v>113</v>
      </c>
      <c r="G361">
        <v>21.8</v>
      </c>
      <c r="H361">
        <v>14.6</v>
      </c>
      <c r="I361">
        <f>MAX(0,1-Fitting!$B$7*(Fitting!$B$6-Herm8889!C361)^2)</f>
        <v>0.51974999251352894</v>
      </c>
      <c r="J361">
        <f>tt(G361,H361,Fitting!$B$1:$E$1,Fitting!$B$2:$E$2)*I361</f>
        <v>9.4594502602840009</v>
      </c>
    </row>
    <row r="362" spans="1:10">
      <c r="A362" s="1">
        <f t="shared" si="27"/>
        <v>32622</v>
      </c>
      <c r="B362">
        <f t="shared" si="25"/>
        <v>3946.3162864757473</v>
      </c>
      <c r="C362">
        <f>day_length(F362,$B$1,Fitting!$B$4)</f>
        <v>12.028648376464844</v>
      </c>
      <c r="D362" s="1">
        <f t="shared" si="26"/>
        <v>32622</v>
      </c>
      <c r="E362">
        <f t="shared" si="28"/>
        <v>1989</v>
      </c>
      <c r="F362" s="6">
        <f t="shared" si="29"/>
        <v>114</v>
      </c>
      <c r="G362">
        <v>20</v>
      </c>
      <c r="H362">
        <v>15.9</v>
      </c>
      <c r="I362">
        <f>MAX(0,1-Fitting!$B$7*(Fitting!$B$6-Herm8889!C362)^2)</f>
        <v>0.51708910028135868</v>
      </c>
      <c r="J362">
        <f>tt(G362,H362,Fitting!$B$1:$E$1,Fitting!$B$2:$E$2)*I362</f>
        <v>9.2817487582888756</v>
      </c>
    </row>
    <row r="363" spans="1:10">
      <c r="A363" s="1">
        <f t="shared" si="27"/>
        <v>32623</v>
      </c>
      <c r="B363">
        <f t="shared" si="25"/>
        <v>3956.1936357881909</v>
      </c>
      <c r="C363">
        <f>day_length(F363,$B$1,Fitting!$B$4)</f>
        <v>12.004123687744141</v>
      </c>
      <c r="D363" s="1">
        <f t="shared" si="26"/>
        <v>32623</v>
      </c>
      <c r="E363">
        <f t="shared" si="28"/>
        <v>1989</v>
      </c>
      <c r="F363" s="6">
        <f t="shared" si="29"/>
        <v>115</v>
      </c>
      <c r="G363">
        <v>21.8</v>
      </c>
      <c r="H363">
        <v>16.600000000000001</v>
      </c>
      <c r="I363">
        <f>MAX(0,1-Fitting!$B$7*(Fitting!$B$6-Herm8889!C363)^2)</f>
        <v>0.51444525624756343</v>
      </c>
      <c r="J363">
        <f>tt(G363,H363,Fitting!$B$1:$E$1,Fitting!$B$2:$E$2)*I363</f>
        <v>9.8773493124438012</v>
      </c>
    </row>
    <row r="364" spans="1:10">
      <c r="A364" s="1">
        <f t="shared" si="27"/>
        <v>32624</v>
      </c>
      <c r="B364">
        <f t="shared" si="25"/>
        <v>3965.0225236986539</v>
      </c>
      <c r="C364">
        <f>day_length(F364,$B$1,Fitting!$B$4)</f>
        <v>11.979833602905273</v>
      </c>
      <c r="D364" s="1">
        <f t="shared" si="26"/>
        <v>32624</v>
      </c>
      <c r="E364">
        <f t="shared" si="28"/>
        <v>1989</v>
      </c>
      <c r="F364" s="6">
        <f t="shared" si="29"/>
        <v>116</v>
      </c>
      <c r="G364">
        <v>18.899999999999999</v>
      </c>
      <c r="H364">
        <v>15.6</v>
      </c>
      <c r="I364">
        <f>MAX(0,1-Fitting!$B$7*(Fitting!$B$6-Herm8889!C364)^2)</f>
        <v>0.51181958901233882</v>
      </c>
      <c r="J364">
        <f>tt(G364,H364,Fitting!$B$1:$E$1,Fitting!$B$2:$E$2)*I364</f>
        <v>8.8288879104628446</v>
      </c>
    </row>
    <row r="365" spans="1:10">
      <c r="A365" s="1">
        <f t="shared" si="27"/>
        <v>32625</v>
      </c>
      <c r="B365">
        <f t="shared" si="25"/>
        <v>3974.7739490311087</v>
      </c>
      <c r="C365">
        <f>day_length(F365,$B$1,Fitting!$B$4)</f>
        <v>11.955782890319824</v>
      </c>
      <c r="D365" s="1">
        <f t="shared" si="26"/>
        <v>32625</v>
      </c>
      <c r="E365">
        <f t="shared" si="28"/>
        <v>1989</v>
      </c>
      <c r="F365" s="6">
        <f t="shared" si="29"/>
        <v>117</v>
      </c>
      <c r="G365">
        <v>22</v>
      </c>
      <c r="H365">
        <v>16.3</v>
      </c>
      <c r="I365">
        <f>MAX(0,1-Fitting!$B$7*(Fitting!$B$6-Herm8889!C365)^2)</f>
        <v>0.5092128212378102</v>
      </c>
      <c r="J365">
        <f>tt(G365,H365,Fitting!$B$1:$E$1,Fitting!$B$2:$E$2)*I365</f>
        <v>9.7514253324547902</v>
      </c>
    </row>
    <row r="366" spans="1:10">
      <c r="A366" s="1">
        <f t="shared" si="27"/>
        <v>32626</v>
      </c>
      <c r="B366">
        <f t="shared" si="25"/>
        <v>3983.9692067962201</v>
      </c>
      <c r="C366">
        <f>day_length(F366,$B$1,Fitting!$B$4)</f>
        <v>11.931977272033691</v>
      </c>
      <c r="D366" s="1">
        <f t="shared" si="26"/>
        <v>32626</v>
      </c>
      <c r="E366">
        <f t="shared" si="28"/>
        <v>1989</v>
      </c>
      <c r="F366" s="6">
        <f t="shared" si="29"/>
        <v>118</v>
      </c>
      <c r="G366">
        <v>24.3</v>
      </c>
      <c r="H366">
        <v>12</v>
      </c>
      <c r="I366">
        <f>MAX(0,1-Fitting!$B$7*(Fitting!$B$6-Herm8889!C366)^2)</f>
        <v>0.50662578283051873</v>
      </c>
      <c r="J366">
        <f>tt(G366,H366,Fitting!$B$1:$E$1,Fitting!$B$2:$E$2)*I366</f>
        <v>9.195257765111517</v>
      </c>
    </row>
    <row r="367" spans="1:10">
      <c r="A367" s="1">
        <f t="shared" si="27"/>
        <v>32627</v>
      </c>
      <c r="B367">
        <f t="shared" si="25"/>
        <v>3992.2105783771717</v>
      </c>
      <c r="C367">
        <f>day_length(F367,$B$1,Fitting!$B$4)</f>
        <v>11.90842342376709</v>
      </c>
      <c r="D367" s="1">
        <f t="shared" si="26"/>
        <v>32627</v>
      </c>
      <c r="E367">
        <f t="shared" si="28"/>
        <v>1989</v>
      </c>
      <c r="F367" s="6">
        <f t="shared" si="29"/>
        <v>119</v>
      </c>
      <c r="G367">
        <v>23.9</v>
      </c>
      <c r="H367">
        <v>8.8000000000000007</v>
      </c>
      <c r="I367">
        <f>MAX(0,1-Fitting!$B$7*(Fitting!$B$6-Herm8889!C367)^2)</f>
        <v>0.50405941215095851</v>
      </c>
      <c r="J367">
        <f>tt(G367,H367,Fitting!$B$1:$E$1,Fitting!$B$2:$E$2)*I367</f>
        <v>8.2413715809515775</v>
      </c>
    </row>
    <row r="368" spans="1:10">
      <c r="A368" s="1">
        <f t="shared" si="27"/>
        <v>32628</v>
      </c>
      <c r="B368">
        <f t="shared" si="25"/>
        <v>4000.485570149443</v>
      </c>
      <c r="C368">
        <f>day_length(F368,$B$1,Fitting!$B$4)</f>
        <v>11.885128021240234</v>
      </c>
      <c r="D368" s="1">
        <f t="shared" si="26"/>
        <v>32628</v>
      </c>
      <c r="E368">
        <f t="shared" si="28"/>
        <v>1989</v>
      </c>
      <c r="F368" s="6">
        <f t="shared" si="29"/>
        <v>120</v>
      </c>
      <c r="G368">
        <v>23.2</v>
      </c>
      <c r="H368">
        <v>9.8000000000000007</v>
      </c>
      <c r="I368">
        <f>MAX(0,1-Fitting!$B$7*(Fitting!$B$6-Herm8889!C368)^2)</f>
        <v>0.50151465286492014</v>
      </c>
      <c r="J368">
        <f>tt(G368,H368,Fitting!$B$1:$E$1,Fitting!$B$2:$E$2)*I368</f>
        <v>8.2749917722711821</v>
      </c>
    </row>
    <row r="369" spans="1:10">
      <c r="A369" s="1">
        <f t="shared" si="27"/>
        <v>32629</v>
      </c>
      <c r="B369">
        <f t="shared" si="25"/>
        <v>4008.5442990387319</v>
      </c>
      <c r="C369">
        <f>day_length(F369,$B$1,Fitting!$B$4)</f>
        <v>11.86209774017334</v>
      </c>
      <c r="D369" s="1">
        <f t="shared" si="26"/>
        <v>32629</v>
      </c>
      <c r="E369">
        <f t="shared" si="28"/>
        <v>1989</v>
      </c>
      <c r="F369" s="6">
        <f t="shared" si="29"/>
        <v>121</v>
      </c>
      <c r="G369">
        <v>22.7</v>
      </c>
      <c r="H369">
        <v>9.6</v>
      </c>
      <c r="I369">
        <f>MAX(0,1-Fitting!$B$7*(Fitting!$B$6-Herm8889!C369)^2)</f>
        <v>0.49899245373912893</v>
      </c>
      <c r="J369">
        <f>tt(G369,H369,Fitting!$B$1:$E$1,Fitting!$B$2:$E$2)*I369</f>
        <v>8.0587288892889912</v>
      </c>
    </row>
    <row r="370" spans="1:10">
      <c r="A370" s="1">
        <f t="shared" si="27"/>
        <v>32630</v>
      </c>
      <c r="B370">
        <f t="shared" si="25"/>
        <v>4016.1654781000598</v>
      </c>
      <c r="C370">
        <f>day_length(F370,$B$1,Fitting!$B$4)</f>
        <v>11.839339256286621</v>
      </c>
      <c r="D370" s="1">
        <f t="shared" si="26"/>
        <v>32630</v>
      </c>
      <c r="E370">
        <f t="shared" si="28"/>
        <v>1989</v>
      </c>
      <c r="F370" s="6">
        <f t="shared" si="29"/>
        <v>122</v>
      </c>
      <c r="G370">
        <v>23.4</v>
      </c>
      <c r="H370">
        <v>7.3</v>
      </c>
      <c r="I370">
        <f>MAX(0,1-Fitting!$B$7*(Fitting!$B$6-Herm8889!C370)^2)</f>
        <v>0.49649376843153181</v>
      </c>
      <c r="J370">
        <f>tt(G370,H370,Fitting!$B$1:$E$1,Fitting!$B$2:$E$2)*I370</f>
        <v>7.6211790613280002</v>
      </c>
    </row>
    <row r="371" spans="1:10">
      <c r="A371" s="1">
        <f t="shared" si="27"/>
        <v>32631</v>
      </c>
      <c r="B371">
        <f t="shared" si="25"/>
        <v>4025.0331257213466</v>
      </c>
      <c r="C371">
        <f>day_length(F371,$B$1,Fitting!$B$4)</f>
        <v>11.81685733795166</v>
      </c>
      <c r="D371" s="1">
        <f t="shared" si="26"/>
        <v>32631</v>
      </c>
      <c r="E371">
        <f t="shared" si="28"/>
        <v>1989</v>
      </c>
      <c r="F371" s="6">
        <f t="shared" si="29"/>
        <v>123</v>
      </c>
      <c r="G371">
        <v>24.6</v>
      </c>
      <c r="H371">
        <v>11.3</v>
      </c>
      <c r="I371">
        <f>MAX(0,1-Fitting!$B$7*(Fitting!$B$6-Herm8889!C371)^2)</f>
        <v>0.49401934509080636</v>
      </c>
      <c r="J371">
        <f>tt(G371,H371,Fitting!$B$1:$E$1,Fitting!$B$2:$E$2)*I371</f>
        <v>8.8676476212868227</v>
      </c>
    </row>
    <row r="372" spans="1:10">
      <c r="A372" s="1">
        <f t="shared" si="27"/>
        <v>32632</v>
      </c>
      <c r="B372">
        <f t="shared" si="25"/>
        <v>4033.6110306412356</v>
      </c>
      <c r="C372">
        <f>day_length(F372,$B$1,Fitting!$B$4)</f>
        <v>11.794661521911621</v>
      </c>
      <c r="D372" s="1">
        <f t="shared" si="26"/>
        <v>32632</v>
      </c>
      <c r="E372">
        <f t="shared" si="28"/>
        <v>1989</v>
      </c>
      <c r="F372" s="6">
        <f t="shared" si="29"/>
        <v>124</v>
      </c>
      <c r="G372">
        <v>22.6</v>
      </c>
      <c r="H372">
        <v>12.3</v>
      </c>
      <c r="I372">
        <f>MAX(0,1-Fitting!$B$7*(Fitting!$B$6-Herm8889!C372)^2)</f>
        <v>0.49157046102295321</v>
      </c>
      <c r="J372">
        <f>tt(G372,H372,Fitting!$B$1:$E$1,Fitting!$B$2:$E$2)*I372</f>
        <v>8.5779049198890327</v>
      </c>
    </row>
    <row r="373" spans="1:10">
      <c r="A373" s="1">
        <f t="shared" si="27"/>
        <v>32633</v>
      </c>
      <c r="B373">
        <f t="shared" si="25"/>
        <v>4041.4373966064368</v>
      </c>
      <c r="C373">
        <f>day_length(F373,$B$1,Fitting!$B$4)</f>
        <v>11.772756576538086</v>
      </c>
      <c r="D373" s="1">
        <f t="shared" si="26"/>
        <v>32633</v>
      </c>
      <c r="E373">
        <f t="shared" si="28"/>
        <v>1989</v>
      </c>
      <c r="F373" s="6">
        <f t="shared" si="29"/>
        <v>125</v>
      </c>
      <c r="G373">
        <v>23.7</v>
      </c>
      <c r="H373">
        <v>8.3000000000000007</v>
      </c>
      <c r="I373">
        <f>MAX(0,1-Fitting!$B$7*(Fitting!$B$6-Herm8889!C373)^2)</f>
        <v>0.4891478728250731</v>
      </c>
      <c r="J373">
        <f>tt(G373,H373,Fitting!$B$1:$E$1,Fitting!$B$2:$E$2)*I373</f>
        <v>7.8263659652011697</v>
      </c>
    </row>
    <row r="374" spans="1:10">
      <c r="A374" s="1">
        <f t="shared" si="27"/>
        <v>32634</v>
      </c>
      <c r="B374">
        <f t="shared" si="25"/>
        <v>4050.6370187021762</v>
      </c>
      <c r="C374">
        <f>day_length(F374,$B$1,Fitting!$B$4)</f>
        <v>11.75114917755127</v>
      </c>
      <c r="D374" s="1">
        <f t="shared" si="26"/>
        <v>32634</v>
      </c>
      <c r="E374">
        <f t="shared" si="28"/>
        <v>1989</v>
      </c>
      <c r="F374" s="6">
        <f t="shared" si="29"/>
        <v>126</v>
      </c>
      <c r="G374">
        <v>25.4</v>
      </c>
      <c r="H374">
        <v>12.4</v>
      </c>
      <c r="I374">
        <f>MAX(0,1-Fitting!$B$7*(Fitting!$B$6-Herm8889!C374)^2)</f>
        <v>0.48675255078453661</v>
      </c>
      <c r="J374">
        <f>tt(G374,H374,Fitting!$B$1:$E$1,Fitting!$B$2:$E$2)*I374</f>
        <v>9.1996220957395671</v>
      </c>
    </row>
    <row r="375" spans="1:10">
      <c r="A375" s="1">
        <f t="shared" si="27"/>
        <v>32635</v>
      </c>
      <c r="B375">
        <f t="shared" si="25"/>
        <v>4059.6950284014792</v>
      </c>
      <c r="C375">
        <f>day_length(F375,$B$1,Fitting!$B$4)</f>
        <v>11.729846954345703</v>
      </c>
      <c r="D375" s="1">
        <f t="shared" si="26"/>
        <v>32635</v>
      </c>
      <c r="E375">
        <f t="shared" si="28"/>
        <v>1989</v>
      </c>
      <c r="F375" s="6">
        <f t="shared" si="29"/>
        <v>127</v>
      </c>
      <c r="G375">
        <v>24</v>
      </c>
      <c r="H375">
        <v>13.4</v>
      </c>
      <c r="I375">
        <f>MAX(0,1-Fitting!$B$7*(Fitting!$B$6-Herm8889!C375)^2)</f>
        <v>0.4843855750608782</v>
      </c>
      <c r="J375">
        <f>tt(G375,H375,Fitting!$B$1:$E$1,Fitting!$B$2:$E$2)*I375</f>
        <v>9.0580096993031241</v>
      </c>
    </row>
    <row r="376" spans="1:10">
      <c r="A376" s="1">
        <f t="shared" si="27"/>
        <v>32636</v>
      </c>
      <c r="B376">
        <f t="shared" si="25"/>
        <v>4067.9380480855689</v>
      </c>
      <c r="C376">
        <f>day_length(F376,$B$1,Fitting!$B$4)</f>
        <v>11.708856582641602</v>
      </c>
      <c r="D376" s="1">
        <f t="shared" si="26"/>
        <v>32636</v>
      </c>
      <c r="E376">
        <f t="shared" si="28"/>
        <v>1989</v>
      </c>
      <c r="F376" s="6">
        <f t="shared" si="29"/>
        <v>128</v>
      </c>
      <c r="G376">
        <v>19.8</v>
      </c>
      <c r="H376">
        <v>14.4</v>
      </c>
      <c r="I376">
        <f>MAX(0,1-Fitting!$B$7*(Fitting!$B$6-Herm8889!C376)^2)</f>
        <v>0.48204792398846619</v>
      </c>
      <c r="J376">
        <f>tt(G376,H376,Fitting!$B$1:$E$1,Fitting!$B$2:$E$2)*I376</f>
        <v>8.243019684089461</v>
      </c>
    </row>
    <row r="377" spans="1:10">
      <c r="A377" s="1">
        <f t="shared" si="27"/>
        <v>32637</v>
      </c>
      <c r="B377">
        <f t="shared" si="25"/>
        <v>4077.053118174882</v>
      </c>
      <c r="C377">
        <f>day_length(F377,$B$1,Fitting!$B$4)</f>
        <v>11.68818473815918</v>
      </c>
      <c r="D377" s="1">
        <f t="shared" si="26"/>
        <v>32637</v>
      </c>
      <c r="E377">
        <f t="shared" si="28"/>
        <v>1989</v>
      </c>
      <c r="F377" s="6">
        <f t="shared" si="29"/>
        <v>129</v>
      </c>
      <c r="G377">
        <v>22.6</v>
      </c>
      <c r="H377">
        <v>15.4</v>
      </c>
      <c r="I377">
        <f>MAX(0,1-Fitting!$B$7*(Fitting!$B$6-Herm8889!C377)^2)</f>
        <v>0.47974057917609025</v>
      </c>
      <c r="J377">
        <f>tt(G377,H377,Fitting!$B$1:$E$1,Fitting!$B$2:$E$2)*I377</f>
        <v>9.1150700893131766</v>
      </c>
    </row>
    <row r="378" spans="1:10">
      <c r="A378" s="1">
        <f t="shared" si="27"/>
        <v>32638</v>
      </c>
      <c r="B378">
        <f t="shared" si="25"/>
        <v>4085.5281125874576</v>
      </c>
      <c r="C378">
        <f>day_length(F378,$B$1,Fitting!$B$4)</f>
        <v>11.667838096618652</v>
      </c>
      <c r="D378" s="1">
        <f t="shared" si="26"/>
        <v>32638</v>
      </c>
      <c r="E378">
        <f t="shared" si="28"/>
        <v>1989</v>
      </c>
      <c r="F378" s="6">
        <f t="shared" si="29"/>
        <v>130</v>
      </c>
      <c r="G378">
        <v>22.3</v>
      </c>
      <c r="H378">
        <v>13.2</v>
      </c>
      <c r="I378">
        <f>MAX(0,1-Fitting!$B$7*(Fitting!$B$6-Herm8889!C378)^2)</f>
        <v>0.47746452525446692</v>
      </c>
      <c r="J378">
        <f>tt(G378,H378,Fitting!$B$1:$E$1,Fitting!$B$2:$E$2)*I378</f>
        <v>8.4749944125754784</v>
      </c>
    </row>
    <row r="379" spans="1:10">
      <c r="A379" s="1">
        <f t="shared" si="27"/>
        <v>32639</v>
      </c>
      <c r="B379">
        <f t="shared" si="25"/>
        <v>4093.3692584880573</v>
      </c>
      <c r="C379">
        <f>day_length(F379,$B$1,Fitting!$B$4)</f>
        <v>11.647825241088867</v>
      </c>
      <c r="D379" s="1">
        <f t="shared" si="26"/>
        <v>32639</v>
      </c>
      <c r="E379">
        <f t="shared" si="28"/>
        <v>1989</v>
      </c>
      <c r="F379" s="6">
        <f t="shared" si="29"/>
        <v>131</v>
      </c>
      <c r="G379">
        <v>19.5</v>
      </c>
      <c r="H379">
        <v>13.5</v>
      </c>
      <c r="I379">
        <f>MAX(0,1-Fitting!$B$7*(Fitting!$B$6-Herm8889!C379)^2)</f>
        <v>0.47522096367271294</v>
      </c>
      <c r="J379">
        <f>tt(G379,H379,Fitting!$B$1:$E$1,Fitting!$B$2:$E$2)*I379</f>
        <v>7.8411459005997637</v>
      </c>
    </row>
    <row r="380" spans="1:10">
      <c r="A380" s="1">
        <f t="shared" si="27"/>
        <v>32640</v>
      </c>
      <c r="B380">
        <f t="shared" si="25"/>
        <v>4100.7955242513908</v>
      </c>
      <c r="C380">
        <f>day_length(F380,$B$1,Fitting!$B$4)</f>
        <v>11.62814998626709</v>
      </c>
      <c r="D380" s="1">
        <f t="shared" si="26"/>
        <v>32640</v>
      </c>
      <c r="E380">
        <f t="shared" si="28"/>
        <v>1989</v>
      </c>
      <c r="F380" s="6">
        <f t="shared" si="29"/>
        <v>132</v>
      </c>
      <c r="G380">
        <v>22.8</v>
      </c>
      <c r="H380">
        <v>8.6</v>
      </c>
      <c r="I380">
        <f>MAX(0,1-Fitting!$B$7*(Fitting!$B$6-Herm8889!C380)^2)</f>
        <v>0.47301056392056673</v>
      </c>
      <c r="J380">
        <f>tt(G380,H380,Fitting!$B$1:$E$1,Fitting!$B$2:$E$2)*I380</f>
        <v>7.4262657633332925</v>
      </c>
    </row>
    <row r="381" spans="1:10">
      <c r="A381" s="1">
        <f t="shared" si="27"/>
        <v>32641</v>
      </c>
      <c r="B381">
        <f t="shared" si="25"/>
        <v>4109.0351323297145</v>
      </c>
      <c r="C381">
        <f>day_length(F381,$B$1,Fitting!$B$4)</f>
        <v>11.608822822570801</v>
      </c>
      <c r="D381" s="1">
        <f t="shared" si="26"/>
        <v>32641</v>
      </c>
      <c r="E381">
        <f t="shared" si="28"/>
        <v>1989</v>
      </c>
      <c r="F381" s="6">
        <f t="shared" si="29"/>
        <v>133</v>
      </c>
      <c r="G381">
        <v>22.7</v>
      </c>
      <c r="H381">
        <v>12.3</v>
      </c>
      <c r="I381">
        <f>MAX(0,1-Fitting!$B$7*(Fitting!$B$6-Herm8889!C381)^2)</f>
        <v>0.47083474733279762</v>
      </c>
      <c r="J381">
        <f>tt(G381,H381,Fitting!$B$1:$E$1,Fitting!$B$2:$E$2)*I381</f>
        <v>8.2396080783239576</v>
      </c>
    </row>
    <row r="382" spans="1:10">
      <c r="A382" s="1">
        <f t="shared" si="27"/>
        <v>32642</v>
      </c>
      <c r="B382">
        <f t="shared" si="25"/>
        <v>4118.2684093961061</v>
      </c>
      <c r="C382">
        <f>day_length(F382,$B$1,Fitting!$B$4)</f>
        <v>11.589848518371582</v>
      </c>
      <c r="D382" s="1">
        <f t="shared" si="26"/>
        <v>32642</v>
      </c>
      <c r="E382">
        <f t="shared" si="28"/>
        <v>1989</v>
      </c>
      <c r="F382" s="6">
        <f t="shared" si="29"/>
        <v>134</v>
      </c>
      <c r="G382">
        <v>25</v>
      </c>
      <c r="H382">
        <v>14.4</v>
      </c>
      <c r="I382">
        <f>MAX(0,1-Fitting!$B$7*(Fitting!$B$6-Herm8889!C382)^2)</f>
        <v>0.46869429455683898</v>
      </c>
      <c r="J382">
        <f>tt(G382,H382,Fitting!$B$1:$E$1,Fitting!$B$2:$E$2)*I382</f>
        <v>9.2332770663916754</v>
      </c>
    </row>
    <row r="383" spans="1:10">
      <c r="A383" s="1">
        <f t="shared" si="27"/>
        <v>32643</v>
      </c>
      <c r="B383">
        <f t="shared" si="25"/>
        <v>4127.2269437012401</v>
      </c>
      <c r="C383">
        <f>day_length(F383,$B$1,Fitting!$B$4)</f>
        <v>11.571234703063965</v>
      </c>
      <c r="D383" s="1">
        <f t="shared" si="26"/>
        <v>32643</v>
      </c>
      <c r="E383">
        <f t="shared" si="28"/>
        <v>1989</v>
      </c>
      <c r="F383" s="6">
        <f t="shared" si="29"/>
        <v>135</v>
      </c>
      <c r="G383">
        <v>22.8</v>
      </c>
      <c r="H383">
        <v>15.6</v>
      </c>
      <c r="I383">
        <f>MAX(0,1-Fitting!$B$7*(Fitting!$B$6-Herm8889!C383)^2)</f>
        <v>0.4665903098517683</v>
      </c>
      <c r="J383">
        <f>tt(G383,H383,Fitting!$B$1:$E$1,Fitting!$B$2:$E$2)*I383</f>
        <v>8.9585343051341066</v>
      </c>
    </row>
    <row r="384" spans="1:10">
      <c r="A384" s="1">
        <f t="shared" si="27"/>
        <v>32644</v>
      </c>
      <c r="B384">
        <f t="shared" si="25"/>
        <v>4135.1703025629749</v>
      </c>
      <c r="C384">
        <f>day_length(F384,$B$1,Fitting!$B$4)</f>
        <v>11.55298900604248</v>
      </c>
      <c r="D384" s="1">
        <f t="shared" si="26"/>
        <v>32644</v>
      </c>
      <c r="E384">
        <f t="shared" si="28"/>
        <v>1989</v>
      </c>
      <c r="F384" s="6">
        <f t="shared" si="29"/>
        <v>136</v>
      </c>
      <c r="G384">
        <v>19.5</v>
      </c>
      <c r="H384">
        <v>14.7</v>
      </c>
      <c r="I384">
        <f>MAX(0,1-Fitting!$B$7*(Fitting!$B$6-Herm8889!C384)^2)</f>
        <v>0.46452389968027452</v>
      </c>
      <c r="J384">
        <f>tt(G384,H384,Fitting!$B$1:$E$1,Fitting!$B$2:$E$2)*I384</f>
        <v>7.9433588617344997</v>
      </c>
    </row>
    <row r="385" spans="1:10">
      <c r="A385" s="1">
        <f t="shared" si="27"/>
        <v>32645</v>
      </c>
      <c r="B385">
        <f t="shared" si="25"/>
        <v>4143.1021089096485</v>
      </c>
      <c r="C385">
        <f>day_length(F385,$B$1,Fitting!$B$4)</f>
        <v>11.535117149353027</v>
      </c>
      <c r="D385" s="1">
        <f t="shared" si="26"/>
        <v>32645</v>
      </c>
      <c r="E385">
        <f t="shared" si="28"/>
        <v>1989</v>
      </c>
      <c r="F385" s="6">
        <f t="shared" si="29"/>
        <v>137</v>
      </c>
      <c r="G385">
        <v>19.2</v>
      </c>
      <c r="H385">
        <v>15.1</v>
      </c>
      <c r="I385">
        <f>MAX(0,1-Fitting!$B$7*(Fitting!$B$6-Herm8889!C385)^2)</f>
        <v>0.46249595574117297</v>
      </c>
      <c r="J385">
        <f>tt(G385,H385,Fitting!$B$1:$E$1,Fitting!$B$2:$E$2)*I385</f>
        <v>7.9318063466739392</v>
      </c>
    </row>
    <row r="386" spans="1:10">
      <c r="A386" s="1">
        <f t="shared" si="27"/>
        <v>32646</v>
      </c>
      <c r="B386">
        <f t="shared" si="25"/>
        <v>4150.4472069996373</v>
      </c>
      <c r="C386">
        <f>day_length(F386,$B$1,Fitting!$B$4)</f>
        <v>11.517627716064453</v>
      </c>
      <c r="D386" s="1">
        <f t="shared" si="26"/>
        <v>32646</v>
      </c>
      <c r="E386">
        <f t="shared" si="28"/>
        <v>1989</v>
      </c>
      <c r="F386" s="6">
        <f t="shared" si="29"/>
        <v>138</v>
      </c>
      <c r="G386">
        <v>18.7</v>
      </c>
      <c r="H386">
        <v>13.2</v>
      </c>
      <c r="I386">
        <f>MAX(0,1-Fitting!$B$7*(Fitting!$B$6-Herm8889!C386)^2)</f>
        <v>0.46050769521310575</v>
      </c>
      <c r="J386">
        <f>tt(G386,H386,Fitting!$B$1:$E$1,Fitting!$B$2:$E$2)*I386</f>
        <v>7.3450980899885261</v>
      </c>
    </row>
    <row r="387" spans="1:10">
      <c r="A387" s="1">
        <f t="shared" si="27"/>
        <v>32647</v>
      </c>
      <c r="B387">
        <f t="shared" si="25"/>
        <v>4158.3115100262203</v>
      </c>
      <c r="C387">
        <f>day_length(F387,$B$1,Fitting!$B$4)</f>
        <v>11.50052547454834</v>
      </c>
      <c r="D387" s="1">
        <f t="shared" si="26"/>
        <v>32647</v>
      </c>
      <c r="E387">
        <f t="shared" si="28"/>
        <v>1989</v>
      </c>
      <c r="F387" s="6">
        <f t="shared" si="29"/>
        <v>139</v>
      </c>
      <c r="G387">
        <v>21.5</v>
      </c>
      <c r="H387">
        <v>12.8</v>
      </c>
      <c r="I387">
        <f>MAX(0,1-Fitting!$B$7*(Fitting!$B$6-Herm8889!C387)^2)</f>
        <v>0.4585599024417697</v>
      </c>
      <c r="J387">
        <f>tt(G387,H387,Fitting!$B$1:$E$1,Fitting!$B$2:$E$2)*I387</f>
        <v>7.864303026583233</v>
      </c>
    </row>
    <row r="388" spans="1:10">
      <c r="A388" s="1">
        <f t="shared" si="27"/>
        <v>32648</v>
      </c>
      <c r="B388">
        <f t="shared" si="25"/>
        <v>4166.25728590156</v>
      </c>
      <c r="C388">
        <f>day_length(F388,$B$1,Fitting!$B$4)</f>
        <v>11.483819007873535</v>
      </c>
      <c r="D388" s="1">
        <f t="shared" si="26"/>
        <v>32648</v>
      </c>
      <c r="E388">
        <f t="shared" si="28"/>
        <v>1989</v>
      </c>
      <c r="F388" s="6">
        <f t="shared" si="29"/>
        <v>140</v>
      </c>
      <c r="G388">
        <v>21</v>
      </c>
      <c r="H388">
        <v>13.8</v>
      </c>
      <c r="I388">
        <f>MAX(0,1-Fitting!$B$7*(Fitting!$B$6-Herm8889!C388)^2)</f>
        <v>0.45665379595054578</v>
      </c>
      <c r="J388">
        <f>tt(G388,H388,Fitting!$B$1:$E$1,Fitting!$B$2:$E$2)*I388</f>
        <v>7.9457758753398977</v>
      </c>
    </row>
    <row r="389" spans="1:10">
      <c r="A389" s="1">
        <f t="shared" si="27"/>
        <v>32649</v>
      </c>
      <c r="B389">
        <f t="shared" ref="B389:B452" si="30">B388+J389</f>
        <v>4174.352554272411</v>
      </c>
      <c r="C389">
        <f>day_length(F389,$B$1,Fitting!$B$4)</f>
        <v>11.467514991760254</v>
      </c>
      <c r="D389" s="1">
        <f t="shared" ref="D389:D452" si="31">A389</f>
        <v>32649</v>
      </c>
      <c r="E389">
        <f t="shared" si="28"/>
        <v>1989</v>
      </c>
      <c r="F389" s="6">
        <f t="shared" si="29"/>
        <v>141</v>
      </c>
      <c r="G389">
        <v>21.3</v>
      </c>
      <c r="H389">
        <v>14.3</v>
      </c>
      <c r="I389">
        <f>MAX(0,1-Fitting!$B$7*(Fitting!$B$6-Herm8889!C389)^2)</f>
        <v>0.45479037740610695</v>
      </c>
      <c r="J389">
        <f>tt(G389,H389,Fitting!$B$1:$E$1,Fitting!$B$2:$E$2)*I389</f>
        <v>8.0952683708511817</v>
      </c>
    </row>
    <row r="390" spans="1:10">
      <c r="A390" s="1">
        <f t="shared" ref="A390:A453" si="32">A389+1</f>
        <v>32650</v>
      </c>
      <c r="B390">
        <f t="shared" si="30"/>
        <v>4180.9206278034617</v>
      </c>
      <c r="C390">
        <f>day_length(F390,$B$1,Fitting!$B$4)</f>
        <v>11.451620101928711</v>
      </c>
      <c r="D390" s="1">
        <f t="shared" si="31"/>
        <v>32650</v>
      </c>
      <c r="E390">
        <f t="shared" ref="E390:E453" si="33">YEAR(A390)</f>
        <v>1989</v>
      </c>
      <c r="F390" s="6">
        <f t="shared" ref="F390:F453" si="34">A390-DATE(E390,1,1)+1</f>
        <v>142</v>
      </c>
      <c r="G390">
        <v>18.3</v>
      </c>
      <c r="H390">
        <v>10.7</v>
      </c>
      <c r="I390">
        <f>MAX(0,1-Fitting!$B$7*(Fitting!$B$6-Herm8889!C390)^2)</f>
        <v>0.45297064793264874</v>
      </c>
      <c r="J390">
        <f>tt(G390,H390,Fitting!$B$1:$E$1,Fitting!$B$2:$E$2)*I390</f>
        <v>6.5680735310504605</v>
      </c>
    </row>
    <row r="391" spans="1:10">
      <c r="A391" s="1">
        <f t="shared" si="32"/>
        <v>32651</v>
      </c>
      <c r="B391">
        <f t="shared" si="30"/>
        <v>4188.34279589579</v>
      </c>
      <c r="C391">
        <f>day_length(F391,$B$1,Fitting!$B$4)</f>
        <v>11.436141014099121</v>
      </c>
      <c r="D391" s="1">
        <f t="shared" si="31"/>
        <v>32651</v>
      </c>
      <c r="E391">
        <f t="shared" si="33"/>
        <v>1989</v>
      </c>
      <c r="F391" s="6">
        <f t="shared" si="34"/>
        <v>143</v>
      </c>
      <c r="G391">
        <v>20.399999999999999</v>
      </c>
      <c r="H391">
        <v>12.5</v>
      </c>
      <c r="I391">
        <f>MAX(0,1-Fitting!$B$7*(Fitting!$B$6-Herm8889!C391)^2)</f>
        <v>0.45119560778681811</v>
      </c>
      <c r="J391">
        <f>tt(G391,H391,Fitting!$B$1:$E$1,Fitting!$B$2:$E$2)*I391</f>
        <v>7.4221680923280884</v>
      </c>
    </row>
    <row r="392" spans="1:10">
      <c r="A392" s="1">
        <f t="shared" si="32"/>
        <v>32652</v>
      </c>
      <c r="B392">
        <f t="shared" si="30"/>
        <v>4193.2419783436744</v>
      </c>
      <c r="C392">
        <f>day_length(F392,$B$1,Fitting!$B$4)</f>
        <v>11.421084403991699</v>
      </c>
      <c r="D392" s="1">
        <f t="shared" si="31"/>
        <v>32652</v>
      </c>
      <c r="E392">
        <f t="shared" si="33"/>
        <v>1989</v>
      </c>
      <c r="F392" s="6">
        <f t="shared" si="34"/>
        <v>144</v>
      </c>
      <c r="G392">
        <v>20</v>
      </c>
      <c r="H392">
        <v>1.8</v>
      </c>
      <c r="I392">
        <f>MAX(0,1-Fitting!$B$7*(Fitting!$B$6-Herm8889!C392)^2)</f>
        <v>0.44946625602729362</v>
      </c>
      <c r="J392">
        <f>tt(G392,H392,Fitting!$B$1:$E$1,Fitting!$B$2:$E$2)*I392</f>
        <v>4.8991824478841552</v>
      </c>
    </row>
    <row r="393" spans="1:10">
      <c r="A393" s="1">
        <f t="shared" si="32"/>
        <v>32653</v>
      </c>
      <c r="B393">
        <f t="shared" si="30"/>
        <v>4198.8392732209122</v>
      </c>
      <c r="C393">
        <f>day_length(F393,$B$1,Fitting!$B$4)</f>
        <v>11.40645694732666</v>
      </c>
      <c r="D393" s="1">
        <f t="shared" si="31"/>
        <v>32653</v>
      </c>
      <c r="E393">
        <f t="shared" si="33"/>
        <v>1989</v>
      </c>
      <c r="F393" s="6">
        <f t="shared" si="34"/>
        <v>145</v>
      </c>
      <c r="G393">
        <v>20.9</v>
      </c>
      <c r="H393">
        <v>4.0999999999999996</v>
      </c>
      <c r="I393">
        <f>MAX(0,1-Fitting!$B$7*(Fitting!$B$6-Herm8889!C393)^2)</f>
        <v>0.44778359017901859</v>
      </c>
      <c r="J393">
        <f>tt(G393,H393,Fitting!$B$1:$E$1,Fitting!$B$2:$E$2)*I393</f>
        <v>5.597294877237732</v>
      </c>
    </row>
    <row r="394" spans="1:10">
      <c r="A394" s="1">
        <f t="shared" si="32"/>
        <v>32654</v>
      </c>
      <c r="B394">
        <f t="shared" si="30"/>
        <v>4205.4422710459248</v>
      </c>
      <c r="C394">
        <f>day_length(F394,$B$1,Fitting!$B$4)</f>
        <v>11.392264366149902</v>
      </c>
      <c r="D394" s="1">
        <f t="shared" si="31"/>
        <v>32654</v>
      </c>
      <c r="E394">
        <f t="shared" si="33"/>
        <v>1989</v>
      </c>
      <c r="F394" s="6">
        <f t="shared" si="34"/>
        <v>146</v>
      </c>
      <c r="G394">
        <v>20.100000000000001</v>
      </c>
      <c r="H394">
        <v>9.5</v>
      </c>
      <c r="I394">
        <f>MAX(0,1-Fitting!$B$7*(Fitting!$B$6-Herm8889!C394)^2)</f>
        <v>0.44614849594028239</v>
      </c>
      <c r="J394">
        <f>tt(G394,H394,Fitting!$B$1:$E$1,Fitting!$B$2:$E$2)*I394</f>
        <v>6.6029978250122516</v>
      </c>
    </row>
    <row r="395" spans="1:10">
      <c r="A395" s="1">
        <f t="shared" si="32"/>
        <v>32655</v>
      </c>
      <c r="B395">
        <f t="shared" si="30"/>
        <v>4212.088476073066</v>
      </c>
      <c r="C395">
        <f>day_length(F395,$B$1,Fitting!$B$4)</f>
        <v>11.378515243530273</v>
      </c>
      <c r="D395" s="1">
        <f t="shared" si="31"/>
        <v>32655</v>
      </c>
      <c r="E395">
        <f t="shared" si="33"/>
        <v>1989</v>
      </c>
      <c r="F395" s="6">
        <f t="shared" si="34"/>
        <v>147</v>
      </c>
      <c r="G395">
        <v>17.2</v>
      </c>
      <c r="H395">
        <v>12.7</v>
      </c>
      <c r="I395">
        <f>MAX(0,1-Fitting!$B$7*(Fitting!$B$6-Herm8889!C395)^2)</f>
        <v>0.44456218648612411</v>
      </c>
      <c r="J395">
        <f>tt(G395,H395,Fitting!$B$1:$E$1,Fitting!$B$2:$E$2)*I395</f>
        <v>6.6462050271415869</v>
      </c>
    </row>
    <row r="396" spans="1:10">
      <c r="A396" s="1">
        <f t="shared" si="32"/>
        <v>32656</v>
      </c>
      <c r="B396">
        <f t="shared" si="30"/>
        <v>4218.9553664380946</v>
      </c>
      <c r="C396">
        <f>day_length(F396,$B$1,Fitting!$B$4)</f>
        <v>11.365212440490723</v>
      </c>
      <c r="D396" s="1">
        <f t="shared" si="31"/>
        <v>32656</v>
      </c>
      <c r="E396">
        <f t="shared" si="33"/>
        <v>1989</v>
      </c>
      <c r="F396" s="6">
        <f t="shared" si="34"/>
        <v>148</v>
      </c>
      <c r="G396">
        <v>18.5</v>
      </c>
      <c r="H396">
        <v>12.5</v>
      </c>
      <c r="I396">
        <f>MAX(0,1-Fitting!$B$7*(Fitting!$B$6-Herm8889!C396)^2)</f>
        <v>0.44302521209875156</v>
      </c>
      <c r="J396">
        <f>tt(G396,H396,Fitting!$B$1:$E$1,Fitting!$B$2:$E$2)*I396</f>
        <v>6.8668903650288833</v>
      </c>
    </row>
    <row r="397" spans="1:10">
      <c r="A397" s="1">
        <f t="shared" si="32"/>
        <v>32657</v>
      </c>
      <c r="B397">
        <f t="shared" si="30"/>
        <v>4225.2252190215631</v>
      </c>
      <c r="C397">
        <f>day_length(F397,$B$1,Fitting!$B$4)</f>
        <v>11.352365493774414</v>
      </c>
      <c r="D397" s="1">
        <f t="shared" si="31"/>
        <v>32657</v>
      </c>
      <c r="E397">
        <f t="shared" si="33"/>
        <v>1989</v>
      </c>
      <c r="F397" s="6">
        <f t="shared" si="34"/>
        <v>149</v>
      </c>
      <c r="G397">
        <v>19.2</v>
      </c>
      <c r="H397">
        <v>9.1999999999999993</v>
      </c>
      <c r="I397">
        <f>MAX(0,1-Fitting!$B$7*(Fitting!$B$6-Herm8889!C397)^2)</f>
        <v>0.44153889060571239</v>
      </c>
      <c r="J397">
        <f>tt(G397,H397,Fitting!$B$1:$E$1,Fitting!$B$2:$E$2)*I397</f>
        <v>6.2698525834685555</v>
      </c>
    </row>
    <row r="398" spans="1:10">
      <c r="A398" s="1">
        <f t="shared" si="32"/>
        <v>32658</v>
      </c>
      <c r="B398">
        <f t="shared" si="30"/>
        <v>4231.3646699562742</v>
      </c>
      <c r="C398">
        <f>day_length(F398,$B$1,Fitting!$B$4)</f>
        <v>11.33997917175293</v>
      </c>
      <c r="D398" s="1">
        <f t="shared" si="31"/>
        <v>32658</v>
      </c>
      <c r="E398">
        <f t="shared" si="33"/>
        <v>1989</v>
      </c>
      <c r="F398" s="6">
        <f t="shared" si="34"/>
        <v>150</v>
      </c>
      <c r="G398">
        <v>19.2</v>
      </c>
      <c r="H398">
        <v>8.6999999999999993</v>
      </c>
      <c r="I398">
        <f>MAX(0,1-Fitting!$B$7*(Fitting!$B$6-Herm8889!C398)^2)</f>
        <v>0.4401039855869967</v>
      </c>
      <c r="J398">
        <f>tt(G398,H398,Fitting!$B$1:$E$1,Fitting!$B$2:$E$2)*I398</f>
        <v>6.1394509347112978</v>
      </c>
    </row>
    <row r="399" spans="1:10">
      <c r="A399" s="1">
        <f t="shared" si="32"/>
        <v>32659</v>
      </c>
      <c r="B399">
        <f t="shared" si="30"/>
        <v>4237.0680462826067</v>
      </c>
      <c r="C399">
        <f>day_length(F399,$B$1,Fitting!$B$4)</f>
        <v>11.328058242797852</v>
      </c>
      <c r="D399" s="1">
        <f t="shared" si="31"/>
        <v>32659</v>
      </c>
      <c r="E399">
        <f t="shared" si="33"/>
        <v>1989</v>
      </c>
      <c r="F399" s="6">
        <f t="shared" si="34"/>
        <v>151</v>
      </c>
      <c r="G399">
        <v>19.5</v>
      </c>
      <c r="H399">
        <v>6.5</v>
      </c>
      <c r="I399">
        <f>MAX(0,1-Fitting!$B$7*(Fitting!$B$6-Herm8889!C399)^2)</f>
        <v>0.43872125587173649</v>
      </c>
      <c r="J399">
        <f>tt(G399,H399,Fitting!$B$1:$E$1,Fitting!$B$2:$E$2)*I399</f>
        <v>5.7033763263325747</v>
      </c>
    </row>
    <row r="400" spans="1:10">
      <c r="A400" s="1">
        <f t="shared" si="32"/>
        <v>32660</v>
      </c>
      <c r="B400">
        <f t="shared" si="30"/>
        <v>4241.8356162283162</v>
      </c>
      <c r="C400">
        <f>day_length(F400,$B$1,Fitting!$B$4)</f>
        <v>11.316609382629395</v>
      </c>
      <c r="D400" s="1">
        <f t="shared" si="31"/>
        <v>32660</v>
      </c>
      <c r="E400">
        <f t="shared" si="33"/>
        <v>1989</v>
      </c>
      <c r="F400" s="6">
        <f t="shared" si="34"/>
        <v>152</v>
      </c>
      <c r="G400">
        <v>18.2</v>
      </c>
      <c r="H400">
        <v>3.6</v>
      </c>
      <c r="I400">
        <f>MAX(0,1-Fitting!$B$7*(Fitting!$B$6-Herm8889!C400)^2)</f>
        <v>0.43739167690851355</v>
      </c>
      <c r="J400">
        <f>tt(G400,H400,Fitting!$B$1:$E$1,Fitting!$B$2:$E$2)*I400</f>
        <v>4.7675699457095311</v>
      </c>
    </row>
    <row r="401" spans="1:10">
      <c r="A401" s="1">
        <f t="shared" si="32"/>
        <v>32661</v>
      </c>
      <c r="B401">
        <f t="shared" si="30"/>
        <v>4246.807340535509</v>
      </c>
      <c r="C401">
        <f>day_length(F401,$B$1,Fitting!$B$4)</f>
        <v>11.305638313293457</v>
      </c>
      <c r="D401" s="1">
        <f t="shared" si="31"/>
        <v>32661</v>
      </c>
      <c r="E401">
        <f t="shared" si="33"/>
        <v>1989</v>
      </c>
      <c r="F401" s="6">
        <f t="shared" si="34"/>
        <v>153</v>
      </c>
      <c r="G401">
        <v>16.399999999999999</v>
      </c>
      <c r="H401">
        <v>6.4</v>
      </c>
      <c r="I401">
        <f>MAX(0,1-Fitting!$B$7*(Fitting!$B$6-Herm8889!C401)^2)</f>
        <v>0.43611610892389763</v>
      </c>
      <c r="J401">
        <f>tt(G401,H401,Fitting!$B$1:$E$1,Fitting!$B$2:$E$2)*I401</f>
        <v>4.9717243071928046</v>
      </c>
    </row>
    <row r="402" spans="1:10">
      <c r="A402" s="1">
        <f t="shared" si="32"/>
        <v>32662</v>
      </c>
      <c r="B402">
        <f t="shared" si="30"/>
        <v>4252.9393655254271</v>
      </c>
      <c r="C402">
        <f>day_length(F402,$B$1,Fitting!$B$4)</f>
        <v>11.295150756835938</v>
      </c>
      <c r="D402" s="1">
        <f t="shared" si="31"/>
        <v>32662</v>
      </c>
      <c r="E402">
        <f t="shared" si="33"/>
        <v>1989</v>
      </c>
      <c r="F402" s="6">
        <f t="shared" si="34"/>
        <v>154</v>
      </c>
      <c r="G402">
        <v>18</v>
      </c>
      <c r="H402">
        <v>10.199999999999999</v>
      </c>
      <c r="I402">
        <f>MAX(0,1-Fitting!$B$7*(Fitting!$B$6-Herm8889!C402)^2)</f>
        <v>0.43489540700474749</v>
      </c>
      <c r="J402">
        <f>tt(G402,H402,Fitting!$B$1:$E$1,Fitting!$B$2:$E$2)*I402</f>
        <v>6.1320249899177917</v>
      </c>
    </row>
    <row r="403" spans="1:10">
      <c r="A403" s="1">
        <f t="shared" si="32"/>
        <v>32663</v>
      </c>
      <c r="B403">
        <f t="shared" si="30"/>
        <v>4259.054963056109</v>
      </c>
      <c r="C403">
        <f>day_length(F403,$B$1,Fitting!$B$4)</f>
        <v>11.285151481628418</v>
      </c>
      <c r="D403" s="1">
        <f t="shared" si="31"/>
        <v>32663</v>
      </c>
      <c r="E403">
        <f t="shared" si="33"/>
        <v>1989</v>
      </c>
      <c r="F403" s="6">
        <f t="shared" si="34"/>
        <v>155</v>
      </c>
      <c r="G403">
        <v>18.7</v>
      </c>
      <c r="H403">
        <v>9.5</v>
      </c>
      <c r="I403">
        <f>MAX(0,1-Fitting!$B$7*(Fitting!$B$6-Herm8889!C403)^2)</f>
        <v>0.4337303095905608</v>
      </c>
      <c r="J403">
        <f>tt(G403,H403,Fitting!$B$1:$E$1,Fitting!$B$2:$E$2)*I403</f>
        <v>6.1155975306818897</v>
      </c>
    </row>
    <row r="404" spans="1:10">
      <c r="A404" s="1">
        <f t="shared" si="32"/>
        <v>32664</v>
      </c>
      <c r="B404">
        <f t="shared" si="30"/>
        <v>4265.7822295416636</v>
      </c>
      <c r="C404">
        <f>day_length(F404,$B$1,Fitting!$B$4)</f>
        <v>11.275646209716797</v>
      </c>
      <c r="D404" s="1">
        <f t="shared" si="31"/>
        <v>32664</v>
      </c>
      <c r="E404">
        <f t="shared" si="33"/>
        <v>1989</v>
      </c>
      <c r="F404" s="6">
        <f t="shared" si="34"/>
        <v>156</v>
      </c>
      <c r="G404">
        <v>20.9</v>
      </c>
      <c r="H404">
        <v>10.199999999999999</v>
      </c>
      <c r="I404">
        <f>MAX(0,1-Fitting!$B$7*(Fitting!$B$6-Herm8889!C404)^2)</f>
        <v>0.43262166016842818</v>
      </c>
      <c r="J404">
        <f>tt(G404,H404,Fitting!$B$1:$E$1,Fitting!$B$2:$E$2)*I404</f>
        <v>6.7272664855549253</v>
      </c>
    </row>
    <row r="405" spans="1:10">
      <c r="A405" s="1">
        <f t="shared" si="32"/>
        <v>32665</v>
      </c>
      <c r="B405">
        <f t="shared" si="30"/>
        <v>4272.4499875040165</v>
      </c>
      <c r="C405">
        <f>day_length(F405,$B$1,Fitting!$B$4)</f>
        <v>11.26663875579834</v>
      </c>
      <c r="D405" s="1">
        <f t="shared" si="31"/>
        <v>32665</v>
      </c>
      <c r="E405">
        <f t="shared" si="33"/>
        <v>1989</v>
      </c>
      <c r="F405" s="6">
        <f t="shared" si="34"/>
        <v>157</v>
      </c>
      <c r="G405">
        <v>18.3</v>
      </c>
      <c r="H405">
        <v>12.6</v>
      </c>
      <c r="I405">
        <f>MAX(0,1-Fitting!$B$7*(Fitting!$B$6-Herm8889!C405)^2)</f>
        <v>0.43157007333923869</v>
      </c>
      <c r="J405">
        <f>tt(G405,H405,Fitting!$B$1:$E$1,Fitting!$B$2:$E$2)*I405</f>
        <v>6.6677579623530736</v>
      </c>
    </row>
    <row r="406" spans="1:10">
      <c r="A406" s="1">
        <f t="shared" si="32"/>
        <v>32666</v>
      </c>
      <c r="B406">
        <f t="shared" si="30"/>
        <v>4276.4112890871575</v>
      </c>
      <c r="C406">
        <f>day_length(F406,$B$1,Fitting!$B$4)</f>
        <v>11.258133888244629</v>
      </c>
      <c r="D406" s="1">
        <f t="shared" si="31"/>
        <v>32666</v>
      </c>
      <c r="E406">
        <f t="shared" si="33"/>
        <v>1989</v>
      </c>
      <c r="F406" s="6">
        <f t="shared" si="34"/>
        <v>158</v>
      </c>
      <c r="G406">
        <v>16.600000000000001</v>
      </c>
      <c r="H406">
        <v>1.8</v>
      </c>
      <c r="I406">
        <f>MAX(0,1-Fitting!$B$7*(Fitting!$B$6-Herm8889!C406)^2)</f>
        <v>0.43057626796379367</v>
      </c>
      <c r="J406">
        <f>tt(G406,H406,Fitting!$B$1:$E$1,Fitting!$B$2:$E$2)*I406</f>
        <v>3.9613015831409961</v>
      </c>
    </row>
    <row r="407" spans="1:10">
      <c r="A407" s="1">
        <f t="shared" si="32"/>
        <v>32667</v>
      </c>
      <c r="B407">
        <f t="shared" si="30"/>
        <v>4280.6647332811899</v>
      </c>
      <c r="C407">
        <f>day_length(F407,$B$1,Fitting!$B$4)</f>
        <v>11.25013542175293</v>
      </c>
      <c r="D407" s="1">
        <f t="shared" si="31"/>
        <v>32667</v>
      </c>
      <c r="E407">
        <f t="shared" si="33"/>
        <v>1989</v>
      </c>
      <c r="F407" s="6">
        <f t="shared" si="34"/>
        <v>159</v>
      </c>
      <c r="G407">
        <v>16.5</v>
      </c>
      <c r="H407">
        <v>3.3</v>
      </c>
      <c r="I407">
        <f>MAX(0,1-Fitting!$B$7*(Fitting!$B$6-Herm8889!C407)^2)</f>
        <v>0.42964084423505844</v>
      </c>
      <c r="J407">
        <f>tt(G407,H407,Fitting!$B$1:$E$1,Fitting!$B$2:$E$2)*I407</f>
        <v>4.2534441940321033</v>
      </c>
    </row>
    <row r="408" spans="1:10">
      <c r="A408" s="1">
        <f t="shared" si="32"/>
        <v>32668</v>
      </c>
      <c r="B408">
        <f t="shared" si="30"/>
        <v>4285.8956629007362</v>
      </c>
      <c r="C408">
        <f>day_length(F408,$B$1,Fitting!$B$4)</f>
        <v>11.242650032043457</v>
      </c>
      <c r="D408" s="1">
        <f t="shared" si="31"/>
        <v>32668</v>
      </c>
      <c r="E408">
        <f t="shared" si="33"/>
        <v>1989</v>
      </c>
      <c r="F408" s="6">
        <f t="shared" si="34"/>
        <v>160</v>
      </c>
      <c r="G408">
        <v>16</v>
      </c>
      <c r="H408">
        <v>8.4</v>
      </c>
      <c r="I408">
        <f>MAX(0,1-Fitting!$B$7*(Fitting!$B$6-Herm8889!C408)^2)</f>
        <v>0.4287647296169107</v>
      </c>
      <c r="J408">
        <f>tt(G408,H408,Fitting!$B$1:$E$1,Fitting!$B$2:$E$2)*I408</f>
        <v>5.2309296195459281</v>
      </c>
    </row>
    <row r="409" spans="1:10">
      <c r="A409" s="1">
        <f t="shared" si="32"/>
        <v>32669</v>
      </c>
      <c r="B409">
        <f t="shared" si="30"/>
        <v>4290.1109525790089</v>
      </c>
      <c r="C409">
        <f>day_length(F409,$B$1,Fitting!$B$4)</f>
        <v>11.235678672790527</v>
      </c>
      <c r="D409" s="1">
        <f t="shared" si="31"/>
        <v>32669</v>
      </c>
      <c r="E409">
        <f t="shared" si="33"/>
        <v>1989</v>
      </c>
      <c r="F409" s="6">
        <f t="shared" si="34"/>
        <v>161</v>
      </c>
      <c r="G409">
        <v>15.4</v>
      </c>
      <c r="H409">
        <v>4.3</v>
      </c>
      <c r="I409">
        <f>MAX(0,1-Fitting!$B$7*(Fitting!$B$6-Herm8889!C409)^2)</f>
        <v>0.42794817411401342</v>
      </c>
      <c r="J409">
        <f>tt(G409,H409,Fitting!$B$1:$E$1,Fitting!$B$2:$E$2)*I409</f>
        <v>4.2152896782723053</v>
      </c>
    </row>
    <row r="410" spans="1:10">
      <c r="A410" s="1">
        <f t="shared" si="32"/>
        <v>32670</v>
      </c>
      <c r="B410">
        <f t="shared" si="30"/>
        <v>4293.9983983135326</v>
      </c>
      <c r="C410">
        <f>day_length(F410,$B$1,Fitting!$B$4)</f>
        <v>11.229226112365723</v>
      </c>
      <c r="D410" s="1">
        <f t="shared" si="31"/>
        <v>32670</v>
      </c>
      <c r="E410">
        <f t="shared" si="33"/>
        <v>1989</v>
      </c>
      <c r="F410" s="6">
        <f t="shared" si="34"/>
        <v>162</v>
      </c>
      <c r="G410">
        <v>13.7</v>
      </c>
      <c r="H410">
        <v>4.5</v>
      </c>
      <c r="I410">
        <f>MAX(0,1-Fitting!$B$7*(Fitting!$B$6-Herm8889!C410)^2)</f>
        <v>0.42719186582034485</v>
      </c>
      <c r="J410">
        <f>tt(G410,H410,Fitting!$B$1:$E$1,Fitting!$B$2:$E$2)*I410</f>
        <v>3.8874457345239919</v>
      </c>
    </row>
    <row r="411" spans="1:10">
      <c r="A411" s="1">
        <f t="shared" si="32"/>
        <v>32671</v>
      </c>
      <c r="B411">
        <f t="shared" si="30"/>
        <v>4298.17806353797</v>
      </c>
      <c r="C411">
        <f>day_length(F411,$B$1,Fitting!$B$4)</f>
        <v>11.223297119140625</v>
      </c>
      <c r="D411" s="1">
        <f t="shared" si="31"/>
        <v>32671</v>
      </c>
      <c r="E411">
        <f t="shared" si="33"/>
        <v>1989</v>
      </c>
      <c r="F411" s="6">
        <f t="shared" si="34"/>
        <v>163</v>
      </c>
      <c r="G411">
        <v>12.3</v>
      </c>
      <c r="H411">
        <v>7.3</v>
      </c>
      <c r="I411">
        <f>MAX(0,1-Fitting!$B$7*(Fitting!$B$6-Herm8889!C411)^2)</f>
        <v>0.42649648467637602</v>
      </c>
      <c r="J411">
        <f>tt(G411,H411,Fitting!$B$1:$E$1,Fitting!$B$2:$E$2)*I411</f>
        <v>4.1796652244374899</v>
      </c>
    </row>
    <row r="412" spans="1:10">
      <c r="A412" s="1">
        <f t="shared" si="32"/>
        <v>32672</v>
      </c>
      <c r="B412">
        <f t="shared" si="30"/>
        <v>4303.2884105905496</v>
      </c>
      <c r="C412">
        <f>day_length(F412,$B$1,Fitting!$B$4)</f>
        <v>11.217892646789551</v>
      </c>
      <c r="D412" s="1">
        <f t="shared" si="31"/>
        <v>32672</v>
      </c>
      <c r="E412">
        <f t="shared" si="33"/>
        <v>1989</v>
      </c>
      <c r="F412" s="6">
        <f t="shared" si="34"/>
        <v>164</v>
      </c>
      <c r="G412">
        <v>18.5</v>
      </c>
      <c r="H412">
        <v>5.5</v>
      </c>
      <c r="I412">
        <f>MAX(0,1-Fitting!$B$7*(Fitting!$B$6-Herm8889!C412)^2)</f>
        <v>0.42586225438159631</v>
      </c>
      <c r="J412">
        <f>tt(G412,H412,Fitting!$B$1:$E$1,Fitting!$B$2:$E$2)*I412</f>
        <v>5.1103470525791561</v>
      </c>
    </row>
    <row r="413" spans="1:10">
      <c r="A413" s="1">
        <f t="shared" si="32"/>
        <v>32673</v>
      </c>
      <c r="B413">
        <f t="shared" si="30"/>
        <v>4308.7746497312419</v>
      </c>
      <c r="C413">
        <f>day_length(F413,$B$1,Fitting!$B$4)</f>
        <v>11.213017463684082</v>
      </c>
      <c r="D413" s="1">
        <f t="shared" si="31"/>
        <v>32673</v>
      </c>
      <c r="E413">
        <f t="shared" si="33"/>
        <v>1989</v>
      </c>
      <c r="F413" s="6">
        <f t="shared" si="34"/>
        <v>165</v>
      </c>
      <c r="G413">
        <v>18.600000000000001</v>
      </c>
      <c r="H413">
        <v>7.2</v>
      </c>
      <c r="I413">
        <f>MAX(0,1-Fitting!$B$7*(Fitting!$B$6-Herm8889!C413)^2)</f>
        <v>0.42528983700308343</v>
      </c>
      <c r="J413">
        <f>tt(G413,H413,Fitting!$B$1:$E$1,Fitting!$B$2:$E$2)*I413</f>
        <v>5.4862391406925726</v>
      </c>
    </row>
    <row r="414" spans="1:10">
      <c r="A414" s="1">
        <f t="shared" si="32"/>
        <v>32674</v>
      </c>
      <c r="B414">
        <f t="shared" si="30"/>
        <v>4313.2135947719653</v>
      </c>
      <c r="C414">
        <f>day_length(F414,$B$1,Fitting!$B$4)</f>
        <v>11.208672523498535</v>
      </c>
      <c r="D414" s="1">
        <f t="shared" si="31"/>
        <v>32674</v>
      </c>
      <c r="E414">
        <f t="shared" si="33"/>
        <v>1989</v>
      </c>
      <c r="F414" s="6">
        <f t="shared" si="34"/>
        <v>166</v>
      </c>
      <c r="G414">
        <v>19.399999999999999</v>
      </c>
      <c r="H414">
        <v>1.5</v>
      </c>
      <c r="I414">
        <f>MAX(0,1-Fitting!$B$7*(Fitting!$B$6-Herm8889!C414)^2)</f>
        <v>0.42477943748744473</v>
      </c>
      <c r="J414">
        <f>tt(G414,H414,Fitting!$B$1:$E$1,Fitting!$B$2:$E$2)*I414</f>
        <v>4.4389450407235493</v>
      </c>
    </row>
    <row r="415" spans="1:10">
      <c r="A415" s="1">
        <f t="shared" si="32"/>
        <v>32675</v>
      </c>
      <c r="B415">
        <f t="shared" si="30"/>
        <v>4318.3480076854903</v>
      </c>
      <c r="C415">
        <f>day_length(F415,$B$1,Fitting!$B$4)</f>
        <v>11.204862594604492</v>
      </c>
      <c r="D415" s="1">
        <f t="shared" si="31"/>
        <v>32675</v>
      </c>
      <c r="E415">
        <f t="shared" si="33"/>
        <v>1989</v>
      </c>
      <c r="F415" s="6">
        <f t="shared" si="34"/>
        <v>167</v>
      </c>
      <c r="G415">
        <v>20.3</v>
      </c>
      <c r="H415">
        <v>3.9</v>
      </c>
      <c r="I415">
        <f>MAX(0,1-Fitting!$B$7*(Fitting!$B$6-Herm8889!C415)^2)</f>
        <v>0.42433169925653058</v>
      </c>
      <c r="J415">
        <f>tt(G415,H415,Fitting!$B$1:$E$1,Fitting!$B$2:$E$2)*I415</f>
        <v>5.1344129135252308</v>
      </c>
    </row>
    <row r="416" spans="1:10">
      <c r="A416" s="1">
        <f t="shared" si="32"/>
        <v>32676</v>
      </c>
      <c r="B416">
        <f t="shared" si="30"/>
        <v>4324.5376291999964</v>
      </c>
      <c r="C416">
        <f>day_length(F416,$B$1,Fitting!$B$4)</f>
        <v>11.201587677001953</v>
      </c>
      <c r="D416" s="1">
        <f t="shared" si="31"/>
        <v>32676</v>
      </c>
      <c r="E416">
        <f t="shared" si="33"/>
        <v>1989</v>
      </c>
      <c r="F416" s="6">
        <f t="shared" si="34"/>
        <v>168</v>
      </c>
      <c r="G416">
        <v>18.8</v>
      </c>
      <c r="H416">
        <v>10.4</v>
      </c>
      <c r="I416">
        <f>MAX(0,1-Fitting!$B$7*(Fitting!$B$6-Herm8889!C416)^2)</f>
        <v>0.42394669569112009</v>
      </c>
      <c r="J416">
        <f>tt(G416,H416,Fitting!$B$1:$E$1,Fitting!$B$2:$E$2)*I416</f>
        <v>6.1896215145061078</v>
      </c>
    </row>
    <row r="417" spans="1:10">
      <c r="A417" s="1">
        <f t="shared" si="32"/>
        <v>32677</v>
      </c>
      <c r="B417">
        <f t="shared" si="30"/>
        <v>4330.5319187442983</v>
      </c>
      <c r="C417">
        <f>day_length(F417,$B$1,Fitting!$B$4)</f>
        <v>11.198849678039551</v>
      </c>
      <c r="D417" s="1">
        <f t="shared" si="31"/>
        <v>32677</v>
      </c>
      <c r="E417">
        <f t="shared" si="33"/>
        <v>1989</v>
      </c>
      <c r="F417" s="6">
        <f t="shared" si="34"/>
        <v>169</v>
      </c>
      <c r="G417">
        <v>16.8</v>
      </c>
      <c r="H417">
        <v>11.5</v>
      </c>
      <c r="I417">
        <f>MAX(0,1-Fitting!$B$7*(Fitting!$B$6-Herm8889!C417)^2)</f>
        <v>0.42362471419800751</v>
      </c>
      <c r="J417">
        <f>tt(G417,H417,Fitting!$B$1:$E$1,Fitting!$B$2:$E$2)*I417</f>
        <v>5.9942895443018021</v>
      </c>
    </row>
    <row r="418" spans="1:10">
      <c r="A418" s="1">
        <f t="shared" si="32"/>
        <v>32678</v>
      </c>
      <c r="B418">
        <f t="shared" si="30"/>
        <v>4336.7977360998484</v>
      </c>
      <c r="C418">
        <f>day_length(F418,$B$1,Fitting!$B$4)</f>
        <v>11.196650505065918</v>
      </c>
      <c r="D418" s="1">
        <f t="shared" si="31"/>
        <v>32678</v>
      </c>
      <c r="E418">
        <f t="shared" si="33"/>
        <v>1989</v>
      </c>
      <c r="F418" s="6">
        <f t="shared" si="34"/>
        <v>170</v>
      </c>
      <c r="G418">
        <v>21</v>
      </c>
      <c r="H418">
        <v>8.6</v>
      </c>
      <c r="I418">
        <f>MAX(0,1-Fitting!$B$7*(Fitting!$B$6-Herm8889!C418)^2)</f>
        <v>0.42336603208105406</v>
      </c>
      <c r="J418">
        <f>tt(G418,H418,Fitting!$B$1:$E$1,Fitting!$B$2:$E$2)*I418</f>
        <v>6.2658173555502623</v>
      </c>
    </row>
    <row r="419" spans="1:10">
      <c r="A419" s="1">
        <f t="shared" si="32"/>
        <v>32679</v>
      </c>
      <c r="B419">
        <f t="shared" si="30"/>
        <v>4340.4158479195039</v>
      </c>
      <c r="C419">
        <f>day_length(F419,$B$1,Fitting!$B$4)</f>
        <v>11.194992065429688</v>
      </c>
      <c r="D419" s="1">
        <f t="shared" si="31"/>
        <v>32679</v>
      </c>
      <c r="E419">
        <f t="shared" si="33"/>
        <v>1989</v>
      </c>
      <c r="F419" s="6">
        <f t="shared" si="34"/>
        <v>171</v>
      </c>
      <c r="G419">
        <v>17.100000000000001</v>
      </c>
      <c r="H419">
        <v>0</v>
      </c>
      <c r="I419">
        <f>MAX(0,1-Fitting!$B$7*(Fitting!$B$6-Herm8889!C419)^2)</f>
        <v>0.42317091641807925</v>
      </c>
      <c r="J419">
        <f>tt(G419,H419,Fitting!$B$1:$E$1,Fitting!$B$2:$E$2)*I419</f>
        <v>3.6181118196552591</v>
      </c>
    </row>
    <row r="420" spans="1:10">
      <c r="A420" s="1">
        <f t="shared" si="32"/>
        <v>32680</v>
      </c>
      <c r="B420">
        <f t="shared" si="30"/>
        <v>4343.9905317128087</v>
      </c>
      <c r="C420">
        <f>day_length(F420,$B$1,Fitting!$B$4)</f>
        <v>11.193875312805176</v>
      </c>
      <c r="D420" s="1">
        <f t="shared" si="31"/>
        <v>32680</v>
      </c>
      <c r="E420">
        <f t="shared" si="33"/>
        <v>1989</v>
      </c>
      <c r="F420" s="6">
        <f t="shared" si="34"/>
        <v>172</v>
      </c>
      <c r="G420">
        <v>16.399999999999999</v>
      </c>
      <c r="H420">
        <v>0.5</v>
      </c>
      <c r="I420">
        <f>MAX(0,1-Fitting!$B$7*(Fitting!$B$6-Herm8889!C420)^2)</f>
        <v>0.42303951171512921</v>
      </c>
      <c r="J420">
        <f>tt(G420,H420,Fitting!$B$1:$E$1,Fitting!$B$2:$E$2)*I420</f>
        <v>3.5746837933044584</v>
      </c>
    </row>
    <row r="421" spans="1:10">
      <c r="A421" s="1">
        <f t="shared" si="32"/>
        <v>32681</v>
      </c>
      <c r="B421">
        <f t="shared" si="30"/>
        <v>4348.7912597077257</v>
      </c>
      <c r="C421">
        <f>day_length(F421,$B$1,Fitting!$B$4)</f>
        <v>11.19329833984375</v>
      </c>
      <c r="D421" s="1">
        <f t="shared" si="31"/>
        <v>32681</v>
      </c>
      <c r="E421">
        <f t="shared" si="33"/>
        <v>1989</v>
      </c>
      <c r="F421" s="6">
        <f t="shared" si="34"/>
        <v>173</v>
      </c>
      <c r="G421">
        <v>16.899999999999999</v>
      </c>
      <c r="H421">
        <v>5.8</v>
      </c>
      <c r="I421">
        <f>MAX(0,1-Fitting!$B$7*(Fitting!$B$6-Herm8889!C421)^2)</f>
        <v>0.4229716152921319</v>
      </c>
      <c r="J421">
        <f>tt(G421,H421,Fitting!$B$1:$E$1,Fitting!$B$2:$E$2)*I421</f>
        <v>4.8007279949165635</v>
      </c>
    </row>
    <row r="422" spans="1:10">
      <c r="A422" s="1">
        <f t="shared" si="32"/>
        <v>32682</v>
      </c>
      <c r="B422">
        <f t="shared" si="30"/>
        <v>4352.9786392470514</v>
      </c>
      <c r="C422">
        <f>day_length(F422,$B$1,Fitting!$B$4)</f>
        <v>11.193264961242676</v>
      </c>
      <c r="D422" s="1">
        <f t="shared" si="31"/>
        <v>32682</v>
      </c>
      <c r="E422">
        <f t="shared" si="33"/>
        <v>1989</v>
      </c>
      <c r="F422" s="6">
        <f t="shared" si="34"/>
        <v>174</v>
      </c>
      <c r="G422">
        <v>17.100000000000001</v>
      </c>
      <c r="H422">
        <v>2.7</v>
      </c>
      <c r="I422">
        <f>MAX(0,1-Fitting!$B$7*(Fitting!$B$6-Herm8889!C422)^2)</f>
        <v>0.42296768727765632</v>
      </c>
      <c r="J422">
        <f>tt(G422,H422,Fitting!$B$1:$E$1,Fitting!$B$2:$E$2)*I422</f>
        <v>4.1873795393260096</v>
      </c>
    </row>
    <row r="423" spans="1:10">
      <c r="A423" s="1">
        <f t="shared" si="32"/>
        <v>32683</v>
      </c>
      <c r="B423">
        <f t="shared" si="30"/>
        <v>4357.5473359661919</v>
      </c>
      <c r="C423">
        <f>day_length(F423,$B$1,Fitting!$B$4)</f>
        <v>11.19377326965332</v>
      </c>
      <c r="D423" s="1">
        <f t="shared" si="31"/>
        <v>32683</v>
      </c>
      <c r="E423">
        <f t="shared" si="33"/>
        <v>1989</v>
      </c>
      <c r="F423" s="6">
        <f t="shared" si="34"/>
        <v>175</v>
      </c>
      <c r="G423">
        <v>17.899999999999999</v>
      </c>
      <c r="H423">
        <v>3.7</v>
      </c>
      <c r="I423">
        <f>MAX(0,1-Fitting!$B$7*(Fitting!$B$6-Herm8889!C423)^2)</f>
        <v>0.42302750387820565</v>
      </c>
      <c r="J423">
        <f>tt(G423,H423,Fitting!$B$1:$E$1,Fitting!$B$2:$E$2)*I423</f>
        <v>4.5686967191402488</v>
      </c>
    </row>
    <row r="424" spans="1:10">
      <c r="A424" s="1">
        <f t="shared" si="32"/>
        <v>32684</v>
      </c>
      <c r="B424">
        <f t="shared" si="30"/>
        <v>4360.7209688800522</v>
      </c>
      <c r="C424">
        <f>day_length(F424,$B$1,Fitting!$B$4)</f>
        <v>11.194823265075684</v>
      </c>
      <c r="D424" s="1">
        <f t="shared" si="31"/>
        <v>32684</v>
      </c>
      <c r="E424">
        <f t="shared" si="33"/>
        <v>1989</v>
      </c>
      <c r="F424" s="6">
        <f t="shared" si="34"/>
        <v>176</v>
      </c>
      <c r="G424">
        <v>12.8</v>
      </c>
      <c r="H424">
        <v>2.2000000000000002</v>
      </c>
      <c r="I424">
        <f>MAX(0,1-Fitting!$B$7*(Fitting!$B$6-Herm8889!C424)^2)</f>
        <v>0.42315105518139351</v>
      </c>
      <c r="J424">
        <f>tt(G424,H424,Fitting!$B$1:$E$1,Fitting!$B$2:$E$2)*I424</f>
        <v>3.1736329138604513</v>
      </c>
    </row>
    <row r="425" spans="1:10">
      <c r="A425" s="1">
        <f t="shared" si="32"/>
        <v>32685</v>
      </c>
      <c r="B425">
        <f t="shared" si="30"/>
        <v>4363.8748384527689</v>
      </c>
      <c r="C425">
        <f>day_length(F425,$B$1,Fitting!$B$4)</f>
        <v>11.196413993835449</v>
      </c>
      <c r="D425" s="1">
        <f t="shared" si="31"/>
        <v>32685</v>
      </c>
      <c r="E425">
        <f t="shared" si="33"/>
        <v>1989</v>
      </c>
      <c r="F425" s="6">
        <f t="shared" si="34"/>
        <v>177</v>
      </c>
      <c r="G425">
        <v>15.4</v>
      </c>
      <c r="H425">
        <v>-0.5</v>
      </c>
      <c r="I425">
        <f>MAX(0,1-Fitting!$B$7*(Fitting!$B$6-Herm8889!C425)^2)</f>
        <v>0.42333820851840753</v>
      </c>
      <c r="J425">
        <f>tt(G425,H425,Fitting!$B$1:$E$1,Fitting!$B$2:$E$2)*I425</f>
        <v>3.1538695727167809</v>
      </c>
    </row>
    <row r="426" spans="1:10">
      <c r="A426" s="1">
        <f t="shared" si="32"/>
        <v>32686</v>
      </c>
      <c r="B426">
        <f t="shared" si="30"/>
        <v>4367.7930368902425</v>
      </c>
      <c r="C426">
        <f>day_length(F426,$B$1,Fitting!$B$4)</f>
        <v>11.198545455932617</v>
      </c>
      <c r="D426" s="1">
        <f t="shared" si="31"/>
        <v>32686</v>
      </c>
      <c r="E426">
        <f t="shared" si="33"/>
        <v>1989</v>
      </c>
      <c r="F426" s="6">
        <f t="shared" si="34"/>
        <v>178</v>
      </c>
      <c r="G426">
        <v>17.2</v>
      </c>
      <c r="H426">
        <v>1.3</v>
      </c>
      <c r="I426">
        <f>MAX(0,1-Fitting!$B$7*(Fitting!$B$6-Herm8889!C426)^2)</f>
        <v>0.4235889329234851</v>
      </c>
      <c r="J426">
        <f>tt(G426,H426,Fitting!$B$1:$E$1,Fitting!$B$2:$E$2)*I426</f>
        <v>3.9181984374740093</v>
      </c>
    </row>
    <row r="427" spans="1:10">
      <c r="A427" s="1">
        <f t="shared" si="32"/>
        <v>32687</v>
      </c>
      <c r="B427">
        <f t="shared" si="30"/>
        <v>4373.2825787232377</v>
      </c>
      <c r="C427">
        <f>day_length(F427,$B$1,Fitting!$B$4)</f>
        <v>11.201214790344238</v>
      </c>
      <c r="D427" s="1">
        <f t="shared" si="31"/>
        <v>32687</v>
      </c>
      <c r="E427">
        <f t="shared" si="33"/>
        <v>1989</v>
      </c>
      <c r="F427" s="6">
        <f t="shared" si="34"/>
        <v>179</v>
      </c>
      <c r="G427">
        <v>16.899999999999999</v>
      </c>
      <c r="H427">
        <v>9</v>
      </c>
      <c r="I427">
        <f>MAX(0,1-Fitting!$B$7*(Fitting!$B$6-Herm8889!C427)^2)</f>
        <v>0.42390285049018894</v>
      </c>
      <c r="J427">
        <f>tt(G427,H427,Fitting!$B$1:$E$1,Fitting!$B$2:$E$2)*I427</f>
        <v>5.4895418329948944</v>
      </c>
    </row>
    <row r="428" spans="1:10">
      <c r="A428" s="1">
        <f t="shared" si="32"/>
        <v>32688</v>
      </c>
      <c r="B428">
        <f t="shared" si="30"/>
        <v>4378.840648232379</v>
      </c>
      <c r="C428">
        <f>day_length(F428,$B$1,Fitting!$B$4)</f>
        <v>11.204423904418945</v>
      </c>
      <c r="D428" s="1">
        <f t="shared" si="31"/>
        <v>32688</v>
      </c>
      <c r="E428">
        <f t="shared" si="33"/>
        <v>1989</v>
      </c>
      <c r="F428" s="6">
        <f t="shared" si="34"/>
        <v>180</v>
      </c>
      <c r="G428">
        <v>15.7</v>
      </c>
      <c r="H428">
        <v>10.5</v>
      </c>
      <c r="I428">
        <f>MAX(0,1-Fitting!$B$7*(Fitting!$B$6-Herm8889!C428)^2)</f>
        <v>0.42428013373408613</v>
      </c>
      <c r="J428">
        <f>tt(G428,H428,Fitting!$B$1:$E$1,Fitting!$B$2:$E$2)*I428</f>
        <v>5.5580695091414887</v>
      </c>
    </row>
    <row r="429" spans="1:10">
      <c r="A429" s="1">
        <f t="shared" si="32"/>
        <v>32689</v>
      </c>
      <c r="B429">
        <f t="shared" si="30"/>
        <v>4384.786728903593</v>
      </c>
      <c r="C429">
        <f>day_length(F429,$B$1,Fitting!$B$4)</f>
        <v>11.20816707611084</v>
      </c>
      <c r="D429" s="1">
        <f t="shared" si="31"/>
        <v>32689</v>
      </c>
      <c r="E429">
        <f t="shared" si="33"/>
        <v>1989</v>
      </c>
      <c r="F429" s="6">
        <f t="shared" si="34"/>
        <v>181</v>
      </c>
      <c r="G429">
        <v>18.5</v>
      </c>
      <c r="H429">
        <v>9.5</v>
      </c>
      <c r="I429">
        <f>MAX(0,1-Fitting!$B$7*(Fitting!$B$6-Herm8889!C429)^2)</f>
        <v>0.42472004794384155</v>
      </c>
      <c r="J429">
        <f>tt(G429,H429,Fitting!$B$1:$E$1,Fitting!$B$2:$E$2)*I429</f>
        <v>5.9460806712137817</v>
      </c>
    </row>
    <row r="430" spans="1:10">
      <c r="A430" s="1">
        <f t="shared" si="32"/>
        <v>32690</v>
      </c>
      <c r="B430">
        <f t="shared" si="30"/>
        <v>4390.8674122333996</v>
      </c>
      <c r="C430">
        <f>day_length(F430,$B$1,Fitting!$B$4)</f>
        <v>11.212445259094238</v>
      </c>
      <c r="D430" s="1">
        <f t="shared" si="31"/>
        <v>32690</v>
      </c>
      <c r="E430">
        <f t="shared" si="33"/>
        <v>1989</v>
      </c>
      <c r="F430" s="6">
        <f t="shared" si="34"/>
        <v>182</v>
      </c>
      <c r="G430">
        <v>19.8</v>
      </c>
      <c r="H430">
        <v>8.8000000000000007</v>
      </c>
      <c r="I430">
        <f>MAX(0,1-Fitting!$B$7*(Fitting!$B$6-Herm8889!C430)^2)</f>
        <v>0.42522263316263886</v>
      </c>
      <c r="J430">
        <f>tt(G430,H430,Fitting!$B$1:$E$1,Fitting!$B$2:$E$2)*I430</f>
        <v>6.0806833298066127</v>
      </c>
    </row>
    <row r="431" spans="1:10">
      <c r="A431" s="1">
        <f t="shared" si="32"/>
        <v>32691</v>
      </c>
      <c r="B431">
        <f t="shared" si="30"/>
        <v>4397.786456819952</v>
      </c>
      <c r="C431">
        <f>day_length(F431,$B$1,Fitting!$B$4)</f>
        <v>11.217254638671875</v>
      </c>
      <c r="D431" s="1">
        <f t="shared" si="31"/>
        <v>32691</v>
      </c>
      <c r="E431">
        <f t="shared" si="33"/>
        <v>1989</v>
      </c>
      <c r="F431" s="6">
        <f t="shared" si="34"/>
        <v>183</v>
      </c>
      <c r="G431">
        <v>19.5</v>
      </c>
      <c r="H431">
        <v>13</v>
      </c>
      <c r="I431">
        <f>MAX(0,1-Fitting!$B$7*(Fitting!$B$6-Herm8889!C431)^2)</f>
        <v>0.42578735917247834</v>
      </c>
      <c r="J431">
        <f>tt(G431,H431,Fitting!$B$1:$E$1,Fitting!$B$2:$E$2)*I431</f>
        <v>6.919044586552773</v>
      </c>
    </row>
    <row r="432" spans="1:10">
      <c r="A432" s="1">
        <f t="shared" si="32"/>
        <v>32692</v>
      </c>
      <c r="B432">
        <f t="shared" si="30"/>
        <v>4403.9694573022898</v>
      </c>
      <c r="C432">
        <f>day_length(F432,$B$1,Fitting!$B$4)</f>
        <v>11.222592353820801</v>
      </c>
      <c r="D432" s="1">
        <f t="shared" si="31"/>
        <v>32692</v>
      </c>
      <c r="E432">
        <f t="shared" si="33"/>
        <v>1989</v>
      </c>
      <c r="F432" s="6">
        <f t="shared" si="34"/>
        <v>184</v>
      </c>
      <c r="G432">
        <v>21.5</v>
      </c>
      <c r="H432">
        <v>7.5</v>
      </c>
      <c r="I432">
        <f>MAX(0,1-Fitting!$B$7*(Fitting!$B$6-Herm8889!C432)^2)</f>
        <v>0.42641379832261916</v>
      </c>
      <c r="J432">
        <f>tt(G432,H432,Fitting!$B$1:$E$1,Fitting!$B$2:$E$2)*I432</f>
        <v>6.1830004823378655</v>
      </c>
    </row>
    <row r="433" spans="1:10">
      <c r="A433" s="1">
        <f t="shared" si="32"/>
        <v>32693</v>
      </c>
      <c r="B433">
        <f t="shared" si="30"/>
        <v>4410.9739237965205</v>
      </c>
      <c r="C433">
        <f>day_length(F433,$B$1,Fitting!$B$4)</f>
        <v>11.228456497192383</v>
      </c>
      <c r="D433" s="1">
        <f t="shared" si="31"/>
        <v>32693</v>
      </c>
      <c r="E433">
        <f t="shared" si="33"/>
        <v>1989</v>
      </c>
      <c r="F433" s="6">
        <f t="shared" si="34"/>
        <v>185</v>
      </c>
      <c r="G433">
        <v>20.399999999999999</v>
      </c>
      <c r="H433">
        <v>12.4</v>
      </c>
      <c r="I433">
        <f>MAX(0,1-Fitting!$B$7*(Fitting!$B$6-Herm8889!C433)^2)</f>
        <v>0.42710162543642949</v>
      </c>
      <c r="J433">
        <f>tt(G433,H433,Fitting!$B$1:$E$1,Fitting!$B$2:$E$2)*I433</f>
        <v>7.004466494231103</v>
      </c>
    </row>
    <row r="434" spans="1:10">
      <c r="A434" s="1">
        <f t="shared" si="32"/>
        <v>32694</v>
      </c>
      <c r="B434">
        <f t="shared" si="30"/>
        <v>4415.3166039993312</v>
      </c>
      <c r="C434">
        <f>day_length(F434,$B$1,Fitting!$B$4)</f>
        <v>11.234843254089355</v>
      </c>
      <c r="D434" s="1">
        <f t="shared" si="31"/>
        <v>32694</v>
      </c>
      <c r="E434">
        <f t="shared" si="33"/>
        <v>1989</v>
      </c>
      <c r="F434" s="6">
        <f t="shared" si="34"/>
        <v>186</v>
      </c>
      <c r="G434">
        <v>18.100000000000001</v>
      </c>
      <c r="H434">
        <v>2.2000000000000002</v>
      </c>
      <c r="I434">
        <f>MAX(0,1-Fitting!$B$7*(Fitting!$B$6-Herm8889!C434)^2)</f>
        <v>0.42785028236677503</v>
      </c>
      <c r="J434">
        <f>tt(G434,H434,Fitting!$B$1:$E$1,Fitting!$B$2:$E$2)*I434</f>
        <v>4.3426802028108362</v>
      </c>
    </row>
    <row r="435" spans="1:10">
      <c r="A435" s="1">
        <f t="shared" si="32"/>
        <v>32695</v>
      </c>
      <c r="B435">
        <f t="shared" si="30"/>
        <v>4418.4686731578331</v>
      </c>
      <c r="C435">
        <f>day_length(F435,$B$1,Fitting!$B$4)</f>
        <v>11.24174976348877</v>
      </c>
      <c r="D435" s="1">
        <f t="shared" si="31"/>
        <v>32695</v>
      </c>
      <c r="E435">
        <f t="shared" si="33"/>
        <v>1989</v>
      </c>
      <c r="F435" s="6">
        <f t="shared" si="34"/>
        <v>187</v>
      </c>
      <c r="G435">
        <v>15.5</v>
      </c>
      <c r="H435">
        <v>-0.8</v>
      </c>
      <c r="I435">
        <f>MAX(0,1-Fitting!$B$7*(Fitting!$B$6-Herm8889!C435)^2)</f>
        <v>0.42865931392977108</v>
      </c>
      <c r="J435">
        <f>tt(G435,H435,Fitting!$B$1:$E$1,Fitting!$B$2:$E$2)*I435</f>
        <v>3.1520691585018241</v>
      </c>
    </row>
    <row r="436" spans="1:10">
      <c r="A436" s="1">
        <f t="shared" si="32"/>
        <v>32696</v>
      </c>
      <c r="B436">
        <f t="shared" si="30"/>
        <v>4421.1532240612059</v>
      </c>
      <c r="C436">
        <f>day_length(F436,$B$1,Fitting!$B$4)</f>
        <v>11.249172210693359</v>
      </c>
      <c r="D436" s="1">
        <f t="shared" si="31"/>
        <v>32696</v>
      </c>
      <c r="E436">
        <f t="shared" si="33"/>
        <v>1989</v>
      </c>
      <c r="F436" s="6">
        <f t="shared" si="34"/>
        <v>188</v>
      </c>
      <c r="G436">
        <v>13</v>
      </c>
      <c r="H436">
        <v>-0.5</v>
      </c>
      <c r="I436">
        <f>MAX(0,1-Fitting!$B$7*(Fitting!$B$6-Herm8889!C436)^2)</f>
        <v>0.42952814453971222</v>
      </c>
      <c r="J436">
        <f>tt(G436,H436,Fitting!$B$1:$E$1,Fitting!$B$2:$E$2)*I436</f>
        <v>2.6845509033732013</v>
      </c>
    </row>
    <row r="437" spans="1:10">
      <c r="A437" s="1">
        <f t="shared" si="32"/>
        <v>32697</v>
      </c>
      <c r="B437">
        <f t="shared" si="30"/>
        <v>4424.0973862736946</v>
      </c>
      <c r="C437">
        <f>day_length(F437,$B$1,Fitting!$B$4)</f>
        <v>11.257105827331543</v>
      </c>
      <c r="D437" s="1">
        <f t="shared" si="31"/>
        <v>32697</v>
      </c>
      <c r="E437">
        <f t="shared" si="33"/>
        <v>1989</v>
      </c>
      <c r="F437" s="6">
        <f t="shared" si="34"/>
        <v>189</v>
      </c>
      <c r="G437">
        <v>15</v>
      </c>
      <c r="H437">
        <v>-1.5</v>
      </c>
      <c r="I437">
        <f>MAX(0,1-Fitting!$B$7*(Fitting!$B$6-Herm8889!C437)^2)</f>
        <v>0.43045607884109816</v>
      </c>
      <c r="J437">
        <f>tt(G437,H437,Fitting!$B$1:$E$1,Fitting!$B$2:$E$2)*I437</f>
        <v>2.9441622124887648</v>
      </c>
    </row>
    <row r="438" spans="1:10">
      <c r="A438" s="1">
        <f t="shared" si="32"/>
        <v>32698</v>
      </c>
      <c r="B438">
        <f t="shared" si="30"/>
        <v>4428.5196728877263</v>
      </c>
      <c r="C438">
        <f>day_length(F438,$B$1,Fitting!$B$4)</f>
        <v>11.265547752380371</v>
      </c>
      <c r="D438" s="1">
        <f t="shared" si="31"/>
        <v>32698</v>
      </c>
      <c r="E438">
        <f t="shared" si="33"/>
        <v>1989</v>
      </c>
      <c r="F438" s="6">
        <f t="shared" si="34"/>
        <v>190</v>
      </c>
      <c r="G438">
        <v>17.7</v>
      </c>
      <c r="H438">
        <v>2.8</v>
      </c>
      <c r="I438">
        <f>MAX(0,1-Fitting!$B$7*(Fitting!$B$6-Herm8889!C438)^2)</f>
        <v>0.43144263663287896</v>
      </c>
      <c r="J438">
        <f>tt(G438,H438,Fitting!$B$1:$E$1,Fitting!$B$2:$E$2)*I438</f>
        <v>4.4222866140312478</v>
      </c>
    </row>
    <row r="439" spans="1:10">
      <c r="A439" s="1">
        <f t="shared" si="32"/>
        <v>32699</v>
      </c>
      <c r="B439">
        <f t="shared" si="30"/>
        <v>4435.2664715084811</v>
      </c>
      <c r="C439">
        <f>day_length(F439,$B$1,Fitting!$B$4)</f>
        <v>11.274493217468262</v>
      </c>
      <c r="D439" s="1">
        <f t="shared" si="31"/>
        <v>32699</v>
      </c>
      <c r="E439">
        <f t="shared" si="33"/>
        <v>1989</v>
      </c>
      <c r="F439" s="6">
        <f t="shared" si="34"/>
        <v>191</v>
      </c>
      <c r="G439">
        <v>19.8</v>
      </c>
      <c r="H439">
        <v>11.4</v>
      </c>
      <c r="I439">
        <f>MAX(0,1-Fitting!$B$7*(Fitting!$B$6-Herm8889!C439)^2)</f>
        <v>0.43248710693757497</v>
      </c>
      <c r="J439">
        <f>tt(G439,H439,Fitting!$B$1:$E$1,Fitting!$B$2:$E$2)*I439</f>
        <v>6.7467986207550616</v>
      </c>
    </row>
    <row r="440" spans="1:10">
      <c r="A440" s="1">
        <f t="shared" si="32"/>
        <v>32700</v>
      </c>
      <c r="B440">
        <f t="shared" si="30"/>
        <v>4439.6023581129593</v>
      </c>
      <c r="C440">
        <f>day_length(F440,$B$1,Fitting!$B$4)</f>
        <v>11.283936500549316</v>
      </c>
      <c r="D440" s="1">
        <f t="shared" si="31"/>
        <v>32700</v>
      </c>
      <c r="E440">
        <f t="shared" si="33"/>
        <v>1989</v>
      </c>
      <c r="F440" s="6">
        <f t="shared" si="34"/>
        <v>192</v>
      </c>
      <c r="G440">
        <v>15.7</v>
      </c>
      <c r="H440">
        <v>4.3</v>
      </c>
      <c r="I440">
        <f>MAX(0,1-Fitting!$B$7*(Fitting!$B$6-Herm8889!C440)^2)</f>
        <v>0.43358866044785283</v>
      </c>
      <c r="J440">
        <f>tt(G440,H440,Fitting!$B$1:$E$1,Fitting!$B$2:$E$2)*I440</f>
        <v>4.335886604478528</v>
      </c>
    </row>
    <row r="441" spans="1:10">
      <c r="A441" s="1">
        <f t="shared" si="32"/>
        <v>32701</v>
      </c>
      <c r="B441">
        <f t="shared" si="30"/>
        <v>4443.5150792651975</v>
      </c>
      <c r="C441">
        <f>day_length(F441,$B$1,Fitting!$B$4)</f>
        <v>11.293874740600586</v>
      </c>
      <c r="D441" s="1">
        <f t="shared" si="31"/>
        <v>32701</v>
      </c>
      <c r="E441">
        <f t="shared" si="33"/>
        <v>1989</v>
      </c>
      <c r="F441" s="6">
        <f t="shared" si="34"/>
        <v>193</v>
      </c>
      <c r="G441">
        <v>12.7</v>
      </c>
      <c r="H441">
        <v>5.3</v>
      </c>
      <c r="I441">
        <f>MAX(0,1-Fitting!$B$7*(Fitting!$B$6-Herm8889!C441)^2)</f>
        <v>0.43474679469309196</v>
      </c>
      <c r="J441">
        <f>tt(G441,H441,Fitting!$B$1:$E$1,Fitting!$B$2:$E$2)*I441</f>
        <v>3.9127211522378276</v>
      </c>
    </row>
    <row r="442" spans="1:10">
      <c r="A442" s="1">
        <f t="shared" si="32"/>
        <v>32702</v>
      </c>
      <c r="B442">
        <f t="shared" si="30"/>
        <v>4447.0245623006376</v>
      </c>
      <c r="C442">
        <f>day_length(F442,$B$1,Fitting!$B$4)</f>
        <v>11.304302215576172</v>
      </c>
      <c r="D442" s="1">
        <f t="shared" si="31"/>
        <v>32702</v>
      </c>
      <c r="E442">
        <f t="shared" si="33"/>
        <v>1989</v>
      </c>
      <c r="F442" s="6">
        <f t="shared" si="34"/>
        <v>194</v>
      </c>
      <c r="G442">
        <v>13.9</v>
      </c>
      <c r="H442">
        <v>2.2000000000000002</v>
      </c>
      <c r="I442">
        <f>MAX(0,1-Fitting!$B$7*(Fitting!$B$6-Herm8889!C442)^2)</f>
        <v>0.43596066683871326</v>
      </c>
      <c r="J442">
        <f>tt(G442,H442,Fitting!$B$1:$E$1,Fitting!$B$2:$E$2)*I442</f>
        <v>3.509483035440049</v>
      </c>
    </row>
    <row r="443" spans="1:10">
      <c r="A443" s="1">
        <f t="shared" si="32"/>
        <v>32703</v>
      </c>
      <c r="B443">
        <f t="shared" si="30"/>
        <v>4449.3646278878814</v>
      </c>
      <c r="C443">
        <f>day_length(F443,$B$1,Fitting!$B$4)</f>
        <v>11.315212249755859</v>
      </c>
      <c r="D443" s="1">
        <f t="shared" si="31"/>
        <v>32703</v>
      </c>
      <c r="E443">
        <f t="shared" si="33"/>
        <v>1989</v>
      </c>
      <c r="F443" s="6">
        <f t="shared" si="34"/>
        <v>195</v>
      </c>
      <c r="G443">
        <v>12.2</v>
      </c>
      <c r="H443">
        <v>-2</v>
      </c>
      <c r="I443">
        <f>MAX(0,1-Fitting!$B$7*(Fitting!$B$6-Herm8889!C443)^2)</f>
        <v>0.4372293173963262</v>
      </c>
      <c r="J443">
        <f>tt(G443,H443,Fitting!$B$1:$E$1,Fitting!$B$2:$E$2)*I443</f>
        <v>2.3400655872433744</v>
      </c>
    </row>
    <row r="444" spans="1:10">
      <c r="A444" s="1">
        <f t="shared" si="32"/>
        <v>32704</v>
      </c>
      <c r="B444">
        <f t="shared" si="30"/>
        <v>4451.3103534577722</v>
      </c>
      <c r="C444">
        <f>day_length(F444,$B$1,Fitting!$B$4)</f>
        <v>11.326601028442383</v>
      </c>
      <c r="D444" s="1">
        <f t="shared" si="31"/>
        <v>32704</v>
      </c>
      <c r="E444">
        <f t="shared" si="33"/>
        <v>1989</v>
      </c>
      <c r="F444" s="6">
        <f t="shared" si="34"/>
        <v>196</v>
      </c>
      <c r="G444">
        <v>11.8</v>
      </c>
      <c r="H444">
        <v>-5.5</v>
      </c>
      <c r="I444">
        <f>MAX(0,1-Fitting!$B$7*(Fitting!$B$6-Herm8889!C444)^2)</f>
        <v>0.43855211402240823</v>
      </c>
      <c r="J444">
        <f>tt(G444,H444,Fitting!$B$1:$E$1,Fitting!$B$2:$E$2)*I444</f>
        <v>1.9457255698903895</v>
      </c>
    </row>
    <row r="445" spans="1:10">
      <c r="A445" s="1">
        <f t="shared" si="32"/>
        <v>32705</v>
      </c>
      <c r="B445">
        <f t="shared" si="30"/>
        <v>4454.5438256639782</v>
      </c>
      <c r="C445">
        <f>day_length(F445,$B$1,Fitting!$B$4)</f>
        <v>11.338462829589844</v>
      </c>
      <c r="D445" s="1">
        <f t="shared" si="31"/>
        <v>32705</v>
      </c>
      <c r="E445">
        <f t="shared" si="33"/>
        <v>1989</v>
      </c>
      <c r="F445" s="6">
        <f t="shared" si="34"/>
        <v>197</v>
      </c>
      <c r="G445">
        <v>14.1</v>
      </c>
      <c r="H445">
        <v>0.6</v>
      </c>
      <c r="I445">
        <f>MAX(0,1-Fitting!$B$7*(Fitting!$B$6-Herm8889!C445)^2)</f>
        <v>0.43992819702869745</v>
      </c>
      <c r="J445">
        <f>tt(G445,H445,Fitting!$B$1:$E$1,Fitting!$B$2:$E$2)*I445</f>
        <v>3.2334722062061041</v>
      </c>
    </row>
    <row r="446" spans="1:10">
      <c r="A446" s="1">
        <f t="shared" si="32"/>
        <v>32706</v>
      </c>
      <c r="B446">
        <f t="shared" si="30"/>
        <v>4456.4115230020961</v>
      </c>
      <c r="C446">
        <f>day_length(F446,$B$1,Fitting!$B$4)</f>
        <v>11.350791931152344</v>
      </c>
      <c r="D446" s="1">
        <f t="shared" si="31"/>
        <v>32706</v>
      </c>
      <c r="E446">
        <f t="shared" si="33"/>
        <v>1989</v>
      </c>
      <c r="F446" s="6">
        <f t="shared" si="34"/>
        <v>198</v>
      </c>
      <c r="G446">
        <v>10.1</v>
      </c>
      <c r="H446">
        <v>-2.4</v>
      </c>
      <c r="I446">
        <f>MAX(0,1-Fitting!$B$7*(Fitting!$B$6-Herm8889!C446)^2)</f>
        <v>0.4413567018645117</v>
      </c>
      <c r="J446">
        <f>tt(G446,H446,Fitting!$B$1:$E$1,Fitting!$B$2:$E$2)*I446</f>
        <v>1.867697338117893</v>
      </c>
    </row>
    <row r="447" spans="1:10">
      <c r="A447" s="1">
        <f t="shared" si="32"/>
        <v>32707</v>
      </c>
      <c r="B447">
        <f t="shared" si="30"/>
        <v>4460.8177475767689</v>
      </c>
      <c r="C447">
        <f>day_length(F447,$B$1,Fitting!$B$4)</f>
        <v>11.363581657409668</v>
      </c>
      <c r="D447" s="1">
        <f t="shared" si="31"/>
        <v>32707</v>
      </c>
      <c r="E447">
        <f t="shared" si="33"/>
        <v>1989</v>
      </c>
      <c r="F447" s="6">
        <f t="shared" si="34"/>
        <v>199</v>
      </c>
      <c r="G447">
        <v>14.7</v>
      </c>
      <c r="H447">
        <v>5.2</v>
      </c>
      <c r="I447">
        <f>MAX(0,1-Fitting!$B$7*(Fitting!$B$6-Herm8889!C447)^2)</f>
        <v>0.44283664915953158</v>
      </c>
      <c r="J447">
        <f>tt(G447,H447,Fitting!$B$1:$E$1,Fitting!$B$2:$E$2)*I447</f>
        <v>4.4062245746729518</v>
      </c>
    </row>
    <row r="448" spans="1:10">
      <c r="A448" s="1">
        <f t="shared" si="32"/>
        <v>32708</v>
      </c>
      <c r="B448">
        <f t="shared" si="30"/>
        <v>4464.2838122038856</v>
      </c>
      <c r="C448">
        <f>day_length(F448,$B$1,Fitting!$B$4)</f>
        <v>11.376827239990234</v>
      </c>
      <c r="D448" s="1">
        <f t="shared" si="31"/>
        <v>32708</v>
      </c>
      <c r="E448">
        <f t="shared" si="33"/>
        <v>1989</v>
      </c>
      <c r="F448" s="6">
        <f t="shared" si="34"/>
        <v>200</v>
      </c>
      <c r="G448">
        <v>11</v>
      </c>
      <c r="H448">
        <v>4.5999999999999996</v>
      </c>
      <c r="I448">
        <f>MAX(0,1-Fitting!$B$7*(Fitting!$B$6-Herm8889!C448)^2)</f>
        <v>0.44436727618603622</v>
      </c>
      <c r="J448">
        <f>tt(G448,H448,Fitting!$B$1:$E$1,Fitting!$B$2:$E$2)*I448</f>
        <v>3.4660646271165851</v>
      </c>
    </row>
    <row r="449" spans="1:10">
      <c r="A449" s="1">
        <f t="shared" si="32"/>
        <v>32709</v>
      </c>
      <c r="B449">
        <f t="shared" si="30"/>
        <v>4467.829095505208</v>
      </c>
      <c r="C449">
        <f>day_length(F449,$B$1,Fitting!$B$4)</f>
        <v>11.390522003173828</v>
      </c>
      <c r="D449" s="1">
        <f t="shared" si="31"/>
        <v>32709</v>
      </c>
      <c r="E449">
        <f t="shared" si="33"/>
        <v>1989</v>
      </c>
      <c r="F449" s="6">
        <f t="shared" si="34"/>
        <v>201</v>
      </c>
      <c r="G449">
        <v>12.8</v>
      </c>
      <c r="H449">
        <v>3.1</v>
      </c>
      <c r="I449">
        <f>MAX(0,1-Fitting!$B$7*(Fitting!$B$6-Herm8889!C449)^2)</f>
        <v>0.44594759577108201</v>
      </c>
      <c r="J449">
        <f>tt(G449,H449,Fitting!$B$1:$E$1,Fitting!$B$2:$E$2)*I449</f>
        <v>3.5452833013223484</v>
      </c>
    </row>
    <row r="450" spans="1:10">
      <c r="A450" s="1">
        <f t="shared" si="32"/>
        <v>32710</v>
      </c>
      <c r="B450">
        <f t="shared" si="30"/>
        <v>4470.3521267678225</v>
      </c>
      <c r="C450">
        <f>day_length(F450,$B$1,Fitting!$B$4)</f>
        <v>11.404659271240234</v>
      </c>
      <c r="D450" s="1">
        <f t="shared" si="31"/>
        <v>32710</v>
      </c>
      <c r="E450">
        <f t="shared" si="33"/>
        <v>1989</v>
      </c>
      <c r="F450" s="6">
        <f t="shared" si="34"/>
        <v>202</v>
      </c>
      <c r="G450">
        <v>14.4</v>
      </c>
      <c r="H450">
        <v>-5.4</v>
      </c>
      <c r="I450">
        <f>MAX(0,1-Fitting!$B$7*(Fitting!$B$6-Herm8889!C450)^2)</f>
        <v>0.44757661779402402</v>
      </c>
      <c r="J450">
        <f>tt(G450,H450,Fitting!$B$1:$E$1,Fitting!$B$2:$E$2)*I450</f>
        <v>2.5230312626148894</v>
      </c>
    </row>
    <row r="451" spans="1:10">
      <c r="A451" s="1">
        <f t="shared" si="32"/>
        <v>32711</v>
      </c>
      <c r="B451">
        <f t="shared" si="30"/>
        <v>4473.3279827015267</v>
      </c>
      <c r="C451">
        <f>day_length(F451,$B$1,Fitting!$B$4)</f>
        <v>11.419232368469238</v>
      </c>
      <c r="D451" s="1">
        <f t="shared" si="31"/>
        <v>32711</v>
      </c>
      <c r="E451">
        <f t="shared" si="33"/>
        <v>1989</v>
      </c>
      <c r="F451" s="6">
        <f t="shared" si="34"/>
        <v>203</v>
      </c>
      <c r="G451">
        <v>16</v>
      </c>
      <c r="H451">
        <v>-4.0999999999999996</v>
      </c>
      <c r="I451">
        <f>MAX(0,1-Fitting!$B$7*(Fitting!$B$6-Herm8889!C451)^2)</f>
        <v>0.44925334954367457</v>
      </c>
      <c r="J451">
        <f>tt(G451,H451,Fitting!$B$1:$E$1,Fitting!$B$2:$E$2)*I451</f>
        <v>2.9758559337043695</v>
      </c>
    </row>
    <row r="452" spans="1:10">
      <c r="A452" s="1">
        <f t="shared" si="32"/>
        <v>32712</v>
      </c>
      <c r="B452">
        <f t="shared" si="30"/>
        <v>4478.3338269551577</v>
      </c>
      <c r="C452">
        <f>day_length(F452,$B$1,Fitting!$B$4)</f>
        <v>11.434235572814941</v>
      </c>
      <c r="D452" s="1">
        <f t="shared" si="31"/>
        <v>32712</v>
      </c>
      <c r="E452">
        <f t="shared" si="33"/>
        <v>1989</v>
      </c>
      <c r="F452" s="6">
        <f t="shared" si="34"/>
        <v>204</v>
      </c>
      <c r="G452">
        <v>16.8</v>
      </c>
      <c r="H452">
        <v>5.4</v>
      </c>
      <c r="I452">
        <f>MAX(0,1-Fitting!$B$7*(Fitting!$B$6-Herm8889!C452)^2)</f>
        <v>0.45097690554160541</v>
      </c>
      <c r="J452">
        <f>tt(G452,H452,Fitting!$B$1:$E$1,Fitting!$B$2:$E$2)*I452</f>
        <v>5.0058442536309489</v>
      </c>
    </row>
    <row r="453" spans="1:10">
      <c r="A453" s="1">
        <f t="shared" si="32"/>
        <v>32713</v>
      </c>
      <c r="B453">
        <f t="shared" ref="B453:B516" si="35">B452+J453</f>
        <v>4483.1555759180701</v>
      </c>
      <c r="C453">
        <f>day_length(F453,$B$1,Fitting!$B$4)</f>
        <v>11.449663162231445</v>
      </c>
      <c r="D453" s="1">
        <f t="shared" ref="D453:D516" si="36">A453</f>
        <v>32713</v>
      </c>
      <c r="E453">
        <f t="shared" si="33"/>
        <v>1989</v>
      </c>
      <c r="F453" s="6">
        <f t="shared" si="34"/>
        <v>205</v>
      </c>
      <c r="G453">
        <v>17.7</v>
      </c>
      <c r="H453">
        <v>3.6</v>
      </c>
      <c r="I453">
        <f>MAX(0,1-Fitting!$B$7*(Fitting!$B$6-Herm8889!C453)^2)</f>
        <v>0.45274639771096548</v>
      </c>
      <c r="J453">
        <f>tt(G453,H453,Fitting!$B$1:$E$1,Fitting!$B$2:$E$2)*I453</f>
        <v>4.8217489629127375</v>
      </c>
    </row>
    <row r="454" spans="1:10">
      <c r="A454" s="1">
        <f t="shared" ref="A454:A517" si="37">A453+1</f>
        <v>32714</v>
      </c>
      <c r="B454">
        <f t="shared" si="35"/>
        <v>4485.8374833338103</v>
      </c>
      <c r="C454">
        <f>day_length(F454,$B$1,Fitting!$B$4)</f>
        <v>11.465506553649902</v>
      </c>
      <c r="D454" s="1">
        <f t="shared" si="36"/>
        <v>32714</v>
      </c>
      <c r="E454">
        <f t="shared" ref="E454:E517" si="38">YEAR(A454)</f>
        <v>1989</v>
      </c>
      <c r="F454" s="6">
        <f t="shared" ref="F454:F517" si="39">A454-DATE(E454,1,1)+1</f>
        <v>206</v>
      </c>
      <c r="G454">
        <v>10.9</v>
      </c>
      <c r="H454">
        <v>0.9</v>
      </c>
      <c r="I454">
        <f>MAX(0,1-Fitting!$B$7*(Fitting!$B$6-Herm8889!C454)^2)</f>
        <v>0.45456060832904222</v>
      </c>
      <c r="J454">
        <f>tt(G454,H454,Fitting!$B$1:$E$1,Fitting!$B$2:$E$2)*I454</f>
        <v>2.6819074157402381</v>
      </c>
    </row>
    <row r="455" spans="1:10">
      <c r="A455" s="1">
        <f t="shared" si="37"/>
        <v>32715</v>
      </c>
      <c r="B455">
        <f t="shared" si="35"/>
        <v>4489.5572942423223</v>
      </c>
      <c r="C455">
        <f>day_length(F455,$B$1,Fitting!$B$4)</f>
        <v>11.481759071350098</v>
      </c>
      <c r="D455" s="1">
        <f t="shared" si="36"/>
        <v>32715</v>
      </c>
      <c r="E455">
        <f t="shared" si="38"/>
        <v>1989</v>
      </c>
      <c r="F455" s="6">
        <f t="shared" si="39"/>
        <v>207</v>
      </c>
      <c r="G455">
        <v>15</v>
      </c>
      <c r="H455">
        <v>1.3</v>
      </c>
      <c r="I455">
        <f>MAX(0,1-Fitting!$B$7*(Fitting!$B$6-Herm8889!C455)^2)</f>
        <v>0.45641853774504304</v>
      </c>
      <c r="J455">
        <f>tt(G455,H455,Fitting!$B$1:$E$1,Fitting!$B$2:$E$2)*I455</f>
        <v>3.7198109085122462</v>
      </c>
    </row>
    <row r="456" spans="1:10">
      <c r="A456" s="1">
        <f t="shared" si="37"/>
        <v>32716</v>
      </c>
      <c r="B456">
        <f t="shared" si="35"/>
        <v>4496.0425136184958</v>
      </c>
      <c r="C456">
        <f>day_length(F456,$B$1,Fitting!$B$4)</f>
        <v>11.498415946960449</v>
      </c>
      <c r="D456" s="1">
        <f t="shared" si="36"/>
        <v>32716</v>
      </c>
      <c r="E456">
        <f t="shared" si="38"/>
        <v>1989</v>
      </c>
      <c r="F456" s="6">
        <f t="shared" si="39"/>
        <v>208</v>
      </c>
      <c r="G456">
        <v>18.8</v>
      </c>
      <c r="H456">
        <v>9.5</v>
      </c>
      <c r="I456">
        <f>MAX(0,1-Fitting!$B$7*(Fitting!$B$6-Herm8889!C456)^2)</f>
        <v>0.45831940289814699</v>
      </c>
      <c r="J456">
        <f>tt(G456,H456,Fitting!$B$1:$E$1,Fitting!$B$2:$E$2)*I456</f>
        <v>6.4852193761738022</v>
      </c>
    </row>
    <row r="457" spans="1:10">
      <c r="A457" s="1">
        <f t="shared" si="37"/>
        <v>32717</v>
      </c>
      <c r="B457">
        <f t="shared" si="35"/>
        <v>4500.8752648940554</v>
      </c>
      <c r="C457">
        <f>day_length(F457,$B$1,Fitting!$B$4)</f>
        <v>11.515468597412109</v>
      </c>
      <c r="D457" s="1">
        <f t="shared" si="36"/>
        <v>32717</v>
      </c>
      <c r="E457">
        <f t="shared" si="38"/>
        <v>1989</v>
      </c>
      <c r="F457" s="6">
        <f t="shared" si="39"/>
        <v>209</v>
      </c>
      <c r="G457">
        <v>16.399999999999999</v>
      </c>
      <c r="H457">
        <v>4.5999999999999996</v>
      </c>
      <c r="I457">
        <f>MAX(0,1-Fitting!$B$7*(Fitting!$B$6-Herm8889!C457)^2)</f>
        <v>0.46026198443994504</v>
      </c>
      <c r="J457">
        <f>tt(G457,H457,Fitting!$B$1:$E$1,Fitting!$B$2:$E$2)*I457</f>
        <v>4.8327512755594562</v>
      </c>
    </row>
    <row r="458" spans="1:10">
      <c r="A458" s="1">
        <f t="shared" si="37"/>
        <v>32718</v>
      </c>
      <c r="B458">
        <f t="shared" si="35"/>
        <v>4506.2835350345449</v>
      </c>
      <c r="C458">
        <f>day_length(F458,$B$1,Fitting!$B$4)</f>
        <v>11.532910346984863</v>
      </c>
      <c r="D458" s="1">
        <f t="shared" si="36"/>
        <v>32718</v>
      </c>
      <c r="E458">
        <f t="shared" si="38"/>
        <v>1989</v>
      </c>
      <c r="F458" s="6">
        <f t="shared" si="39"/>
        <v>210</v>
      </c>
      <c r="G458">
        <v>18.2</v>
      </c>
      <c r="H458">
        <v>5.2</v>
      </c>
      <c r="I458">
        <f>MAX(0,1-Fitting!$B$7*(Fitting!$B$6-Herm8889!C458)^2)</f>
        <v>0.46224528101064244</v>
      </c>
      <c r="J458">
        <f>tt(G458,H458,Fitting!$B$1:$E$1,Fitting!$B$2:$E$2)*I458</f>
        <v>5.4082701404896785</v>
      </c>
    </row>
    <row r="459" spans="1:10">
      <c r="A459" s="1">
        <f t="shared" si="37"/>
        <v>32719</v>
      </c>
      <c r="B459">
        <f t="shared" si="35"/>
        <v>4512.1565287427165</v>
      </c>
      <c r="C459">
        <f>day_length(F459,$B$1,Fitting!$B$4)</f>
        <v>11.550734519958496</v>
      </c>
      <c r="D459" s="1">
        <f t="shared" si="36"/>
        <v>32719</v>
      </c>
      <c r="E459">
        <f t="shared" si="38"/>
        <v>1989</v>
      </c>
      <c r="F459" s="6">
        <f t="shared" si="39"/>
        <v>211</v>
      </c>
      <c r="G459">
        <v>17.5</v>
      </c>
      <c r="H459">
        <v>7.8</v>
      </c>
      <c r="I459">
        <f>MAX(0,1-Fitting!$B$7*(Fitting!$B$6-Herm8889!C459)^2)</f>
        <v>0.46426829132617597</v>
      </c>
      <c r="J459">
        <f>tt(G459,H459,Fitting!$B$1:$E$1,Fitting!$B$2:$E$2)*I459</f>
        <v>5.872993708171828</v>
      </c>
    </row>
    <row r="460" spans="1:10">
      <c r="A460" s="1">
        <f t="shared" si="37"/>
        <v>32720</v>
      </c>
      <c r="B460">
        <f t="shared" si="35"/>
        <v>4519.1281632598093</v>
      </c>
      <c r="C460">
        <f>day_length(F460,$B$1,Fitting!$B$4)</f>
        <v>11.568934440612793</v>
      </c>
      <c r="D460" s="1">
        <f t="shared" si="36"/>
        <v>32720</v>
      </c>
      <c r="E460">
        <f t="shared" si="38"/>
        <v>1989</v>
      </c>
      <c r="F460" s="6">
        <f t="shared" si="39"/>
        <v>212</v>
      </c>
      <c r="G460">
        <v>19.600000000000001</v>
      </c>
      <c r="H460">
        <v>10.3</v>
      </c>
      <c r="I460">
        <f>MAX(0,1-Fitting!$B$7*(Fitting!$B$6-Herm8889!C460)^2)</f>
        <v>0.46633001448724276</v>
      </c>
      <c r="J460">
        <f>tt(G460,H460,Fitting!$B$1:$E$1,Fitting!$B$2:$E$2)*I460</f>
        <v>6.9716345170928031</v>
      </c>
    </row>
    <row r="461" spans="1:10">
      <c r="A461" s="1">
        <f t="shared" si="37"/>
        <v>32721</v>
      </c>
      <c r="B461">
        <f t="shared" si="35"/>
        <v>4523.5313993479622</v>
      </c>
      <c r="C461">
        <f>day_length(F461,$B$1,Fitting!$B$4)</f>
        <v>11.587502479553223</v>
      </c>
      <c r="D461" s="1">
        <f t="shared" si="36"/>
        <v>32721</v>
      </c>
      <c r="E461">
        <f t="shared" si="38"/>
        <v>1989</v>
      </c>
      <c r="F461" s="6">
        <f t="shared" si="39"/>
        <v>213</v>
      </c>
      <c r="G461">
        <v>14.2</v>
      </c>
      <c r="H461">
        <v>4.5999999999999996</v>
      </c>
      <c r="I461">
        <f>MAX(0,1-Fitting!$B$7*(Fitting!$B$6-Herm8889!C461)^2)</f>
        <v>0.46842934256549962</v>
      </c>
      <c r="J461">
        <f>tt(G461,H461,Fitting!$B$1:$E$1,Fitting!$B$2:$E$2)*I461</f>
        <v>4.4032360881531165</v>
      </c>
    </row>
    <row r="462" spans="1:10">
      <c r="A462" s="1">
        <f t="shared" si="37"/>
        <v>32722</v>
      </c>
      <c r="B462">
        <f t="shared" si="35"/>
        <v>4526.4079944652485</v>
      </c>
      <c r="C462">
        <f>day_length(F462,$B$1,Fitting!$B$4)</f>
        <v>11.60643196105957</v>
      </c>
      <c r="D462" s="1">
        <f t="shared" si="36"/>
        <v>32722</v>
      </c>
      <c r="E462">
        <f t="shared" si="38"/>
        <v>1989</v>
      </c>
      <c r="F462" s="6">
        <f t="shared" si="39"/>
        <v>214</v>
      </c>
      <c r="G462">
        <v>13.5</v>
      </c>
      <c r="H462">
        <v>-1.5</v>
      </c>
      <c r="I462">
        <f>MAX(0,1-Fitting!$B$7*(Fitting!$B$6-Herm8889!C462)^2)</f>
        <v>0.47056527698678108</v>
      </c>
      <c r="J462">
        <f>tt(G462,H462,Fitting!$B$1:$E$1,Fitting!$B$2:$E$2)*I462</f>
        <v>2.8765951172860276</v>
      </c>
    </row>
    <row r="463" spans="1:10">
      <c r="A463" s="1">
        <f t="shared" si="37"/>
        <v>32723</v>
      </c>
      <c r="B463">
        <f t="shared" si="35"/>
        <v>4530.8280834662446</v>
      </c>
      <c r="C463">
        <f>day_length(F463,$B$1,Fitting!$B$4)</f>
        <v>11.625716209411621</v>
      </c>
      <c r="D463" s="1">
        <f t="shared" si="36"/>
        <v>32723</v>
      </c>
      <c r="E463">
        <f t="shared" si="38"/>
        <v>1989</v>
      </c>
      <c r="F463" s="6">
        <f t="shared" si="39"/>
        <v>215</v>
      </c>
      <c r="G463">
        <v>17.7</v>
      </c>
      <c r="H463">
        <v>1</v>
      </c>
      <c r="I463">
        <f>MAX(0,1-Fitting!$B$7*(Fitting!$B$6-Herm8889!C463)^2)</f>
        <v>0.4727368204810718</v>
      </c>
      <c r="J463">
        <f>tt(G463,H463,Fitting!$B$1:$E$1,Fitting!$B$2:$E$2)*I463</f>
        <v>4.4200890009958425</v>
      </c>
    </row>
    <row r="464" spans="1:10">
      <c r="A464" s="1">
        <f t="shared" si="37"/>
        <v>32724</v>
      </c>
      <c r="B464">
        <f t="shared" si="35"/>
        <v>4534.8186379189137</v>
      </c>
      <c r="C464">
        <f>day_length(F464,$B$1,Fitting!$B$4)</f>
        <v>11.645346641540527</v>
      </c>
      <c r="D464" s="1">
        <f t="shared" si="36"/>
        <v>32724</v>
      </c>
      <c r="E464">
        <f t="shared" si="38"/>
        <v>1989</v>
      </c>
      <c r="F464" s="6">
        <f t="shared" si="39"/>
        <v>216</v>
      </c>
      <c r="G464">
        <v>17.7</v>
      </c>
      <c r="H464">
        <v>-0.9</v>
      </c>
      <c r="I464">
        <f>MAX(0,1-Fitting!$B$7*(Fitting!$B$6-Herm8889!C464)^2)</f>
        <v>0.47494276325837748</v>
      </c>
      <c r="J464">
        <f>tt(G464,H464,Fitting!$B$1:$E$1,Fitting!$B$2:$E$2)*I464</f>
        <v>3.9905544526687633</v>
      </c>
    </row>
    <row r="465" spans="1:10">
      <c r="A465" s="1">
        <f t="shared" si="37"/>
        <v>32725</v>
      </c>
      <c r="B465">
        <f t="shared" si="35"/>
        <v>4539.1132788577515</v>
      </c>
      <c r="C465">
        <f>day_length(F465,$B$1,Fitting!$B$4)</f>
        <v>11.665318489074707</v>
      </c>
      <c r="D465" s="1">
        <f t="shared" si="36"/>
        <v>32725</v>
      </c>
      <c r="E465">
        <f t="shared" si="38"/>
        <v>1989</v>
      </c>
      <c r="F465" s="6">
        <f t="shared" si="39"/>
        <v>217</v>
      </c>
      <c r="G465">
        <v>15.2</v>
      </c>
      <c r="H465">
        <v>2.8</v>
      </c>
      <c r="I465">
        <f>MAX(0,1-Fitting!$B$7*(Fitting!$B$6-Herm8889!C465)^2)</f>
        <v>0.47718232653753689</v>
      </c>
      <c r="J465">
        <f>tt(G465,H465,Fitting!$B$1:$E$1,Fitting!$B$2:$E$2)*I465</f>
        <v>4.2946409388378317</v>
      </c>
    </row>
    <row r="466" spans="1:10">
      <c r="A466" s="1">
        <f t="shared" si="37"/>
        <v>32726</v>
      </c>
      <c r="B466">
        <f t="shared" si="35"/>
        <v>4544.3872757609497</v>
      </c>
      <c r="C466">
        <f>day_length(F466,$B$1,Fitting!$B$4)</f>
        <v>11.685623168945312</v>
      </c>
      <c r="D466" s="1">
        <f t="shared" si="36"/>
        <v>32726</v>
      </c>
      <c r="E466">
        <f t="shared" si="38"/>
        <v>1989</v>
      </c>
      <c r="F466" s="6">
        <f t="shared" si="39"/>
        <v>218</v>
      </c>
      <c r="G466">
        <v>17.399999999999999</v>
      </c>
      <c r="H466">
        <v>4.5999999999999996</v>
      </c>
      <c r="I466">
        <f>MAX(0,1-Fitting!$B$7*(Fitting!$B$6-Herm8889!C466)^2)</f>
        <v>0.47945430549466983</v>
      </c>
      <c r="J466">
        <f>tt(G466,H466,Fitting!$B$1:$E$1,Fitting!$B$2:$E$2)*I466</f>
        <v>5.2739969031981113</v>
      </c>
    </row>
    <row r="467" spans="1:10">
      <c r="A467" s="1">
        <f t="shared" si="37"/>
        <v>32727</v>
      </c>
      <c r="B467">
        <f t="shared" si="35"/>
        <v>4547.1650498946674</v>
      </c>
      <c r="C467">
        <f>day_length(F467,$B$1,Fitting!$B$4)</f>
        <v>11.706254959106445</v>
      </c>
      <c r="D467" s="1">
        <f t="shared" si="36"/>
        <v>32727</v>
      </c>
      <c r="E467">
        <f t="shared" si="38"/>
        <v>1989</v>
      </c>
      <c r="F467" s="6">
        <f t="shared" si="39"/>
        <v>219</v>
      </c>
      <c r="G467">
        <v>14</v>
      </c>
      <c r="H467">
        <v>-3.7</v>
      </c>
      <c r="I467">
        <f>MAX(0,1-Fitting!$B$7*(Fitting!$B$6-Herm8889!C467)^2)</f>
        <v>0.48175781868919876</v>
      </c>
      <c r="J467">
        <f>tt(G467,H467,Fitting!$B$1:$E$1,Fitting!$B$2:$E$2)*I467</f>
        <v>2.7777741337176103</v>
      </c>
    </row>
    <row r="468" spans="1:10">
      <c r="A468" s="1">
        <f t="shared" si="37"/>
        <v>32728</v>
      </c>
      <c r="B468">
        <f t="shared" si="35"/>
        <v>4550.9167616064806</v>
      </c>
      <c r="C468">
        <f>day_length(F468,$B$1,Fitting!$B$4)</f>
        <v>11.727206230163574</v>
      </c>
      <c r="D468" s="1">
        <f t="shared" si="36"/>
        <v>32728</v>
      </c>
      <c r="E468">
        <f t="shared" si="38"/>
        <v>1989</v>
      </c>
      <c r="F468" s="6">
        <f t="shared" si="39"/>
        <v>220</v>
      </c>
      <c r="G468">
        <v>13.8</v>
      </c>
      <c r="H468">
        <v>1.7</v>
      </c>
      <c r="I468">
        <f>MAX(0,1-Fitting!$B$7*(Fitting!$B$6-Herm8889!C468)^2)</f>
        <v>0.48409177421249661</v>
      </c>
      <c r="J468">
        <f>tt(G468,H468,Fitting!$B$1:$E$1,Fitting!$B$2:$E$2)*I468</f>
        <v>3.7517117118127405</v>
      </c>
    </row>
    <row r="469" spans="1:10">
      <c r="A469" s="1">
        <f t="shared" si="37"/>
        <v>32729</v>
      </c>
      <c r="B469">
        <f t="shared" si="35"/>
        <v>4553.1710036859176</v>
      </c>
      <c r="C469">
        <f>day_length(F469,$B$1,Fitting!$B$4)</f>
        <v>11.748470306396484</v>
      </c>
      <c r="D469" s="1">
        <f t="shared" si="36"/>
        <v>32729</v>
      </c>
      <c r="E469">
        <f t="shared" si="38"/>
        <v>1989</v>
      </c>
      <c r="F469" s="6">
        <f t="shared" si="39"/>
        <v>221</v>
      </c>
      <c r="G469">
        <v>11.1</v>
      </c>
      <c r="H469">
        <v>-2.7</v>
      </c>
      <c r="I469">
        <f>MAX(0,1-Fitting!$B$7*(Fitting!$B$6-Herm8889!C469)^2)</f>
        <v>0.48645518997023462</v>
      </c>
      <c r="J469">
        <f>tt(G469,H469,Fitting!$B$1:$E$1,Fitting!$B$2:$E$2)*I469</f>
        <v>2.2542420794374145</v>
      </c>
    </row>
    <row r="470" spans="1:10">
      <c r="A470" s="1">
        <f t="shared" si="37"/>
        <v>32730</v>
      </c>
      <c r="B470">
        <f t="shared" si="35"/>
        <v>4556.9013888547461</v>
      </c>
      <c r="C470">
        <f>day_length(F470,$B$1,Fitting!$B$4)</f>
        <v>11.770038604736328</v>
      </c>
      <c r="D470" s="1">
        <f t="shared" si="36"/>
        <v>32730</v>
      </c>
      <c r="E470">
        <f t="shared" si="38"/>
        <v>1989</v>
      </c>
      <c r="F470" s="6">
        <f t="shared" si="39"/>
        <v>222</v>
      </c>
      <c r="G470">
        <v>17.2</v>
      </c>
      <c r="H470">
        <v>-2.5</v>
      </c>
      <c r="I470">
        <f>MAX(0,1-Fitting!$B$7*(Fitting!$B$6-Herm8889!C470)^2)</f>
        <v>0.48884687585165376</v>
      </c>
      <c r="J470">
        <f>tt(G470,H470,Fitting!$B$1:$E$1,Fitting!$B$2:$E$2)*I470</f>
        <v>3.7303851688286342</v>
      </c>
    </row>
    <row r="471" spans="1:10">
      <c r="A471" s="1">
        <f t="shared" si="37"/>
        <v>32731</v>
      </c>
      <c r="B471">
        <f t="shared" si="35"/>
        <v>4560.8344604775875</v>
      </c>
      <c r="C471">
        <f>day_length(F471,$B$1,Fitting!$B$4)</f>
        <v>11.79190731048584</v>
      </c>
      <c r="D471" s="1">
        <f t="shared" si="36"/>
        <v>32731</v>
      </c>
      <c r="E471">
        <f t="shared" si="38"/>
        <v>1989</v>
      </c>
      <c r="F471" s="6">
        <f t="shared" si="39"/>
        <v>223</v>
      </c>
      <c r="G471">
        <v>17.7</v>
      </c>
      <c r="H471">
        <v>-2</v>
      </c>
      <c r="I471">
        <f>MAX(0,1-Fitting!$B$7*(Fitting!$B$6-Herm8889!C471)^2)</f>
        <v>0.49126617412789531</v>
      </c>
      <c r="J471">
        <f>tt(G471,H471,Fitting!$B$1:$E$1,Fitting!$B$2:$E$2)*I471</f>
        <v>3.9330716228410521</v>
      </c>
    </row>
    <row r="472" spans="1:10">
      <c r="A472" s="1">
        <f t="shared" si="37"/>
        <v>32732</v>
      </c>
      <c r="B472">
        <f t="shared" si="35"/>
        <v>4565.4012941294613</v>
      </c>
      <c r="C472">
        <f>day_length(F472,$B$1,Fitting!$B$4)</f>
        <v>11.814066886901855</v>
      </c>
      <c r="D472" s="1">
        <f t="shared" si="36"/>
        <v>32732</v>
      </c>
      <c r="E472">
        <f t="shared" si="38"/>
        <v>1989</v>
      </c>
      <c r="F472" s="6">
        <f t="shared" si="39"/>
        <v>224</v>
      </c>
      <c r="G472">
        <v>18.3</v>
      </c>
      <c r="H472">
        <v>0.2</v>
      </c>
      <c r="I472">
        <f>MAX(0,1-Fitting!$B$7*(Fitting!$B$6-Herm8889!C472)^2)</f>
        <v>0.49371179705012214</v>
      </c>
      <c r="J472">
        <f>tt(G472,H472,Fitting!$B$1:$E$1,Fitting!$B$2:$E$2)*I472</f>
        <v>4.5668336518733694</v>
      </c>
    </row>
    <row r="473" spans="1:10">
      <c r="A473" s="1">
        <f t="shared" si="37"/>
        <v>32733</v>
      </c>
      <c r="B473">
        <f t="shared" si="35"/>
        <v>4569.0333328678789</v>
      </c>
      <c r="C473">
        <f>day_length(F473,$B$1,Fitting!$B$4)</f>
        <v>11.836512565612793</v>
      </c>
      <c r="D473" s="1">
        <f t="shared" si="36"/>
        <v>32733</v>
      </c>
      <c r="E473">
        <f t="shared" si="38"/>
        <v>1989</v>
      </c>
      <c r="F473" s="6">
        <f t="shared" si="39"/>
        <v>225</v>
      </c>
      <c r="G473">
        <v>16.5</v>
      </c>
      <c r="H473">
        <v>-2.4</v>
      </c>
      <c r="I473">
        <f>MAX(0,1-Fitting!$B$7*(Fitting!$B$6-Herm8889!C473)^2)</f>
        <v>0.49618298823896656</v>
      </c>
      <c r="J473">
        <f>tt(G473,H473,Fitting!$B$1:$E$1,Fitting!$B$2:$E$2)*I473</f>
        <v>3.6320387384179167</v>
      </c>
    </row>
    <row r="474" spans="1:10">
      <c r="A474" s="1">
        <f t="shared" si="37"/>
        <v>32734</v>
      </c>
      <c r="B474">
        <f t="shared" si="35"/>
        <v>4574.4439990022947</v>
      </c>
      <c r="C474">
        <f>day_length(F474,$B$1,Fitting!$B$4)</f>
        <v>11.859238624572754</v>
      </c>
      <c r="D474" s="1">
        <f t="shared" si="36"/>
        <v>32734</v>
      </c>
      <c r="E474">
        <f t="shared" si="38"/>
        <v>1989</v>
      </c>
      <c r="F474" s="6">
        <f t="shared" si="39"/>
        <v>226</v>
      </c>
      <c r="G474">
        <v>18.600000000000001</v>
      </c>
      <c r="H474">
        <v>3.1</v>
      </c>
      <c r="I474">
        <f>MAX(0,1-Fitting!$B$7*(Fitting!$B$6-Herm8889!C474)^2)</f>
        <v>0.49867888886498435</v>
      </c>
      <c r="J474">
        <f>tt(G474,H474,Fitting!$B$1:$E$1,Fitting!$B$2:$E$2)*I474</f>
        <v>5.4106661344159797</v>
      </c>
    </row>
    <row r="475" spans="1:10">
      <c r="A475" s="1">
        <f t="shared" si="37"/>
        <v>32735</v>
      </c>
      <c r="B475">
        <f t="shared" si="35"/>
        <v>4579.4309207783499</v>
      </c>
      <c r="C475">
        <f>day_length(F475,$B$1,Fitting!$B$4)</f>
        <v>11.882235527038574</v>
      </c>
      <c r="D475" s="1">
        <f t="shared" si="36"/>
        <v>32735</v>
      </c>
      <c r="E475">
        <f t="shared" si="38"/>
        <v>1989</v>
      </c>
      <c r="F475" s="6">
        <f t="shared" si="39"/>
        <v>227</v>
      </c>
      <c r="G475">
        <v>17.8</v>
      </c>
      <c r="H475">
        <v>2.1</v>
      </c>
      <c r="I475">
        <f>MAX(0,1-Fitting!$B$7*(Fitting!$B$6-Herm8889!C475)^2)</f>
        <v>0.50119822609361475</v>
      </c>
      <c r="J475">
        <f>tt(G475,H475,Fitting!$B$1:$E$1,Fitting!$B$2:$E$2)*I475</f>
        <v>4.9869217760556159</v>
      </c>
    </row>
    <row r="476" spans="1:10">
      <c r="A476" s="1">
        <f t="shared" si="37"/>
        <v>32736</v>
      </c>
      <c r="B476">
        <f t="shared" si="35"/>
        <v>4584.1408904113505</v>
      </c>
      <c r="C476">
        <f>day_length(F476,$B$1,Fitting!$B$4)</f>
        <v>11.905496597290039</v>
      </c>
      <c r="D476" s="1">
        <f t="shared" si="36"/>
        <v>32736</v>
      </c>
      <c r="E476">
        <f t="shared" si="38"/>
        <v>1989</v>
      </c>
      <c r="F476" s="6">
        <f t="shared" si="39"/>
        <v>228</v>
      </c>
      <c r="G476">
        <v>18.7</v>
      </c>
      <c r="H476">
        <v>0</v>
      </c>
      <c r="I476">
        <f>MAX(0,1-Fitting!$B$7*(Fitting!$B$6-Herm8889!C476)^2)</f>
        <v>0.50374004714858156</v>
      </c>
      <c r="J476">
        <f>tt(G476,H476,Fitting!$B$1:$E$1,Fitting!$B$2:$E$2)*I476</f>
        <v>4.7099696330008154</v>
      </c>
    </row>
    <row r="477" spans="1:10">
      <c r="A477" s="1">
        <f t="shared" si="37"/>
        <v>32737</v>
      </c>
      <c r="B477">
        <f t="shared" si="35"/>
        <v>4588.4678876702319</v>
      </c>
      <c r="C477">
        <f>day_length(F477,$B$1,Fitting!$B$4)</f>
        <v>11.929018974304199</v>
      </c>
      <c r="D477" s="1">
        <f t="shared" si="36"/>
        <v>32737</v>
      </c>
      <c r="E477">
        <f t="shared" si="38"/>
        <v>1989</v>
      </c>
      <c r="F477" s="6">
        <f t="shared" si="39"/>
        <v>229</v>
      </c>
      <c r="G477">
        <v>18.3</v>
      </c>
      <c r="H477">
        <v>-1.3</v>
      </c>
      <c r="I477">
        <f>MAX(0,1-Fitting!$B$7*(Fitting!$B$6-Herm8889!C477)^2)</f>
        <v>0.50630381938880054</v>
      </c>
      <c r="J477">
        <f>tt(G477,H477,Fitting!$B$1:$E$1,Fitting!$B$2:$E$2)*I477</f>
        <v>4.326997258881363</v>
      </c>
    </row>
    <row r="478" spans="1:10">
      <c r="A478" s="1">
        <f t="shared" si="37"/>
        <v>32738</v>
      </c>
      <c r="B478">
        <f t="shared" si="35"/>
        <v>4594.040214792024</v>
      </c>
      <c r="C478">
        <f>day_length(F478,$B$1,Fitting!$B$4)</f>
        <v>11.952793121337891</v>
      </c>
      <c r="D478" s="1">
        <f t="shared" si="36"/>
        <v>32738</v>
      </c>
      <c r="E478">
        <f t="shared" si="38"/>
        <v>1989</v>
      </c>
      <c r="F478" s="6">
        <f t="shared" si="39"/>
        <v>230</v>
      </c>
      <c r="G478">
        <v>14.6</v>
      </c>
      <c r="H478">
        <v>7.3</v>
      </c>
      <c r="I478">
        <f>MAX(0,1-Fitting!$B$7*(Fitting!$B$6-Herm8889!C478)^2)</f>
        <v>0.50888828616813409</v>
      </c>
      <c r="J478">
        <f>tt(G478,H478,Fitting!$B$1:$E$1,Fitting!$B$2:$E$2)*I478</f>
        <v>5.5723271217920187</v>
      </c>
    </row>
    <row r="479" spans="1:10">
      <c r="A479" s="1">
        <f t="shared" si="37"/>
        <v>32739</v>
      </c>
      <c r="B479">
        <f t="shared" si="35"/>
        <v>4600.331574804818</v>
      </c>
      <c r="C479">
        <f>day_length(F479,$B$1,Fitting!$B$4)</f>
        <v>11.976814270019531</v>
      </c>
      <c r="D479" s="1">
        <f t="shared" si="36"/>
        <v>32739</v>
      </c>
      <c r="E479">
        <f t="shared" si="38"/>
        <v>1989</v>
      </c>
      <c r="F479" s="6">
        <f t="shared" si="39"/>
        <v>231</v>
      </c>
      <c r="G479">
        <v>15.1</v>
      </c>
      <c r="H479">
        <v>9.5</v>
      </c>
      <c r="I479">
        <f>MAX(0,1-Fitting!$B$7*(Fitting!$B$6-Herm8889!C479)^2)</f>
        <v>0.51149271569366106</v>
      </c>
      <c r="J479">
        <f>tt(G479,H479,Fitting!$B$1:$E$1,Fitting!$B$2:$E$2)*I479</f>
        <v>6.2913600127940583</v>
      </c>
    </row>
    <row r="480" spans="1:10">
      <c r="A480" s="1">
        <f t="shared" si="37"/>
        <v>32740</v>
      </c>
      <c r="B480">
        <f t="shared" si="35"/>
        <v>4607.3749648724988</v>
      </c>
      <c r="C480">
        <f>day_length(F480,$B$1,Fitting!$B$4)</f>
        <v>12.00107479095459</v>
      </c>
      <c r="D480" s="1">
        <f t="shared" si="36"/>
        <v>32740</v>
      </c>
      <c r="E480">
        <f t="shared" si="38"/>
        <v>1989</v>
      </c>
      <c r="F480" s="6">
        <f t="shared" si="39"/>
        <v>232</v>
      </c>
      <c r="G480">
        <v>18.8</v>
      </c>
      <c r="H480">
        <v>8.6</v>
      </c>
      <c r="I480">
        <f>MAX(0,1-Fitting!$B$7*(Fitting!$B$6-Herm8889!C480)^2)</f>
        <v>0.51411607049204211</v>
      </c>
      <c r="J480">
        <f>tt(G480,H480,Fitting!$B$1:$E$1,Fitting!$B$2:$E$2)*I480</f>
        <v>7.0433900676811181</v>
      </c>
    </row>
    <row r="481" spans="1:10">
      <c r="A481" s="1">
        <f t="shared" si="37"/>
        <v>32741</v>
      </c>
      <c r="B481">
        <f t="shared" si="35"/>
        <v>4613.0851362674202</v>
      </c>
      <c r="C481">
        <f>day_length(F481,$B$1,Fitting!$B$4)</f>
        <v>12.025569915771484</v>
      </c>
      <c r="D481" s="1">
        <f t="shared" si="36"/>
        <v>32741</v>
      </c>
      <c r="E481">
        <f t="shared" si="38"/>
        <v>1989</v>
      </c>
      <c r="F481" s="6">
        <f t="shared" si="39"/>
        <v>233</v>
      </c>
      <c r="G481">
        <v>19.2</v>
      </c>
      <c r="H481">
        <v>2.9</v>
      </c>
      <c r="I481">
        <f>MAX(0,1-Fitting!$B$7*(Fitting!$B$6-Herm8889!C481)^2)</f>
        <v>0.51675762797976499</v>
      </c>
      <c r="J481">
        <f>tt(G481,H481,Fitting!$B$1:$E$1,Fitting!$B$2:$E$2)*I481</f>
        <v>5.7101713949216206</v>
      </c>
    </row>
    <row r="482" spans="1:10">
      <c r="A482" s="1">
        <f t="shared" si="37"/>
        <v>32742</v>
      </c>
      <c r="B482">
        <f t="shared" si="35"/>
        <v>4619.1882785198331</v>
      </c>
      <c r="C482">
        <f>day_length(F482,$B$1,Fitting!$B$4)</f>
        <v>12.050292015075684</v>
      </c>
      <c r="D482" s="1">
        <f t="shared" si="36"/>
        <v>32742</v>
      </c>
      <c r="E482">
        <f t="shared" si="38"/>
        <v>1989</v>
      </c>
      <c r="F482" s="6">
        <f t="shared" si="39"/>
        <v>234</v>
      </c>
      <c r="G482">
        <v>20.3</v>
      </c>
      <c r="H482">
        <v>3.2</v>
      </c>
      <c r="I482">
        <f>MAX(0,1-Fitting!$B$7*(Fitting!$B$6-Herm8889!C482)^2)</f>
        <v>0.51941636190749163</v>
      </c>
      <c r="J482">
        <f>tt(G482,H482,Fitting!$B$1:$E$1,Fitting!$B$2:$E$2)*I482</f>
        <v>6.1031422524130265</v>
      </c>
    </row>
    <row r="483" spans="1:10">
      <c r="A483" s="1">
        <f t="shared" si="37"/>
        <v>32743</v>
      </c>
      <c r="B483">
        <f t="shared" si="35"/>
        <v>4625.6361102434039</v>
      </c>
      <c r="C483">
        <f>day_length(F483,$B$1,Fitting!$B$4)</f>
        <v>12.075237274169922</v>
      </c>
      <c r="D483" s="1">
        <f t="shared" si="36"/>
        <v>32743</v>
      </c>
      <c r="E483">
        <f t="shared" si="38"/>
        <v>1989</v>
      </c>
      <c r="F483" s="6">
        <f t="shared" si="39"/>
        <v>235</v>
      </c>
      <c r="G483">
        <v>20.399999999999999</v>
      </c>
      <c r="H483">
        <v>4.3</v>
      </c>
      <c r="I483">
        <f>MAX(0,1-Fitting!$B$7*(Fitting!$B$6-Herm8889!C483)^2)</f>
        <v>0.52209166172580446</v>
      </c>
      <c r="J483">
        <f>tt(G483,H483,Fitting!$B$1:$E$1,Fitting!$B$2:$E$2)*I483</f>
        <v>6.4478317235704399</v>
      </c>
    </row>
    <row r="484" spans="1:10">
      <c r="A484" s="1">
        <f t="shared" si="37"/>
        <v>32744</v>
      </c>
      <c r="B484">
        <f t="shared" si="35"/>
        <v>4630.4378690983776</v>
      </c>
      <c r="C484">
        <f>day_length(F484,$B$1,Fitting!$B$4)</f>
        <v>12.100397109985352</v>
      </c>
      <c r="D484" s="1">
        <f t="shared" si="36"/>
        <v>32744</v>
      </c>
      <c r="E484">
        <f t="shared" si="38"/>
        <v>1989</v>
      </c>
      <c r="F484" s="6">
        <f t="shared" si="39"/>
        <v>236</v>
      </c>
      <c r="G484">
        <v>17.8</v>
      </c>
      <c r="H484">
        <v>0.5</v>
      </c>
      <c r="I484">
        <f>MAX(0,1-Fitting!$B$7*(Fitting!$B$6-Herm8889!C484)^2)</f>
        <v>0.52478241040025742</v>
      </c>
      <c r="J484">
        <f>tt(G484,H484,Fitting!$B$1:$E$1,Fitting!$B$2:$E$2)*I484</f>
        <v>4.8017588549737527</v>
      </c>
    </row>
    <row r="485" spans="1:10">
      <c r="A485" s="1">
        <f t="shared" si="37"/>
        <v>32745</v>
      </c>
      <c r="B485">
        <f t="shared" si="35"/>
        <v>4633.8295546182262</v>
      </c>
      <c r="C485">
        <f>day_length(F485,$B$1,Fitting!$B$4)</f>
        <v>12.125766754150391</v>
      </c>
      <c r="D485" s="1">
        <f t="shared" si="36"/>
        <v>32745</v>
      </c>
      <c r="E485">
        <f t="shared" si="38"/>
        <v>1989</v>
      </c>
      <c r="F485" s="6">
        <f t="shared" si="39"/>
        <v>237</v>
      </c>
      <c r="G485">
        <v>14.6</v>
      </c>
      <c r="H485">
        <v>-2.2999999999999998</v>
      </c>
      <c r="I485">
        <f>MAX(0,1-Fitting!$B$7*(Fitting!$B$6-Herm8889!C485)^2)</f>
        <v>0.52748790578954496</v>
      </c>
      <c r="J485">
        <f>tt(G485,H485,Fitting!$B$1:$E$1,Fitting!$B$2:$E$2)*I485</f>
        <v>3.3916855198481479</v>
      </c>
    </row>
    <row r="486" spans="1:10">
      <c r="A486" s="1">
        <f t="shared" si="37"/>
        <v>32746</v>
      </c>
      <c r="B486">
        <f t="shared" si="35"/>
        <v>4637.7818486271663</v>
      </c>
      <c r="C486">
        <f>day_length(F486,$B$1,Fitting!$B$4)</f>
        <v>12.151340484619141</v>
      </c>
      <c r="D486" s="1">
        <f t="shared" si="36"/>
        <v>32746</v>
      </c>
      <c r="E486">
        <f t="shared" si="38"/>
        <v>1989</v>
      </c>
      <c r="F486" s="6">
        <f t="shared" si="39"/>
        <v>238</v>
      </c>
      <c r="G486">
        <v>17</v>
      </c>
      <c r="H486">
        <v>-2.8</v>
      </c>
      <c r="I486">
        <f>MAX(0,1-Fitting!$B$7*(Fitting!$B$6-Herm8889!C486)^2)</f>
        <v>0.53020734868515862</v>
      </c>
      <c r="J486">
        <f>tt(G486,H486,Fitting!$B$1:$E$1,Fitting!$B$2:$E$2)*I486</f>
        <v>3.952294008939818</v>
      </c>
    </row>
    <row r="487" spans="1:10">
      <c r="A487" s="1">
        <f t="shared" si="37"/>
        <v>32747</v>
      </c>
      <c r="B487">
        <f t="shared" si="35"/>
        <v>4643.6974812076242</v>
      </c>
      <c r="C487">
        <f>day_length(F487,$B$1,Fitting!$B$4)</f>
        <v>12.177112579345703</v>
      </c>
      <c r="D487" s="1">
        <f t="shared" si="36"/>
        <v>32747</v>
      </c>
      <c r="E487">
        <f t="shared" si="38"/>
        <v>1989</v>
      </c>
      <c r="F487" s="6">
        <f t="shared" si="39"/>
        <v>239</v>
      </c>
      <c r="G487">
        <v>20</v>
      </c>
      <c r="H487">
        <v>2.2000000000000002</v>
      </c>
      <c r="I487">
        <f>MAX(0,1-Fitting!$B$7*(Fitting!$B$6-Herm8889!C487)^2)</f>
        <v>0.53293994537476097</v>
      </c>
      <c r="J487">
        <f>tt(G487,H487,Fitting!$B$1:$E$1,Fitting!$B$2:$E$2)*I487</f>
        <v>5.9156325804580261</v>
      </c>
    </row>
    <row r="488" spans="1:10">
      <c r="A488" s="1">
        <f t="shared" si="37"/>
        <v>32748</v>
      </c>
      <c r="B488">
        <f t="shared" si="35"/>
        <v>4647.9578088250782</v>
      </c>
      <c r="C488">
        <f>day_length(F488,$B$1,Fitting!$B$4)</f>
        <v>12.203076362609863</v>
      </c>
      <c r="D488" s="1">
        <f t="shared" si="36"/>
        <v>32748</v>
      </c>
      <c r="E488">
        <f t="shared" si="38"/>
        <v>1989</v>
      </c>
      <c r="F488" s="6">
        <f t="shared" si="39"/>
        <v>240</v>
      </c>
      <c r="G488">
        <v>18.2</v>
      </c>
      <c r="H488">
        <v>-3.1</v>
      </c>
      <c r="I488">
        <f>MAX(0,1-Fitting!$B$7*(Fitting!$B$6-Herm8889!C488)^2)</f>
        <v>0.53568480710756017</v>
      </c>
      <c r="J488">
        <f>tt(G488,H488,Fitting!$B$1:$E$1,Fitting!$B$2:$E$2)*I488</f>
        <v>4.2603276174543572</v>
      </c>
    </row>
    <row r="489" spans="1:10">
      <c r="A489" s="1">
        <f t="shared" si="37"/>
        <v>32749</v>
      </c>
      <c r="B489">
        <f t="shared" si="35"/>
        <v>4652.5614824978002</v>
      </c>
      <c r="C489">
        <f>day_length(F489,$B$1,Fitting!$B$4)</f>
        <v>12.229228019714355</v>
      </c>
      <c r="D489" s="1">
        <f t="shared" si="36"/>
        <v>32749</v>
      </c>
      <c r="E489">
        <f t="shared" si="38"/>
        <v>1989</v>
      </c>
      <c r="F489" s="6">
        <f t="shared" si="39"/>
        <v>241</v>
      </c>
      <c r="G489">
        <v>17.8</v>
      </c>
      <c r="H489">
        <v>-0.7</v>
      </c>
      <c r="I489">
        <f>MAX(0,1-Fitting!$B$7*(Fitting!$B$6-Herm8889!C489)^2)</f>
        <v>0.53844135321901732</v>
      </c>
      <c r="J489">
        <f>tt(G489,H489,Fitting!$B$1:$E$1,Fitting!$B$2:$E$2)*I489</f>
        <v>4.6036736727221363</v>
      </c>
    </row>
    <row r="490" spans="1:10">
      <c r="A490" s="1">
        <f t="shared" si="37"/>
        <v>32750</v>
      </c>
      <c r="B490">
        <f t="shared" si="35"/>
        <v>4659.2454097112768</v>
      </c>
      <c r="C490">
        <f>day_length(F490,$B$1,Fitting!$B$4)</f>
        <v>12.255560874938965</v>
      </c>
      <c r="D490" s="1">
        <f t="shared" si="36"/>
        <v>32750</v>
      </c>
      <c r="E490">
        <f t="shared" si="38"/>
        <v>1989</v>
      </c>
      <c r="F490" s="6">
        <f t="shared" si="39"/>
        <v>242</v>
      </c>
      <c r="G490">
        <v>24.2</v>
      </c>
      <c r="H490">
        <v>0.5</v>
      </c>
      <c r="I490">
        <f>MAX(0,1-Fitting!$B$7*(Fitting!$B$6-Herm8889!C490)^2)</f>
        <v>0.54120870632861084</v>
      </c>
      <c r="J490">
        <f>tt(G490,H490,Fitting!$B$1:$E$1,Fitting!$B$2:$E$2)*I490</f>
        <v>6.6839272134762382</v>
      </c>
    </row>
    <row r="491" spans="1:10">
      <c r="A491" s="1">
        <f t="shared" si="37"/>
        <v>32751</v>
      </c>
      <c r="B491">
        <f t="shared" si="35"/>
        <v>4664.2914440578752</v>
      </c>
      <c r="C491">
        <f>day_length(F491,$B$1,Fitting!$B$4)</f>
        <v>12.282068252563477</v>
      </c>
      <c r="D491" s="1">
        <f t="shared" si="36"/>
        <v>32751</v>
      </c>
      <c r="E491">
        <f t="shared" si="38"/>
        <v>1989</v>
      </c>
      <c r="F491" s="6">
        <f t="shared" si="39"/>
        <v>243</v>
      </c>
      <c r="G491">
        <v>19.7</v>
      </c>
      <c r="H491">
        <v>-1.2</v>
      </c>
      <c r="I491">
        <f>MAX(0,1-Fitting!$B$7*(Fitting!$B$6-Herm8889!C491)^2)</f>
        <v>0.54398599628223021</v>
      </c>
      <c r="J491">
        <f>tt(G491,H491,Fitting!$B$1:$E$1,Fitting!$B$2:$E$2)*I491</f>
        <v>5.0460343465982715</v>
      </c>
    </row>
    <row r="492" spans="1:10">
      <c r="A492" s="1">
        <f t="shared" si="37"/>
        <v>32752</v>
      </c>
      <c r="B492">
        <f t="shared" si="35"/>
        <v>4671.0714248169943</v>
      </c>
      <c r="C492">
        <f>day_length(F492,$B$1,Fitting!$B$4)</f>
        <v>12.308746337890625</v>
      </c>
      <c r="D492" s="1">
        <f t="shared" si="36"/>
        <v>32752</v>
      </c>
      <c r="E492">
        <f t="shared" si="38"/>
        <v>1989</v>
      </c>
      <c r="F492" s="6">
        <f t="shared" si="39"/>
        <v>244</v>
      </c>
      <c r="G492">
        <v>21.8</v>
      </c>
      <c r="H492">
        <v>3</v>
      </c>
      <c r="I492">
        <f>MAX(0,1-Fitting!$B$7*(Fitting!$B$6-Herm8889!C492)^2)</f>
        <v>0.54677265868522218</v>
      </c>
      <c r="J492">
        <f>tt(G492,H492,Fitting!$B$1:$E$1,Fitting!$B$2:$E$2)*I492</f>
        <v>6.779980759119538</v>
      </c>
    </row>
    <row r="493" spans="1:10">
      <c r="A493" s="1">
        <f t="shared" si="37"/>
        <v>32753</v>
      </c>
      <c r="B493">
        <f t="shared" si="35"/>
        <v>4676.5396256619433</v>
      </c>
      <c r="C493">
        <f>day_length(F493,$B$1,Fitting!$B$4)</f>
        <v>12.335589408874512</v>
      </c>
      <c r="D493" s="1">
        <f t="shared" si="36"/>
        <v>32753</v>
      </c>
      <c r="E493">
        <f t="shared" si="38"/>
        <v>1989</v>
      </c>
      <c r="F493" s="6">
        <f t="shared" si="39"/>
        <v>245</v>
      </c>
      <c r="G493">
        <v>20.6</v>
      </c>
      <c r="H493">
        <v>-0.7</v>
      </c>
      <c r="I493">
        <f>MAX(0,1-Fitting!$B$7*(Fitting!$B$6-Herm8889!C493)^2)</f>
        <v>0.54956793465035481</v>
      </c>
      <c r="J493">
        <f>tt(G493,H493,Fitting!$B$1:$E$1,Fitting!$B$2:$E$2)*I493</f>
        <v>5.4682008449492656</v>
      </c>
    </row>
    <row r="494" spans="1:10">
      <c r="A494" s="1">
        <f t="shared" si="37"/>
        <v>32754</v>
      </c>
      <c r="B494">
        <f t="shared" si="35"/>
        <v>4681.5662015711987</v>
      </c>
      <c r="C494">
        <f>day_length(F494,$B$1,Fitting!$B$4)</f>
        <v>12.362591743469238</v>
      </c>
      <c r="D494" s="1">
        <f t="shared" si="36"/>
        <v>32754</v>
      </c>
      <c r="E494">
        <f t="shared" si="38"/>
        <v>1989</v>
      </c>
      <c r="F494" s="6">
        <f t="shared" si="39"/>
        <v>246</v>
      </c>
      <c r="G494">
        <v>18.8</v>
      </c>
      <c r="H494">
        <v>-0.6</v>
      </c>
      <c r="I494">
        <f>MAX(0,1-Fitting!$B$7*(Fitting!$B$6-Herm8889!C494)^2)</f>
        <v>0.55237107166008537</v>
      </c>
      <c r="J494">
        <f>tt(G494,H494,Fitting!$B$1:$E$1,Fitting!$B$2:$E$2)*I494</f>
        <v>5.0265759092554099</v>
      </c>
    </row>
    <row r="495" spans="1:10">
      <c r="A495" s="1">
        <f t="shared" si="37"/>
        <v>32755</v>
      </c>
      <c r="B495">
        <f t="shared" si="35"/>
        <v>4687.7009563925603</v>
      </c>
      <c r="C495">
        <f>day_length(F495,$B$1,Fitting!$B$4)</f>
        <v>12.389748573303223</v>
      </c>
      <c r="D495" s="1">
        <f t="shared" si="36"/>
        <v>32755</v>
      </c>
      <c r="E495">
        <f t="shared" si="38"/>
        <v>1989</v>
      </c>
      <c r="F495" s="6">
        <f t="shared" si="39"/>
        <v>247</v>
      </c>
      <c r="G495">
        <v>21.5</v>
      </c>
      <c r="H495">
        <v>0.6</v>
      </c>
      <c r="I495">
        <f>MAX(0,1-Fitting!$B$7*(Fitting!$B$6-Herm8889!C495)^2)</f>
        <v>0.5551814222143967</v>
      </c>
      <c r="J495">
        <f>tt(G495,H495,Fitting!$B$1:$E$1,Fitting!$B$2:$E$2)*I495</f>
        <v>6.1347548213615362</v>
      </c>
    </row>
    <row r="496" spans="1:10">
      <c r="A496" s="1">
        <f t="shared" si="37"/>
        <v>32756</v>
      </c>
      <c r="B496">
        <f t="shared" si="35"/>
        <v>4694.9270328310422</v>
      </c>
      <c r="C496">
        <f>day_length(F496,$B$1,Fitting!$B$4)</f>
        <v>12.41705322265625</v>
      </c>
      <c r="D496" s="1">
        <f t="shared" si="36"/>
        <v>32756</v>
      </c>
      <c r="E496">
        <f t="shared" si="38"/>
        <v>1989</v>
      </c>
      <c r="F496" s="6">
        <f t="shared" si="39"/>
        <v>248</v>
      </c>
      <c r="G496">
        <v>20.7</v>
      </c>
      <c r="H496">
        <v>5.2</v>
      </c>
      <c r="I496">
        <f>MAX(0,1-Fitting!$B$7*(Fitting!$B$6-Herm8889!C496)^2)</f>
        <v>0.55799814770370726</v>
      </c>
      <c r="J496">
        <f>tt(G496,H496,Fitting!$B$1:$E$1,Fitting!$B$2:$E$2)*I496</f>
        <v>7.2260764384818108</v>
      </c>
    </row>
    <row r="497" spans="1:10">
      <c r="A497" s="1">
        <f t="shared" si="37"/>
        <v>32757</v>
      </c>
      <c r="B497">
        <f t="shared" si="35"/>
        <v>4701.4886361905046</v>
      </c>
      <c r="C497">
        <f>day_length(F497,$B$1,Fitting!$B$4)</f>
        <v>12.444502830505371</v>
      </c>
      <c r="D497" s="1">
        <f t="shared" si="36"/>
        <v>32757</v>
      </c>
      <c r="E497">
        <f t="shared" si="38"/>
        <v>1989</v>
      </c>
      <c r="F497" s="6">
        <f t="shared" si="39"/>
        <v>249</v>
      </c>
      <c r="G497">
        <v>20.2</v>
      </c>
      <c r="H497">
        <v>3.2</v>
      </c>
      <c r="I497">
        <f>MAX(0,1-Fitting!$B$7*(Fitting!$B$6-Herm8889!C497)^2)</f>
        <v>0.56082080909661636</v>
      </c>
      <c r="J497">
        <f>tt(G497,H497,Fitting!$B$1:$E$1,Fitting!$B$2:$E$2)*I497</f>
        <v>6.5616033594623309</v>
      </c>
    </row>
    <row r="498" spans="1:10">
      <c r="A498" s="1">
        <f t="shared" si="37"/>
        <v>32758</v>
      </c>
      <c r="B498">
        <f t="shared" si="35"/>
        <v>4708.8724320624187</v>
      </c>
      <c r="C498">
        <f>day_length(F498,$B$1,Fitting!$B$4)</f>
        <v>12.472089767456055</v>
      </c>
      <c r="D498" s="1">
        <f t="shared" si="36"/>
        <v>32758</v>
      </c>
      <c r="E498">
        <f t="shared" si="38"/>
        <v>1989</v>
      </c>
      <c r="F498" s="6">
        <f t="shared" si="39"/>
        <v>250</v>
      </c>
      <c r="G498">
        <v>23.2</v>
      </c>
      <c r="H498">
        <v>3</v>
      </c>
      <c r="I498">
        <f>MAX(0,1-Fitting!$B$7*(Fitting!$B$6-Herm8889!C498)^2)</f>
        <v>0.56364848239403365</v>
      </c>
      <c r="J498">
        <f>tt(G498,H498,Fitting!$B$1:$E$1,Fitting!$B$2:$E$2)*I498</f>
        <v>7.3837958719137546</v>
      </c>
    </row>
    <row r="499" spans="1:10">
      <c r="A499" s="1">
        <f t="shared" si="37"/>
        <v>32759</v>
      </c>
      <c r="B499">
        <f t="shared" si="35"/>
        <v>4716.7181886313974</v>
      </c>
      <c r="C499">
        <f>day_length(F499,$B$1,Fitting!$B$4)</f>
        <v>12.499810218811035</v>
      </c>
      <c r="D499" s="1">
        <f t="shared" si="36"/>
        <v>32759</v>
      </c>
      <c r="E499">
        <f t="shared" si="38"/>
        <v>1989</v>
      </c>
      <c r="F499" s="6">
        <f t="shared" si="39"/>
        <v>251</v>
      </c>
      <c r="G499">
        <v>21.1</v>
      </c>
      <c r="H499">
        <v>6.6</v>
      </c>
      <c r="I499">
        <f>MAX(0,1-Fitting!$B$7*(Fitting!$B$6-Herm8889!C499)^2)</f>
        <v>0.56648064210262417</v>
      </c>
      <c r="J499">
        <f>tt(G499,H499,Fitting!$B$1:$E$1,Fitting!$B$2:$E$2)*I499</f>
        <v>7.8457565689785209</v>
      </c>
    </row>
    <row r="500" spans="1:10">
      <c r="A500" s="1">
        <f t="shared" si="37"/>
        <v>32760</v>
      </c>
      <c r="B500">
        <f t="shared" si="35"/>
        <v>4723.0660687487243</v>
      </c>
      <c r="C500">
        <f>day_length(F500,$B$1,Fitting!$B$4)</f>
        <v>12.527658462524414</v>
      </c>
      <c r="D500" s="1">
        <f t="shared" si="36"/>
        <v>32760</v>
      </c>
      <c r="E500">
        <f t="shared" si="38"/>
        <v>1989</v>
      </c>
      <c r="F500" s="6">
        <f t="shared" si="39"/>
        <v>252</v>
      </c>
      <c r="G500">
        <v>20.9</v>
      </c>
      <c r="H500">
        <v>1.4</v>
      </c>
      <c r="I500">
        <f>MAX(0,1-Fitting!$B$7*(Fitting!$B$6-Herm8889!C500)^2)</f>
        <v>0.56931657323419493</v>
      </c>
      <c r="J500">
        <f>tt(G500,H500,Fitting!$B$1:$E$1,Fitting!$B$2:$E$2)*I500</f>
        <v>6.34788011732683</v>
      </c>
    </row>
    <row r="501" spans="1:10">
      <c r="A501" s="1">
        <f t="shared" si="37"/>
        <v>32761</v>
      </c>
      <c r="B501">
        <f t="shared" si="35"/>
        <v>4729.9319367225035</v>
      </c>
      <c r="C501">
        <f>day_length(F501,$B$1,Fitting!$B$4)</f>
        <v>12.555629730224609</v>
      </c>
      <c r="D501" s="1">
        <f t="shared" si="36"/>
        <v>32761</v>
      </c>
      <c r="E501">
        <f t="shared" si="38"/>
        <v>1989</v>
      </c>
      <c r="F501" s="6">
        <f t="shared" si="39"/>
        <v>253</v>
      </c>
      <c r="G501">
        <v>20</v>
      </c>
      <c r="H501">
        <v>4</v>
      </c>
      <c r="I501">
        <f>MAX(0,1-Fitting!$B$7*(Fitting!$B$6-Herm8889!C501)^2)</f>
        <v>0.57215566448160105</v>
      </c>
      <c r="J501">
        <f>tt(G501,H501,Fitting!$B$1:$E$1,Fitting!$B$2:$E$2)*I501</f>
        <v>6.8658679737792125</v>
      </c>
    </row>
    <row r="502" spans="1:10">
      <c r="A502" s="1">
        <f t="shared" si="37"/>
        <v>32762</v>
      </c>
      <c r="B502">
        <f t="shared" si="35"/>
        <v>4738.5281464030213</v>
      </c>
      <c r="C502">
        <f>day_length(F502,$B$1,Fitting!$B$4)</f>
        <v>12.583719253540039</v>
      </c>
      <c r="D502" s="1">
        <f t="shared" si="36"/>
        <v>32762</v>
      </c>
      <c r="E502">
        <f t="shared" si="38"/>
        <v>1989</v>
      </c>
      <c r="F502" s="6">
        <f t="shared" si="39"/>
        <v>254</v>
      </c>
      <c r="G502">
        <v>24.8</v>
      </c>
      <c r="H502">
        <v>5.0999999999999996</v>
      </c>
      <c r="I502">
        <f>MAX(0,1-Fitting!$B$7*(Fitting!$B$6-Herm8889!C502)^2)</f>
        <v>0.57499731038060409</v>
      </c>
      <c r="J502">
        <f>tt(G502,H502,Fitting!$B$1:$E$1,Fitting!$B$2:$E$2)*I502</f>
        <v>8.5962096805179975</v>
      </c>
    </row>
    <row r="503" spans="1:10">
      <c r="A503" s="1">
        <f t="shared" si="37"/>
        <v>32763</v>
      </c>
      <c r="B503">
        <f t="shared" si="35"/>
        <v>4748.6692550590078</v>
      </c>
      <c r="C503">
        <f>day_length(F503,$B$1,Fitting!$B$4)</f>
        <v>12.611922264099121</v>
      </c>
      <c r="D503" s="1">
        <f t="shared" si="36"/>
        <v>32763</v>
      </c>
      <c r="E503">
        <f t="shared" si="38"/>
        <v>1989</v>
      </c>
      <c r="F503" s="6">
        <f t="shared" si="39"/>
        <v>255</v>
      </c>
      <c r="G503">
        <v>26.7</v>
      </c>
      <c r="H503">
        <v>8.4</v>
      </c>
      <c r="I503">
        <f>MAX(0,1-Fitting!$B$7*(Fitting!$B$6-Herm8889!C503)^2)</f>
        <v>0.57784091137890392</v>
      </c>
      <c r="J503">
        <f>tt(G503,H503,Fitting!$B$1:$E$1,Fitting!$B$2:$E$2)*I503</f>
        <v>10.141108655986207</v>
      </c>
    </row>
    <row r="504" spans="1:10">
      <c r="A504" s="1">
        <f t="shared" si="37"/>
        <v>32764</v>
      </c>
      <c r="B504">
        <f t="shared" si="35"/>
        <v>4754.7664552796996</v>
      </c>
      <c r="C504">
        <f>day_length(F504,$B$1,Fitting!$B$4)</f>
        <v>12.640232086181641</v>
      </c>
      <c r="D504" s="1">
        <f t="shared" si="36"/>
        <v>32764</v>
      </c>
      <c r="E504">
        <f t="shared" si="38"/>
        <v>1989</v>
      </c>
      <c r="F504" s="6">
        <f t="shared" si="39"/>
        <v>256</v>
      </c>
      <c r="G504">
        <v>17.899999999999999</v>
      </c>
      <c r="H504">
        <v>3.1</v>
      </c>
      <c r="I504">
        <f>MAX(0,1-Fitting!$B$7*(Fitting!$B$6-Herm8889!C504)^2)</f>
        <v>0.58068568256255815</v>
      </c>
      <c r="J504">
        <f>tt(G504,H504,Fitting!$B$1:$E$1,Fitting!$B$2:$E$2)*I504</f>
        <v>6.0972002206918816</v>
      </c>
    </row>
    <row r="505" spans="1:10">
      <c r="A505" s="1">
        <f t="shared" si="37"/>
        <v>32765</v>
      </c>
      <c r="B505">
        <f t="shared" si="35"/>
        <v>4760.3391780718321</v>
      </c>
      <c r="C505">
        <f>day_length(F505,$B$1,Fitting!$B$4)</f>
        <v>12.668645858764648</v>
      </c>
      <c r="D505" s="1">
        <f t="shared" si="36"/>
        <v>32765</v>
      </c>
      <c r="E505">
        <f t="shared" si="38"/>
        <v>1989</v>
      </c>
      <c r="F505" s="6">
        <f t="shared" si="39"/>
        <v>257</v>
      </c>
      <c r="G505">
        <v>18.8</v>
      </c>
      <c r="H505">
        <v>0.3</v>
      </c>
      <c r="I505">
        <f>MAX(0,1-Fitting!$B$7*(Fitting!$B$6-Herm8889!C505)^2)</f>
        <v>0.58353122903992327</v>
      </c>
      <c r="J505">
        <f>tt(G505,H505,Fitting!$B$1:$E$1,Fitting!$B$2:$E$2)*I505</f>
        <v>5.5727227921322706</v>
      </c>
    </row>
    <row r="506" spans="1:10">
      <c r="A506" s="1">
        <f t="shared" si="37"/>
        <v>32766</v>
      </c>
      <c r="B506">
        <f t="shared" si="35"/>
        <v>4765.3984647761927</v>
      </c>
      <c r="C506">
        <f>day_length(F506,$B$1,Fitting!$B$4)</f>
        <v>12.697155952453613</v>
      </c>
      <c r="D506" s="1">
        <f t="shared" si="36"/>
        <v>32766</v>
      </c>
      <c r="E506">
        <f t="shared" si="38"/>
        <v>1989</v>
      </c>
      <c r="F506" s="6">
        <f t="shared" si="39"/>
        <v>258</v>
      </c>
      <c r="G506">
        <v>19.100000000000001</v>
      </c>
      <c r="H506">
        <v>-2.2000000000000002</v>
      </c>
      <c r="I506">
        <f>MAX(0,1-Fitting!$B$7*(Fitting!$B$6-Herm8889!C506)^2)</f>
        <v>0.58637668433274115</v>
      </c>
      <c r="J506">
        <f>tt(G506,H506,Fitting!$B$1:$E$1,Fitting!$B$2:$E$2)*I506</f>
        <v>5.0592867043602219</v>
      </c>
    </row>
    <row r="507" spans="1:10">
      <c r="A507" s="1">
        <f t="shared" si="37"/>
        <v>32767</v>
      </c>
      <c r="B507">
        <f t="shared" si="35"/>
        <v>4770.3843292038973</v>
      </c>
      <c r="C507">
        <f>day_length(F507,$B$1,Fitting!$B$4)</f>
        <v>12.725759506225586</v>
      </c>
      <c r="D507" s="1">
        <f t="shared" si="36"/>
        <v>32767</v>
      </c>
      <c r="E507">
        <f t="shared" si="38"/>
        <v>1989</v>
      </c>
      <c r="F507" s="6">
        <f t="shared" si="39"/>
        <v>259</v>
      </c>
      <c r="G507">
        <v>18.7</v>
      </c>
      <c r="H507">
        <v>-2.1</v>
      </c>
      <c r="I507">
        <f>MAX(0,1-Fitting!$B$7*(Fitting!$B$6-Herm8889!C507)^2)</f>
        <v>0.58922166550710242</v>
      </c>
      <c r="J507">
        <f>tt(G507,H507,Fitting!$B$1:$E$1,Fitting!$B$2:$E$2)*I507</f>
        <v>4.9858644277045521</v>
      </c>
    </row>
    <row r="508" spans="1:10">
      <c r="A508" s="1">
        <f t="shared" si="37"/>
        <v>32768</v>
      </c>
      <c r="B508">
        <f t="shared" si="35"/>
        <v>4776.0786572000197</v>
      </c>
      <c r="C508">
        <f>day_length(F508,$B$1,Fitting!$B$4)</f>
        <v>12.754450798034668</v>
      </c>
      <c r="D508" s="1">
        <f t="shared" si="36"/>
        <v>32768</v>
      </c>
      <c r="E508">
        <f t="shared" si="38"/>
        <v>1989</v>
      </c>
      <c r="F508" s="6">
        <f t="shared" si="39"/>
        <v>260</v>
      </c>
      <c r="G508">
        <v>20.7</v>
      </c>
      <c r="H508">
        <v>-1.6</v>
      </c>
      <c r="I508">
        <f>MAX(0,1-Fitting!$B$7*(Fitting!$B$6-Herm8889!C508)^2)</f>
        <v>0.59206551014781317</v>
      </c>
      <c r="J508">
        <f>tt(G508,H508,Fitting!$B$1:$E$1,Fitting!$B$2:$E$2)*I508</f>
        <v>5.6943279961222881</v>
      </c>
    </row>
    <row r="509" spans="1:10">
      <c r="A509" s="1">
        <f t="shared" si="37"/>
        <v>32769</v>
      </c>
      <c r="B509">
        <f t="shared" si="35"/>
        <v>4785.2402360327214</v>
      </c>
      <c r="C509">
        <f>day_length(F509,$B$1,Fitting!$B$4)</f>
        <v>12.783225059509277</v>
      </c>
      <c r="D509" s="1">
        <f t="shared" si="36"/>
        <v>32769</v>
      </c>
      <c r="E509">
        <f t="shared" si="38"/>
        <v>1989</v>
      </c>
      <c r="F509" s="6">
        <f t="shared" si="39"/>
        <v>261</v>
      </c>
      <c r="G509">
        <v>22.8</v>
      </c>
      <c r="H509">
        <v>8</v>
      </c>
      <c r="I509">
        <f>MAX(0,1-Fitting!$B$7*(Fitting!$B$6-Herm8889!C509)^2)</f>
        <v>0.59490765746394203</v>
      </c>
      <c r="J509">
        <f>tt(G509,H509,Fitting!$B$1:$E$1,Fitting!$B$2:$E$2)*I509</f>
        <v>9.1615788327017533</v>
      </c>
    </row>
    <row r="510" spans="1:10">
      <c r="A510" s="1">
        <f t="shared" si="37"/>
        <v>32770</v>
      </c>
      <c r="B510">
        <f t="shared" si="35"/>
        <v>4793.7581367575413</v>
      </c>
      <c r="C510">
        <f>day_length(F510,$B$1,Fitting!$B$4)</f>
        <v>12.812076568603516</v>
      </c>
      <c r="D510" s="1">
        <f t="shared" si="36"/>
        <v>32770</v>
      </c>
      <c r="E510">
        <f t="shared" si="38"/>
        <v>1989</v>
      </c>
      <c r="F510" s="6">
        <f t="shared" si="39"/>
        <v>262</v>
      </c>
      <c r="G510">
        <v>24.7</v>
      </c>
      <c r="H510">
        <v>3.8</v>
      </c>
      <c r="I510">
        <f>MAX(0,1-Fitting!$B$7*(Fitting!$B$6-Herm8889!C510)^2)</f>
        <v>0.59774745928953044</v>
      </c>
      <c r="J510">
        <f>tt(G510,H510,Fitting!$B$1:$E$1,Fitting!$B$2:$E$2)*I510</f>
        <v>8.517900724819409</v>
      </c>
    </row>
    <row r="511" spans="1:10">
      <c r="A511" s="1">
        <f t="shared" si="37"/>
        <v>32771</v>
      </c>
      <c r="B511">
        <f t="shared" si="35"/>
        <v>4804.328421872764</v>
      </c>
      <c r="C511">
        <f>day_length(F511,$B$1,Fitting!$B$4)</f>
        <v>12.841000556945801</v>
      </c>
      <c r="D511" s="1">
        <f t="shared" si="36"/>
        <v>32771</v>
      </c>
      <c r="E511">
        <f t="shared" si="38"/>
        <v>1989</v>
      </c>
      <c r="F511" s="6">
        <f t="shared" si="39"/>
        <v>263</v>
      </c>
      <c r="G511">
        <v>25.2</v>
      </c>
      <c r="H511">
        <v>10</v>
      </c>
      <c r="I511">
        <f>MAX(0,1-Fitting!$B$7*(Fitting!$B$6-Herm8889!C511)^2)</f>
        <v>0.60058436852944763</v>
      </c>
      <c r="J511">
        <f>tt(G511,H511,Fitting!$B$1:$E$1,Fitting!$B$2:$E$2)*I511</f>
        <v>10.570285115223033</v>
      </c>
    </row>
    <row r="512" spans="1:10">
      <c r="A512" s="1">
        <f t="shared" si="37"/>
        <v>32772</v>
      </c>
      <c r="B512">
        <f t="shared" si="35"/>
        <v>4814.8882325234972</v>
      </c>
      <c r="C512">
        <f>day_length(F512,$B$1,Fitting!$B$4)</f>
        <v>12.869991302490234</v>
      </c>
      <c r="D512" s="1">
        <f t="shared" si="36"/>
        <v>32772</v>
      </c>
      <c r="E512">
        <f t="shared" si="38"/>
        <v>1989</v>
      </c>
      <c r="F512" s="6">
        <f t="shared" si="39"/>
        <v>264</v>
      </c>
      <c r="G512">
        <v>25.4</v>
      </c>
      <c r="H512">
        <v>9.6</v>
      </c>
      <c r="I512">
        <f>MAX(0,1-Fitting!$B$7*(Fitting!$B$6-Herm8889!C512)^2)</f>
        <v>0.60341775147049337</v>
      </c>
      <c r="J512">
        <f>tt(G512,H512,Fitting!$B$1:$E$1,Fitting!$B$2:$E$2)*I512</f>
        <v>10.559810650733635</v>
      </c>
    </row>
    <row r="513" spans="1:10">
      <c r="A513" s="1">
        <f t="shared" si="37"/>
        <v>32773</v>
      </c>
      <c r="B513">
        <f t="shared" si="35"/>
        <v>4824.5578747312156</v>
      </c>
      <c r="C513">
        <f>day_length(F513,$B$1,Fitting!$B$4)</f>
        <v>12.899044990539551</v>
      </c>
      <c r="D513" s="1">
        <f t="shared" si="36"/>
        <v>32773</v>
      </c>
      <c r="E513">
        <f t="shared" si="38"/>
        <v>1989</v>
      </c>
      <c r="F513" s="6">
        <f t="shared" si="39"/>
        <v>265</v>
      </c>
      <c r="G513">
        <v>22.6</v>
      </c>
      <c r="H513">
        <v>9.3000000000000007</v>
      </c>
      <c r="I513">
        <f>MAX(0,1-Fitting!$B$7*(Fitting!$B$6-Herm8889!C513)^2)</f>
        <v>0.60624716760818598</v>
      </c>
      <c r="J513">
        <f>tt(G513,H513,Fitting!$B$1:$E$1,Fitting!$B$2:$E$2)*I513</f>
        <v>9.6696422077180966</v>
      </c>
    </row>
    <row r="514" spans="1:10">
      <c r="A514" s="1">
        <f t="shared" si="37"/>
        <v>32774</v>
      </c>
      <c r="B514">
        <f t="shared" si="35"/>
        <v>4836.0997883746768</v>
      </c>
      <c r="C514">
        <f>day_length(F514,$B$1,Fitting!$B$4)</f>
        <v>12.928155899047852</v>
      </c>
      <c r="D514" s="1">
        <f t="shared" si="36"/>
        <v>32774</v>
      </c>
      <c r="E514">
        <f t="shared" si="38"/>
        <v>1989</v>
      </c>
      <c r="F514" s="6">
        <f t="shared" si="39"/>
        <v>266</v>
      </c>
      <c r="G514">
        <v>24.6</v>
      </c>
      <c r="H514">
        <v>13.3</v>
      </c>
      <c r="I514">
        <f>MAX(0,1-Fitting!$B$7*(Fitting!$B$6-Herm8889!C514)^2)</f>
        <v>0.60907199685954394</v>
      </c>
      <c r="J514">
        <f>tt(G514,H514,Fitting!$B$1:$E$1,Fitting!$B$2:$E$2)*I514</f>
        <v>11.541913643460774</v>
      </c>
    </row>
    <row r="515" spans="1:10">
      <c r="A515" s="1">
        <f t="shared" si="37"/>
        <v>32775</v>
      </c>
      <c r="B515">
        <f t="shared" si="35"/>
        <v>4845.0945938220239</v>
      </c>
      <c r="C515">
        <f>day_length(F515,$B$1,Fitting!$B$4)</f>
        <v>12.957317352294922</v>
      </c>
      <c r="D515" s="1">
        <f t="shared" si="36"/>
        <v>32775</v>
      </c>
      <c r="E515">
        <f t="shared" si="38"/>
        <v>1989</v>
      </c>
      <c r="F515" s="6">
        <f t="shared" si="39"/>
        <v>267</v>
      </c>
      <c r="G515">
        <v>25.8</v>
      </c>
      <c r="H515">
        <v>3.6</v>
      </c>
      <c r="I515">
        <f>MAX(0,1-Fitting!$B$7*(Fitting!$B$6-Herm8889!C515)^2)</f>
        <v>0.61189153496982174</v>
      </c>
      <c r="J515">
        <f>tt(G515,H515,Fitting!$B$1:$E$1,Fitting!$B$2:$E$2)*I515</f>
        <v>8.994805447347332</v>
      </c>
    </row>
    <row r="516" spans="1:10">
      <c r="A516" s="1">
        <f t="shared" si="37"/>
        <v>32776</v>
      </c>
      <c r="B516">
        <f t="shared" si="35"/>
        <v>4854.9606170582792</v>
      </c>
      <c r="C516">
        <f>day_length(F516,$B$1,Fitting!$B$4)</f>
        <v>12.986526489257812</v>
      </c>
      <c r="D516" s="1">
        <f t="shared" si="36"/>
        <v>32776</v>
      </c>
      <c r="E516">
        <f t="shared" si="38"/>
        <v>1989</v>
      </c>
      <c r="F516" s="6">
        <f t="shared" si="39"/>
        <v>268</v>
      </c>
      <c r="G516">
        <v>26.6</v>
      </c>
      <c r="H516">
        <v>5.5</v>
      </c>
      <c r="I516">
        <f>MAX(0,1-Fitting!$B$7*(Fitting!$B$6-Herm8889!C516)^2)</f>
        <v>0.61470545375579966</v>
      </c>
      <c r="J516">
        <f>tt(G516,H516,Fitting!$B$1:$E$1,Fitting!$B$2:$E$2)*I516</f>
        <v>9.866023236255149</v>
      </c>
    </row>
    <row r="517" spans="1:10">
      <c r="A517" s="1">
        <f t="shared" si="37"/>
        <v>32777</v>
      </c>
      <c r="B517">
        <f t="shared" ref="B517:B580" si="40">B516+J517</f>
        <v>4868.7311570427846</v>
      </c>
      <c r="C517">
        <f>day_length(F517,$B$1,Fitting!$B$4)</f>
        <v>13.015775680541992</v>
      </c>
      <c r="D517" s="1">
        <f t="shared" ref="D517:D580" si="41">A517</f>
        <v>32777</v>
      </c>
      <c r="E517">
        <f t="shared" si="38"/>
        <v>1989</v>
      </c>
      <c r="F517" s="6">
        <f t="shared" si="39"/>
        <v>269</v>
      </c>
      <c r="G517">
        <v>28.8</v>
      </c>
      <c r="H517">
        <v>15.8</v>
      </c>
      <c r="I517">
        <f>MAX(0,1-Fitting!$B$7*(Fitting!$B$6-Herm8889!C517)^2)</f>
        <v>0.61751297209945188</v>
      </c>
      <c r="J517">
        <f>tt(G517,H517,Fitting!$B$1:$E$1,Fitting!$B$2:$E$2)*I517</f>
        <v>13.770539984505291</v>
      </c>
    </row>
    <row r="518" spans="1:10">
      <c r="A518" s="1">
        <f t="shared" ref="A518:A581" si="42">A517+1</f>
        <v>32778</v>
      </c>
      <c r="B518">
        <f t="shared" si="40"/>
        <v>4874.4690580252163</v>
      </c>
      <c r="C518">
        <f>day_length(F518,$B$1,Fitting!$B$4)</f>
        <v>13.045061111450195</v>
      </c>
      <c r="D518" s="1">
        <f t="shared" si="41"/>
        <v>32778</v>
      </c>
      <c r="E518">
        <f t="shared" ref="E518:E581" si="43">YEAR(A518)</f>
        <v>1989</v>
      </c>
      <c r="F518" s="6">
        <f t="shared" ref="F518:F581" si="44">A518-DATE(E518,1,1)+1</f>
        <v>270</v>
      </c>
      <c r="G518">
        <v>18.8</v>
      </c>
      <c r="H518">
        <v>-0.3</v>
      </c>
      <c r="I518">
        <f>MAX(0,1-Fitting!$B$7*(Fitting!$B$6-Herm8889!C518)^2)</f>
        <v>0.62031368367662798</v>
      </c>
      <c r="J518">
        <f>tt(G518,H518,Fitting!$B$1:$E$1,Fitting!$B$2:$E$2)*I518</f>
        <v>5.7379009824315803</v>
      </c>
    </row>
    <row r="519" spans="1:10">
      <c r="A519" s="1">
        <f t="shared" si="42"/>
        <v>32779</v>
      </c>
      <c r="B519">
        <f t="shared" si="40"/>
        <v>4881.5101679069148</v>
      </c>
      <c r="C519">
        <f>day_length(F519,$B$1,Fitting!$B$4)</f>
        <v>13.074377059936523</v>
      </c>
      <c r="D519" s="1">
        <f t="shared" si="41"/>
        <v>32779</v>
      </c>
      <c r="E519">
        <f t="shared" si="43"/>
        <v>1989</v>
      </c>
      <c r="F519" s="6">
        <f t="shared" si="44"/>
        <v>271</v>
      </c>
      <c r="G519">
        <v>20.7</v>
      </c>
      <c r="H519">
        <v>1.9</v>
      </c>
      <c r="I519">
        <f>MAX(0,1-Fitting!$B$7*(Fitting!$B$6-Herm8889!C519)^2)</f>
        <v>0.62310700607163749</v>
      </c>
      <c r="J519">
        <f>tt(G519,H519,Fitting!$B$1:$E$1,Fitting!$B$2:$E$2)*I519</f>
        <v>7.0411098816988815</v>
      </c>
    </row>
    <row r="520" spans="1:10">
      <c r="A520" s="1">
        <f t="shared" si="42"/>
        <v>32780</v>
      </c>
      <c r="B520">
        <f t="shared" si="40"/>
        <v>4890.6169006205128</v>
      </c>
      <c r="C520">
        <f>day_length(F520,$B$1,Fitting!$B$4)</f>
        <v>13.103716850280762</v>
      </c>
      <c r="D520" s="1">
        <f t="shared" si="41"/>
        <v>32780</v>
      </c>
      <c r="E520">
        <f t="shared" si="43"/>
        <v>1989</v>
      </c>
      <c r="F520" s="6">
        <f t="shared" si="44"/>
        <v>272</v>
      </c>
      <c r="G520">
        <v>21.9</v>
      </c>
      <c r="H520">
        <v>7.2</v>
      </c>
      <c r="I520">
        <f>MAX(0,1-Fitting!$B$7*(Fitting!$B$6-Herm8889!C520)^2)</f>
        <v>0.62589227451676011</v>
      </c>
      <c r="J520">
        <f>tt(G520,H520,Fitting!$B$1:$E$1,Fitting!$B$2:$E$2)*I520</f>
        <v>9.1067327135983369</v>
      </c>
    </row>
    <row r="521" spans="1:10">
      <c r="A521" s="1">
        <f t="shared" si="42"/>
        <v>32781</v>
      </c>
      <c r="B521">
        <f t="shared" si="40"/>
        <v>4901.1785395707102</v>
      </c>
      <c r="C521">
        <f>day_length(F521,$B$1,Fitting!$B$4)</f>
        <v>13.133075714111328</v>
      </c>
      <c r="D521" s="1">
        <f t="shared" si="41"/>
        <v>32781</v>
      </c>
      <c r="E521">
        <f t="shared" si="43"/>
        <v>1989</v>
      </c>
      <c r="F521" s="6">
        <f t="shared" si="44"/>
        <v>273</v>
      </c>
      <c r="G521">
        <v>23.6</v>
      </c>
      <c r="H521">
        <v>10</v>
      </c>
      <c r="I521">
        <f>MAX(0,1-Fitting!$B$7*(Fitting!$B$6-Herm8889!C521)^2)</f>
        <v>0.62866901368057004</v>
      </c>
      <c r="J521">
        <f>tt(G521,H521,Fitting!$B$1:$E$1,Fitting!$B$2:$E$2)*I521</f>
        <v>10.561638950197183</v>
      </c>
    </row>
    <row r="522" spans="1:10">
      <c r="A522" s="1">
        <f t="shared" si="42"/>
        <v>32782</v>
      </c>
      <c r="B522">
        <f t="shared" si="40"/>
        <v>4911.0289523915462</v>
      </c>
      <c r="C522">
        <f>day_length(F522,$B$1,Fitting!$B$4)</f>
        <v>13.162447929382324</v>
      </c>
      <c r="D522" s="1">
        <f t="shared" si="41"/>
        <v>32782</v>
      </c>
      <c r="E522">
        <f t="shared" si="43"/>
        <v>1989</v>
      </c>
      <c r="F522" s="6">
        <f t="shared" si="44"/>
        <v>274</v>
      </c>
      <c r="G522">
        <v>25.7</v>
      </c>
      <c r="H522">
        <v>5.5</v>
      </c>
      <c r="I522">
        <f>MAX(0,1-Fitting!$B$7*(Fitting!$B$6-Herm8889!C522)^2)</f>
        <v>0.63143666524213948</v>
      </c>
      <c r="J522">
        <f>tt(G522,H522,Fitting!$B$1:$E$1,Fitting!$B$2:$E$2)*I522</f>
        <v>9.8504128208362776</v>
      </c>
    </row>
    <row r="523" spans="1:10">
      <c r="A523" s="1">
        <f t="shared" si="42"/>
        <v>32783</v>
      </c>
      <c r="B523">
        <f t="shared" si="40"/>
        <v>4922.0005183074591</v>
      </c>
      <c r="C523">
        <f>day_length(F523,$B$1,Fitting!$B$4)</f>
        <v>13.191826820373535</v>
      </c>
      <c r="D523" s="1">
        <f t="shared" si="41"/>
        <v>32783</v>
      </c>
      <c r="E523">
        <f t="shared" si="43"/>
        <v>1989</v>
      </c>
      <c r="F523" s="6">
        <f t="shared" si="44"/>
        <v>275</v>
      </c>
      <c r="G523">
        <v>27.8</v>
      </c>
      <c r="H523">
        <v>6.8</v>
      </c>
      <c r="I523">
        <f>MAX(0,1-Fitting!$B$7*(Fitting!$B$6-Herm8889!C523)^2)</f>
        <v>0.63419458958177166</v>
      </c>
      <c r="J523">
        <f>tt(G523,H523,Fitting!$B$1:$E$1,Fitting!$B$2:$E$2)*I523</f>
        <v>10.971565915912576</v>
      </c>
    </row>
    <row r="524" spans="1:10">
      <c r="A524" s="1">
        <f t="shared" si="42"/>
        <v>32784</v>
      </c>
      <c r="B524">
        <f t="shared" si="40"/>
        <v>4933.5928680670377</v>
      </c>
      <c r="C524">
        <f>day_length(F524,$B$1,Fitting!$B$4)</f>
        <v>13.221207618713379</v>
      </c>
      <c r="D524" s="1">
        <f t="shared" si="41"/>
        <v>32784</v>
      </c>
      <c r="E524">
        <f t="shared" si="43"/>
        <v>1989</v>
      </c>
      <c r="F524" s="6">
        <f t="shared" si="44"/>
        <v>276</v>
      </c>
      <c r="G524">
        <v>28.3</v>
      </c>
      <c r="H524">
        <v>8.1</v>
      </c>
      <c r="I524">
        <f>MAX(0,1-Fitting!$B$7*(Fitting!$B$6-Herm8889!C524)^2)</f>
        <v>0.63694233453302329</v>
      </c>
      <c r="J524">
        <f>tt(G524,H524,Fitting!$B$1:$E$1,Fitting!$B$2:$E$2)*I524</f>
        <v>11.592349759578369</v>
      </c>
    </row>
    <row r="525" spans="1:10">
      <c r="A525" s="1">
        <f t="shared" si="42"/>
        <v>32785</v>
      </c>
      <c r="B525">
        <f t="shared" si="40"/>
        <v>4943.7637683318271</v>
      </c>
      <c r="C525">
        <f>day_length(F525,$B$1,Fitting!$B$4)</f>
        <v>13.250583648681641</v>
      </c>
      <c r="D525" s="1">
        <f t="shared" si="41"/>
        <v>32785</v>
      </c>
      <c r="E525">
        <f t="shared" si="43"/>
        <v>1989</v>
      </c>
      <c r="F525" s="6">
        <f t="shared" si="44"/>
        <v>277</v>
      </c>
      <c r="G525">
        <v>24.9</v>
      </c>
      <c r="H525">
        <v>6.9</v>
      </c>
      <c r="I525">
        <f>MAX(0,1-Fitting!$B$7*(Fitting!$B$6-Herm8889!C525)^2)</f>
        <v>0.63967927728351781</v>
      </c>
      <c r="J525">
        <f>tt(G525,H525,Fitting!$B$1:$E$1,Fitting!$B$2:$E$2)*I525</f>
        <v>10.170900264789655</v>
      </c>
    </row>
    <row r="526" spans="1:10">
      <c r="A526" s="1">
        <f t="shared" si="42"/>
        <v>32786</v>
      </c>
      <c r="B526">
        <f t="shared" si="40"/>
        <v>4955.5197753713455</v>
      </c>
      <c r="C526">
        <f>day_length(F526,$B$1,Fitting!$B$4)</f>
        <v>13.279947280883789</v>
      </c>
      <c r="D526" s="1">
        <f t="shared" si="41"/>
        <v>32786</v>
      </c>
      <c r="E526">
        <f t="shared" si="43"/>
        <v>1989</v>
      </c>
      <c r="F526" s="6">
        <f t="shared" si="44"/>
        <v>278</v>
      </c>
      <c r="G526">
        <v>25.7</v>
      </c>
      <c r="H526">
        <v>10.9</v>
      </c>
      <c r="I526">
        <f>MAX(0,1-Fitting!$B$7*(Fitting!$B$6-Herm8889!C526)^2)</f>
        <v>0.64240471608439842</v>
      </c>
      <c r="J526">
        <f>tt(G526,H526,Fitting!$B$1:$E$1,Fitting!$B$2:$E$2)*I526</f>
        <v>11.756007039518344</v>
      </c>
    </row>
    <row r="527" spans="1:10">
      <c r="A527" s="1">
        <f t="shared" si="42"/>
        <v>32787</v>
      </c>
      <c r="B527">
        <f t="shared" si="40"/>
        <v>4968.0301630034719</v>
      </c>
      <c r="C527">
        <f>day_length(F527,$B$1,Fitting!$B$4)</f>
        <v>13.309296607971191</v>
      </c>
      <c r="D527" s="1">
        <f t="shared" si="41"/>
        <v>32787</v>
      </c>
      <c r="E527">
        <f t="shared" si="43"/>
        <v>1989</v>
      </c>
      <c r="F527" s="6">
        <f t="shared" si="44"/>
        <v>279</v>
      </c>
      <c r="G527">
        <v>32.5</v>
      </c>
      <c r="H527">
        <v>8.4</v>
      </c>
      <c r="I527">
        <f>MAX(0,1-Fitting!$B$7*(Fitting!$B$6-Herm8889!C527)^2)</f>
        <v>0.64511848801501948</v>
      </c>
      <c r="J527">
        <f>tt(G527,H527,Fitting!$B$1:$E$1,Fitting!$B$2:$E$2)*I527</f>
        <v>12.51038763212653</v>
      </c>
    </row>
    <row r="528" spans="1:10">
      <c r="A528" s="1">
        <f t="shared" si="42"/>
        <v>32788</v>
      </c>
      <c r="B528">
        <f t="shared" si="40"/>
        <v>4978.2333223923415</v>
      </c>
      <c r="C528">
        <f>day_length(F528,$B$1,Fitting!$B$4)</f>
        <v>13.338621139526367</v>
      </c>
      <c r="D528" s="1">
        <f t="shared" si="41"/>
        <v>32788</v>
      </c>
      <c r="E528">
        <f t="shared" si="43"/>
        <v>1989</v>
      </c>
      <c r="F528" s="6">
        <f t="shared" si="44"/>
        <v>280</v>
      </c>
      <c r="G528">
        <v>27</v>
      </c>
      <c r="H528">
        <v>4.5</v>
      </c>
      <c r="I528">
        <f>MAX(0,1-Fitting!$B$7*(Fitting!$B$6-Herm8889!C528)^2)</f>
        <v>0.64781964373772638</v>
      </c>
      <c r="J528">
        <f>tt(G528,H528,Fitting!$B$1:$E$1,Fitting!$B$2:$E$2)*I528</f>
        <v>10.20315938886919</v>
      </c>
    </row>
    <row r="529" spans="1:10">
      <c r="A529" s="1">
        <f t="shared" si="42"/>
        <v>32789</v>
      </c>
      <c r="B529">
        <f t="shared" si="40"/>
        <v>4991.5687299425344</v>
      </c>
      <c r="C529">
        <f>day_length(F529,$B$1,Fitting!$B$4)</f>
        <v>13.367915153503418</v>
      </c>
      <c r="D529" s="1">
        <f t="shared" si="41"/>
        <v>32789</v>
      </c>
      <c r="E529">
        <f t="shared" si="43"/>
        <v>1989</v>
      </c>
      <c r="F529" s="6">
        <f t="shared" si="44"/>
        <v>281</v>
      </c>
      <c r="G529">
        <v>28.7</v>
      </c>
      <c r="H529">
        <v>12.3</v>
      </c>
      <c r="I529">
        <f>MAX(0,1-Fitting!$B$7*(Fitting!$B$6-Herm8889!C529)^2)</f>
        <v>0.65050768537526338</v>
      </c>
      <c r="J529">
        <f>tt(G529,H529,Fitting!$B$1:$E$1,Fitting!$B$2:$E$2)*I529</f>
        <v>13.335407550192899</v>
      </c>
    </row>
    <row r="530" spans="1:10">
      <c r="A530" s="1">
        <f t="shared" si="42"/>
        <v>32790</v>
      </c>
      <c r="B530">
        <f t="shared" si="40"/>
        <v>5002.1829408562362</v>
      </c>
      <c r="C530">
        <f>day_length(F530,$B$1,Fitting!$B$4)</f>
        <v>13.397173881530762</v>
      </c>
      <c r="D530" s="1">
        <f t="shared" si="41"/>
        <v>32790</v>
      </c>
      <c r="E530">
        <f t="shared" si="43"/>
        <v>1989</v>
      </c>
      <c r="F530" s="6">
        <f t="shared" si="44"/>
        <v>282</v>
      </c>
      <c r="G530">
        <v>26.4</v>
      </c>
      <c r="H530">
        <v>6.1</v>
      </c>
      <c r="I530">
        <f>MAX(0,1-Fitting!$B$7*(Fitting!$B$6-Herm8889!C530)^2)</f>
        <v>0.65318221007393185</v>
      </c>
      <c r="J530">
        <f>tt(G530,H530,Fitting!$B$1:$E$1,Fitting!$B$2:$E$2)*I530</f>
        <v>10.614210913701392</v>
      </c>
    </row>
    <row r="531" spans="1:10">
      <c r="A531" s="1">
        <f t="shared" si="42"/>
        <v>32791</v>
      </c>
      <c r="B531">
        <f t="shared" si="40"/>
        <v>5014.3488166582829</v>
      </c>
      <c r="C531">
        <f>day_length(F531,$B$1,Fitting!$B$4)</f>
        <v>13.426387786865234</v>
      </c>
      <c r="D531" s="1">
        <f t="shared" si="41"/>
        <v>32791</v>
      </c>
      <c r="E531">
        <f t="shared" si="43"/>
        <v>1989</v>
      </c>
      <c r="F531" s="6">
        <f t="shared" si="44"/>
        <v>283</v>
      </c>
      <c r="G531">
        <v>26.7</v>
      </c>
      <c r="H531">
        <v>10.4</v>
      </c>
      <c r="I531">
        <f>MAX(0,1-Fitting!$B$7*(Fitting!$B$6-Herm8889!C531)^2)</f>
        <v>0.65584238827033547</v>
      </c>
      <c r="J531">
        <f>tt(G531,H531,Fitting!$B$1:$E$1,Fitting!$B$2:$E$2)*I531</f>
        <v>12.16587580204669</v>
      </c>
    </row>
    <row r="532" spans="1:10">
      <c r="A532" s="1">
        <f t="shared" si="42"/>
        <v>32792</v>
      </c>
      <c r="B532">
        <f t="shared" si="40"/>
        <v>5025.1150931740776</v>
      </c>
      <c r="C532">
        <f>day_length(F532,$B$1,Fitting!$B$4)</f>
        <v>13.45555305480957</v>
      </c>
      <c r="D532" s="1">
        <f t="shared" si="41"/>
        <v>32792</v>
      </c>
      <c r="E532">
        <f t="shared" si="43"/>
        <v>1989</v>
      </c>
      <c r="F532" s="6">
        <f t="shared" si="44"/>
        <v>284</v>
      </c>
      <c r="G532">
        <v>25.3</v>
      </c>
      <c r="H532">
        <v>7.4</v>
      </c>
      <c r="I532">
        <f>MAX(0,1-Fitting!$B$7*(Fitting!$B$6-Herm8889!C532)^2)</f>
        <v>0.6584879217472408</v>
      </c>
      <c r="J532">
        <f>tt(G532,H532,Fitting!$B$1:$E$1,Fitting!$B$2:$E$2)*I532</f>
        <v>10.766276515794557</v>
      </c>
    </row>
    <row r="533" spans="1:10">
      <c r="A533" s="1">
        <f t="shared" si="42"/>
        <v>32793</v>
      </c>
      <c r="B533">
        <f t="shared" si="40"/>
        <v>5034.1724084903753</v>
      </c>
      <c r="C533">
        <f>day_length(F533,$B$1,Fitting!$B$4)</f>
        <v>13.484659194946289</v>
      </c>
      <c r="D533" s="1">
        <f t="shared" si="41"/>
        <v>32793</v>
      </c>
      <c r="E533">
        <f t="shared" si="43"/>
        <v>1989</v>
      </c>
      <c r="F533" s="6">
        <f t="shared" si="44"/>
        <v>285</v>
      </c>
      <c r="G533">
        <v>24.1</v>
      </c>
      <c r="H533">
        <v>3.3</v>
      </c>
      <c r="I533">
        <f>MAX(0,1-Fitting!$B$7*(Fitting!$B$6-Herm8889!C533)^2)</f>
        <v>0.66111791550336785</v>
      </c>
      <c r="J533">
        <f>tt(G533,H533,Fitting!$B$1:$E$1,Fitting!$B$2:$E$2)*I533</f>
        <v>9.0573153162979043</v>
      </c>
    </row>
    <row r="534" spans="1:10">
      <c r="A534" s="1">
        <f t="shared" si="42"/>
        <v>32794</v>
      </c>
      <c r="B534">
        <f t="shared" si="40"/>
        <v>5045.6881604842256</v>
      </c>
      <c r="C534">
        <f>day_length(F534,$B$1,Fitting!$B$4)</f>
        <v>13.513702392578125</v>
      </c>
      <c r="D534" s="1">
        <f t="shared" si="41"/>
        <v>32794</v>
      </c>
      <c r="E534">
        <f t="shared" si="43"/>
        <v>1989</v>
      </c>
      <c r="F534" s="6">
        <f t="shared" si="44"/>
        <v>286</v>
      </c>
      <c r="G534">
        <v>26.8</v>
      </c>
      <c r="H534">
        <v>7.9</v>
      </c>
      <c r="I534">
        <f>MAX(0,1-Fitting!$B$7*(Fitting!$B$6-Herm8889!C534)^2)</f>
        <v>0.66373208879865708</v>
      </c>
      <c r="J534">
        <f>tt(G534,H534,Fitting!$B$1:$E$1,Fitting!$B$2:$E$2)*I534</f>
        <v>11.515751993850399</v>
      </c>
    </row>
    <row r="535" spans="1:10">
      <c r="A535" s="1">
        <f t="shared" si="42"/>
        <v>32795</v>
      </c>
      <c r="B535">
        <f t="shared" si="40"/>
        <v>5060.2908135898097</v>
      </c>
      <c r="C535">
        <f>day_length(F535,$B$1,Fitting!$B$4)</f>
        <v>13.542673110961914</v>
      </c>
      <c r="D535" s="1">
        <f t="shared" si="41"/>
        <v>32795</v>
      </c>
      <c r="E535">
        <f t="shared" si="43"/>
        <v>1989</v>
      </c>
      <c r="F535" s="6">
        <f t="shared" si="44"/>
        <v>287</v>
      </c>
      <c r="G535">
        <v>31</v>
      </c>
      <c r="H535">
        <v>13.3</v>
      </c>
      <c r="I535">
        <f>MAX(0,1-Fitting!$B$7*(Fitting!$B$6-Herm8889!C535)^2)</f>
        <v>0.6663296540201773</v>
      </c>
      <c r="J535">
        <f>tt(G535,H535,Fitting!$B$1:$E$1,Fitting!$B$2:$E$2)*I535</f>
        <v>14.602653105583842</v>
      </c>
    </row>
    <row r="536" spans="1:10">
      <c r="A536" s="1">
        <f t="shared" si="42"/>
        <v>32796</v>
      </c>
      <c r="B536">
        <f t="shared" si="40"/>
        <v>5072.9332140673596</v>
      </c>
      <c r="C536">
        <f>day_length(F536,$B$1,Fitting!$B$4)</f>
        <v>13.571564674377441</v>
      </c>
      <c r="D536" s="1">
        <f t="shared" si="41"/>
        <v>32796</v>
      </c>
      <c r="E536">
        <f t="shared" si="43"/>
        <v>1989</v>
      </c>
      <c r="F536" s="6">
        <f t="shared" si="44"/>
        <v>288</v>
      </c>
      <c r="G536">
        <v>30</v>
      </c>
      <c r="H536">
        <v>7.8</v>
      </c>
      <c r="I536">
        <f>MAX(0,1-Fitting!$B$7*(Fitting!$B$6-Herm8889!C536)^2)</f>
        <v>0.66891009167825721</v>
      </c>
      <c r="J536">
        <f>tt(G536,H536,Fitting!$B$1:$E$1,Fitting!$B$2:$E$2)*I536</f>
        <v>12.642400477550112</v>
      </c>
    </row>
    <row r="537" spans="1:10">
      <c r="A537" s="1">
        <f t="shared" si="42"/>
        <v>32797</v>
      </c>
      <c r="B537">
        <f t="shared" si="40"/>
        <v>5087.2272045023019</v>
      </c>
      <c r="C537">
        <f>day_length(F537,$B$1,Fitting!$B$4)</f>
        <v>13.600369453430176</v>
      </c>
      <c r="D537" s="1">
        <f t="shared" si="41"/>
        <v>32797</v>
      </c>
      <c r="E537">
        <f t="shared" si="43"/>
        <v>1989</v>
      </c>
      <c r="F537" s="6">
        <f t="shared" si="44"/>
        <v>289</v>
      </c>
      <c r="G537">
        <v>31.2</v>
      </c>
      <c r="H537">
        <v>12</v>
      </c>
      <c r="I537">
        <f>MAX(0,1-Fitting!$B$7*(Fitting!$B$6-Herm8889!C537)^2)</f>
        <v>0.67147280664562459</v>
      </c>
      <c r="J537">
        <f>tt(G537,H537,Fitting!$B$1:$E$1,Fitting!$B$2:$E$2)*I537</f>
        <v>14.293990434942678</v>
      </c>
    </row>
    <row r="538" spans="1:10">
      <c r="A538" s="1">
        <f t="shared" si="42"/>
        <v>32798</v>
      </c>
      <c r="B538">
        <f t="shared" si="40"/>
        <v>5102.4043504588553</v>
      </c>
      <c r="C538">
        <f>day_length(F538,$B$1,Fitting!$B$4)</f>
        <v>13.62907886505127</v>
      </c>
      <c r="D538" s="1">
        <f t="shared" si="41"/>
        <v>32798</v>
      </c>
      <c r="E538">
        <f t="shared" si="43"/>
        <v>1989</v>
      </c>
      <c r="F538" s="6">
        <f t="shared" si="44"/>
        <v>290</v>
      </c>
      <c r="G538">
        <v>32.4</v>
      </c>
      <c r="H538">
        <v>15.4</v>
      </c>
      <c r="I538">
        <f>MAX(0,1-Fitting!$B$7*(Fitting!$B$6-Herm8889!C538)^2)</f>
        <v>0.6740171297341967</v>
      </c>
      <c r="J538">
        <f>tt(G538,H538,Fitting!$B$1:$E$1,Fitting!$B$2:$E$2)*I538</f>
        <v>15.177145956553774</v>
      </c>
    </row>
    <row r="539" spans="1:10">
      <c r="A539" s="1">
        <f t="shared" si="42"/>
        <v>32799</v>
      </c>
      <c r="B539">
        <f t="shared" si="40"/>
        <v>5114.6835976356952</v>
      </c>
      <c r="C539">
        <f>day_length(F539,$B$1,Fitting!$B$4)</f>
        <v>13.657685279846191</v>
      </c>
      <c r="D539" s="1">
        <f t="shared" si="41"/>
        <v>32799</v>
      </c>
      <c r="E539">
        <f t="shared" si="43"/>
        <v>1989</v>
      </c>
      <c r="F539" s="6">
        <f t="shared" si="44"/>
        <v>291</v>
      </c>
      <c r="G539">
        <v>24.7</v>
      </c>
      <c r="H539">
        <v>11.6</v>
      </c>
      <c r="I539">
        <f>MAX(0,1-Fitting!$B$7*(Fitting!$B$6-Herm8889!C539)^2)</f>
        <v>0.6765424873012762</v>
      </c>
      <c r="J539">
        <f>tt(G539,H539,Fitting!$B$1:$E$1,Fitting!$B$2:$E$2)*I539</f>
        <v>12.279247176840073</v>
      </c>
    </row>
    <row r="540" spans="1:10">
      <c r="A540" s="1">
        <f t="shared" si="42"/>
        <v>32800</v>
      </c>
      <c r="B540">
        <f t="shared" si="40"/>
        <v>5129.4189466069838</v>
      </c>
      <c r="C540">
        <f>day_length(F540,$B$1,Fitting!$B$4)</f>
        <v>13.68618106842041</v>
      </c>
      <c r="D540" s="1">
        <f t="shared" si="41"/>
        <v>32800</v>
      </c>
      <c r="E540">
        <f t="shared" si="43"/>
        <v>1989</v>
      </c>
      <c r="F540" s="6">
        <f t="shared" si="44"/>
        <v>292</v>
      </c>
      <c r="G540">
        <v>28.1</v>
      </c>
      <c r="H540">
        <v>15.3</v>
      </c>
      <c r="I540">
        <f>MAX(0,1-Fitting!$B$7*(Fitting!$B$6-Herm8889!C540)^2)</f>
        <v>0.6790483158164079</v>
      </c>
      <c r="J540">
        <f>tt(G540,H540,Fitting!$B$1:$E$1,Fitting!$B$2:$E$2)*I540</f>
        <v>14.735348971288802</v>
      </c>
    </row>
    <row r="541" spans="1:10">
      <c r="A541" s="1">
        <f t="shared" si="42"/>
        <v>32801</v>
      </c>
      <c r="B541">
        <f t="shared" si="40"/>
        <v>5144.7953543172262</v>
      </c>
      <c r="C541">
        <f>day_length(F541,$B$1,Fitting!$B$4)</f>
        <v>13.714558601379395</v>
      </c>
      <c r="D541" s="1">
        <f t="shared" si="41"/>
        <v>32801</v>
      </c>
      <c r="E541">
        <f t="shared" si="43"/>
        <v>1989</v>
      </c>
      <c r="F541" s="6">
        <f t="shared" si="44"/>
        <v>293</v>
      </c>
      <c r="G541">
        <v>33.299999999999997</v>
      </c>
      <c r="H541">
        <v>16.399999999999999</v>
      </c>
      <c r="I541">
        <f>MAX(0,1-Fitting!$B$7*(Fitting!$B$6-Herm8889!C541)^2)</f>
        <v>0.68153406176359022</v>
      </c>
      <c r="J541">
        <f>tt(G541,H541,Fitting!$B$1:$E$1,Fitting!$B$2:$E$2)*I541</f>
        <v>15.376407710241986</v>
      </c>
    </row>
    <row r="542" spans="1:10">
      <c r="A542" s="1">
        <f t="shared" si="42"/>
        <v>32802</v>
      </c>
      <c r="B542">
        <f t="shared" si="40"/>
        <v>5156.9021344721923</v>
      </c>
      <c r="C542">
        <f>day_length(F542,$B$1,Fitting!$B$4)</f>
        <v>13.742806434631348</v>
      </c>
      <c r="D542" s="1">
        <f t="shared" si="41"/>
        <v>32802</v>
      </c>
      <c r="E542">
        <f t="shared" si="43"/>
        <v>1989</v>
      </c>
      <c r="F542" s="6">
        <f t="shared" si="44"/>
        <v>294</v>
      </c>
      <c r="G542">
        <v>28</v>
      </c>
      <c r="H542">
        <v>7.4</v>
      </c>
      <c r="I542">
        <f>MAX(0,1-Fitting!$B$7*(Fitting!$B$6-Herm8889!C542)^2)</f>
        <v>0.68399884932863098</v>
      </c>
      <c r="J542">
        <f>tt(G542,H542,Fitting!$B$1:$E$1,Fitting!$B$2:$E$2)*I542</f>
        <v>12.106780154966476</v>
      </c>
    </row>
    <row r="543" spans="1:10">
      <c r="A543" s="1">
        <f t="shared" si="42"/>
        <v>32803</v>
      </c>
      <c r="B543">
        <f t="shared" si="40"/>
        <v>5168.9148736583384</v>
      </c>
      <c r="C543">
        <f>day_length(F543,$B$1,Fitting!$B$4)</f>
        <v>13.770918846130371</v>
      </c>
      <c r="D543" s="1">
        <f t="shared" si="41"/>
        <v>32803</v>
      </c>
      <c r="E543">
        <f t="shared" si="43"/>
        <v>1989</v>
      </c>
      <c r="F543" s="6">
        <f t="shared" si="44"/>
        <v>295</v>
      </c>
      <c r="G543">
        <v>27.1</v>
      </c>
      <c r="H543">
        <v>7.9</v>
      </c>
      <c r="I543">
        <f>MAX(0,1-Fitting!$B$7*(Fitting!$B$6-Herm8889!C543)^2)</f>
        <v>0.68644231402460165</v>
      </c>
      <c r="J543">
        <f>tt(G543,H543,Fitting!$B$1:$E$1,Fitting!$B$2:$E$2)*I543</f>
        <v>12.012739186145719</v>
      </c>
    </row>
    <row r="544" spans="1:10">
      <c r="A544" s="1">
        <f t="shared" si="42"/>
        <v>32804</v>
      </c>
      <c r="B544">
        <f t="shared" si="40"/>
        <v>5180.8322176469746</v>
      </c>
      <c r="C544">
        <f>day_length(F544,$B$1,Fitting!$B$4)</f>
        <v>13.798886299133301</v>
      </c>
      <c r="D544" s="1">
        <f t="shared" si="41"/>
        <v>32804</v>
      </c>
      <c r="E544">
        <f t="shared" si="43"/>
        <v>1989</v>
      </c>
      <c r="F544" s="6">
        <f t="shared" si="44"/>
        <v>296</v>
      </c>
      <c r="G544">
        <v>26.2</v>
      </c>
      <c r="H544">
        <v>8.4</v>
      </c>
      <c r="I544">
        <f>MAX(0,1-Fitting!$B$7*(Fitting!$B$6-Herm8889!C544)^2)</f>
        <v>0.68886376880313938</v>
      </c>
      <c r="J544">
        <f>tt(G544,H544,Fitting!$B$1:$E$1,Fitting!$B$2:$E$2)*I544</f>
        <v>11.917343988636333</v>
      </c>
    </row>
    <row r="545" spans="1:10">
      <c r="A545" s="1">
        <f t="shared" si="42"/>
        <v>32805</v>
      </c>
      <c r="B545">
        <f t="shared" si="40"/>
        <v>5192.2726148120682</v>
      </c>
      <c r="C545">
        <f>day_length(F545,$B$1,Fitting!$B$4)</f>
        <v>13.826700210571289</v>
      </c>
      <c r="D545" s="1">
        <f t="shared" si="41"/>
        <v>32805</v>
      </c>
      <c r="E545">
        <f t="shared" si="43"/>
        <v>1989</v>
      </c>
      <c r="F545" s="6">
        <f t="shared" si="44"/>
        <v>297</v>
      </c>
      <c r="G545">
        <v>19.899999999999999</v>
      </c>
      <c r="H545">
        <v>13.2</v>
      </c>
      <c r="I545">
        <f>MAX(0,1-Fitting!$B$7*(Fitting!$B$6-Herm8889!C545)^2)</f>
        <v>0.69126262078589207</v>
      </c>
      <c r="J545">
        <f>tt(G545,H545,Fitting!$B$1:$E$1,Fitting!$B$2:$E$2)*I545</f>
        <v>11.440397165093803</v>
      </c>
    </row>
    <row r="546" spans="1:10">
      <c r="A546" s="1">
        <f t="shared" si="42"/>
        <v>32806</v>
      </c>
      <c r="B546">
        <f t="shared" si="40"/>
        <v>5206.4575106625198</v>
      </c>
      <c r="C546">
        <f>day_length(F546,$B$1,Fitting!$B$4)</f>
        <v>13.854349136352539</v>
      </c>
      <c r="D546" s="1">
        <f t="shared" si="41"/>
        <v>32806</v>
      </c>
      <c r="E546">
        <f t="shared" si="43"/>
        <v>1989</v>
      </c>
      <c r="F546" s="6">
        <f t="shared" si="44"/>
        <v>298</v>
      </c>
      <c r="G546">
        <v>24.3</v>
      </c>
      <c r="H546">
        <v>16.600000000000001</v>
      </c>
      <c r="I546">
        <f>MAX(0,1-Fitting!$B$7*(Fitting!$B$6-Herm8889!C546)^2)</f>
        <v>0.69363804240912574</v>
      </c>
      <c r="J546">
        <f>tt(G546,H546,Fitting!$B$1:$E$1,Fitting!$B$2:$E$2)*I546</f>
        <v>14.184895850451307</v>
      </c>
    </row>
    <row r="547" spans="1:10">
      <c r="A547" s="1">
        <f t="shared" si="42"/>
        <v>32807</v>
      </c>
      <c r="B547">
        <f t="shared" si="40"/>
        <v>5220.9688946648594</v>
      </c>
      <c r="C547">
        <f>day_length(F547,$B$1,Fitting!$B$4)</f>
        <v>13.881826400756836</v>
      </c>
      <c r="D547" s="1">
        <f t="shared" si="41"/>
        <v>32807</v>
      </c>
      <c r="E547">
        <f t="shared" si="43"/>
        <v>1989</v>
      </c>
      <c r="F547" s="6">
        <f t="shared" si="44"/>
        <v>299</v>
      </c>
      <c r="G547">
        <v>23.6</v>
      </c>
      <c r="H547">
        <v>18.100000000000001</v>
      </c>
      <c r="I547">
        <f>MAX(0,1-Fitting!$B$7*(Fitting!$B$6-Herm8889!C547)^2)</f>
        <v>0.69598962766622563</v>
      </c>
      <c r="J547">
        <f>tt(G547,H547,Fitting!$B$1:$E$1,Fitting!$B$2:$E$2)*I547</f>
        <v>14.511384002339778</v>
      </c>
    </row>
    <row r="548" spans="1:10">
      <c r="A548" s="1">
        <f t="shared" si="42"/>
        <v>32808</v>
      </c>
      <c r="B548">
        <f t="shared" si="40"/>
        <v>5236.436609610455</v>
      </c>
      <c r="C548">
        <f>day_length(F548,$B$1,Fitting!$B$4)</f>
        <v>13.909121513366699</v>
      </c>
      <c r="D548" s="1">
        <f t="shared" si="41"/>
        <v>32808</v>
      </c>
      <c r="E548">
        <f t="shared" si="43"/>
        <v>1989</v>
      </c>
      <c r="F548" s="6">
        <f t="shared" si="44"/>
        <v>300</v>
      </c>
      <c r="G548">
        <v>26.6</v>
      </c>
      <c r="H548">
        <v>17.7</v>
      </c>
      <c r="I548">
        <f>MAX(0,1-Fitting!$B$7*(Fitting!$B$6-Herm8889!C548)^2)</f>
        <v>0.69831665372680618</v>
      </c>
      <c r="J548">
        <f>tt(G548,H548,Fitting!$B$1:$E$1,Fitting!$B$2:$E$2)*I548</f>
        <v>15.467714945595409</v>
      </c>
    </row>
    <row r="549" spans="1:10">
      <c r="A549" s="1">
        <f t="shared" si="42"/>
        <v>32809</v>
      </c>
      <c r="B549">
        <f t="shared" si="40"/>
        <v>5246.9809168199263</v>
      </c>
      <c r="C549">
        <f>day_length(F549,$B$1,Fitting!$B$4)</f>
        <v>13.936223983764648</v>
      </c>
      <c r="D549" s="1">
        <f t="shared" si="41"/>
        <v>32809</v>
      </c>
      <c r="E549">
        <f t="shared" si="43"/>
        <v>1989</v>
      </c>
      <c r="F549" s="6">
        <f t="shared" si="44"/>
        <v>301</v>
      </c>
      <c r="G549">
        <v>23</v>
      </c>
      <c r="H549">
        <v>7.1</v>
      </c>
      <c r="I549">
        <f>MAX(0,1-Fitting!$B$7*(Fitting!$B$6-Herm8889!C549)^2)</f>
        <v>0.70061841035474937</v>
      </c>
      <c r="J549">
        <f>tt(G549,H549,Fitting!$B$1:$E$1,Fitting!$B$2:$E$2)*I549</f>
        <v>10.544307209471334</v>
      </c>
    </row>
    <row r="550" spans="1:10">
      <c r="A550" s="1">
        <f t="shared" si="42"/>
        <v>32810</v>
      </c>
      <c r="B550">
        <f t="shared" si="40"/>
        <v>5256.9268717561736</v>
      </c>
      <c r="C550">
        <f>day_length(F550,$B$1,Fitting!$B$4)</f>
        <v>13.963125228881836</v>
      </c>
      <c r="D550" s="1">
        <f t="shared" si="41"/>
        <v>32810</v>
      </c>
      <c r="E550">
        <f t="shared" si="43"/>
        <v>1989</v>
      </c>
      <c r="F550" s="6">
        <f t="shared" si="44"/>
        <v>302</v>
      </c>
      <c r="G550">
        <v>21.5</v>
      </c>
      <c r="H550">
        <v>6.8</v>
      </c>
      <c r="I550">
        <f>MAX(0,1-Fitting!$B$7*(Fitting!$B$6-Herm8889!C550)^2)</f>
        <v>0.70289436073360412</v>
      </c>
      <c r="J550">
        <f>tt(G550,H550,Fitting!$B$1:$E$1,Fitting!$B$2:$E$2)*I550</f>
        <v>9.9459549362475794</v>
      </c>
    </row>
    <row r="551" spans="1:10">
      <c r="A551" s="1">
        <f t="shared" si="42"/>
        <v>32811</v>
      </c>
      <c r="B551">
        <f t="shared" si="40"/>
        <v>5267.8566009237402</v>
      </c>
      <c r="C551">
        <f>day_length(F551,$B$1,Fitting!$B$4)</f>
        <v>13.989814758300781</v>
      </c>
      <c r="D551" s="1">
        <f t="shared" si="41"/>
        <v>32811</v>
      </c>
      <c r="E551">
        <f t="shared" si="43"/>
        <v>1989</v>
      </c>
      <c r="F551" s="6">
        <f t="shared" si="44"/>
        <v>303</v>
      </c>
      <c r="G551">
        <v>23</v>
      </c>
      <c r="H551">
        <v>8</v>
      </c>
      <c r="I551">
        <f>MAX(0,1-Fitting!$B$7*(Fitting!$B$6-Herm8889!C551)^2)</f>
        <v>0.70514381726237474</v>
      </c>
      <c r="J551">
        <f>tt(G551,H551,Fitting!$B$1:$E$1,Fitting!$B$2:$E$2)*I551</f>
        <v>10.929729167566808</v>
      </c>
    </row>
    <row r="552" spans="1:10">
      <c r="A552" s="1">
        <f t="shared" si="42"/>
        <v>32812</v>
      </c>
      <c r="B552">
        <f t="shared" si="40"/>
        <v>5281.5441353101905</v>
      </c>
      <c r="C552">
        <f>day_length(F552,$B$1,Fitting!$B$4)</f>
        <v>14.016282081604004</v>
      </c>
      <c r="D552" s="1">
        <f t="shared" si="41"/>
        <v>32812</v>
      </c>
      <c r="E552">
        <f t="shared" si="43"/>
        <v>1989</v>
      </c>
      <c r="F552" s="6">
        <f t="shared" si="44"/>
        <v>304</v>
      </c>
      <c r="G552">
        <v>25.1</v>
      </c>
      <c r="H552">
        <v>13.6</v>
      </c>
      <c r="I552">
        <f>MAX(0,1-Fitting!$B$7*(Fitting!$B$6-Herm8889!C552)^2)</f>
        <v>0.70736610421764823</v>
      </c>
      <c r="J552">
        <f>tt(G552,H552,Fitting!$B$1:$E$1,Fitting!$B$2:$E$2)*I552</f>
        <v>13.687534386450247</v>
      </c>
    </row>
    <row r="553" spans="1:10">
      <c r="A553" s="1">
        <f t="shared" si="42"/>
        <v>32813</v>
      </c>
      <c r="B553">
        <f t="shared" si="40"/>
        <v>5297.1544710781318</v>
      </c>
      <c r="C553">
        <f>day_length(F553,$B$1,Fitting!$B$4)</f>
        <v>14.042518615722656</v>
      </c>
      <c r="D553" s="1">
        <f t="shared" si="41"/>
        <v>32813</v>
      </c>
      <c r="E553">
        <f t="shared" si="43"/>
        <v>1989</v>
      </c>
      <c r="F553" s="6">
        <f t="shared" si="44"/>
        <v>305</v>
      </c>
      <c r="G553">
        <v>29.2</v>
      </c>
      <c r="H553">
        <v>14.8</v>
      </c>
      <c r="I553">
        <f>MAX(0,1-Fitting!$B$7*(Fitting!$B$6-Herm8889!C553)^2)</f>
        <v>0.7095607167246053</v>
      </c>
      <c r="J553">
        <f>tt(G553,H553,Fitting!$B$1:$E$1,Fitting!$B$2:$E$2)*I553</f>
        <v>15.610335767941317</v>
      </c>
    </row>
    <row r="554" spans="1:10">
      <c r="A554" s="1">
        <f t="shared" si="42"/>
        <v>32814</v>
      </c>
      <c r="B554">
        <f t="shared" si="40"/>
        <v>5310.00113851897</v>
      </c>
      <c r="C554">
        <f>day_length(F554,$B$1,Fitting!$B$4)</f>
        <v>14.068510055541992</v>
      </c>
      <c r="D554" s="1">
        <f t="shared" si="41"/>
        <v>32814</v>
      </c>
      <c r="E554">
        <f t="shared" si="43"/>
        <v>1989</v>
      </c>
      <c r="F554" s="6">
        <f t="shared" si="44"/>
        <v>306</v>
      </c>
      <c r="G554">
        <v>22</v>
      </c>
      <c r="H554">
        <v>14.1</v>
      </c>
      <c r="I554">
        <f>MAX(0,1-Fitting!$B$7*(Fitting!$B$6-Herm8889!C554)^2)</f>
        <v>0.71172668289926522</v>
      </c>
      <c r="J554">
        <f>tt(G554,H554,Fitting!$B$1:$E$1,Fitting!$B$2:$E$2)*I554</f>
        <v>12.846667440838287</v>
      </c>
    </row>
    <row r="555" spans="1:10">
      <c r="A555" s="1">
        <f t="shared" si="42"/>
        <v>32815</v>
      </c>
      <c r="B555">
        <f t="shared" si="40"/>
        <v>5323.0291506582444</v>
      </c>
      <c r="C555">
        <f>day_length(F555,$B$1,Fitting!$B$4)</f>
        <v>14.094249725341797</v>
      </c>
      <c r="D555" s="1">
        <f t="shared" si="41"/>
        <v>32815</v>
      </c>
      <c r="E555">
        <f t="shared" si="43"/>
        <v>1989</v>
      </c>
      <c r="F555" s="6">
        <f t="shared" si="44"/>
        <v>307</v>
      </c>
      <c r="G555">
        <v>21.9</v>
      </c>
      <c r="H555">
        <v>14.6</v>
      </c>
      <c r="I555">
        <f>MAX(0,1-Fitting!$B$7*(Fitting!$B$6-Herm8889!C555)^2)</f>
        <v>0.71386367886434887</v>
      </c>
      <c r="J555">
        <f>tt(G555,H555,Fitting!$B$1:$E$1,Fitting!$B$2:$E$2)*I555</f>
        <v>13.028012139274367</v>
      </c>
    </row>
    <row r="556" spans="1:10">
      <c r="A556" s="1">
        <f t="shared" si="42"/>
        <v>32816</v>
      </c>
      <c r="B556">
        <f t="shared" si="40"/>
        <v>5335.3080529312747</v>
      </c>
      <c r="C556">
        <f>day_length(F556,$B$1,Fitting!$B$4)</f>
        <v>14.119725227355957</v>
      </c>
      <c r="D556" s="1">
        <f t="shared" si="41"/>
        <v>32816</v>
      </c>
      <c r="E556">
        <f t="shared" si="43"/>
        <v>1989</v>
      </c>
      <c r="F556" s="6">
        <f t="shared" si="44"/>
        <v>308</v>
      </c>
      <c r="G556">
        <v>22.2</v>
      </c>
      <c r="H556">
        <v>12.1</v>
      </c>
      <c r="I556">
        <f>MAX(0,1-Fitting!$B$7*(Fitting!$B$6-Herm8889!C556)^2)</f>
        <v>0.7159709143175077</v>
      </c>
      <c r="J556">
        <f>tt(G556,H556,Fitting!$B$1:$E$1,Fitting!$B$2:$E$2)*I556</f>
        <v>12.278902273030173</v>
      </c>
    </row>
    <row r="557" spans="1:10">
      <c r="A557" s="1">
        <f t="shared" si="42"/>
        <v>32817</v>
      </c>
      <c r="B557">
        <f t="shared" si="40"/>
        <v>5350.0998372379654</v>
      </c>
      <c r="C557">
        <f>day_length(F557,$B$1,Fitting!$B$4)</f>
        <v>14.144926071166992</v>
      </c>
      <c r="D557" s="1">
        <f t="shared" si="41"/>
        <v>32817</v>
      </c>
      <c r="E557">
        <f t="shared" si="43"/>
        <v>1989</v>
      </c>
      <c r="F557" s="6">
        <f t="shared" si="44"/>
        <v>309</v>
      </c>
      <c r="G557">
        <v>27.5</v>
      </c>
      <c r="H557">
        <v>13.7</v>
      </c>
      <c r="I557">
        <f>MAX(0,1-Fitting!$B$7*(Fitting!$B$6-Herm8889!C557)^2)</f>
        <v>0.71804776858140396</v>
      </c>
      <c r="J557">
        <f>tt(G557,H557,Fitting!$B$1:$E$1,Fitting!$B$2:$E$2)*I557</f>
        <v>14.791784306690408</v>
      </c>
    </row>
    <row r="558" spans="1:10">
      <c r="A558" s="1">
        <f t="shared" si="42"/>
        <v>32818</v>
      </c>
      <c r="B558">
        <f t="shared" si="40"/>
        <v>5364.8257479713047</v>
      </c>
      <c r="C558">
        <f>day_length(F558,$B$1,Fitting!$B$4)</f>
        <v>14.169839859008789</v>
      </c>
      <c r="D558" s="1">
        <f t="shared" si="41"/>
        <v>32818</v>
      </c>
      <c r="E558">
        <f t="shared" si="43"/>
        <v>1989</v>
      </c>
      <c r="F558" s="6">
        <f t="shared" si="44"/>
        <v>310</v>
      </c>
      <c r="G558">
        <v>25.4</v>
      </c>
      <c r="H558">
        <v>15.5</v>
      </c>
      <c r="I558">
        <f>MAX(0,1-Fitting!$B$7*(Fitting!$B$6-Herm8889!C558)^2)</f>
        <v>0.72009347469048945</v>
      </c>
      <c r="J558">
        <f>tt(G558,H558,Fitting!$B$1:$E$1,Fitting!$B$2:$E$2)*I558</f>
        <v>14.725910733338926</v>
      </c>
    </row>
    <row r="559" spans="1:10">
      <c r="A559" s="1">
        <f t="shared" si="42"/>
        <v>32819</v>
      </c>
      <c r="B559">
        <f t="shared" si="40"/>
        <v>5377.6792638846582</v>
      </c>
      <c r="C559">
        <f>day_length(F559,$B$1,Fitting!$B$4)</f>
        <v>14.1944580078125</v>
      </c>
      <c r="D559" s="1">
        <f t="shared" si="41"/>
        <v>32819</v>
      </c>
      <c r="E559">
        <f t="shared" si="43"/>
        <v>1989</v>
      </c>
      <c r="F559" s="6">
        <f t="shared" si="44"/>
        <v>311</v>
      </c>
      <c r="G559">
        <v>24.9</v>
      </c>
      <c r="H559">
        <v>10.7</v>
      </c>
      <c r="I559">
        <f>MAX(0,1-Fitting!$B$7*(Fitting!$B$6-Herm8889!C559)^2)</f>
        <v>0.7221075891554356</v>
      </c>
      <c r="J559">
        <f>tt(G559,H559,Fitting!$B$1:$E$1,Fitting!$B$2:$E$2)*I559</f>
        <v>12.853515913353307</v>
      </c>
    </row>
    <row r="560" spans="1:10">
      <c r="A560" s="1">
        <f t="shared" si="42"/>
        <v>32820</v>
      </c>
      <c r="B560">
        <f t="shared" si="40"/>
        <v>5387.9613323198455</v>
      </c>
      <c r="C560">
        <f>day_length(F560,$B$1,Fitting!$B$4)</f>
        <v>14.218767166137695</v>
      </c>
      <c r="D560" s="1">
        <f t="shared" si="41"/>
        <v>32820</v>
      </c>
      <c r="E560">
        <f t="shared" si="43"/>
        <v>1989</v>
      </c>
      <c r="F560" s="6">
        <f t="shared" si="44"/>
        <v>312</v>
      </c>
      <c r="G560">
        <v>20.9</v>
      </c>
      <c r="H560">
        <v>7.5</v>
      </c>
      <c r="I560">
        <f>MAX(0,1-Fitting!$B$7*(Fitting!$B$6-Herm8889!C560)^2)</f>
        <v>0.72408928751768697</v>
      </c>
      <c r="J560">
        <f>tt(G560,H560,Fitting!$B$1:$E$1,Fitting!$B$2:$E$2)*I560</f>
        <v>10.282068435187441</v>
      </c>
    </row>
    <row r="561" spans="1:10">
      <c r="A561" s="1">
        <f t="shared" si="42"/>
        <v>32821</v>
      </c>
      <c r="B561">
        <f t="shared" si="40"/>
        <v>5401.3567338228886</v>
      </c>
      <c r="C561">
        <f>day_length(F561,$B$1,Fitting!$B$4)</f>
        <v>14.242757797241211</v>
      </c>
      <c r="D561" s="1">
        <f t="shared" si="41"/>
        <v>32821</v>
      </c>
      <c r="E561">
        <f t="shared" si="43"/>
        <v>1989</v>
      </c>
      <c r="F561" s="6">
        <f t="shared" si="44"/>
        <v>313</v>
      </c>
      <c r="G561">
        <v>25.3</v>
      </c>
      <c r="H561">
        <v>11.6</v>
      </c>
      <c r="I561">
        <f>MAX(0,1-Fitting!$B$7*(Fitting!$B$6-Herm8889!C561)^2)</f>
        <v>0.72603806687953321</v>
      </c>
      <c r="J561">
        <f>tt(G561,H561,Fitting!$B$1:$E$1,Fitting!$B$2:$E$2)*I561</f>
        <v>13.395401503042759</v>
      </c>
    </row>
    <row r="562" spans="1:10">
      <c r="A562" s="1">
        <f t="shared" si="42"/>
        <v>32822</v>
      </c>
      <c r="B562">
        <f t="shared" si="40"/>
        <v>5416.2433741780915</v>
      </c>
      <c r="C562">
        <f>day_length(F562,$B$1,Fitting!$B$4)</f>
        <v>14.266415596008301</v>
      </c>
      <c r="D562" s="1">
        <f t="shared" si="41"/>
        <v>32822</v>
      </c>
      <c r="E562">
        <f t="shared" si="43"/>
        <v>1989</v>
      </c>
      <c r="F562" s="6">
        <f t="shared" si="44"/>
        <v>314</v>
      </c>
      <c r="G562">
        <v>27.4</v>
      </c>
      <c r="H562">
        <v>13.5</v>
      </c>
      <c r="I562">
        <f>MAX(0,1-Fitting!$B$7*(Fitting!$B$6-Herm8889!C562)^2)</f>
        <v>0.72795304644591852</v>
      </c>
      <c r="J562">
        <f>tt(G562,H562,Fitting!$B$1:$E$1,Fitting!$B$2:$E$2)*I562</f>
        <v>14.886640355203133</v>
      </c>
    </row>
    <row r="563" spans="1:10">
      <c r="A563" s="1">
        <f t="shared" si="42"/>
        <v>32823</v>
      </c>
      <c r="B563">
        <f t="shared" si="40"/>
        <v>5431.0590015298421</v>
      </c>
      <c r="C563">
        <f>day_length(F563,$B$1,Fitting!$B$4)</f>
        <v>14.289731979370117</v>
      </c>
      <c r="D563" s="1">
        <f t="shared" si="41"/>
        <v>32823</v>
      </c>
      <c r="E563">
        <f t="shared" si="43"/>
        <v>1989</v>
      </c>
      <c r="F563" s="6">
        <f t="shared" si="44"/>
        <v>315</v>
      </c>
      <c r="G563">
        <v>25.5</v>
      </c>
      <c r="H563">
        <v>15.1</v>
      </c>
      <c r="I563">
        <f>MAX(0,1-Fitting!$B$7*(Fitting!$B$6-Herm8889!C563)^2)</f>
        <v>0.72983381854787144</v>
      </c>
      <c r="J563">
        <f>tt(G563,H563,Fitting!$B$1:$E$1,Fitting!$B$2:$E$2)*I563</f>
        <v>14.815627351750312</v>
      </c>
    </row>
    <row r="564" spans="1:10">
      <c r="A564" s="1">
        <f t="shared" si="42"/>
        <v>32824</v>
      </c>
      <c r="B564">
        <f t="shared" si="40"/>
        <v>5444.4487404173979</v>
      </c>
      <c r="C564">
        <f>day_length(F564,$B$1,Fitting!$B$4)</f>
        <v>14.312694549560547</v>
      </c>
      <c r="D564" s="1">
        <f t="shared" si="41"/>
        <v>32824</v>
      </c>
      <c r="E564">
        <f t="shared" si="43"/>
        <v>1989</v>
      </c>
      <c r="F564" s="6">
        <f t="shared" si="44"/>
        <v>316</v>
      </c>
      <c r="G564">
        <v>24.2</v>
      </c>
      <c r="H564">
        <v>12.4</v>
      </c>
      <c r="I564">
        <f>MAX(0,1-Fitting!$B$7*(Fitting!$B$6-Herm8889!C564)^2)</f>
        <v>0.73167967487513663</v>
      </c>
      <c r="J564">
        <f>tt(G564,H564,Fitting!$B$1:$E$1,Fitting!$B$2:$E$2)*I564</f>
        <v>13.389738887555938</v>
      </c>
    </row>
    <row r="565" spans="1:10">
      <c r="A565" s="1">
        <f t="shared" si="42"/>
        <v>32825</v>
      </c>
      <c r="B565">
        <f t="shared" si="40"/>
        <v>5458.9351647595231</v>
      </c>
      <c r="C565">
        <f>day_length(F565,$B$1,Fitting!$B$4)</f>
        <v>14.33528995513916</v>
      </c>
      <c r="D565" s="1">
        <f t="shared" si="41"/>
        <v>32825</v>
      </c>
      <c r="E565">
        <f t="shared" si="43"/>
        <v>1989</v>
      </c>
      <c r="F565" s="6">
        <f t="shared" si="44"/>
        <v>317</v>
      </c>
      <c r="G565">
        <v>26.3</v>
      </c>
      <c r="H565">
        <v>13.2</v>
      </c>
      <c r="I565">
        <f>MAX(0,1-Fitting!$B$7*(Fitting!$B$6-Herm8889!C565)^2)</f>
        <v>0.73348984010758611</v>
      </c>
      <c r="J565">
        <f>tt(G565,H565,Fitting!$B$1:$E$1,Fitting!$B$2:$E$2)*I565</f>
        <v>14.486424342124826</v>
      </c>
    </row>
    <row r="566" spans="1:10">
      <c r="A566" s="1">
        <f t="shared" si="42"/>
        <v>32826</v>
      </c>
      <c r="B566">
        <f t="shared" si="40"/>
        <v>5474.0080751430432</v>
      </c>
      <c r="C566">
        <f>day_length(F566,$B$1,Fitting!$B$4)</f>
        <v>14.357508659362793</v>
      </c>
      <c r="D566" s="1">
        <f t="shared" si="41"/>
        <v>32826</v>
      </c>
      <c r="E566">
        <f t="shared" si="43"/>
        <v>1989</v>
      </c>
      <c r="F566" s="6">
        <f t="shared" si="44"/>
        <v>318</v>
      </c>
      <c r="G566">
        <v>27.5</v>
      </c>
      <c r="H566">
        <v>13.5</v>
      </c>
      <c r="I566">
        <f>MAX(0,1-Fitting!$B$7*(Fitting!$B$6-Herm8889!C566)^2)</f>
        <v>0.73526385273735828</v>
      </c>
      <c r="J566">
        <f>tt(G566,H566,Fitting!$B$1:$E$1,Fitting!$B$2:$E$2)*I566</f>
        <v>15.072910383520348</v>
      </c>
    </row>
    <row r="567" spans="1:10">
      <c r="A567" s="1">
        <f t="shared" si="42"/>
        <v>32827</v>
      </c>
      <c r="B567">
        <f t="shared" si="40"/>
        <v>5489.0060434188217</v>
      </c>
      <c r="C567">
        <f>day_length(F567,$B$1,Fitting!$B$4)</f>
        <v>14.379337310791016</v>
      </c>
      <c r="D567" s="1">
        <f t="shared" si="41"/>
        <v>32827</v>
      </c>
      <c r="E567">
        <f t="shared" si="43"/>
        <v>1989</v>
      </c>
      <c r="F567" s="6">
        <f t="shared" si="44"/>
        <v>319</v>
      </c>
      <c r="G567">
        <v>26.8</v>
      </c>
      <c r="H567">
        <v>13.9</v>
      </c>
      <c r="I567">
        <f>MAX(0,1-Fitting!$B$7*(Fitting!$B$6-Herm8889!C567)^2)</f>
        <v>0.73700095333429627</v>
      </c>
      <c r="J567">
        <f>tt(G567,H567,Fitting!$B$1:$E$1,Fitting!$B$2:$E$2)*I567</f>
        <v>14.997968275778721</v>
      </c>
    </row>
    <row r="568" spans="1:10">
      <c r="A568" s="1">
        <f t="shared" si="42"/>
        <v>32828</v>
      </c>
      <c r="B568">
        <f t="shared" si="40"/>
        <v>5505.3682649002003</v>
      </c>
      <c r="C568">
        <f>day_length(F568,$B$1,Fitting!$B$4)</f>
        <v>14.400766372680664</v>
      </c>
      <c r="D568" s="1">
        <f t="shared" si="41"/>
        <v>32828</v>
      </c>
      <c r="E568">
        <f t="shared" si="43"/>
        <v>1989</v>
      </c>
      <c r="F568" s="6">
        <f t="shared" si="44"/>
        <v>320</v>
      </c>
      <c r="G568">
        <v>28.5</v>
      </c>
      <c r="H568">
        <v>15.8</v>
      </c>
      <c r="I568">
        <f>MAX(0,1-Fitting!$B$7*(Fitting!$B$6-Herm8889!C568)^2)</f>
        <v>0.7387006931923461</v>
      </c>
      <c r="J568">
        <f>tt(G568,H568,Fitting!$B$1:$E$1,Fitting!$B$2:$E$2)*I568</f>
        <v>16.36222148137827</v>
      </c>
    </row>
    <row r="569" spans="1:10">
      <c r="A569" s="1">
        <f t="shared" si="42"/>
        <v>32829</v>
      </c>
      <c r="B569">
        <f t="shared" si="40"/>
        <v>5522.3595794490875</v>
      </c>
      <c r="C569">
        <f>day_length(F569,$B$1,Fitting!$B$4)</f>
        <v>14.421782493591309</v>
      </c>
      <c r="D569" s="1">
        <f t="shared" si="41"/>
        <v>32829</v>
      </c>
      <c r="E569">
        <f t="shared" si="43"/>
        <v>1989</v>
      </c>
      <c r="F569" s="6">
        <f t="shared" si="44"/>
        <v>321</v>
      </c>
      <c r="G569">
        <v>27.7</v>
      </c>
      <c r="H569">
        <v>18.2</v>
      </c>
      <c r="I569">
        <f>MAX(0,1-Fitting!$B$7*(Fitting!$B$6-Herm8889!C569)^2)</f>
        <v>0.74036232663026924</v>
      </c>
      <c r="J569">
        <f>tt(G569,H569,Fitting!$B$1:$E$1,Fitting!$B$2:$E$2)*I569</f>
        <v>16.991314548887235</v>
      </c>
    </row>
    <row r="570" spans="1:10">
      <c r="A570" s="1">
        <f t="shared" si="42"/>
        <v>32830</v>
      </c>
      <c r="B570">
        <f t="shared" si="40"/>
        <v>5539.944629392754</v>
      </c>
      <c r="C570">
        <f>day_length(F570,$B$1,Fitting!$B$4)</f>
        <v>14.442374229431152</v>
      </c>
      <c r="D570" s="1">
        <f t="shared" si="41"/>
        <v>32830</v>
      </c>
      <c r="E570">
        <f t="shared" si="43"/>
        <v>1989</v>
      </c>
      <c r="F570" s="6">
        <f t="shared" si="44"/>
        <v>322</v>
      </c>
      <c r="G570">
        <v>29.5</v>
      </c>
      <c r="H570">
        <v>17.899999999999999</v>
      </c>
      <c r="I570">
        <f>MAX(0,1-Fitting!$B$7*(Fitting!$B$6-Herm8889!C570)^2)</f>
        <v>0.74198526551902799</v>
      </c>
      <c r="J570">
        <f>tt(G570,H570,Fitting!$B$1:$E$1,Fitting!$B$2:$E$2)*I570</f>
        <v>17.585049943666213</v>
      </c>
    </row>
    <row r="571" spans="1:10">
      <c r="A571" s="1">
        <f t="shared" si="42"/>
        <v>32831</v>
      </c>
      <c r="B571">
        <f t="shared" si="40"/>
        <v>5556.1916090894747</v>
      </c>
      <c r="C571">
        <f>day_length(F571,$B$1,Fitting!$B$4)</f>
        <v>14.462529182434082</v>
      </c>
      <c r="D571" s="1">
        <f t="shared" si="41"/>
        <v>32831</v>
      </c>
      <c r="E571">
        <f t="shared" si="43"/>
        <v>1989</v>
      </c>
      <c r="F571" s="6">
        <f t="shared" si="44"/>
        <v>323</v>
      </c>
      <c r="G571">
        <v>27.8</v>
      </c>
      <c r="H571">
        <v>15.9</v>
      </c>
      <c r="I571">
        <f>MAX(0,1-Fitting!$B$7*(Fitting!$B$6-Herm8889!C571)^2)</f>
        <v>0.74356885185684407</v>
      </c>
      <c r="J571">
        <f>tt(G571,H571,Fitting!$B$1:$E$1,Fitting!$B$2:$E$2)*I571</f>
        <v>16.246979696721048</v>
      </c>
    </row>
    <row r="572" spans="1:10">
      <c r="A572" s="1">
        <f t="shared" si="42"/>
        <v>32832</v>
      </c>
      <c r="B572">
        <f t="shared" si="40"/>
        <v>5571.6154416509307</v>
      </c>
      <c r="C572">
        <f>day_length(F572,$B$1,Fitting!$B$4)</f>
        <v>14.482237815856934</v>
      </c>
      <c r="D572" s="1">
        <f t="shared" si="41"/>
        <v>32832</v>
      </c>
      <c r="E572">
        <f t="shared" si="43"/>
        <v>1989</v>
      </c>
      <c r="F572" s="6">
        <f t="shared" si="44"/>
        <v>324</v>
      </c>
      <c r="G572">
        <v>26.7</v>
      </c>
      <c r="H572">
        <v>14.7</v>
      </c>
      <c r="I572">
        <f>MAX(0,1-Fitting!$B$7*(Fitting!$B$6-Herm8889!C572)^2)</f>
        <v>0.74511265666572757</v>
      </c>
      <c r="J572">
        <f>tt(G572,H572,Fitting!$B$1:$E$1,Fitting!$B$2:$E$2)*I572</f>
        <v>15.423832561456404</v>
      </c>
    </row>
    <row r="573" spans="1:10">
      <c r="A573" s="1">
        <f t="shared" si="42"/>
        <v>32833</v>
      </c>
      <c r="B573">
        <f t="shared" si="40"/>
        <v>5584.0839260103921</v>
      </c>
      <c r="C573">
        <f>day_length(F573,$B$1,Fitting!$B$4)</f>
        <v>14.501485824584961</v>
      </c>
      <c r="D573" s="1">
        <f t="shared" si="41"/>
        <v>32833</v>
      </c>
      <c r="E573">
        <f t="shared" si="43"/>
        <v>1989</v>
      </c>
      <c r="F573" s="6">
        <f t="shared" si="44"/>
        <v>325</v>
      </c>
      <c r="G573">
        <v>22</v>
      </c>
      <c r="H573">
        <v>11.4</v>
      </c>
      <c r="I573">
        <f>MAX(0,1-Fitting!$B$7*(Fitting!$B$6-Herm8889!C573)^2)</f>
        <v>0.74661588107157884</v>
      </c>
      <c r="J573">
        <f>tt(G573,H573,Fitting!$B$1:$E$1,Fitting!$B$2:$E$2)*I573</f>
        <v>12.468484359461298</v>
      </c>
    </row>
    <row r="574" spans="1:10">
      <c r="A574" s="1">
        <f t="shared" si="42"/>
        <v>32834</v>
      </c>
      <c r="B574">
        <f t="shared" si="40"/>
        <v>5597.1378907673825</v>
      </c>
      <c r="C574">
        <f>day_length(F574,$B$1,Fitting!$B$4)</f>
        <v>14.520264625549316</v>
      </c>
      <c r="D574" s="1">
        <f t="shared" si="41"/>
        <v>32834</v>
      </c>
      <c r="E574">
        <f t="shared" si="43"/>
        <v>1989</v>
      </c>
      <c r="F574" s="6">
        <f t="shared" si="44"/>
        <v>326</v>
      </c>
      <c r="G574">
        <v>22.5</v>
      </c>
      <c r="H574">
        <v>12.4</v>
      </c>
      <c r="I574">
        <f>MAX(0,1-Fitting!$B$7*(Fitting!$B$6-Herm8889!C574)^2)</f>
        <v>0.74807817686255473</v>
      </c>
      <c r="J574">
        <f>tt(G574,H574,Fitting!$B$1:$E$1,Fitting!$B$2:$E$2)*I574</f>
        <v>13.053964756989934</v>
      </c>
    </row>
    <row r="575" spans="1:10">
      <c r="A575" s="1">
        <f t="shared" si="42"/>
        <v>32835</v>
      </c>
      <c r="B575">
        <f t="shared" si="40"/>
        <v>5610.2541189284657</v>
      </c>
      <c r="C575">
        <f>day_length(F575,$B$1,Fitting!$B$4)</f>
        <v>14.538559913635254</v>
      </c>
      <c r="D575" s="1">
        <f t="shared" si="41"/>
        <v>32835</v>
      </c>
      <c r="E575">
        <f t="shared" si="43"/>
        <v>1989</v>
      </c>
      <c r="F575" s="6">
        <f t="shared" si="44"/>
        <v>327</v>
      </c>
      <c r="G575">
        <v>23.9</v>
      </c>
      <c r="H575">
        <v>11.1</v>
      </c>
      <c r="I575">
        <f>MAX(0,1-Fitting!$B$7*(Fitting!$B$6-Herm8889!C575)^2)</f>
        <v>0.74949875206191252</v>
      </c>
      <c r="J575">
        <f>tt(G575,H575,Fitting!$B$1:$E$1,Fitting!$B$2:$E$2)*I575</f>
        <v>13.11622816108347</v>
      </c>
    </row>
    <row r="576" spans="1:10">
      <c r="A576" s="1">
        <f t="shared" si="42"/>
        <v>32836</v>
      </c>
      <c r="B576">
        <f t="shared" si="40"/>
        <v>5624.8962240888231</v>
      </c>
      <c r="C576">
        <f>day_length(F576,$B$1,Fitting!$B$4)</f>
        <v>14.556362152099609</v>
      </c>
      <c r="D576" s="1">
        <f t="shared" si="41"/>
        <v>32836</v>
      </c>
      <c r="E576">
        <f t="shared" si="43"/>
        <v>1989</v>
      </c>
      <c r="F576" s="6">
        <f t="shared" si="44"/>
        <v>328</v>
      </c>
      <c r="G576">
        <v>25.2</v>
      </c>
      <c r="H576">
        <v>13.8</v>
      </c>
      <c r="I576">
        <f>MAX(0,1-Fitting!$B$7*(Fitting!$B$6-Herm8889!C576)^2)</f>
        <v>0.75087718771063372</v>
      </c>
      <c r="J576">
        <f>tt(G576,H576,Fitting!$B$1:$E$1,Fitting!$B$2:$E$2)*I576</f>
        <v>14.642105160357357</v>
      </c>
    </row>
    <row r="577" spans="1:10">
      <c r="A577" s="1">
        <f t="shared" si="42"/>
        <v>32837</v>
      </c>
      <c r="B577">
        <f t="shared" si="40"/>
        <v>5639.6395989957546</v>
      </c>
      <c r="C577">
        <f>day_length(F577,$B$1,Fitting!$B$4)</f>
        <v>14.573660850524902</v>
      </c>
      <c r="D577" s="1">
        <f t="shared" si="41"/>
        <v>32837</v>
      </c>
      <c r="E577">
        <f t="shared" si="43"/>
        <v>1989</v>
      </c>
      <c r="F577" s="6">
        <f t="shared" si="44"/>
        <v>329</v>
      </c>
      <c r="G577">
        <v>26</v>
      </c>
      <c r="H577">
        <v>13.2</v>
      </c>
      <c r="I577">
        <f>MAX(0,1-Fitting!$B$7*(Fitting!$B$6-Herm8889!C577)^2)</f>
        <v>0.75221299081554205</v>
      </c>
      <c r="J577">
        <f>tt(G577,H577,Fitting!$B$1:$E$1,Fitting!$B$2:$E$2)*I577</f>
        <v>14.743374906931107</v>
      </c>
    </row>
    <row r="578" spans="1:10">
      <c r="A578" s="1">
        <f t="shared" si="42"/>
        <v>32838</v>
      </c>
      <c r="B578">
        <f t="shared" si="40"/>
        <v>5654.4836583419874</v>
      </c>
      <c r="C578">
        <f>day_length(F578,$B$1,Fitting!$B$4)</f>
        <v>14.59044361114502</v>
      </c>
      <c r="D578" s="1">
        <f t="shared" si="41"/>
        <v>32838</v>
      </c>
      <c r="E578">
        <f t="shared" si="43"/>
        <v>1989</v>
      </c>
      <c r="F578" s="6">
        <f t="shared" si="44"/>
        <v>330</v>
      </c>
      <c r="G578">
        <v>26.2</v>
      </c>
      <c r="H578">
        <v>13.2</v>
      </c>
      <c r="I578">
        <f>MAX(0,1-Fitting!$B$7*(Fitting!$B$6-Herm8889!C578)^2)</f>
        <v>0.75350552138852978</v>
      </c>
      <c r="J578">
        <f>tt(G578,H578,Fitting!$B$1:$E$1,Fitting!$B$2:$E$2)*I578</f>
        <v>14.844059346233127</v>
      </c>
    </row>
    <row r="579" spans="1:10">
      <c r="A579" s="1">
        <f t="shared" si="42"/>
        <v>32839</v>
      </c>
      <c r="B579">
        <f t="shared" si="40"/>
        <v>5669.4655297611907</v>
      </c>
      <c r="C579">
        <f>day_length(F579,$B$1,Fitting!$B$4)</f>
        <v>14.606698989868164</v>
      </c>
      <c r="D579" s="1">
        <f t="shared" si="41"/>
        <v>32839</v>
      </c>
      <c r="E579">
        <f t="shared" si="43"/>
        <v>1989</v>
      </c>
      <c r="F579" s="6">
        <f t="shared" si="44"/>
        <v>331</v>
      </c>
      <c r="G579">
        <v>26.1</v>
      </c>
      <c r="H579">
        <v>13.6</v>
      </c>
      <c r="I579">
        <f>MAX(0,1-Fitting!$B$7*(Fitting!$B$6-Herm8889!C579)^2)</f>
        <v>0.75475421316308344</v>
      </c>
      <c r="J579">
        <f>tt(G579,H579,Fitting!$B$1:$E$1,Fitting!$B$2:$E$2)*I579</f>
        <v>14.98187141920309</v>
      </c>
    </row>
    <row r="580" spans="1:10">
      <c r="A580" s="1">
        <f t="shared" si="42"/>
        <v>32840</v>
      </c>
      <c r="B580">
        <f t="shared" si="40"/>
        <v>5683.2239776751921</v>
      </c>
      <c r="C580">
        <f>day_length(F580,$B$1,Fitting!$B$4)</f>
        <v>14.622417449951172</v>
      </c>
      <c r="D580" s="1">
        <f t="shared" si="41"/>
        <v>32840</v>
      </c>
      <c r="E580">
        <f t="shared" si="43"/>
        <v>1989</v>
      </c>
      <c r="F580" s="6">
        <f t="shared" si="44"/>
        <v>332</v>
      </c>
      <c r="G580">
        <v>23.1</v>
      </c>
      <c r="H580">
        <v>13.3</v>
      </c>
      <c r="I580">
        <f>MAX(0,1-Fitting!$B$7*(Fitting!$B$6-Herm8889!C580)^2)</f>
        <v>0.7559586449038761</v>
      </c>
      <c r="J580">
        <f>tt(G580,H580,Fitting!$B$1:$E$1,Fitting!$B$2:$E$2)*I580</f>
        <v>13.75844791400122</v>
      </c>
    </row>
    <row r="581" spans="1:10">
      <c r="A581" s="1">
        <f t="shared" si="42"/>
        <v>32841</v>
      </c>
      <c r="B581">
        <f t="shared" ref="B581:B644" si="45">B580+J581</f>
        <v>5697.1549558049628</v>
      </c>
      <c r="C581">
        <f>day_length(F581,$B$1,Fitting!$B$4)</f>
        <v>14.637589454650879</v>
      </c>
      <c r="D581" s="1">
        <f t="shared" ref="D581:D644" si="46">A581</f>
        <v>32841</v>
      </c>
      <c r="E581">
        <f t="shared" si="43"/>
        <v>1989</v>
      </c>
      <c r="F581" s="6">
        <f t="shared" si="44"/>
        <v>333</v>
      </c>
      <c r="G581">
        <v>24.4</v>
      </c>
      <c r="H581">
        <v>12.4</v>
      </c>
      <c r="I581">
        <f>MAX(0,1-Fitting!$B$7*(Fitting!$B$6-Herm8889!C581)^2)</f>
        <v>0.75711839231458178</v>
      </c>
      <c r="J581">
        <f>tt(G581,H581,Fitting!$B$1:$E$1,Fitting!$B$2:$E$2)*I581</f>
        <v>13.930978129770558</v>
      </c>
    </row>
    <row r="582" spans="1:10">
      <c r="A582" s="1">
        <f t="shared" ref="A582:A645" si="47">A581+1</f>
        <v>32842</v>
      </c>
      <c r="B582">
        <f t="shared" si="45"/>
        <v>5710.5377644390728</v>
      </c>
      <c r="C582">
        <f>day_length(F582,$B$1,Fitting!$B$4)</f>
        <v>14.652203559875488</v>
      </c>
      <c r="D582" s="1">
        <f t="shared" si="46"/>
        <v>32842</v>
      </c>
      <c r="E582">
        <f t="shared" ref="E582:E645" si="48">YEAR(A582)</f>
        <v>1989</v>
      </c>
      <c r="F582" s="6">
        <f t="shared" ref="F582:F645" si="49">A582-DATE(E582,1,1)+1</f>
        <v>334</v>
      </c>
      <c r="G582">
        <v>24.5</v>
      </c>
      <c r="H582">
        <v>10.8</v>
      </c>
      <c r="I582">
        <f>MAX(0,1-Fitting!$B$7*(Fitting!$B$6-Herm8889!C582)^2)</f>
        <v>0.75823288212845541</v>
      </c>
      <c r="J582">
        <f>tt(G582,H582,Fitting!$B$1:$E$1,Fitting!$B$2:$E$2)*I582</f>
        <v>13.382808634109896</v>
      </c>
    </row>
    <row r="583" spans="1:10">
      <c r="A583" s="1">
        <f t="shared" si="47"/>
        <v>32843</v>
      </c>
      <c r="B583">
        <f t="shared" si="45"/>
        <v>5722.9903143879601</v>
      </c>
      <c r="C583">
        <f>day_length(F583,$B$1,Fitting!$B$4)</f>
        <v>14.666251182556152</v>
      </c>
      <c r="D583" s="1">
        <f t="shared" si="46"/>
        <v>32843</v>
      </c>
      <c r="E583">
        <f t="shared" si="48"/>
        <v>1989</v>
      </c>
      <c r="F583" s="6">
        <f t="shared" si="49"/>
        <v>335</v>
      </c>
      <c r="G583">
        <v>25.2</v>
      </c>
      <c r="H583">
        <v>7.6</v>
      </c>
      <c r="I583">
        <f>MAX(0,1-Fitting!$B$7*(Fitting!$B$6-Herm8889!C583)^2)</f>
        <v>0.75930175550517198</v>
      </c>
      <c r="J583">
        <f>tt(G583,H583,Fitting!$B$1:$E$1,Fitting!$B$2:$E$2)*I583</f>
        <v>12.452549948887352</v>
      </c>
    </row>
    <row r="584" spans="1:10">
      <c r="A584" s="1">
        <f t="shared" si="47"/>
        <v>32844</v>
      </c>
      <c r="B584">
        <f t="shared" si="45"/>
        <v>5737.0563150227226</v>
      </c>
      <c r="C584">
        <f>day_length(F584,$B$1,Fitting!$B$4)</f>
        <v>14.679719924926758</v>
      </c>
      <c r="D584" s="1">
        <f t="shared" si="46"/>
        <v>32844</v>
      </c>
      <c r="E584">
        <f t="shared" si="48"/>
        <v>1989</v>
      </c>
      <c r="F584" s="6">
        <f t="shared" si="49"/>
        <v>336</v>
      </c>
      <c r="G584">
        <v>26.6</v>
      </c>
      <c r="H584">
        <v>10.4</v>
      </c>
      <c r="I584">
        <f>MAX(0,1-Fitting!$B$7*(Fitting!$B$6-Herm8889!C584)^2)</f>
        <v>0.76032435863579306</v>
      </c>
      <c r="J584">
        <f>tt(G584,H584,Fitting!$B$1:$E$1,Fitting!$B$2:$E$2)*I584</f>
        <v>14.066000634762172</v>
      </c>
    </row>
    <row r="585" spans="1:10">
      <c r="A585" s="1">
        <f t="shared" si="47"/>
        <v>32845</v>
      </c>
      <c r="B585">
        <f t="shared" si="45"/>
        <v>5752.7391063839186</v>
      </c>
      <c r="C585">
        <f>day_length(F585,$B$1,Fitting!$B$4)</f>
        <v>14.69260311126709</v>
      </c>
      <c r="D585" s="1">
        <f t="shared" si="46"/>
        <v>32845</v>
      </c>
      <c r="E585">
        <f t="shared" si="48"/>
        <v>1989</v>
      </c>
      <c r="F585" s="6">
        <f t="shared" si="49"/>
        <v>337</v>
      </c>
      <c r="G585">
        <v>27.7</v>
      </c>
      <c r="H585">
        <v>13.5</v>
      </c>
      <c r="I585">
        <f>MAX(0,1-Fitting!$B$7*(Fitting!$B$6-Herm8889!C585)^2)</f>
        <v>0.76130046692801445</v>
      </c>
      <c r="J585">
        <f>tt(G585,H585,Fitting!$B$1:$E$1,Fitting!$B$2:$E$2)*I585</f>
        <v>15.682791361195584</v>
      </c>
    </row>
    <row r="586" spans="1:10">
      <c r="A586" s="1">
        <f t="shared" si="47"/>
        <v>32846</v>
      </c>
      <c r="B586">
        <f t="shared" si="45"/>
        <v>5771.2884900588824</v>
      </c>
      <c r="C586">
        <f>day_length(F586,$B$1,Fitting!$B$4)</f>
        <v>14.704891204833984</v>
      </c>
      <c r="D586" s="1">
        <f t="shared" si="46"/>
        <v>32846</v>
      </c>
      <c r="E586">
        <f t="shared" si="48"/>
        <v>1989</v>
      </c>
      <c r="F586" s="6">
        <f t="shared" si="49"/>
        <v>338</v>
      </c>
      <c r="G586">
        <v>30.7</v>
      </c>
      <c r="H586">
        <v>18.3</v>
      </c>
      <c r="I586">
        <f>MAX(0,1-Fitting!$B$7*(Fitting!$B$6-Herm8889!C586)^2)</f>
        <v>0.76222963154214085</v>
      </c>
      <c r="J586">
        <f>tt(G586,H586,Fitting!$B$1:$E$1,Fitting!$B$2:$E$2)*I586</f>
        <v>18.549383674963639</v>
      </c>
    </row>
    <row r="587" spans="1:10">
      <c r="A587" s="1">
        <f t="shared" si="47"/>
        <v>32847</v>
      </c>
      <c r="B587">
        <f t="shared" si="45"/>
        <v>5788.6111178895198</v>
      </c>
      <c r="C587">
        <f>day_length(F587,$B$1,Fitting!$B$4)</f>
        <v>14.716574668884277</v>
      </c>
      <c r="D587" s="1">
        <f t="shared" si="46"/>
        <v>32847</v>
      </c>
      <c r="E587">
        <f t="shared" si="48"/>
        <v>1989</v>
      </c>
      <c r="F587" s="6">
        <f t="shared" si="49"/>
        <v>339</v>
      </c>
      <c r="G587">
        <v>28.5</v>
      </c>
      <c r="H587">
        <v>16.899999999999999</v>
      </c>
      <c r="I587">
        <f>MAX(0,1-Fitting!$B$7*(Fitting!$B$6-Herm8889!C587)^2)</f>
        <v>0.76311139664975958</v>
      </c>
      <c r="J587">
        <f>tt(G587,H587,Fitting!$B$1:$E$1,Fitting!$B$2:$E$2)*I587</f>
        <v>17.322627830637856</v>
      </c>
    </row>
    <row r="588" spans="1:10">
      <c r="A588" s="1">
        <f t="shared" si="47"/>
        <v>32848</v>
      </c>
      <c r="B588">
        <f t="shared" si="45"/>
        <v>5804.1192097855183</v>
      </c>
      <c r="C588">
        <f>day_length(F588,$B$1,Fitting!$B$4)</f>
        <v>14.727644920349121</v>
      </c>
      <c r="D588" s="1">
        <f t="shared" si="46"/>
        <v>32848</v>
      </c>
      <c r="E588">
        <f t="shared" si="48"/>
        <v>1989</v>
      </c>
      <c r="F588" s="6">
        <f t="shared" si="49"/>
        <v>340</v>
      </c>
      <c r="G588">
        <v>25.3</v>
      </c>
      <c r="H588">
        <v>15.3</v>
      </c>
      <c r="I588">
        <f>MAX(0,1-Fitting!$B$7*(Fitting!$B$6-Herm8889!C588)^2)</f>
        <v>0.76394537052866696</v>
      </c>
      <c r="J588">
        <f>tt(G588,H588,Fitting!$B$1:$E$1,Fitting!$B$2:$E$2)*I588</f>
        <v>15.508091895998033</v>
      </c>
    </row>
    <row r="589" spans="1:10">
      <c r="A589" s="1">
        <f t="shared" si="47"/>
        <v>32849</v>
      </c>
      <c r="B589">
        <f t="shared" si="45"/>
        <v>5820.5991670850426</v>
      </c>
      <c r="C589">
        <f>day_length(F589,$B$1,Fitting!$B$4)</f>
        <v>14.738094329833984</v>
      </c>
      <c r="D589" s="1">
        <f t="shared" si="46"/>
        <v>32849</v>
      </c>
      <c r="E589">
        <f t="shared" si="48"/>
        <v>1989</v>
      </c>
      <c r="F589" s="6">
        <f t="shared" si="49"/>
        <v>341</v>
      </c>
      <c r="G589">
        <v>28.4</v>
      </c>
      <c r="H589">
        <v>14.7</v>
      </c>
      <c r="I589">
        <f>MAX(0,1-Fitting!$B$7*(Fitting!$B$6-Herm8889!C589)^2)</f>
        <v>0.76473122426765627</v>
      </c>
      <c r="J589">
        <f>tt(G589,H589,Fitting!$B$1:$E$1,Fitting!$B$2:$E$2)*I589</f>
        <v>16.479957299524372</v>
      </c>
    </row>
    <row r="590" spans="1:10">
      <c r="A590" s="1">
        <f t="shared" si="47"/>
        <v>32850</v>
      </c>
      <c r="B590">
        <f t="shared" si="45"/>
        <v>5836.9419239206854</v>
      </c>
      <c r="C590">
        <f>day_length(F590,$B$1,Fitting!$B$4)</f>
        <v>14.747916221618652</v>
      </c>
      <c r="D590" s="1">
        <f t="shared" si="46"/>
        <v>32850</v>
      </c>
      <c r="E590">
        <f t="shared" si="48"/>
        <v>1989</v>
      </c>
      <c r="F590" s="6">
        <f t="shared" si="49"/>
        <v>342</v>
      </c>
      <c r="G590">
        <v>27</v>
      </c>
      <c r="H590">
        <v>15.7</v>
      </c>
      <c r="I590">
        <f>MAX(0,1-Fitting!$B$7*(Fitting!$B$6-Herm8889!C590)^2)</f>
        <v>0.76546869056860489</v>
      </c>
      <c r="J590">
        <f>tt(G590,H590,Fitting!$B$1:$E$1,Fitting!$B$2:$E$2)*I590</f>
        <v>16.342756835642845</v>
      </c>
    </row>
    <row r="591" spans="1:10">
      <c r="A591" s="1">
        <f t="shared" si="47"/>
        <v>32851</v>
      </c>
      <c r="B591">
        <f t="shared" si="45"/>
        <v>5852.341688350135</v>
      </c>
      <c r="C591">
        <f>day_length(F591,$B$1,Fitting!$B$4)</f>
        <v>14.757102966308594</v>
      </c>
      <c r="D591" s="1">
        <f t="shared" si="46"/>
        <v>32851</v>
      </c>
      <c r="E591">
        <f t="shared" si="48"/>
        <v>1989</v>
      </c>
      <c r="F591" s="6">
        <f t="shared" si="49"/>
        <v>343</v>
      </c>
      <c r="G591">
        <v>25</v>
      </c>
      <c r="H591">
        <v>15.2</v>
      </c>
      <c r="I591">
        <f>MAX(0,1-Fitting!$B$7*(Fitting!$B$6-Herm8889!C591)^2)</f>
        <v>0.76615741976036222</v>
      </c>
      <c r="J591">
        <f>tt(G591,H591,Fitting!$B$1:$E$1,Fitting!$B$2:$E$2)*I591</f>
        <v>15.399764429449142</v>
      </c>
    </row>
    <row r="592" spans="1:10">
      <c r="A592" s="1">
        <f t="shared" si="47"/>
        <v>32852</v>
      </c>
      <c r="B592">
        <f t="shared" si="45"/>
        <v>5867.1792102014324</v>
      </c>
      <c r="C592">
        <f>day_length(F592,$B$1,Fitting!$B$4)</f>
        <v>14.765645980834961</v>
      </c>
      <c r="D592" s="1">
        <f t="shared" si="46"/>
        <v>32852</v>
      </c>
      <c r="E592">
        <f t="shared" si="48"/>
        <v>1989</v>
      </c>
      <c r="F592" s="6">
        <f t="shared" si="49"/>
        <v>344</v>
      </c>
      <c r="G592">
        <v>25.4</v>
      </c>
      <c r="H592">
        <v>13.3</v>
      </c>
      <c r="I592">
        <f>MAX(0,1-Fitting!$B$7*(Fitting!$B$6-Herm8889!C592)^2)</f>
        <v>0.76679697978232431</v>
      </c>
      <c r="J592">
        <f>tt(G592,H592,Fitting!$B$1:$E$1,Fitting!$B$2:$E$2)*I592</f>
        <v>14.83752185129781</v>
      </c>
    </row>
    <row r="593" spans="1:10">
      <c r="A593" s="1">
        <f t="shared" si="47"/>
        <v>32853</v>
      </c>
      <c r="B593">
        <f t="shared" si="45"/>
        <v>5883.2559728852584</v>
      </c>
      <c r="C593">
        <f>day_length(F593,$B$1,Fitting!$B$4)</f>
        <v>14.773540496826172</v>
      </c>
      <c r="D593" s="1">
        <f t="shared" si="46"/>
        <v>32853</v>
      </c>
      <c r="E593">
        <f t="shared" si="48"/>
        <v>1989</v>
      </c>
      <c r="F593" s="6">
        <f t="shared" si="49"/>
        <v>345</v>
      </c>
      <c r="G593">
        <v>27.7</v>
      </c>
      <c r="H593">
        <v>14.2</v>
      </c>
      <c r="I593">
        <f>MAX(0,1-Fitting!$B$7*(Fitting!$B$6-Herm8889!C593)^2)</f>
        <v>0.76738721233201801</v>
      </c>
      <c r="J593">
        <f>tt(G593,H593,Fitting!$B$1:$E$1,Fitting!$B$2:$E$2)*I593</f>
        <v>16.076762683825759</v>
      </c>
    </row>
    <row r="594" spans="1:10">
      <c r="A594" s="1">
        <f t="shared" si="47"/>
        <v>32854</v>
      </c>
      <c r="B594">
        <f t="shared" si="45"/>
        <v>5901.1641546824585</v>
      </c>
      <c r="C594">
        <f>day_length(F594,$B$1,Fitting!$B$4)</f>
        <v>14.780780792236328</v>
      </c>
      <c r="D594" s="1">
        <f t="shared" si="46"/>
        <v>32854</v>
      </c>
      <c r="E594">
        <f t="shared" si="48"/>
        <v>1989</v>
      </c>
      <c r="F594" s="6">
        <f t="shared" si="49"/>
        <v>346</v>
      </c>
      <c r="G594">
        <v>30.9</v>
      </c>
      <c r="H594">
        <v>16.2</v>
      </c>
      <c r="I594">
        <f>MAX(0,1-Fitting!$B$7*(Fitting!$B$6-Herm8889!C594)^2)</f>
        <v>0.76792787467470047</v>
      </c>
      <c r="J594">
        <f>tt(G594,H594,Fitting!$B$1:$E$1,Fitting!$B$2:$E$2)*I594</f>
        <v>17.908181797199937</v>
      </c>
    </row>
    <row r="595" spans="1:10">
      <c r="A595" s="1">
        <f t="shared" si="47"/>
        <v>32855</v>
      </c>
      <c r="B595">
        <f t="shared" si="45"/>
        <v>5919.3801767698405</v>
      </c>
      <c r="C595">
        <f>day_length(F595,$B$1,Fitting!$B$4)</f>
        <v>14.787361145019531</v>
      </c>
      <c r="D595" s="1">
        <f t="shared" si="46"/>
        <v>32855</v>
      </c>
      <c r="E595">
        <f t="shared" si="48"/>
        <v>1989</v>
      </c>
      <c r="F595" s="6">
        <f t="shared" si="49"/>
        <v>347</v>
      </c>
      <c r="G595">
        <v>33</v>
      </c>
      <c r="H595">
        <v>18.7</v>
      </c>
      <c r="I595">
        <f>MAX(0,1-Fitting!$B$7*(Fitting!$B$6-Herm8889!C595)^2)</f>
        <v>0.76841871074552182</v>
      </c>
      <c r="J595">
        <f>tt(G595,H595,Fitting!$B$1:$E$1,Fitting!$B$2:$E$2)*I595</f>
        <v>18.216022087381962</v>
      </c>
    </row>
    <row r="596" spans="1:10">
      <c r="A596" s="1">
        <f t="shared" si="47"/>
        <v>32856</v>
      </c>
      <c r="B596">
        <f t="shared" si="45"/>
        <v>5937.371489089368</v>
      </c>
      <c r="C596">
        <f>day_length(F596,$B$1,Fitting!$B$4)</f>
        <v>14.793275833129883</v>
      </c>
      <c r="D596" s="1">
        <f t="shared" si="46"/>
        <v>32856</v>
      </c>
      <c r="E596">
        <f t="shared" si="48"/>
        <v>1989</v>
      </c>
      <c r="F596" s="6">
        <f t="shared" si="49"/>
        <v>348</v>
      </c>
      <c r="G596">
        <v>28.2</v>
      </c>
      <c r="H596">
        <v>18.600000000000001</v>
      </c>
      <c r="I596">
        <f>MAX(0,1-Fitting!$B$7*(Fitting!$B$6-Herm8889!C596)^2)</f>
        <v>0.76885945069834272</v>
      </c>
      <c r="J596">
        <f>tt(G596,H596,Fitting!$B$1:$E$1,Fitting!$B$2:$E$2)*I596</f>
        <v>17.991312319527637</v>
      </c>
    </row>
    <row r="597" spans="1:10">
      <c r="A597" s="1">
        <f t="shared" si="47"/>
        <v>32857</v>
      </c>
      <c r="B597">
        <f t="shared" si="45"/>
        <v>5953.7565139556382</v>
      </c>
      <c r="C597">
        <f>day_length(F597,$B$1,Fitting!$B$4)</f>
        <v>14.798521041870117</v>
      </c>
      <c r="D597" s="1">
        <f t="shared" si="46"/>
        <v>32857</v>
      </c>
      <c r="E597">
        <f t="shared" si="48"/>
        <v>1989</v>
      </c>
      <c r="F597" s="6">
        <f t="shared" si="49"/>
        <v>349</v>
      </c>
      <c r="G597">
        <v>25.4</v>
      </c>
      <c r="H597">
        <v>17.2</v>
      </c>
      <c r="I597">
        <f>MAX(0,1-Fitting!$B$7*(Fitting!$B$6-Herm8889!C597)^2)</f>
        <v>0.76924995239123384</v>
      </c>
      <c r="J597">
        <f>tt(G597,H597,Fitting!$B$1:$E$1,Fitting!$B$2:$E$2)*I597</f>
        <v>16.385024866269987</v>
      </c>
    </row>
    <row r="598" spans="1:10">
      <c r="A598" s="1">
        <f t="shared" si="47"/>
        <v>32858</v>
      </c>
      <c r="B598">
        <f t="shared" si="45"/>
        <v>5968.3787237209981</v>
      </c>
      <c r="C598">
        <f>day_length(F598,$B$1,Fitting!$B$4)</f>
        <v>14.803092002868652</v>
      </c>
      <c r="D598" s="1">
        <f t="shared" si="46"/>
        <v>32858</v>
      </c>
      <c r="E598">
        <f t="shared" si="48"/>
        <v>1989</v>
      </c>
      <c r="F598" s="6">
        <f t="shared" si="49"/>
        <v>350</v>
      </c>
      <c r="G598">
        <v>25</v>
      </c>
      <c r="H598">
        <v>13</v>
      </c>
      <c r="I598">
        <f>MAX(0,1-Fitting!$B$7*(Fitting!$B$6-Herm8889!C598)^2)</f>
        <v>0.76958998765053732</v>
      </c>
      <c r="J598">
        <f>tt(G598,H598,Fitting!$B$1:$E$1,Fitting!$B$2:$E$2)*I598</f>
        <v>14.622209765360209</v>
      </c>
    </row>
    <row r="599" spans="1:10">
      <c r="A599" s="1">
        <f t="shared" si="47"/>
        <v>32859</v>
      </c>
      <c r="B599">
        <f t="shared" si="45"/>
        <v>5981.6206509310432</v>
      </c>
      <c r="C599">
        <f>day_length(F599,$B$1,Fitting!$B$4)</f>
        <v>14.806985855102539</v>
      </c>
      <c r="D599" s="1">
        <f t="shared" si="46"/>
        <v>32859</v>
      </c>
      <c r="E599">
        <f t="shared" si="48"/>
        <v>1989</v>
      </c>
      <c r="F599" s="6">
        <f t="shared" si="49"/>
        <v>351</v>
      </c>
      <c r="G599">
        <v>23.1</v>
      </c>
      <c r="H599">
        <v>11.3</v>
      </c>
      <c r="I599">
        <f>MAX(0,1-Fitting!$B$7*(Fitting!$B$6-Herm8889!C599)^2)</f>
        <v>0.76987945480659981</v>
      </c>
      <c r="J599">
        <f>tt(G599,H599,Fitting!$B$1:$E$1,Fitting!$B$2:$E$2)*I599</f>
        <v>13.241927210044928</v>
      </c>
    </row>
    <row r="600" spans="1:10">
      <c r="A600" s="1">
        <f t="shared" si="47"/>
        <v>32860</v>
      </c>
      <c r="B600">
        <f t="shared" si="45"/>
        <v>5995.7138140671532</v>
      </c>
      <c r="C600">
        <f>day_length(F600,$B$1,Fitting!$B$4)</f>
        <v>14.810199737548828</v>
      </c>
      <c r="D600" s="1">
        <f t="shared" si="46"/>
        <v>32860</v>
      </c>
      <c r="E600">
        <f t="shared" si="48"/>
        <v>1989</v>
      </c>
      <c r="F600" s="6">
        <f t="shared" si="49"/>
        <v>352</v>
      </c>
      <c r="G600">
        <v>24.1</v>
      </c>
      <c r="H600">
        <v>12.5</v>
      </c>
      <c r="I600">
        <f>MAX(0,1-Fitting!$B$7*(Fitting!$B$6-Herm8889!C600)^2)</f>
        <v>0.77011823626575637</v>
      </c>
      <c r="J600">
        <f>tt(G600,H600,Fitting!$B$1:$E$1,Fitting!$B$2:$E$2)*I600</f>
        <v>14.093163136109755</v>
      </c>
    </row>
    <row r="601" spans="1:10">
      <c r="A601" s="1">
        <f t="shared" si="47"/>
        <v>32861</v>
      </c>
      <c r="B601">
        <f t="shared" si="45"/>
        <v>6008.9630812652213</v>
      </c>
      <c r="C601">
        <f>day_length(F601,$B$1,Fitting!$B$4)</f>
        <v>14.81273078918457</v>
      </c>
      <c r="D601" s="1">
        <f t="shared" si="46"/>
        <v>32861</v>
      </c>
      <c r="E601">
        <f t="shared" si="48"/>
        <v>1989</v>
      </c>
      <c r="F601" s="6">
        <f t="shared" si="49"/>
        <v>353</v>
      </c>
      <c r="G601">
        <v>23.9</v>
      </c>
      <c r="H601">
        <v>10.5</v>
      </c>
      <c r="I601">
        <f>MAX(0,1-Fitting!$B$7*(Fitting!$B$6-Herm8889!C601)^2)</f>
        <v>0.77030619827737246</v>
      </c>
      <c r="J601">
        <f>tt(G601,H601,Fitting!$B$1:$E$1,Fitting!$B$2:$E$2)*I601</f>
        <v>13.249267198067797</v>
      </c>
    </row>
    <row r="602" spans="1:10">
      <c r="A602" s="1">
        <f t="shared" si="47"/>
        <v>32862</v>
      </c>
      <c r="B602">
        <f t="shared" si="45"/>
        <v>6023.062191067228</v>
      </c>
      <c r="C602">
        <f>day_length(F602,$B$1,Fitting!$B$4)</f>
        <v>14.814576148986816</v>
      </c>
      <c r="D602" s="1">
        <f t="shared" si="46"/>
        <v>32862</v>
      </c>
      <c r="E602">
        <f t="shared" si="48"/>
        <v>1989</v>
      </c>
      <c r="F602" s="6">
        <f t="shared" si="49"/>
        <v>354</v>
      </c>
      <c r="G602">
        <v>26.3</v>
      </c>
      <c r="H602">
        <v>10.3</v>
      </c>
      <c r="I602">
        <f>MAX(0,1-Fitting!$B$7*(Fitting!$B$6-Herm8889!C602)^2)</f>
        <v>0.77044319069990341</v>
      </c>
      <c r="J602">
        <f>tt(G602,H602,Fitting!$B$1:$E$1,Fitting!$B$2:$E$2)*I602</f>
        <v>14.099109802006726</v>
      </c>
    </row>
    <row r="603" spans="1:10">
      <c r="A603" s="1">
        <f t="shared" si="47"/>
        <v>32863</v>
      </c>
      <c r="B603">
        <f t="shared" si="45"/>
        <v>6040.1714669401636</v>
      </c>
      <c r="C603">
        <f>day_length(F603,$B$1,Fitting!$B$4)</f>
        <v>14.815735816955566</v>
      </c>
      <c r="D603" s="1">
        <f t="shared" si="46"/>
        <v>32863</v>
      </c>
      <c r="E603">
        <f t="shared" si="48"/>
        <v>1989</v>
      </c>
      <c r="F603" s="6">
        <f t="shared" si="49"/>
        <v>355</v>
      </c>
      <c r="G603">
        <v>30.9</v>
      </c>
      <c r="H603">
        <v>13.9</v>
      </c>
      <c r="I603">
        <f>MAX(0,1-Fitting!$B$7*(Fitting!$B$6-Herm8889!C603)^2)</f>
        <v>0.77052925908588255</v>
      </c>
      <c r="J603">
        <f>tt(G603,H603,Fitting!$B$1:$E$1,Fitting!$B$2:$E$2)*I603</f>
        <v>17.109275872935097</v>
      </c>
    </row>
    <row r="604" spans="1:10">
      <c r="A604" s="1">
        <f t="shared" si="47"/>
        <v>32864</v>
      </c>
      <c r="B604">
        <f t="shared" si="45"/>
        <v>6057.6921926237392</v>
      </c>
      <c r="C604">
        <f>day_length(F604,$B$1,Fitting!$B$4)</f>
        <v>14.816208839416504</v>
      </c>
      <c r="D604" s="1">
        <f t="shared" si="46"/>
        <v>32864</v>
      </c>
      <c r="E604">
        <f t="shared" si="48"/>
        <v>1989</v>
      </c>
      <c r="F604" s="6">
        <f t="shared" si="49"/>
        <v>356</v>
      </c>
      <c r="G604">
        <v>33.200000000000003</v>
      </c>
      <c r="H604">
        <v>16.7</v>
      </c>
      <c r="I604">
        <f>MAX(0,1-Fitting!$B$7*(Fitting!$B$6-Herm8889!C604)^2)</f>
        <v>0.77056436129373651</v>
      </c>
      <c r="J604">
        <f>tt(G604,H604,Fitting!$B$1:$E$1,Fitting!$B$2:$E$2)*I604</f>
        <v>17.520725683575833</v>
      </c>
    </row>
    <row r="605" spans="1:10">
      <c r="A605" s="1">
        <f t="shared" si="47"/>
        <v>32865</v>
      </c>
      <c r="B605">
        <f t="shared" si="45"/>
        <v>6075.3377499449889</v>
      </c>
      <c r="C605">
        <f>day_length(F605,$B$1,Fitting!$B$4)</f>
        <v>14.815993309020996</v>
      </c>
      <c r="D605" s="1">
        <f t="shared" si="46"/>
        <v>32865</v>
      </c>
      <c r="E605">
        <f t="shared" si="48"/>
        <v>1989</v>
      </c>
      <c r="F605" s="6">
        <f t="shared" si="49"/>
        <v>357</v>
      </c>
      <c r="G605">
        <v>29.1</v>
      </c>
      <c r="H605">
        <v>16.7</v>
      </c>
      <c r="I605">
        <f>MAX(0,1-Fitting!$B$7*(Fitting!$B$6-Herm8889!C605)^2)</f>
        <v>0.77054836747556144</v>
      </c>
      <c r="J605">
        <f>tt(G605,H605,Fitting!$B$1:$E$1,Fitting!$B$2:$E$2)*I605</f>
        <v>17.645557321249481</v>
      </c>
    </row>
    <row r="606" spans="1:10">
      <c r="A606" s="1">
        <f t="shared" si="47"/>
        <v>32866</v>
      </c>
      <c r="B606">
        <f t="shared" si="45"/>
        <v>6093.1743974898536</v>
      </c>
      <c r="C606">
        <f>day_length(F606,$B$1,Fitting!$B$4)</f>
        <v>14.815092086791992</v>
      </c>
      <c r="D606" s="1">
        <f t="shared" si="46"/>
        <v>32866</v>
      </c>
      <c r="E606">
        <f t="shared" si="48"/>
        <v>1989</v>
      </c>
      <c r="F606" s="6">
        <f t="shared" si="49"/>
        <v>358</v>
      </c>
      <c r="G606">
        <v>27.7</v>
      </c>
      <c r="H606">
        <v>18.600000000000001</v>
      </c>
      <c r="I606">
        <f>MAX(0,1-Fitting!$B$7*(Fitting!$B$6-Herm8889!C606)^2)</f>
        <v>0.77048148463082178</v>
      </c>
      <c r="J606">
        <f>tt(G606,H606,Fitting!$B$1:$E$1,Fitting!$B$2:$E$2)*I606</f>
        <v>17.83664754486497</v>
      </c>
    </row>
    <row r="607" spans="1:10">
      <c r="A607" s="1">
        <f t="shared" si="47"/>
        <v>32867</v>
      </c>
      <c r="B607">
        <f t="shared" si="45"/>
        <v>6110.6231314446723</v>
      </c>
      <c r="C607">
        <f>day_length(F607,$B$1,Fitting!$B$4)</f>
        <v>14.813502311706543</v>
      </c>
      <c r="D607" s="1">
        <f t="shared" si="46"/>
        <v>32867</v>
      </c>
      <c r="E607">
        <f t="shared" si="48"/>
        <v>1989</v>
      </c>
      <c r="F607" s="6">
        <f t="shared" si="49"/>
        <v>359</v>
      </c>
      <c r="G607">
        <v>28.2</v>
      </c>
      <c r="H607">
        <v>17.100000000000001</v>
      </c>
      <c r="I607">
        <f>MAX(0,1-Fitting!$B$7*(Fitting!$B$6-Herm8889!C607)^2)</f>
        <v>0.77036347811643824</v>
      </c>
      <c r="J607">
        <f>tt(G607,H607,Fitting!$B$1:$E$1,Fitting!$B$2:$E$2)*I607</f>
        <v>17.448733954818707</v>
      </c>
    </row>
    <row r="608" spans="1:10">
      <c r="A608" s="1">
        <f t="shared" si="47"/>
        <v>32868</v>
      </c>
      <c r="B608">
        <f t="shared" si="45"/>
        <v>6126.8357285058364</v>
      </c>
      <c r="C608">
        <f>day_length(F608,$B$1,Fitting!$B$4)</f>
        <v>14.81122875213623</v>
      </c>
      <c r="D608" s="1">
        <f t="shared" si="46"/>
        <v>32868</v>
      </c>
      <c r="E608">
        <f t="shared" si="48"/>
        <v>1989</v>
      </c>
      <c r="F608" s="6">
        <f t="shared" si="49"/>
        <v>360</v>
      </c>
      <c r="G608">
        <v>25.4</v>
      </c>
      <c r="H608">
        <v>16.7</v>
      </c>
      <c r="I608">
        <f>MAX(0,1-Fitting!$B$7*(Fitting!$B$6-Herm8889!C608)^2)</f>
        <v>0.77019466264968828</v>
      </c>
      <c r="J608">
        <f>tt(G608,H608,Fitting!$B$1:$E$1,Fitting!$B$2:$E$2)*I608</f>
        <v>16.212597061164043</v>
      </c>
    </row>
    <row r="609" spans="1:10">
      <c r="A609" s="1">
        <f t="shared" si="47"/>
        <v>32869</v>
      </c>
      <c r="B609">
        <f t="shared" si="45"/>
        <v>6145.1226326517135</v>
      </c>
      <c r="C609">
        <f>day_length(F609,$B$1,Fitting!$B$4)</f>
        <v>14.808270454406738</v>
      </c>
      <c r="D609" s="1">
        <f t="shared" si="46"/>
        <v>32869</v>
      </c>
      <c r="E609">
        <f t="shared" si="48"/>
        <v>1989</v>
      </c>
      <c r="F609" s="6">
        <f t="shared" si="49"/>
        <v>361</v>
      </c>
      <c r="G609">
        <v>29.7</v>
      </c>
      <c r="H609">
        <v>17.8</v>
      </c>
      <c r="I609">
        <f>MAX(0,1-Fitting!$B$7*(Fitting!$B$6-Herm8889!C609)^2)</f>
        <v>0.76997491140536478</v>
      </c>
      <c r="J609">
        <f>tt(G609,H609,Fitting!$B$1:$E$1,Fitting!$B$2:$E$2)*I609</f>
        <v>18.286904145877415</v>
      </c>
    </row>
    <row r="610" spans="1:10">
      <c r="A610" s="1">
        <f t="shared" si="47"/>
        <v>32870</v>
      </c>
      <c r="B610">
        <f t="shared" si="45"/>
        <v>6161.0555150442633</v>
      </c>
      <c r="C610">
        <f>day_length(F610,$B$1,Fitting!$B$4)</f>
        <v>14.804632186889648</v>
      </c>
      <c r="D610" s="1">
        <f t="shared" si="46"/>
        <v>32870</v>
      </c>
      <c r="E610">
        <f t="shared" si="48"/>
        <v>1989</v>
      </c>
      <c r="F610" s="6">
        <f t="shared" si="49"/>
        <v>362</v>
      </c>
      <c r="G610">
        <v>30.2</v>
      </c>
      <c r="H610">
        <v>11.2</v>
      </c>
      <c r="I610">
        <f>MAX(0,1-Fitting!$B$7*(Fitting!$B$6-Herm8889!C610)^2)</f>
        <v>0.76970450596165751</v>
      </c>
      <c r="J610">
        <f>tt(G610,H610,Fitting!$B$1:$E$1,Fitting!$B$2:$E$2)*I610</f>
        <v>15.932882392549407</v>
      </c>
    </row>
    <row r="611" spans="1:10">
      <c r="A611" s="1">
        <f t="shared" si="47"/>
        <v>32871</v>
      </c>
      <c r="B611">
        <f t="shared" si="45"/>
        <v>6177.4818500152123</v>
      </c>
      <c r="C611">
        <f>day_length(F611,$B$1,Fitting!$B$4)</f>
        <v>14.800313949584961</v>
      </c>
      <c r="D611" s="1">
        <f t="shared" si="46"/>
        <v>32871</v>
      </c>
      <c r="E611">
        <f t="shared" si="48"/>
        <v>1989</v>
      </c>
      <c r="F611" s="6">
        <f t="shared" si="49"/>
        <v>363</v>
      </c>
      <c r="G611">
        <v>28.7</v>
      </c>
      <c r="H611">
        <v>14</v>
      </c>
      <c r="I611">
        <f>MAX(0,1-Fitting!$B$7*(Fitting!$B$6-Herm8889!C611)^2)</f>
        <v>0.7693833572577351</v>
      </c>
      <c r="J611">
        <f>tt(G611,H611,Fitting!$B$1:$E$1,Fitting!$B$2:$E$2)*I611</f>
        <v>16.426334970949103</v>
      </c>
    </row>
    <row r="612" spans="1:10">
      <c r="A612" s="1">
        <f t="shared" si="47"/>
        <v>32872</v>
      </c>
      <c r="B612">
        <f t="shared" si="45"/>
        <v>6193.3234901630185</v>
      </c>
      <c r="C612">
        <f>day_length(F612,$B$1,Fitting!$B$4)</f>
        <v>14.795320510864258</v>
      </c>
      <c r="D612" s="1">
        <f t="shared" si="46"/>
        <v>32872</v>
      </c>
      <c r="E612">
        <f t="shared" si="48"/>
        <v>1989</v>
      </c>
      <c r="F612" s="6">
        <f t="shared" si="49"/>
        <v>364</v>
      </c>
      <c r="G612">
        <v>27.6</v>
      </c>
      <c r="H612">
        <v>13.6</v>
      </c>
      <c r="I612">
        <f>MAX(0,1-Fitting!$B$7*(Fitting!$B$6-Herm8889!C612)^2)</f>
        <v>0.76901171462258933</v>
      </c>
      <c r="J612">
        <f>tt(G612,H612,Fitting!$B$1:$E$1,Fitting!$B$2:$E$2)*I612</f>
        <v>15.841640147806586</v>
      </c>
    </row>
    <row r="613" spans="1:10">
      <c r="A613" s="1">
        <f t="shared" si="47"/>
        <v>32873</v>
      </c>
      <c r="B613">
        <f t="shared" si="45"/>
        <v>6209.7713148343482</v>
      </c>
      <c r="C613">
        <f>day_length(F613,$B$1,Fitting!$B$4)</f>
        <v>14.789657592773437</v>
      </c>
      <c r="D613" s="1">
        <f t="shared" si="46"/>
        <v>32873</v>
      </c>
      <c r="E613">
        <f t="shared" si="48"/>
        <v>1989</v>
      </c>
      <c r="F613" s="6">
        <f t="shared" si="49"/>
        <v>365</v>
      </c>
      <c r="G613">
        <v>28.9</v>
      </c>
      <c r="H613">
        <v>13.9</v>
      </c>
      <c r="I613">
        <f>MAX(0,1-Fitting!$B$7*(Fitting!$B$6-Herm8889!C613)^2)</f>
        <v>0.7685898831100203</v>
      </c>
      <c r="J613">
        <f>tt(G613,H613,Fitting!$B$1:$E$1,Fitting!$B$2:$E$2)*I613</f>
        <v>16.447824671329524</v>
      </c>
    </row>
    <row r="614" spans="1:10">
      <c r="A614" s="1">
        <f t="shared" si="47"/>
        <v>32874</v>
      </c>
      <c r="B614">
        <f t="shared" si="45"/>
        <v>6225.4767488470288</v>
      </c>
      <c r="C614">
        <f>day_length(F614,$B$1,Fitting!$B$4)</f>
        <v>14.781639099121094</v>
      </c>
      <c r="D614" s="1">
        <f t="shared" si="46"/>
        <v>32874</v>
      </c>
      <c r="E614">
        <f t="shared" si="48"/>
        <v>1990</v>
      </c>
      <c r="F614" s="6">
        <f t="shared" si="49"/>
        <v>1</v>
      </c>
      <c r="G614">
        <v>28.5</v>
      </c>
      <c r="H614">
        <v>12.4</v>
      </c>
      <c r="I614">
        <f>MAX(0,1-Fitting!$B$7*(Fitting!$B$6-Herm8889!C614)^2)</f>
        <v>0.76799192623852286</v>
      </c>
      <c r="J614">
        <f>tt(G614,H614,Fitting!$B$1:$E$1,Fitting!$B$2:$E$2)*I614</f>
        <v>15.705434012680783</v>
      </c>
    </row>
    <row r="615" spans="1:10">
      <c r="A615" s="1">
        <f t="shared" si="47"/>
        <v>32875</v>
      </c>
      <c r="B615">
        <f t="shared" si="45"/>
        <v>6241.541867636568</v>
      </c>
      <c r="C615">
        <f>day_length(F615,$B$1,Fitting!$B$4)</f>
        <v>14.774481773376465</v>
      </c>
      <c r="D615" s="1">
        <f t="shared" si="46"/>
        <v>32875</v>
      </c>
      <c r="E615">
        <f t="shared" si="48"/>
        <v>1990</v>
      </c>
      <c r="F615" s="6">
        <f t="shared" si="49"/>
        <v>2</v>
      </c>
      <c r="G615">
        <v>33.299999999999997</v>
      </c>
      <c r="H615">
        <v>12.7</v>
      </c>
      <c r="I615">
        <f>MAX(0,1-Fitting!$B$7*(Fitting!$B$6-Herm8889!C615)^2)</f>
        <v>0.76745753685986895</v>
      </c>
      <c r="J615">
        <f>tt(G615,H615,Fitting!$B$1:$E$1,Fitting!$B$2:$E$2)*I615</f>
        <v>16.06511878953911</v>
      </c>
    </row>
    <row r="616" spans="1:10">
      <c r="A616" s="1">
        <f t="shared" si="47"/>
        <v>32876</v>
      </c>
      <c r="B616">
        <f t="shared" si="45"/>
        <v>6257.692653726057</v>
      </c>
      <c r="C616">
        <f>day_length(F616,$B$1,Fitting!$B$4)</f>
        <v>14.766668319702148</v>
      </c>
      <c r="D616" s="1">
        <f t="shared" si="46"/>
        <v>32876</v>
      </c>
      <c r="E616">
        <f t="shared" si="48"/>
        <v>1990</v>
      </c>
      <c r="F616" s="6">
        <f t="shared" si="49"/>
        <v>3</v>
      </c>
      <c r="G616">
        <v>35</v>
      </c>
      <c r="H616">
        <v>15.3</v>
      </c>
      <c r="I616">
        <f>MAX(0,1-Fitting!$B$7*(Fitting!$B$6-Herm8889!C616)^2)</f>
        <v>0.76687345698037102</v>
      </c>
      <c r="J616">
        <f>tt(G616,H616,Fitting!$B$1:$E$1,Fitting!$B$2:$E$2)*I616</f>
        <v>16.150786089488719</v>
      </c>
    </row>
    <row r="617" spans="1:10">
      <c r="A617" s="1">
        <f t="shared" si="47"/>
        <v>32877</v>
      </c>
      <c r="B617">
        <f t="shared" si="45"/>
        <v>6273.5973834295328</v>
      </c>
      <c r="C617">
        <f>day_length(F617,$B$1,Fitting!$B$4)</f>
        <v>14.758205413818359</v>
      </c>
      <c r="D617" s="1">
        <f t="shared" si="46"/>
        <v>32877</v>
      </c>
      <c r="E617">
        <f t="shared" si="48"/>
        <v>1990</v>
      </c>
      <c r="F617" s="6">
        <f t="shared" si="49"/>
        <v>4</v>
      </c>
      <c r="G617">
        <v>34.1</v>
      </c>
      <c r="H617">
        <v>13.1</v>
      </c>
      <c r="I617">
        <f>MAX(0,1-Fitting!$B$7*(Fitting!$B$6-Herm8889!C617)^2)</f>
        <v>0.76624000206348142</v>
      </c>
      <c r="J617">
        <f>tt(G617,H617,Fitting!$B$1:$E$1,Fitting!$B$2:$E$2)*I617</f>
        <v>15.904729703475908</v>
      </c>
    </row>
    <row r="618" spans="1:10">
      <c r="A618" s="1">
        <f t="shared" si="47"/>
        <v>32878</v>
      </c>
      <c r="B618">
        <f t="shared" si="45"/>
        <v>6289.9117471952004</v>
      </c>
      <c r="C618">
        <f>day_length(F618,$B$1,Fitting!$B$4)</f>
        <v>14.749099731445312</v>
      </c>
      <c r="D618" s="1">
        <f t="shared" si="46"/>
        <v>32878</v>
      </c>
      <c r="E618">
        <f t="shared" si="48"/>
        <v>1990</v>
      </c>
      <c r="F618" s="6">
        <f t="shared" si="49"/>
        <v>5</v>
      </c>
      <c r="G618">
        <v>36.200000000000003</v>
      </c>
      <c r="H618">
        <v>19.100000000000001</v>
      </c>
      <c r="I618">
        <f>MAX(0,1-Fitting!$B$7*(Fitting!$B$6-Herm8889!C618)^2)</f>
        <v>0.76555747499549764</v>
      </c>
      <c r="J618">
        <f>tt(G618,H618,Fitting!$B$1:$E$1,Fitting!$B$2:$E$2)*I618</f>
        <v>16.314363765668002</v>
      </c>
    </row>
    <row r="619" spans="1:10">
      <c r="A619" s="1">
        <f t="shared" si="47"/>
        <v>32879</v>
      </c>
      <c r="B619">
        <f t="shared" si="45"/>
        <v>6307.2350579541908</v>
      </c>
      <c r="C619">
        <f>day_length(F619,$B$1,Fitting!$B$4)</f>
        <v>14.739356994628906</v>
      </c>
      <c r="D619" s="1">
        <f t="shared" si="46"/>
        <v>32879</v>
      </c>
      <c r="E619">
        <f t="shared" si="48"/>
        <v>1990</v>
      </c>
      <c r="F619" s="6">
        <f t="shared" si="49"/>
        <v>6</v>
      </c>
      <c r="G619">
        <v>26.8</v>
      </c>
      <c r="H619">
        <v>18.5</v>
      </c>
      <c r="I619">
        <f>MAX(0,1-Fitting!$B$7*(Fitting!$B$6-Herm8889!C619)^2)</f>
        <v>0.76482609495578802</v>
      </c>
      <c r="J619">
        <f>tt(G619,H619,Fitting!$B$1:$E$1,Fitting!$B$2:$E$2)*I619</f>
        <v>17.323310758990598</v>
      </c>
    </row>
    <row r="620" spans="1:10">
      <c r="A620" s="1">
        <f t="shared" si="47"/>
        <v>32880</v>
      </c>
      <c r="B620">
        <f t="shared" si="45"/>
        <v>6324.977501656932</v>
      </c>
      <c r="C620">
        <f>day_length(F620,$B$1,Fitting!$B$4)</f>
        <v>14.728984832763672</v>
      </c>
      <c r="D620" s="1">
        <f t="shared" si="46"/>
        <v>32880</v>
      </c>
      <c r="E620">
        <f t="shared" si="48"/>
        <v>1990</v>
      </c>
      <c r="F620" s="6">
        <f t="shared" si="49"/>
        <v>7</v>
      </c>
      <c r="G620">
        <v>32.9</v>
      </c>
      <c r="H620">
        <v>17.5</v>
      </c>
      <c r="I620">
        <f>MAX(0,1-Fitting!$B$7*(Fitting!$B$6-Herm8889!C620)^2)</f>
        <v>0.7640462126337515</v>
      </c>
      <c r="J620">
        <f>tt(G620,H620,Fitting!$B$1:$E$1,Fitting!$B$2:$E$2)*I620</f>
        <v>17.742443702740989</v>
      </c>
    </row>
    <row r="621" spans="1:10">
      <c r="A621" s="1">
        <f t="shared" si="47"/>
        <v>32881</v>
      </c>
      <c r="B621">
        <f t="shared" si="45"/>
        <v>6342.8686841548779</v>
      </c>
      <c r="C621">
        <f>day_length(F621,$B$1,Fitting!$B$4)</f>
        <v>14.717991828918457</v>
      </c>
      <c r="D621" s="1">
        <f t="shared" si="46"/>
        <v>32881</v>
      </c>
      <c r="E621">
        <f t="shared" si="48"/>
        <v>1990</v>
      </c>
      <c r="F621" s="6">
        <f t="shared" si="49"/>
        <v>8</v>
      </c>
      <c r="G621">
        <v>32.6</v>
      </c>
      <c r="H621">
        <v>17.7</v>
      </c>
      <c r="I621">
        <f>MAX(0,1-Fitting!$B$7*(Fitting!$B$6-Herm8889!C621)^2)</f>
        <v>0.76321824003078831</v>
      </c>
      <c r="J621">
        <f>tt(G621,H621,Fitting!$B$1:$E$1,Fitting!$B$2:$E$2)*I621</f>
        <v>17.891182497945852</v>
      </c>
    </row>
    <row r="622" spans="1:10">
      <c r="A622" s="1">
        <f t="shared" si="47"/>
        <v>32882</v>
      </c>
      <c r="B622">
        <f t="shared" si="45"/>
        <v>6360.6722273528749</v>
      </c>
      <c r="C622">
        <f>day_length(F622,$B$1,Fitting!$B$4)</f>
        <v>14.706384658813477</v>
      </c>
      <c r="D622" s="1">
        <f t="shared" si="46"/>
        <v>32882</v>
      </c>
      <c r="E622">
        <f t="shared" si="48"/>
        <v>1990</v>
      </c>
      <c r="F622" s="6">
        <f t="shared" si="49"/>
        <v>9</v>
      </c>
      <c r="G622">
        <v>31.4</v>
      </c>
      <c r="H622">
        <v>16.3</v>
      </c>
      <c r="I622">
        <f>MAX(0,1-Fitting!$B$7*(Fitting!$B$6-Herm8889!C622)^2)</f>
        <v>0.7623424356230899</v>
      </c>
      <c r="J622">
        <f>tt(G622,H622,Fitting!$B$1:$E$1,Fitting!$B$2:$E$2)*I622</f>
        <v>17.803543197996653</v>
      </c>
    </row>
    <row r="623" spans="1:10">
      <c r="A623" s="1">
        <f t="shared" si="47"/>
        <v>32883</v>
      </c>
      <c r="B623">
        <f t="shared" si="45"/>
        <v>6378.4542093699874</v>
      </c>
      <c r="C623">
        <f>day_length(F623,$B$1,Fitting!$B$4)</f>
        <v>14.694171905517578</v>
      </c>
      <c r="D623" s="1">
        <f t="shared" si="46"/>
        <v>32883</v>
      </c>
      <c r="E623">
        <f t="shared" si="48"/>
        <v>1990</v>
      </c>
      <c r="F623" s="6">
        <f t="shared" si="49"/>
        <v>10</v>
      </c>
      <c r="G623">
        <v>31.4</v>
      </c>
      <c r="H623">
        <v>16.3</v>
      </c>
      <c r="I623">
        <f>MAX(0,1-Fitting!$B$7*(Fitting!$B$6-Herm8889!C623)^2)</f>
        <v>0.76141919225701715</v>
      </c>
      <c r="J623">
        <f>tt(G623,H623,Fitting!$B$1:$E$1,Fitting!$B$2:$E$2)*I623</f>
        <v>17.781982017112494</v>
      </c>
    </row>
    <row r="624" spans="1:10">
      <c r="A624" s="1">
        <f t="shared" si="47"/>
        <v>32884</v>
      </c>
      <c r="B624">
        <f t="shared" si="45"/>
        <v>6397.0317486910999</v>
      </c>
      <c r="C624">
        <f>day_length(F624,$B$1,Fitting!$B$4)</f>
        <v>14.681363105773926</v>
      </c>
      <c r="D624" s="1">
        <f t="shared" si="46"/>
        <v>32884</v>
      </c>
      <c r="E624">
        <f t="shared" si="48"/>
        <v>1990</v>
      </c>
      <c r="F624" s="6">
        <f t="shared" si="49"/>
        <v>11</v>
      </c>
      <c r="G624">
        <v>30.5</v>
      </c>
      <c r="H624">
        <v>18.5</v>
      </c>
      <c r="I624">
        <f>MAX(0,1-Fitting!$B$7*(Fitting!$B$6-Herm8889!C624)^2)</f>
        <v>0.76044896679355045</v>
      </c>
      <c r="J624">
        <f>tt(G624,H624,Fitting!$B$1:$E$1,Fitting!$B$2:$E$2)*I624</f>
        <v>18.577539321112098</v>
      </c>
    </row>
    <row r="625" spans="1:10">
      <c r="A625" s="1">
        <f t="shared" si="47"/>
        <v>32885</v>
      </c>
      <c r="B625">
        <f t="shared" si="45"/>
        <v>6415.3340617256354</v>
      </c>
      <c r="C625">
        <f>day_length(F625,$B$1,Fitting!$B$4)</f>
        <v>14.667965888977051</v>
      </c>
      <c r="D625" s="1">
        <f t="shared" si="46"/>
        <v>32885</v>
      </c>
      <c r="E625">
        <f t="shared" si="48"/>
        <v>1990</v>
      </c>
      <c r="F625" s="6">
        <f t="shared" si="49"/>
        <v>12</v>
      </c>
      <c r="G625">
        <v>29.5</v>
      </c>
      <c r="H625">
        <v>18.7</v>
      </c>
      <c r="I625">
        <f>MAX(0,1-Fitting!$B$7*(Fitting!$B$6-Herm8889!C625)^2)</f>
        <v>0.7594320641010508</v>
      </c>
      <c r="J625">
        <f>tt(G625,H625,Fitting!$B$1:$E$1,Fitting!$B$2:$E$2)*I625</f>
        <v>18.302313034535665</v>
      </c>
    </row>
    <row r="626" spans="1:10">
      <c r="A626" s="1">
        <f t="shared" si="47"/>
        <v>32886</v>
      </c>
      <c r="B626">
        <f t="shared" si="45"/>
        <v>6432.6469578612023</v>
      </c>
      <c r="C626">
        <f>day_length(F626,$B$1,Fitting!$B$4)</f>
        <v>14.65399169921875</v>
      </c>
      <c r="D626" s="1">
        <f t="shared" si="46"/>
        <v>32886</v>
      </c>
      <c r="E626">
        <f t="shared" si="48"/>
        <v>1990</v>
      </c>
      <c r="F626" s="6">
        <f t="shared" si="49"/>
        <v>13</v>
      </c>
      <c r="G626">
        <v>30.5</v>
      </c>
      <c r="H626">
        <v>15.2</v>
      </c>
      <c r="I626">
        <f>MAX(0,1-Fitting!$B$7*(Fitting!$B$6-Herm8889!C626)^2)</f>
        <v>0.75836907187849278</v>
      </c>
      <c r="J626">
        <f>tt(G626,H626,Fitting!$B$1:$E$1,Fitting!$B$2:$E$2)*I626</f>
        <v>17.312896135566675</v>
      </c>
    </row>
    <row r="627" spans="1:10">
      <c r="A627" s="1">
        <f t="shared" si="47"/>
        <v>32887</v>
      </c>
      <c r="B627">
        <f t="shared" si="45"/>
        <v>6449.8985146519144</v>
      </c>
      <c r="C627">
        <f>day_length(F627,$B$1,Fitting!$B$4)</f>
        <v>14.639448165893555</v>
      </c>
      <c r="D627" s="1">
        <f t="shared" si="46"/>
        <v>32887</v>
      </c>
      <c r="E627">
        <f t="shared" si="48"/>
        <v>1990</v>
      </c>
      <c r="F627" s="6">
        <f t="shared" si="49"/>
        <v>14</v>
      </c>
      <c r="G627">
        <v>33.1</v>
      </c>
      <c r="H627">
        <v>16.7</v>
      </c>
      <c r="I627">
        <f>MAX(0,1-Fitting!$B$7*(Fitting!$B$6-Herm8889!C627)^2)</f>
        <v>0.75726028219387076</v>
      </c>
      <c r="J627">
        <f>tt(G627,H627,Fitting!$B$1:$E$1,Fitting!$B$2:$E$2)*I627</f>
        <v>17.251556790711799</v>
      </c>
    </row>
    <row r="628" spans="1:10">
      <c r="A628" s="1">
        <f t="shared" si="47"/>
        <v>32888</v>
      </c>
      <c r="B628">
        <f t="shared" si="45"/>
        <v>6467.437815110975</v>
      </c>
      <c r="C628">
        <f>day_length(F628,$B$1,Fitting!$B$4)</f>
        <v>14.624344825744629</v>
      </c>
      <c r="D628" s="1">
        <f t="shared" si="46"/>
        <v>32888</v>
      </c>
      <c r="E628">
        <f t="shared" si="48"/>
        <v>1990</v>
      </c>
      <c r="F628" s="6">
        <f t="shared" si="49"/>
        <v>15</v>
      </c>
      <c r="G628">
        <v>33.799999999999997</v>
      </c>
      <c r="H628">
        <v>18.8</v>
      </c>
      <c r="I628">
        <f>MAX(0,1-Fitting!$B$7*(Fitting!$B$6-Herm8889!C628)^2)</f>
        <v>0.75610612659394427</v>
      </c>
      <c r="J628">
        <f>tt(G628,H628,Fitting!$B$1:$E$1,Fitting!$B$2:$E$2)*I628</f>
        <v>17.539300459060289</v>
      </c>
    </row>
    <row r="629" spans="1:10">
      <c r="A629" s="1">
        <f t="shared" si="47"/>
        <v>32889</v>
      </c>
      <c r="B629">
        <f t="shared" si="45"/>
        <v>6483.8947926189539</v>
      </c>
      <c r="C629">
        <f>day_length(F629,$B$1,Fitting!$B$4)</f>
        <v>14.608694076538086</v>
      </c>
      <c r="D629" s="1">
        <f t="shared" si="46"/>
        <v>32889</v>
      </c>
      <c r="E629">
        <f t="shared" si="48"/>
        <v>1990</v>
      </c>
      <c r="F629" s="6">
        <f t="shared" si="49"/>
        <v>16</v>
      </c>
      <c r="G629">
        <v>26.2</v>
      </c>
      <c r="H629">
        <v>17.399999999999999</v>
      </c>
      <c r="I629">
        <f>MAX(0,1-Fitting!$B$7*(Fitting!$B$6-Herm8889!C629)^2)</f>
        <v>0.75490725155632388</v>
      </c>
      <c r="J629">
        <f>tt(G629,H629,Fitting!$B$1:$E$1,Fitting!$B$2:$E$2)*I629</f>
        <v>16.456977507979335</v>
      </c>
    </row>
    <row r="630" spans="1:10">
      <c r="A630" s="1">
        <f t="shared" si="47"/>
        <v>32890</v>
      </c>
      <c r="B630">
        <f t="shared" si="45"/>
        <v>6500.2493007432504</v>
      </c>
      <c r="C630">
        <f>day_length(F630,$B$1,Fitting!$B$4)</f>
        <v>14.592504501342773</v>
      </c>
      <c r="D630" s="1">
        <f t="shared" si="46"/>
        <v>32890</v>
      </c>
      <c r="E630">
        <f t="shared" si="48"/>
        <v>1990</v>
      </c>
      <c r="F630" s="6">
        <f t="shared" si="49"/>
        <v>17</v>
      </c>
      <c r="G630">
        <v>28.3</v>
      </c>
      <c r="H630">
        <v>15.1</v>
      </c>
      <c r="I630">
        <f>MAX(0,1-Fitting!$B$7*(Fitting!$B$6-Herm8889!C630)^2)</f>
        <v>0.75366400860812433</v>
      </c>
      <c r="J630">
        <f>tt(G630,H630,Fitting!$B$1:$E$1,Fitting!$B$2:$E$2)*I630</f>
        <v>16.354508124296288</v>
      </c>
    </row>
    <row r="631" spans="1:10">
      <c r="A631" s="1">
        <f t="shared" si="47"/>
        <v>32891</v>
      </c>
      <c r="B631">
        <f t="shared" si="45"/>
        <v>6516.5006404715095</v>
      </c>
      <c r="C631">
        <f>day_length(F631,$B$1,Fitting!$B$4)</f>
        <v>14.575786590576172</v>
      </c>
      <c r="D631" s="1">
        <f t="shared" si="46"/>
        <v>32891</v>
      </c>
      <c r="E631">
        <f t="shared" si="48"/>
        <v>1990</v>
      </c>
      <c r="F631" s="6">
        <f t="shared" si="49"/>
        <v>18</v>
      </c>
      <c r="G631">
        <v>28.9</v>
      </c>
      <c r="H631">
        <v>14.3</v>
      </c>
      <c r="I631">
        <f>MAX(0,1-Fitting!$B$7*(Fitting!$B$6-Herm8889!C631)^2)</f>
        <v>0.75237689242107442</v>
      </c>
      <c r="J631">
        <f>tt(G631,H631,Fitting!$B$1:$E$1,Fitting!$B$2:$E$2)*I631</f>
        <v>16.251339728259179</v>
      </c>
    </row>
    <row r="632" spans="1:10">
      <c r="A632" s="1">
        <f t="shared" si="47"/>
        <v>32892</v>
      </c>
      <c r="B632">
        <f t="shared" si="45"/>
        <v>6532.0473030590347</v>
      </c>
      <c r="C632">
        <f>day_length(F632,$B$1,Fitting!$B$4)</f>
        <v>14.558552742004395</v>
      </c>
      <c r="D632" s="1">
        <f t="shared" si="46"/>
        <v>32892</v>
      </c>
      <c r="E632">
        <f t="shared" si="48"/>
        <v>1990</v>
      </c>
      <c r="F632" s="6">
        <f t="shared" si="49"/>
        <v>19</v>
      </c>
      <c r="G632">
        <v>28.5</v>
      </c>
      <c r="H632">
        <v>12.9</v>
      </c>
      <c r="I632">
        <f>MAX(0,1-Fitting!$B$7*(Fitting!$B$6-Herm8889!C632)^2)</f>
        <v>0.75104654333476539</v>
      </c>
      <c r="J632">
        <f>tt(G632,H632,Fitting!$B$1:$E$1,Fitting!$B$2:$E$2)*I632</f>
        <v>15.546662587525086</v>
      </c>
    </row>
    <row r="633" spans="1:10">
      <c r="A633" s="1">
        <f t="shared" si="47"/>
        <v>32893</v>
      </c>
      <c r="B633">
        <f t="shared" si="45"/>
        <v>6548.2777314597497</v>
      </c>
      <c r="C633">
        <f>day_length(F633,$B$1,Fitting!$B$4)</f>
        <v>14.540812492370605</v>
      </c>
      <c r="D633" s="1">
        <f t="shared" si="46"/>
        <v>32893</v>
      </c>
      <c r="E633">
        <f t="shared" si="48"/>
        <v>1990</v>
      </c>
      <c r="F633" s="6">
        <f t="shared" si="49"/>
        <v>20</v>
      </c>
      <c r="G633">
        <v>29.6</v>
      </c>
      <c r="H633">
        <v>13.7</v>
      </c>
      <c r="I633">
        <f>MAX(0,1-Fitting!$B$7*(Fitting!$B$6-Herm8889!C633)^2)</f>
        <v>0.74967338044770626</v>
      </c>
      <c r="J633">
        <f>tt(G633,H633,Fitting!$B$1:$E$1,Fitting!$B$2:$E$2)*I633</f>
        <v>16.230428400715141</v>
      </c>
    </row>
    <row r="634" spans="1:10">
      <c r="A634" s="1">
        <f t="shared" si="47"/>
        <v>32894</v>
      </c>
      <c r="B634">
        <f t="shared" si="45"/>
        <v>6565.5876764506056</v>
      </c>
      <c r="C634">
        <f>day_length(F634,$B$1,Fitting!$B$4)</f>
        <v>14.522577285766602</v>
      </c>
      <c r="D634" s="1">
        <f t="shared" si="46"/>
        <v>32894</v>
      </c>
      <c r="E634">
        <f t="shared" si="48"/>
        <v>1990</v>
      </c>
      <c r="F634" s="6">
        <f t="shared" si="49"/>
        <v>21</v>
      </c>
      <c r="G634">
        <v>31.5</v>
      </c>
      <c r="H634">
        <v>15.9</v>
      </c>
      <c r="I634">
        <f>MAX(0,1-Fitting!$B$7*(Fitting!$B$6-Herm8889!C634)^2)</f>
        <v>0.74825796988679938</v>
      </c>
      <c r="J634">
        <f>tt(G634,H634,Fitting!$B$1:$E$1,Fitting!$B$2:$E$2)*I634</f>
        <v>17.309944990856216</v>
      </c>
    </row>
    <row r="635" spans="1:10">
      <c r="A635" s="1">
        <f t="shared" si="47"/>
        <v>32895</v>
      </c>
      <c r="B635">
        <f t="shared" si="45"/>
        <v>6583.455582373268</v>
      </c>
      <c r="C635">
        <f>day_length(F635,$B$1,Fitting!$B$4)</f>
        <v>14.503859519958496</v>
      </c>
      <c r="D635" s="1">
        <f t="shared" si="46"/>
        <v>32895</v>
      </c>
      <c r="E635">
        <f t="shared" si="48"/>
        <v>1990</v>
      </c>
      <c r="F635" s="6">
        <f t="shared" si="49"/>
        <v>22</v>
      </c>
      <c r="G635">
        <v>32.4</v>
      </c>
      <c r="H635">
        <v>18.600000000000001</v>
      </c>
      <c r="I635">
        <f>MAX(0,1-Fitting!$B$7*(Fitting!$B$6-Herm8889!C635)^2)</f>
        <v>0.74680095318139683</v>
      </c>
      <c r="J635">
        <f>tt(G635,H635,Fitting!$B$1:$E$1,Fitting!$B$2:$E$2)*I635</f>
        <v>17.867905922662423</v>
      </c>
    </row>
    <row r="636" spans="1:10">
      <c r="A636" s="1">
        <f t="shared" si="47"/>
        <v>32896</v>
      </c>
      <c r="B636">
        <f t="shared" si="45"/>
        <v>6601.0447293357702</v>
      </c>
      <c r="C636">
        <f>day_length(F636,$B$1,Fitting!$B$4)</f>
        <v>14.48466968536377</v>
      </c>
      <c r="D636" s="1">
        <f t="shared" si="46"/>
        <v>32896</v>
      </c>
      <c r="E636">
        <f t="shared" si="48"/>
        <v>1990</v>
      </c>
      <c r="F636" s="6">
        <f t="shared" si="49"/>
        <v>23</v>
      </c>
      <c r="G636">
        <v>29.9</v>
      </c>
      <c r="H636">
        <v>17.3</v>
      </c>
      <c r="I636">
        <f>MAX(0,1-Fitting!$B$7*(Fitting!$B$6-Herm8889!C636)^2)</f>
        <v>0.74530282534709302</v>
      </c>
      <c r="J636">
        <f>tt(G636,H636,Fitting!$B$1:$E$1,Fitting!$B$2:$E$2)*I636</f>
        <v>17.589146962501861</v>
      </c>
    </row>
    <row r="637" spans="1:10">
      <c r="A637" s="1">
        <f t="shared" si="47"/>
        <v>32897</v>
      </c>
      <c r="B637">
        <f t="shared" si="45"/>
        <v>6617.1472228658731</v>
      </c>
      <c r="C637">
        <f>day_length(F637,$B$1,Fitting!$B$4)</f>
        <v>14.465018272399902</v>
      </c>
      <c r="D637" s="1">
        <f t="shared" si="46"/>
        <v>32897</v>
      </c>
      <c r="E637">
        <f t="shared" si="48"/>
        <v>1990</v>
      </c>
      <c r="F637" s="6">
        <f t="shared" si="49"/>
        <v>24</v>
      </c>
      <c r="G637">
        <v>27.2</v>
      </c>
      <c r="H637">
        <v>16.100000000000001</v>
      </c>
      <c r="I637">
        <f>MAX(0,1-Fitting!$B$7*(Fitting!$B$6-Herm8889!C637)^2)</f>
        <v>0.74376408291959706</v>
      </c>
      <c r="J637">
        <f>tt(G637,H637,Fitting!$B$1:$E$1,Fitting!$B$2:$E$2)*I637</f>
        <v>16.102493530103203</v>
      </c>
    </row>
    <row r="638" spans="1:10">
      <c r="A638" s="1">
        <f t="shared" si="47"/>
        <v>32898</v>
      </c>
      <c r="B638">
        <f t="shared" si="45"/>
        <v>6632.6588969113973</v>
      </c>
      <c r="C638">
        <f>day_length(F638,$B$1,Fitting!$B$4)</f>
        <v>14.444917678833008</v>
      </c>
      <c r="D638" s="1">
        <f t="shared" si="46"/>
        <v>32898</v>
      </c>
      <c r="E638">
        <f t="shared" si="48"/>
        <v>1990</v>
      </c>
      <c r="F638" s="6">
        <f t="shared" si="49"/>
        <v>25</v>
      </c>
      <c r="G638">
        <v>26.2</v>
      </c>
      <c r="H638">
        <v>15.6</v>
      </c>
      <c r="I638">
        <f>MAX(0,1-Fitting!$B$7*(Fitting!$B$6-Herm8889!C638)^2)</f>
        <v>0.74218537457634381</v>
      </c>
      <c r="J638">
        <f>tt(G638,H638,Fitting!$B$1:$E$1,Fitting!$B$2:$E$2)*I638</f>
        <v>15.511674045524334</v>
      </c>
    </row>
    <row r="639" spans="1:10">
      <c r="A639" s="1">
        <f t="shared" si="47"/>
        <v>32899</v>
      </c>
      <c r="B639">
        <f t="shared" si="45"/>
        <v>6646.6926488263198</v>
      </c>
      <c r="C639">
        <f>day_length(F639,$B$1,Fitting!$B$4)</f>
        <v>14.424380302429199</v>
      </c>
      <c r="D639" s="1">
        <f t="shared" si="46"/>
        <v>32899</v>
      </c>
      <c r="E639">
        <f t="shared" si="48"/>
        <v>1990</v>
      </c>
      <c r="F639" s="6">
        <f t="shared" si="49"/>
        <v>26</v>
      </c>
      <c r="G639">
        <v>26.5</v>
      </c>
      <c r="H639">
        <v>11.4</v>
      </c>
      <c r="I639">
        <f>MAX(0,1-Fitting!$B$7*(Fitting!$B$6-Herm8889!C639)^2)</f>
        <v>0.74056735355751335</v>
      </c>
      <c r="J639">
        <f>tt(G639,H639,Fitting!$B$1:$E$1,Fitting!$B$2:$E$2)*I639</f>
        <v>14.033751914922929</v>
      </c>
    </row>
    <row r="640" spans="1:10">
      <c r="A640" s="1">
        <f t="shared" si="47"/>
        <v>32900</v>
      </c>
      <c r="B640">
        <f t="shared" si="45"/>
        <v>6662.4683888669279</v>
      </c>
      <c r="C640">
        <f>day_length(F640,$B$1,Fitting!$B$4)</f>
        <v>14.403416633605957</v>
      </c>
      <c r="D640" s="1">
        <f t="shared" si="46"/>
        <v>32900</v>
      </c>
      <c r="E640">
        <f t="shared" si="48"/>
        <v>1990</v>
      </c>
      <c r="F640" s="6">
        <f t="shared" si="49"/>
        <v>27</v>
      </c>
      <c r="G640">
        <v>30.2</v>
      </c>
      <c r="H640">
        <v>12.5</v>
      </c>
      <c r="I640">
        <f>MAX(0,1-Fitting!$B$7*(Fitting!$B$6-Herm8889!C640)^2)</f>
        <v>0.7389105273412806</v>
      </c>
      <c r="J640">
        <f>tt(G640,H640,Fitting!$B$1:$E$1,Fitting!$B$2:$E$2)*I640</f>
        <v>15.775740040608337</v>
      </c>
    </row>
    <row r="641" spans="1:10">
      <c r="A641" s="1">
        <f t="shared" si="47"/>
        <v>32901</v>
      </c>
      <c r="B641">
        <f t="shared" si="45"/>
        <v>6677.3324978521405</v>
      </c>
      <c r="C641">
        <f>day_length(F641,$B$1,Fitting!$B$4)</f>
        <v>14.382039070129395</v>
      </c>
      <c r="D641" s="1">
        <f t="shared" si="46"/>
        <v>32901</v>
      </c>
      <c r="E641">
        <f t="shared" si="48"/>
        <v>1990</v>
      </c>
      <c r="F641" s="6">
        <f t="shared" si="49"/>
        <v>28</v>
      </c>
      <c r="G641">
        <v>36.6</v>
      </c>
      <c r="H641">
        <v>16.600000000000001</v>
      </c>
      <c r="I641">
        <f>MAX(0,1-Fitting!$B$7*(Fitting!$B$6-Herm8889!C641)^2)</f>
        <v>0.73721555878423717</v>
      </c>
      <c r="J641">
        <f>tt(G641,H641,Fitting!$B$1:$E$1,Fitting!$B$2:$E$2)*I641</f>
        <v>14.864108985212599</v>
      </c>
    </row>
    <row r="642" spans="1:10">
      <c r="A642" s="1">
        <f t="shared" si="47"/>
        <v>32902</v>
      </c>
      <c r="B642">
        <f t="shared" si="45"/>
        <v>6691.9323218768714</v>
      </c>
      <c r="C642">
        <f>day_length(F642,$B$1,Fitting!$B$4)</f>
        <v>14.360259056091309</v>
      </c>
      <c r="D642" s="1">
        <f t="shared" si="46"/>
        <v>32902</v>
      </c>
      <c r="E642">
        <f t="shared" si="48"/>
        <v>1990</v>
      </c>
      <c r="F642" s="6">
        <f t="shared" si="49"/>
        <v>29</v>
      </c>
      <c r="G642">
        <v>38.200000000000003</v>
      </c>
      <c r="H642">
        <v>22.3</v>
      </c>
      <c r="I642">
        <f>MAX(0,1-Fitting!$B$7*(Fitting!$B$6-Herm8889!C642)^2)</f>
        <v>0.73548304118669505</v>
      </c>
      <c r="J642">
        <f>tt(G642,H642,Fitting!$B$1:$E$1,Fitting!$B$2:$E$2)*I642</f>
        <v>14.599824024730692</v>
      </c>
    </row>
    <row r="643" spans="1:10">
      <c r="A643" s="1">
        <f t="shared" si="47"/>
        <v>32903</v>
      </c>
      <c r="B643">
        <f t="shared" si="45"/>
        <v>6709.3580206557363</v>
      </c>
      <c r="C643">
        <f>day_length(F643,$B$1,Fitting!$B$4)</f>
        <v>14.338088035583496</v>
      </c>
      <c r="D643" s="1">
        <f t="shared" si="46"/>
        <v>32903</v>
      </c>
      <c r="E643">
        <f t="shared" si="48"/>
        <v>1990</v>
      </c>
      <c r="F643" s="6">
        <f t="shared" si="49"/>
        <v>30</v>
      </c>
      <c r="G643">
        <v>29.4</v>
      </c>
      <c r="H643">
        <v>18.100000000000001</v>
      </c>
      <c r="I643">
        <f>MAX(0,1-Fitting!$B$7*(Fitting!$B$6-Herm8889!C643)^2)</f>
        <v>0.73371357387018543</v>
      </c>
      <c r="J643">
        <f>tt(G643,H643,Fitting!$B$1:$E$1,Fitting!$B$2:$E$2)*I643</f>
        <v>17.425698778864486</v>
      </c>
    </row>
    <row r="644" spans="1:10">
      <c r="A644" s="1">
        <f t="shared" si="47"/>
        <v>32904</v>
      </c>
      <c r="B644">
        <f t="shared" si="45"/>
        <v>6724.5451083195485</v>
      </c>
      <c r="C644">
        <f>day_length(F644,$B$1,Fitting!$B$4)</f>
        <v>14.31553840637207</v>
      </c>
      <c r="D644" s="1">
        <f t="shared" si="46"/>
        <v>32904</v>
      </c>
      <c r="E644">
        <f t="shared" si="48"/>
        <v>1990</v>
      </c>
      <c r="F644" s="6">
        <f t="shared" si="49"/>
        <v>31</v>
      </c>
      <c r="G644">
        <v>26.9</v>
      </c>
      <c r="H644">
        <v>14.6</v>
      </c>
      <c r="I644">
        <f>MAX(0,1-Fitting!$B$7*(Fitting!$B$6-Herm8889!C644)^2)</f>
        <v>0.73190783921987901</v>
      </c>
      <c r="J644">
        <f>tt(G644,H644,Fitting!$B$1:$E$1,Fitting!$B$2:$E$2)*I644</f>
        <v>15.187087663812489</v>
      </c>
    </row>
    <row r="645" spans="1:10">
      <c r="A645" s="1">
        <f t="shared" si="47"/>
        <v>32905</v>
      </c>
      <c r="B645">
        <f t="shared" ref="B645:B672" si="50">B644+J645</f>
        <v>6741.8841851384332</v>
      </c>
      <c r="C645">
        <f>day_length(F645,$B$1,Fitting!$B$4)</f>
        <v>14.292621612548828</v>
      </c>
      <c r="D645" s="1">
        <f t="shared" ref="D645:D672" si="51">A645</f>
        <v>32905</v>
      </c>
      <c r="E645">
        <f t="shared" si="48"/>
        <v>1990</v>
      </c>
      <c r="F645" s="6">
        <f t="shared" si="49"/>
        <v>32</v>
      </c>
      <c r="G645">
        <v>28.9</v>
      </c>
      <c r="H645">
        <v>18.600000000000001</v>
      </c>
      <c r="I645">
        <f>MAX(0,1-Fitting!$B$7*(Fitting!$B$6-Herm8889!C645)^2)</f>
        <v>0.73006645100531742</v>
      </c>
      <c r="J645">
        <f>tt(G645,H645,Fitting!$B$1:$E$1,Fitting!$B$2:$E$2)*I645</f>
        <v>17.33907681888504</v>
      </c>
    </row>
    <row r="646" spans="1:10">
      <c r="A646" s="1">
        <f t="shared" ref="A646:A672" si="52">A645+1</f>
        <v>32906</v>
      </c>
      <c r="B646">
        <f t="shared" si="50"/>
        <v>6759.5063830463087</v>
      </c>
      <c r="C646">
        <f>day_length(F646,$B$1,Fitting!$B$4)</f>
        <v>14.269349098205566</v>
      </c>
      <c r="D646" s="1">
        <f t="shared" si="51"/>
        <v>32906</v>
      </c>
      <c r="E646">
        <f t="shared" ref="E646:E672" si="53">YEAR(A646)</f>
        <v>1990</v>
      </c>
      <c r="F646" s="6">
        <f t="shared" ref="F646:F672" si="54">A646-DATE(E646,1,1)+1</f>
        <v>33</v>
      </c>
      <c r="G646">
        <v>27.6</v>
      </c>
      <c r="H646">
        <v>20.8</v>
      </c>
      <c r="I646">
        <f>MAX(0,1-Fitting!$B$7*(Fitting!$B$6-Herm8889!C646)^2)</f>
        <v>0.72819003062904264</v>
      </c>
      <c r="J646">
        <f>tt(G646,H646,Fitting!$B$1:$E$1,Fitting!$B$2:$E$2)*I646</f>
        <v>17.622197907875478</v>
      </c>
    </row>
    <row r="647" spans="1:10">
      <c r="A647" s="1">
        <f t="shared" si="52"/>
        <v>32907</v>
      </c>
      <c r="B647">
        <f t="shared" si="50"/>
        <v>6776.5013180363694</v>
      </c>
      <c r="C647">
        <f>day_length(F647,$B$1,Fitting!$B$4)</f>
        <v>14.245733261108398</v>
      </c>
      <c r="D647" s="1">
        <f t="shared" si="51"/>
        <v>32907</v>
      </c>
      <c r="E647">
        <f t="shared" si="53"/>
        <v>1990</v>
      </c>
      <c r="F647" s="6">
        <f t="shared" si="54"/>
        <v>34</v>
      </c>
      <c r="G647">
        <v>28</v>
      </c>
      <c r="H647">
        <v>18.8</v>
      </c>
      <c r="I647">
        <f>MAX(0,1-Fitting!$B$7*(Fitting!$B$6-Herm8889!C647)^2)</f>
        <v>0.72627928491941574</v>
      </c>
      <c r="J647">
        <f>tt(G647,H647,Fitting!$B$1:$E$1,Fitting!$B$2:$E$2)*I647</f>
        <v>16.994934990060766</v>
      </c>
    </row>
    <row r="648" spans="1:10">
      <c r="A648" s="1">
        <f t="shared" si="52"/>
        <v>32908</v>
      </c>
      <c r="B648">
        <f t="shared" si="50"/>
        <v>6792.2918152751545</v>
      </c>
      <c r="C648">
        <f>day_length(F648,$B$1,Fitting!$B$4)</f>
        <v>14.221783638000488</v>
      </c>
      <c r="D648" s="1">
        <f t="shared" si="51"/>
        <v>32908</v>
      </c>
      <c r="E648">
        <f t="shared" si="53"/>
        <v>1990</v>
      </c>
      <c r="F648" s="6">
        <f t="shared" si="54"/>
        <v>35</v>
      </c>
      <c r="G648">
        <v>24.2</v>
      </c>
      <c r="H648">
        <v>19.399999999999999</v>
      </c>
      <c r="I648">
        <f>MAX(0,1-Fitting!$B$7*(Fitting!$B$6-Herm8889!C648)^2)</f>
        <v>0.72433469769953263</v>
      </c>
      <c r="J648">
        <f>tt(G648,H648,Fitting!$B$1:$E$1,Fitting!$B$2:$E$2)*I648</f>
        <v>15.790497238785088</v>
      </c>
    </row>
    <row r="649" spans="1:10">
      <c r="A649" s="1">
        <f t="shared" si="52"/>
        <v>32909</v>
      </c>
      <c r="B649">
        <f t="shared" si="50"/>
        <v>6807.6057873831378</v>
      </c>
      <c r="C649">
        <f>day_length(F649,$B$1,Fitting!$B$4)</f>
        <v>14.197514533996582</v>
      </c>
      <c r="D649" s="1">
        <f t="shared" si="51"/>
        <v>32909</v>
      </c>
      <c r="E649">
        <f t="shared" si="53"/>
        <v>1990</v>
      </c>
      <c r="F649" s="6">
        <f t="shared" si="54"/>
        <v>36</v>
      </c>
      <c r="G649">
        <v>29.1</v>
      </c>
      <c r="H649">
        <v>13.3</v>
      </c>
      <c r="I649">
        <f>MAX(0,1-Fitting!$B$7*(Fitting!$B$6-Herm8889!C649)^2)</f>
        <v>0.72235714890887359</v>
      </c>
      <c r="J649">
        <f>tt(G649,H649,Fitting!$B$1:$E$1,Fitting!$B$2:$E$2)*I649</f>
        <v>15.313972107982888</v>
      </c>
    </row>
    <row r="650" spans="1:10">
      <c r="A650" s="1">
        <f t="shared" si="52"/>
        <v>32910</v>
      </c>
      <c r="B650">
        <f t="shared" si="50"/>
        <v>6824.333461189839</v>
      </c>
      <c r="C650">
        <f>day_length(F650,$B$1,Fitting!$B$4)</f>
        <v>14.172933578491211</v>
      </c>
      <c r="D650" s="1">
        <f t="shared" si="51"/>
        <v>32910</v>
      </c>
      <c r="E650">
        <f t="shared" si="53"/>
        <v>1990</v>
      </c>
      <c r="F650" s="6">
        <f t="shared" si="54"/>
        <v>37</v>
      </c>
      <c r="G650">
        <v>32.6</v>
      </c>
      <c r="H650">
        <v>17.2</v>
      </c>
      <c r="I650">
        <f>MAX(0,1-Fitting!$B$7*(Fitting!$B$6-Herm8889!C650)^2)</f>
        <v>0.72034698445784306</v>
      </c>
      <c r="J650">
        <f>tt(G650,H650,Fitting!$B$1:$E$1,Fitting!$B$2:$E$2)*I650</f>
        <v>16.727673806700754</v>
      </c>
    </row>
    <row r="651" spans="1:10">
      <c r="A651" s="1">
        <f t="shared" si="52"/>
        <v>32911</v>
      </c>
      <c r="B651">
        <f t="shared" si="50"/>
        <v>6840.8872581135884</v>
      </c>
      <c r="C651">
        <f>day_length(F651,$B$1,Fitting!$B$4)</f>
        <v>14.148056983947754</v>
      </c>
      <c r="D651" s="1">
        <f t="shared" si="51"/>
        <v>32911</v>
      </c>
      <c r="E651">
        <f t="shared" si="53"/>
        <v>1990</v>
      </c>
      <c r="F651" s="6">
        <f t="shared" si="54"/>
        <v>38</v>
      </c>
      <c r="G651">
        <v>33.299999999999997</v>
      </c>
      <c r="H651">
        <v>17.5</v>
      </c>
      <c r="I651">
        <f>MAX(0,1-Fitting!$B$7*(Fitting!$B$6-Herm8889!C651)^2)</f>
        <v>0.71830526142863715</v>
      </c>
      <c r="J651">
        <f>tt(G651,H651,Fitting!$B$1:$E$1,Fitting!$B$2:$E$2)*I651</f>
        <v>16.553796923749534</v>
      </c>
    </row>
    <row r="652" spans="1:10">
      <c r="A652" s="1">
        <f t="shared" si="52"/>
        <v>32912</v>
      </c>
      <c r="B652">
        <f t="shared" si="50"/>
        <v>6858.1498775809687</v>
      </c>
      <c r="C652">
        <f>day_length(F652,$B$1,Fitting!$B$4)</f>
        <v>14.122890472412109</v>
      </c>
      <c r="D652" s="1">
        <f t="shared" si="51"/>
        <v>32912</v>
      </c>
      <c r="E652">
        <f t="shared" si="53"/>
        <v>1990</v>
      </c>
      <c r="F652" s="6">
        <f t="shared" si="54"/>
        <v>39</v>
      </c>
      <c r="G652">
        <v>32</v>
      </c>
      <c r="H652">
        <v>18.600000000000001</v>
      </c>
      <c r="I652">
        <f>MAX(0,1-Fitting!$B$7*(Fitting!$B$6-Herm8889!C652)^2)</f>
        <v>0.71623218727335913</v>
      </c>
      <c r="J652">
        <f>tt(G652,H652,Fitting!$B$1:$E$1,Fitting!$B$2:$E$2)*I652</f>
        <v>17.262619467380318</v>
      </c>
    </row>
    <row r="653" spans="1:10">
      <c r="A653" s="1">
        <f t="shared" si="52"/>
        <v>32913</v>
      </c>
      <c r="B653">
        <f t="shared" si="50"/>
        <v>6875.5032073445918</v>
      </c>
      <c r="C653">
        <f>day_length(F653,$B$1,Fitting!$B$4)</f>
        <v>14.09744930267334</v>
      </c>
      <c r="D653" s="1">
        <f t="shared" si="51"/>
        <v>32913</v>
      </c>
      <c r="E653">
        <f t="shared" si="53"/>
        <v>1990</v>
      </c>
      <c r="F653" s="6">
        <f t="shared" si="54"/>
        <v>40</v>
      </c>
      <c r="G653">
        <v>29.9</v>
      </c>
      <c r="H653">
        <v>18.7</v>
      </c>
      <c r="I653">
        <f>MAX(0,1-Fitting!$B$7*(Fitting!$B$6-Herm8889!C653)^2)</f>
        <v>0.7141287632250114</v>
      </c>
      <c r="J653">
        <f>tt(G653,H653,Fitting!$B$1:$E$1,Fitting!$B$2:$E$2)*I653</f>
        <v>17.353329763623289</v>
      </c>
    </row>
    <row r="654" spans="1:10">
      <c r="A654" s="1">
        <f t="shared" si="52"/>
        <v>32914</v>
      </c>
      <c r="B654">
        <f t="shared" si="50"/>
        <v>6891.9147019542643</v>
      </c>
      <c r="C654">
        <f>day_length(F654,$B$1,Fitting!$B$4)</f>
        <v>14.071742057800293</v>
      </c>
      <c r="D654" s="1">
        <f t="shared" si="51"/>
        <v>32914</v>
      </c>
      <c r="E654">
        <f t="shared" si="53"/>
        <v>1990</v>
      </c>
      <c r="F654" s="6">
        <f t="shared" si="54"/>
        <v>41</v>
      </c>
      <c r="G654">
        <v>29.5</v>
      </c>
      <c r="H654">
        <v>16.600000000000001</v>
      </c>
      <c r="I654">
        <f>MAX(0,1-Fitting!$B$7*(Fitting!$B$6-Herm8889!C654)^2)</f>
        <v>0.71199545131808006</v>
      </c>
      <c r="J654">
        <f>tt(G654,H654,Fitting!$B$1:$E$1,Fitting!$B$2:$E$2)*I654</f>
        <v>16.411494609672324</v>
      </c>
    </row>
    <row r="655" spans="1:10">
      <c r="A655" s="1">
        <f t="shared" si="52"/>
        <v>32915</v>
      </c>
      <c r="B655">
        <f t="shared" si="50"/>
        <v>6906.675683834037</v>
      </c>
      <c r="C655">
        <f>day_length(F655,$B$1,Fitting!$B$4)</f>
        <v>14.045780181884766</v>
      </c>
      <c r="D655" s="1">
        <f t="shared" si="51"/>
        <v>32915</v>
      </c>
      <c r="E655">
        <f t="shared" si="53"/>
        <v>1990</v>
      </c>
      <c r="F655" s="6">
        <f t="shared" si="54"/>
        <v>42</v>
      </c>
      <c r="G655">
        <v>30.7</v>
      </c>
      <c r="H655">
        <v>11</v>
      </c>
      <c r="I655">
        <f>MAX(0,1-Fitting!$B$7*(Fitting!$B$6-Herm8889!C655)^2)</f>
        <v>0.70983296032799992</v>
      </c>
      <c r="J655">
        <f>tt(G655,H655,Fitting!$B$1:$E$1,Fitting!$B$2:$E$2)*I655</f>
        <v>14.760981879772421</v>
      </c>
    </row>
    <row r="656" spans="1:10">
      <c r="A656" s="1">
        <f t="shared" si="52"/>
        <v>32916</v>
      </c>
      <c r="B656">
        <f t="shared" si="50"/>
        <v>6922.349952755495</v>
      </c>
      <c r="C656">
        <f>day_length(F656,$B$1,Fitting!$B$4)</f>
        <v>14.019575119018555</v>
      </c>
      <c r="D656" s="1">
        <f t="shared" si="51"/>
        <v>32916</v>
      </c>
      <c r="E656">
        <f t="shared" si="53"/>
        <v>1990</v>
      </c>
      <c r="F656" s="6">
        <f t="shared" si="54"/>
        <v>43</v>
      </c>
      <c r="G656">
        <v>28.9</v>
      </c>
      <c r="H656">
        <v>15.4</v>
      </c>
      <c r="I656">
        <f>MAX(0,1-Fitting!$B$7*(Fitting!$B$6-Herm8889!C656)^2)</f>
        <v>0.70764201088585099</v>
      </c>
      <c r="J656">
        <f>tt(G656,H656,Fitting!$B$1:$E$1,Fitting!$B$2:$E$2)*I656</f>
        <v>15.674268921457573</v>
      </c>
    </row>
    <row r="657" spans="1:10">
      <c r="A657" s="1">
        <f t="shared" si="52"/>
        <v>32917</v>
      </c>
      <c r="B657">
        <f t="shared" si="50"/>
        <v>6938.0103464430995</v>
      </c>
      <c r="C657">
        <f>day_length(F657,$B$1,Fitting!$B$4)</f>
        <v>13.993136405944824</v>
      </c>
      <c r="D657" s="1">
        <f t="shared" si="51"/>
        <v>32917</v>
      </c>
      <c r="E657">
        <f t="shared" si="53"/>
        <v>1990</v>
      </c>
      <c r="F657" s="6">
        <f t="shared" si="54"/>
        <v>44</v>
      </c>
      <c r="G657">
        <v>27.9</v>
      </c>
      <c r="H657">
        <v>16.5</v>
      </c>
      <c r="I657">
        <f>MAX(0,1-Fitting!$B$7*(Fitting!$B$6-Herm8889!C657)^2)</f>
        <v>0.70542317544582511</v>
      </c>
      <c r="J657">
        <f>tt(G657,H657,Fitting!$B$1:$E$1,Fitting!$B$2:$E$2)*I657</f>
        <v>15.660393687604559</v>
      </c>
    </row>
    <row r="658" spans="1:10">
      <c r="A658" s="1">
        <f t="shared" si="52"/>
        <v>32918</v>
      </c>
      <c r="B658">
        <f t="shared" si="50"/>
        <v>6953.0934944134688</v>
      </c>
      <c r="C658">
        <f>day_length(F658,$B$1,Fitting!$B$4)</f>
        <v>13.966473579406738</v>
      </c>
      <c r="D658" s="1">
        <f t="shared" si="51"/>
        <v>32918</v>
      </c>
      <c r="E658">
        <f t="shared" si="53"/>
        <v>1990</v>
      </c>
      <c r="F658" s="6">
        <f t="shared" si="54"/>
        <v>45</v>
      </c>
      <c r="G658">
        <v>28.4</v>
      </c>
      <c r="H658">
        <v>14.5</v>
      </c>
      <c r="I658">
        <f>MAX(0,1-Fitting!$B$7*(Fitting!$B$6-Herm8889!C658)^2)</f>
        <v>0.70317703654489927</v>
      </c>
      <c r="J658">
        <f>tt(G658,H658,Fitting!$B$1:$E$1,Fitting!$B$2:$E$2)*I658</f>
        <v>15.083147970369593</v>
      </c>
    </row>
    <row r="659" spans="1:10">
      <c r="A659" s="1">
        <f t="shared" si="52"/>
        <v>32919</v>
      </c>
      <c r="B659">
        <f t="shared" si="50"/>
        <v>6968.8638422584218</v>
      </c>
      <c r="C659">
        <f>day_length(F659,$B$1,Fitting!$B$4)</f>
        <v>13.939598083496094</v>
      </c>
      <c r="D659" s="1">
        <f t="shared" si="51"/>
        <v>32919</v>
      </c>
      <c r="E659">
        <f t="shared" si="53"/>
        <v>1990</v>
      </c>
      <c r="F659" s="6">
        <f t="shared" si="54"/>
        <v>46</v>
      </c>
      <c r="G659">
        <v>29</v>
      </c>
      <c r="H659">
        <v>16</v>
      </c>
      <c r="I659">
        <f>MAX(0,1-Fitting!$B$7*(Fitting!$B$6-Herm8889!C659)^2)</f>
        <v>0.70090434866456786</v>
      </c>
      <c r="J659">
        <f>tt(G659,H659,Fitting!$B$1:$E$1,Fitting!$B$2:$E$2)*I659</f>
        <v>15.770347844952777</v>
      </c>
    </row>
    <row r="660" spans="1:10">
      <c r="A660" s="1">
        <f t="shared" si="52"/>
        <v>32920</v>
      </c>
      <c r="B660">
        <f t="shared" si="50"/>
        <v>6984.9667048380297</v>
      </c>
      <c r="C660">
        <f>day_length(F660,$B$1,Fitting!$B$4)</f>
        <v>13.912519454956055</v>
      </c>
      <c r="D660" s="1">
        <f t="shared" si="51"/>
        <v>32920</v>
      </c>
      <c r="E660">
        <f t="shared" si="53"/>
        <v>1990</v>
      </c>
      <c r="F660" s="6">
        <f t="shared" si="54"/>
        <v>47</v>
      </c>
      <c r="G660">
        <v>27.9</v>
      </c>
      <c r="H660">
        <v>18.2</v>
      </c>
      <c r="I660">
        <f>MAX(0,1-Fitting!$B$7*(Fitting!$B$6-Herm8889!C660)^2)</f>
        <v>0.69860571714174147</v>
      </c>
      <c r="J660">
        <f>tt(G660,H660,Fitting!$B$1:$E$1,Fitting!$B$2:$E$2)*I660</f>
        <v>16.102862579607937</v>
      </c>
    </row>
    <row r="661" spans="1:10">
      <c r="A661" s="1">
        <f t="shared" si="52"/>
        <v>32921</v>
      </c>
      <c r="B661">
        <f t="shared" si="50"/>
        <v>7000.8767451384492</v>
      </c>
      <c r="C661">
        <f>day_length(F661,$B$1,Fitting!$B$4)</f>
        <v>13.885248184204102</v>
      </c>
      <c r="D661" s="1">
        <f t="shared" si="51"/>
        <v>32921</v>
      </c>
      <c r="E661">
        <f t="shared" si="53"/>
        <v>1990</v>
      </c>
      <c r="F661" s="6">
        <f t="shared" si="54"/>
        <v>48</v>
      </c>
      <c r="G661">
        <v>28.7</v>
      </c>
      <c r="H661">
        <v>17</v>
      </c>
      <c r="I661">
        <f>MAX(0,1-Fitting!$B$7*(Fitting!$B$6-Herm8889!C661)^2)</f>
        <v>0.69628183959777379</v>
      </c>
      <c r="J661">
        <f>tt(G661,H661,Fitting!$B$1:$E$1,Fitting!$B$2:$E$2)*I661</f>
        <v>15.910040300419574</v>
      </c>
    </row>
    <row r="662" spans="1:10">
      <c r="A662" s="1">
        <f t="shared" si="52"/>
        <v>32922</v>
      </c>
      <c r="B662">
        <f t="shared" si="50"/>
        <v>7017.9475056720657</v>
      </c>
      <c r="C662">
        <f>day_length(F662,$B$1,Fitting!$B$4)</f>
        <v>13.857793807983398</v>
      </c>
      <c r="D662" s="1">
        <f t="shared" si="51"/>
        <v>32922</v>
      </c>
      <c r="E662">
        <f t="shared" si="53"/>
        <v>1990</v>
      </c>
      <c r="F662" s="6">
        <f t="shared" si="54"/>
        <v>49</v>
      </c>
      <c r="G662">
        <v>29.7</v>
      </c>
      <c r="H662">
        <v>19.5</v>
      </c>
      <c r="I662">
        <f>MAX(0,1-Fitting!$B$7*(Fitting!$B$6-Herm8889!C662)^2)</f>
        <v>0.6939333442643183</v>
      </c>
      <c r="J662">
        <f>tt(G662,H662,Fitting!$B$1:$E$1,Fitting!$B$2:$E$2)*I662</f>
        <v>17.070760533616792</v>
      </c>
    </row>
    <row r="663" spans="1:10">
      <c r="A663" s="1">
        <f t="shared" si="52"/>
        <v>32923</v>
      </c>
      <c r="B663">
        <f t="shared" si="50"/>
        <v>7035.0119113802793</v>
      </c>
      <c r="C663">
        <f>day_length(F663,$B$1,Fitting!$B$4)</f>
        <v>13.830164909362793</v>
      </c>
      <c r="D663" s="1">
        <f t="shared" si="51"/>
        <v>32923</v>
      </c>
      <c r="E663">
        <f t="shared" si="53"/>
        <v>1990</v>
      </c>
      <c r="F663" s="6">
        <f t="shared" si="54"/>
        <v>50</v>
      </c>
      <c r="G663">
        <v>30.7</v>
      </c>
      <c r="H663">
        <v>19</v>
      </c>
      <c r="I663">
        <f>MAX(0,1-Fitting!$B$7*(Fitting!$B$6-Herm8889!C663)^2)</f>
        <v>0.69156078863840409</v>
      </c>
      <c r="J663">
        <f>tt(G663,H663,Fitting!$B$1:$E$1,Fitting!$B$2:$E$2)*I663</f>
        <v>17.064405708213805</v>
      </c>
    </row>
    <row r="664" spans="1:10">
      <c r="A664" s="1">
        <f t="shared" si="52"/>
        <v>32924</v>
      </c>
      <c r="B664">
        <f t="shared" si="50"/>
        <v>7051.1728276187005</v>
      </c>
      <c r="C664">
        <f>day_length(F664,$B$1,Fitting!$B$4)</f>
        <v>13.802371978759766</v>
      </c>
      <c r="D664" s="1">
        <f t="shared" si="51"/>
        <v>32924</v>
      </c>
      <c r="E664">
        <f t="shared" si="53"/>
        <v>1990</v>
      </c>
      <c r="F664" s="6">
        <f t="shared" si="54"/>
        <v>51</v>
      </c>
      <c r="G664">
        <v>29.8</v>
      </c>
      <c r="H664">
        <v>17.100000000000001</v>
      </c>
      <c r="I664">
        <f>MAX(0,1-Fitting!$B$7*(Fitting!$B$6-Herm8889!C664)^2)</f>
        <v>0.68916490520714424</v>
      </c>
      <c r="J664">
        <f>tt(G664,H664,Fitting!$B$1:$E$1,Fitting!$B$2:$E$2)*I664</f>
        <v>16.160916238420889</v>
      </c>
    </row>
    <row r="665" spans="1:10">
      <c r="A665" s="1">
        <f t="shared" si="52"/>
        <v>32925</v>
      </c>
      <c r="B665">
        <f t="shared" si="50"/>
        <v>7066.8649802429663</v>
      </c>
      <c r="C665">
        <f>day_length(F665,$B$1,Fitting!$B$4)</f>
        <v>13.774423599243164</v>
      </c>
      <c r="D665" s="1">
        <f t="shared" si="51"/>
        <v>32925</v>
      </c>
      <c r="E665">
        <f t="shared" si="53"/>
        <v>1990</v>
      </c>
      <c r="F665" s="6">
        <f t="shared" si="54"/>
        <v>52</v>
      </c>
      <c r="G665">
        <v>28.7</v>
      </c>
      <c r="H665">
        <v>17</v>
      </c>
      <c r="I665">
        <f>MAX(0,1-Fitting!$B$7*(Fitting!$B$6-Herm8889!C665)^2)</f>
        <v>0.68674627406095534</v>
      </c>
      <c r="J665">
        <f>tt(G665,H665,Fitting!$B$1:$E$1,Fitting!$B$2:$E$2)*I665</f>
        <v>15.692152624265743</v>
      </c>
    </row>
    <row r="666" spans="1:10">
      <c r="A666" s="1">
        <f t="shared" si="52"/>
        <v>32926</v>
      </c>
      <c r="B666">
        <f t="shared" si="50"/>
        <v>7082.3645005428098</v>
      </c>
      <c r="C666">
        <f>day_length(F666,$B$1,Fitting!$B$4)</f>
        <v>13.746328353881836</v>
      </c>
      <c r="D666" s="1">
        <f t="shared" si="51"/>
        <v>32926</v>
      </c>
      <c r="E666">
        <f t="shared" si="53"/>
        <v>1990</v>
      </c>
      <c r="F666" s="6">
        <f t="shared" si="54"/>
        <v>53</v>
      </c>
      <c r="G666">
        <v>28.4</v>
      </c>
      <c r="H666">
        <v>16.899999999999999</v>
      </c>
      <c r="I666">
        <f>MAX(0,1-Fitting!$B$7*(Fitting!$B$6-Herm8889!C666)^2)</f>
        <v>0.6843054859018084</v>
      </c>
      <c r="J666">
        <f>tt(G666,H666,Fitting!$B$1:$E$1,Fitting!$B$2:$E$2)*I666</f>
        <v>15.499520299843267</v>
      </c>
    </row>
    <row r="667" spans="1:10">
      <c r="A667" s="1">
        <f t="shared" si="52"/>
        <v>32927</v>
      </c>
      <c r="B667">
        <f t="shared" si="50"/>
        <v>7096.785484502745</v>
      </c>
      <c r="C667">
        <f>day_length(F667,$B$1,Fitting!$B$4)</f>
        <v>13.718095779418945</v>
      </c>
      <c r="D667" s="1">
        <f t="shared" si="51"/>
        <v>32927</v>
      </c>
      <c r="E667">
        <f t="shared" si="53"/>
        <v>1990</v>
      </c>
      <c r="F667" s="6">
        <f t="shared" si="54"/>
        <v>54</v>
      </c>
      <c r="G667">
        <v>27.1</v>
      </c>
      <c r="H667">
        <v>15.2</v>
      </c>
      <c r="I667">
        <f>MAX(0,1-Fitting!$B$7*(Fitting!$B$6-Herm8889!C667)^2)</f>
        <v>0.68184322553370291</v>
      </c>
      <c r="J667">
        <f>tt(G667,H667,Fitting!$B$1:$E$1,Fitting!$B$2:$E$2)*I667</f>
        <v>14.420983959935267</v>
      </c>
    </row>
    <row r="668" spans="1:10">
      <c r="A668" s="1">
        <f t="shared" si="52"/>
        <v>32928</v>
      </c>
      <c r="B668">
        <f t="shared" si="50"/>
        <v>7112.7164788843702</v>
      </c>
      <c r="C668">
        <f>day_length(F668,$B$1,Fitting!$B$4)</f>
        <v>13.689735412597656</v>
      </c>
      <c r="D668" s="1">
        <f t="shared" si="51"/>
        <v>32928</v>
      </c>
      <c r="E668">
        <f t="shared" si="53"/>
        <v>1990</v>
      </c>
      <c r="F668" s="6">
        <f t="shared" si="54"/>
        <v>55</v>
      </c>
      <c r="G668">
        <v>29.5</v>
      </c>
      <c r="H668">
        <v>17.399999999999999</v>
      </c>
      <c r="I668">
        <f>MAX(0,1-Fitting!$B$7*(Fitting!$B$6-Herm8889!C668)^2)</f>
        <v>0.6793601899730275</v>
      </c>
      <c r="J668">
        <f>tt(G668,H668,Fitting!$B$1:$E$1,Fitting!$B$2:$E$2)*I668</f>
        <v>15.930994381624728</v>
      </c>
    </row>
    <row r="669" spans="1:10">
      <c r="A669" s="1">
        <f t="shared" si="52"/>
        <v>32929</v>
      </c>
      <c r="B669">
        <f t="shared" si="50"/>
        <v>7128.3518707780559</v>
      </c>
      <c r="C669">
        <f>day_length(F669,$B$1,Fitting!$B$4)</f>
        <v>13.661253929138184</v>
      </c>
      <c r="D669" s="1">
        <f t="shared" si="51"/>
        <v>32929</v>
      </c>
      <c r="E669">
        <f t="shared" si="53"/>
        <v>1990</v>
      </c>
      <c r="F669" s="6">
        <f t="shared" si="54"/>
        <v>56</v>
      </c>
      <c r="G669">
        <v>27.8</v>
      </c>
      <c r="H669">
        <v>18.399999999999999</v>
      </c>
      <c r="I669">
        <f>MAX(0,1-Fitting!$B$7*(Fitting!$B$6-Herm8889!C669)^2)</f>
        <v>0.6768568366444615</v>
      </c>
      <c r="J669">
        <f>tt(G669,H669,Fitting!$B$1:$E$1,Fitting!$B$2:$E$2)*I669</f>
        <v>15.63539189368549</v>
      </c>
    </row>
    <row r="670" spans="1:10">
      <c r="A670" s="1">
        <f t="shared" si="52"/>
        <v>32930</v>
      </c>
      <c r="B670">
        <f t="shared" si="50"/>
        <v>7142.5128823523182</v>
      </c>
      <c r="C670">
        <f>day_length(F670,$B$1,Fitting!$B$4)</f>
        <v>13.632660865783691</v>
      </c>
      <c r="D670" s="1">
        <f t="shared" si="51"/>
        <v>32930</v>
      </c>
      <c r="E670">
        <f t="shared" si="53"/>
        <v>1990</v>
      </c>
      <c r="F670" s="6">
        <f t="shared" si="54"/>
        <v>57</v>
      </c>
      <c r="G670">
        <v>24.3</v>
      </c>
      <c r="H670">
        <v>17.7</v>
      </c>
      <c r="I670">
        <f>MAX(0,1-Fitting!$B$7*(Fitting!$B$6-Herm8889!C670)^2)</f>
        <v>0.67433388448866927</v>
      </c>
      <c r="J670">
        <f>tt(G670,H670,Fitting!$B$1:$E$1,Fitting!$B$2:$E$2)*I670</f>
        <v>14.161011574262055</v>
      </c>
    </row>
    <row r="671" spans="1:10">
      <c r="A671" s="1">
        <f t="shared" si="52"/>
        <v>32931</v>
      </c>
      <c r="B671">
        <f t="shared" si="50"/>
        <v>7156.9899953697977</v>
      </c>
      <c r="C671">
        <f>day_length(F671,$B$1,Fitting!$B$4)</f>
        <v>13.603962898254395</v>
      </c>
      <c r="D671" s="1">
        <f t="shared" si="51"/>
        <v>32931</v>
      </c>
      <c r="E671">
        <f t="shared" si="53"/>
        <v>1990</v>
      </c>
      <c r="F671" s="6">
        <f t="shared" si="54"/>
        <v>58</v>
      </c>
      <c r="G671">
        <v>25.9</v>
      </c>
      <c r="H671">
        <v>17.2</v>
      </c>
      <c r="I671">
        <f>MAX(0,1-Fitting!$B$7*(Fitting!$B$6-Herm8889!C671)^2)</f>
        <v>0.67179181113761477</v>
      </c>
      <c r="J671">
        <f>tt(G671,H671,Fitting!$B$1:$E$1,Fitting!$B$2:$E$2)*I671</f>
        <v>14.477113017479121</v>
      </c>
    </row>
    <row r="672" spans="1:10">
      <c r="A672" s="1">
        <f t="shared" si="52"/>
        <v>32932</v>
      </c>
      <c r="B672">
        <f t="shared" si="50"/>
        <v>7170.9100101477297</v>
      </c>
      <c r="C672">
        <f>day_length(F672,$B$1,Fitting!$B$4)</f>
        <v>13.575170516967773</v>
      </c>
      <c r="D672" s="1">
        <f t="shared" si="51"/>
        <v>32932</v>
      </c>
      <c r="E672">
        <f t="shared" si="53"/>
        <v>1990</v>
      </c>
      <c r="F672" s="6">
        <f t="shared" si="54"/>
        <v>59</v>
      </c>
      <c r="G672">
        <v>26.4</v>
      </c>
      <c r="H672">
        <v>15.2</v>
      </c>
      <c r="I672">
        <f>MAX(0,1-Fitting!$B$7*(Fitting!$B$6-Herm8889!C672)^2)</f>
        <v>0.66923144288737246</v>
      </c>
      <c r="J672">
        <f>tt(G672,H672,Fitting!$B$1:$E$1,Fitting!$B$2:$E$2)*I672</f>
        <v>13.920014777931954</v>
      </c>
    </row>
    <row r="673" spans="1:4">
      <c r="A673" s="1"/>
      <c r="D673" s="1"/>
    </row>
    <row r="674" spans="1:4">
      <c r="A674" s="1"/>
      <c r="D674" s="1"/>
    </row>
    <row r="675" spans="1:4">
      <c r="A675" s="1"/>
      <c r="D675" s="1"/>
    </row>
    <row r="676" spans="1:4">
      <c r="A676" s="1"/>
      <c r="D676" s="1"/>
    </row>
    <row r="677" spans="1:4">
      <c r="A677" s="1"/>
      <c r="D677" s="1"/>
    </row>
    <row r="678" spans="1:4">
      <c r="A678" s="1"/>
      <c r="D678" s="1"/>
    </row>
    <row r="679" spans="1:4">
      <c r="A679" s="1"/>
      <c r="D679" s="1"/>
    </row>
    <row r="680" spans="1:4">
      <c r="A680" s="1"/>
      <c r="D680" s="1"/>
    </row>
    <row r="681" spans="1:4">
      <c r="A681" s="1"/>
      <c r="D681" s="1"/>
    </row>
    <row r="682" spans="1:4">
      <c r="A682" s="1"/>
      <c r="D682" s="1"/>
    </row>
    <row r="683" spans="1:4">
      <c r="A683" s="1"/>
      <c r="D683" s="1"/>
    </row>
    <row r="684" spans="1:4">
      <c r="A684" s="1"/>
      <c r="D684" s="1"/>
    </row>
    <row r="685" spans="1:4">
      <c r="A685" s="1"/>
      <c r="D685" s="1"/>
    </row>
    <row r="686" spans="1:4">
      <c r="A686" s="1"/>
      <c r="D686" s="1"/>
    </row>
    <row r="687" spans="1:4">
      <c r="A687" s="1"/>
      <c r="D687" s="1"/>
    </row>
    <row r="688" spans="1:4">
      <c r="A688" s="1"/>
      <c r="D688" s="1"/>
    </row>
    <row r="689" spans="1:4">
      <c r="A689" s="1"/>
      <c r="D689" s="1"/>
    </row>
    <row r="690" spans="1:4">
      <c r="A690" s="1"/>
      <c r="D690" s="1"/>
    </row>
    <row r="691" spans="1:4">
      <c r="A691" s="1"/>
      <c r="D691" s="1"/>
    </row>
    <row r="692" spans="1:4">
      <c r="A692" s="1"/>
      <c r="D692" s="1"/>
    </row>
    <row r="693" spans="1:4">
      <c r="A693" s="1"/>
      <c r="D693" s="1"/>
    </row>
    <row r="694" spans="1:4">
      <c r="A694" s="1"/>
      <c r="D694" s="1"/>
    </row>
    <row r="695" spans="1:4">
      <c r="A695" s="1"/>
      <c r="D695" s="1"/>
    </row>
    <row r="696" spans="1:4">
      <c r="A696" s="1"/>
      <c r="D696" s="1"/>
    </row>
    <row r="697" spans="1:4">
      <c r="A697" s="1"/>
      <c r="D697" s="1"/>
    </row>
    <row r="698" spans="1:4">
      <c r="A698" s="1"/>
      <c r="D698" s="1"/>
    </row>
    <row r="699" spans="1:4">
      <c r="A699" s="1"/>
      <c r="D699" s="1"/>
    </row>
    <row r="700" spans="1:4">
      <c r="A700" s="1"/>
      <c r="D700" s="1"/>
    </row>
    <row r="701" spans="1:4">
      <c r="A701" s="1"/>
      <c r="D701" s="1"/>
    </row>
    <row r="702" spans="1:4">
      <c r="A702" s="1"/>
      <c r="D702" s="1"/>
    </row>
    <row r="703" spans="1:4">
      <c r="A703" s="1"/>
      <c r="D703" s="1"/>
    </row>
    <row r="704" spans="1:4">
      <c r="A704" s="1"/>
      <c r="D704" s="1"/>
    </row>
    <row r="705" spans="1:4">
      <c r="A705" s="1"/>
      <c r="D705" s="1"/>
    </row>
    <row r="706" spans="1:4">
      <c r="A706" s="1"/>
      <c r="D706" s="1"/>
    </row>
    <row r="707" spans="1:4">
      <c r="A707" s="1"/>
      <c r="D707" s="1"/>
    </row>
    <row r="708" spans="1:4">
      <c r="A708" s="1"/>
      <c r="D708" s="1"/>
    </row>
    <row r="709" spans="1:4">
      <c r="A709" s="1"/>
      <c r="D709" s="1"/>
    </row>
    <row r="710" spans="1:4">
      <c r="A710" s="1"/>
      <c r="D710" s="1"/>
    </row>
    <row r="711" spans="1:4">
      <c r="A711" s="1"/>
      <c r="D711" s="1"/>
    </row>
    <row r="712" spans="1:4">
      <c r="A712" s="1"/>
      <c r="D712" s="1"/>
    </row>
    <row r="713" spans="1:4">
      <c r="A713" s="1"/>
      <c r="D713" s="1"/>
    </row>
    <row r="714" spans="1:4">
      <c r="A714" s="1"/>
      <c r="D714" s="1"/>
    </row>
    <row r="715" spans="1:4">
      <c r="A715" s="1"/>
      <c r="D715" s="1"/>
    </row>
    <row r="716" spans="1:4">
      <c r="A716" s="1"/>
      <c r="D716" s="1"/>
    </row>
    <row r="717" spans="1:4">
      <c r="A717" s="1"/>
      <c r="D717" s="1"/>
    </row>
    <row r="718" spans="1:4">
      <c r="A718" s="1"/>
      <c r="D718" s="1"/>
    </row>
    <row r="719" spans="1:4">
      <c r="A719" s="1"/>
      <c r="D719" s="1"/>
    </row>
    <row r="720" spans="1:4">
      <c r="A720" s="1"/>
      <c r="D720" s="1"/>
    </row>
    <row r="721" spans="1:4">
      <c r="A721" s="1"/>
      <c r="D721" s="1"/>
    </row>
    <row r="722" spans="1:4">
      <c r="A722" s="1"/>
      <c r="D722" s="1"/>
    </row>
    <row r="723" spans="1:4">
      <c r="A723" s="1"/>
      <c r="D723" s="1"/>
    </row>
    <row r="724" spans="1:4">
      <c r="A724" s="1"/>
      <c r="D724" s="1"/>
    </row>
    <row r="725" spans="1:4">
      <c r="A725" s="1"/>
      <c r="D725" s="1"/>
    </row>
    <row r="726" spans="1:4">
      <c r="A726" s="1"/>
      <c r="D726" s="1"/>
    </row>
    <row r="727" spans="1:4">
      <c r="A727" s="1"/>
      <c r="D727" s="1"/>
    </row>
    <row r="728" spans="1:4">
      <c r="A728" s="1"/>
      <c r="D728" s="1"/>
    </row>
    <row r="729" spans="1:4">
      <c r="A729" s="1"/>
      <c r="D729" s="1"/>
    </row>
    <row r="730" spans="1:4">
      <c r="A730" s="1"/>
      <c r="D730" s="1"/>
    </row>
    <row r="731" spans="1:4">
      <c r="A731" s="1"/>
      <c r="D731" s="1"/>
    </row>
    <row r="732" spans="1:4">
      <c r="A732" s="1"/>
      <c r="D732" s="1"/>
    </row>
    <row r="733" spans="1:4">
      <c r="A733" s="1"/>
      <c r="D733" s="1"/>
    </row>
    <row r="734" spans="1:4">
      <c r="A734" s="1"/>
      <c r="D734" s="1"/>
    </row>
    <row r="735" spans="1:4">
      <c r="A735" s="1"/>
      <c r="D735" s="1"/>
    </row>
    <row r="736" spans="1:4">
      <c r="A736" s="1"/>
      <c r="D736" s="1"/>
    </row>
    <row r="737" spans="1:4">
      <c r="A737" s="1"/>
      <c r="D737" s="1"/>
    </row>
    <row r="738" spans="1:4">
      <c r="A738" s="1"/>
      <c r="D738" s="1"/>
    </row>
    <row r="739" spans="1:4">
      <c r="A739" s="1"/>
      <c r="D739" s="1"/>
    </row>
    <row r="740" spans="1:4">
      <c r="A740" s="1"/>
      <c r="D740" s="1"/>
    </row>
    <row r="741" spans="1:4">
      <c r="A741" s="1"/>
      <c r="D741" s="1"/>
    </row>
    <row r="742" spans="1:4">
      <c r="A742" s="1"/>
      <c r="D742" s="1"/>
    </row>
    <row r="743" spans="1:4">
      <c r="A743" s="1"/>
      <c r="D743" s="1"/>
    </row>
    <row r="744" spans="1:4">
      <c r="A744" s="1"/>
      <c r="D744" s="1"/>
    </row>
    <row r="745" spans="1:4">
      <c r="A745" s="1"/>
      <c r="D745" s="1"/>
    </row>
    <row r="746" spans="1:4">
      <c r="A746" s="1"/>
      <c r="D746" s="1"/>
    </row>
    <row r="747" spans="1:4">
      <c r="A747" s="1"/>
      <c r="D747" s="1"/>
    </row>
    <row r="748" spans="1:4">
      <c r="A748" s="1"/>
      <c r="D748" s="1"/>
    </row>
    <row r="749" spans="1:4">
      <c r="A749" s="1"/>
      <c r="D749" s="1"/>
    </row>
    <row r="750" spans="1:4">
      <c r="A750" s="1"/>
      <c r="D750" s="1"/>
    </row>
    <row r="751" spans="1:4">
      <c r="A751" s="1"/>
      <c r="D751" s="1"/>
    </row>
    <row r="752" spans="1:4">
      <c r="A752" s="1"/>
      <c r="D752" s="1"/>
    </row>
    <row r="753" spans="1:4">
      <c r="A753" s="1"/>
      <c r="D753" s="1"/>
    </row>
    <row r="754" spans="1:4">
      <c r="A754" s="1"/>
      <c r="D754" s="1"/>
    </row>
    <row r="755" spans="1:4">
      <c r="A755" s="1"/>
      <c r="D755" s="1"/>
    </row>
    <row r="756" spans="1:4">
      <c r="A756" s="1"/>
      <c r="D756" s="1"/>
    </row>
    <row r="757" spans="1:4">
      <c r="A757" s="1"/>
      <c r="D757" s="1"/>
    </row>
    <row r="758" spans="1:4">
      <c r="A758" s="1"/>
      <c r="D758" s="1"/>
    </row>
    <row r="759" spans="1:4">
      <c r="A759" s="1"/>
      <c r="D759" s="1"/>
    </row>
    <row r="760" spans="1:4">
      <c r="A760" s="1"/>
      <c r="D760" s="1"/>
    </row>
    <row r="761" spans="1:4">
      <c r="A761" s="1"/>
      <c r="D761" s="1"/>
    </row>
    <row r="762" spans="1:4">
      <c r="A762" s="1"/>
      <c r="D762" s="1"/>
    </row>
    <row r="763" spans="1:4">
      <c r="A763" s="1"/>
      <c r="D763" s="1"/>
    </row>
    <row r="764" spans="1:4">
      <c r="A764" s="1"/>
      <c r="D764" s="1"/>
    </row>
    <row r="765" spans="1:4">
      <c r="A765" s="1"/>
      <c r="D765" s="1"/>
    </row>
    <row r="766" spans="1:4">
      <c r="A766" s="1"/>
      <c r="D766" s="1"/>
    </row>
    <row r="767" spans="1:4">
      <c r="A767" s="1"/>
      <c r="D767" s="1"/>
    </row>
    <row r="768" spans="1:4">
      <c r="A768" s="1"/>
      <c r="D768" s="1"/>
    </row>
    <row r="769" spans="1:4">
      <c r="A769" s="1"/>
      <c r="D769" s="1"/>
    </row>
    <row r="770" spans="1:4">
      <c r="A770" s="1"/>
      <c r="D770" s="1"/>
    </row>
    <row r="771" spans="1:4">
      <c r="A771" s="1"/>
      <c r="D771" s="1"/>
    </row>
    <row r="772" spans="1:4">
      <c r="A772" s="1"/>
      <c r="D772" s="1"/>
    </row>
    <row r="773" spans="1:4">
      <c r="A773" s="1"/>
      <c r="D773" s="1"/>
    </row>
    <row r="774" spans="1:4">
      <c r="A774" s="1"/>
      <c r="D774" s="1"/>
    </row>
    <row r="775" spans="1:4">
      <c r="A775" s="1"/>
      <c r="D775" s="1"/>
    </row>
    <row r="776" spans="1:4">
      <c r="A776" s="1"/>
      <c r="D776" s="1"/>
    </row>
    <row r="777" spans="1:4">
      <c r="A777" s="1"/>
      <c r="D777" s="1"/>
    </row>
    <row r="778" spans="1:4">
      <c r="A778" s="1"/>
      <c r="D778" s="1"/>
    </row>
    <row r="779" spans="1:4">
      <c r="A779" s="1"/>
      <c r="D779" s="1"/>
    </row>
    <row r="780" spans="1:4">
      <c r="A780" s="1"/>
      <c r="D780" s="1"/>
    </row>
    <row r="781" spans="1:4">
      <c r="A781" s="1"/>
      <c r="D781" s="1"/>
    </row>
    <row r="782" spans="1:4">
      <c r="A782" s="1"/>
      <c r="D782" s="1"/>
    </row>
    <row r="783" spans="1:4">
      <c r="A783" s="1"/>
      <c r="D783" s="1"/>
    </row>
    <row r="784" spans="1:4">
      <c r="A784" s="1"/>
      <c r="D784" s="1"/>
    </row>
    <row r="785" spans="1:4">
      <c r="A785" s="1"/>
      <c r="D785" s="1"/>
    </row>
    <row r="786" spans="1:4">
      <c r="A786" s="1"/>
      <c r="D786" s="1"/>
    </row>
    <row r="787" spans="1:4">
      <c r="A787" s="1"/>
      <c r="D787" s="1"/>
    </row>
    <row r="788" spans="1:4">
      <c r="A788" s="1"/>
      <c r="D788" s="1"/>
    </row>
    <row r="789" spans="1:4">
      <c r="A789" s="1"/>
      <c r="D789" s="1"/>
    </row>
    <row r="790" spans="1:4">
      <c r="A790" s="1"/>
      <c r="D790" s="1"/>
    </row>
    <row r="791" spans="1:4">
      <c r="A791" s="1"/>
      <c r="D791" s="1"/>
    </row>
    <row r="792" spans="1:4">
      <c r="A792" s="1"/>
      <c r="D792" s="1"/>
    </row>
    <row r="793" spans="1:4">
      <c r="A793" s="1"/>
      <c r="D793" s="1"/>
    </row>
    <row r="794" spans="1:4">
      <c r="A794" s="1"/>
      <c r="D794" s="1"/>
    </row>
    <row r="795" spans="1:4">
      <c r="A795" s="1"/>
      <c r="D795" s="1"/>
    </row>
    <row r="796" spans="1:4">
      <c r="A796" s="1"/>
      <c r="D796" s="1"/>
    </row>
    <row r="797" spans="1:4">
      <c r="A797" s="1"/>
      <c r="D797" s="1"/>
    </row>
    <row r="798" spans="1:4">
      <c r="A798" s="1"/>
      <c r="D798" s="1"/>
    </row>
    <row r="799" spans="1:4">
      <c r="A799" s="1"/>
      <c r="D799" s="1"/>
    </row>
    <row r="800" spans="1:4">
      <c r="A800" s="1"/>
      <c r="D800" s="1"/>
    </row>
    <row r="801" spans="1:4">
      <c r="A801" s="1"/>
      <c r="D801" s="1"/>
    </row>
    <row r="802" spans="1:4">
      <c r="A802" s="1"/>
      <c r="D802" s="1"/>
    </row>
    <row r="803" spans="1:4">
      <c r="A803" s="1"/>
      <c r="D803" s="1"/>
    </row>
    <row r="804" spans="1:4">
      <c r="A804" s="1"/>
      <c r="D804" s="1"/>
    </row>
    <row r="805" spans="1:4">
      <c r="A805" s="1"/>
      <c r="D805" s="1"/>
    </row>
    <row r="806" spans="1:4">
      <c r="A806" s="1"/>
      <c r="D806" s="1"/>
    </row>
    <row r="807" spans="1:4">
      <c r="A807" s="1"/>
      <c r="D807" s="1"/>
    </row>
    <row r="808" spans="1:4">
      <c r="A808" s="1"/>
      <c r="D808" s="1"/>
    </row>
    <row r="809" spans="1:4">
      <c r="A809" s="1"/>
      <c r="D809" s="1"/>
    </row>
    <row r="810" spans="1:4">
      <c r="A810" s="1"/>
      <c r="D810" s="1"/>
    </row>
    <row r="811" spans="1:4">
      <c r="A811" s="1"/>
      <c r="D811" s="1"/>
    </row>
    <row r="812" spans="1:4">
      <c r="A812" s="1"/>
      <c r="D812" s="1"/>
    </row>
    <row r="813" spans="1:4">
      <c r="A813" s="1"/>
      <c r="D813" s="1"/>
    </row>
    <row r="814" spans="1:4">
      <c r="A814" s="1"/>
      <c r="D814" s="1"/>
    </row>
    <row r="815" spans="1:4">
      <c r="A815" s="1"/>
      <c r="D815" s="1"/>
    </row>
    <row r="816" spans="1:4">
      <c r="A816" s="1"/>
      <c r="D816" s="1"/>
    </row>
    <row r="817" spans="1:4">
      <c r="A817" s="1"/>
      <c r="D817" s="1"/>
    </row>
    <row r="818" spans="1:4">
      <c r="A818" s="1"/>
      <c r="D818" s="1"/>
    </row>
    <row r="819" spans="1:4">
      <c r="A819" s="1"/>
      <c r="D819" s="1"/>
    </row>
    <row r="820" spans="1:4">
      <c r="A820" s="1"/>
      <c r="D820" s="1"/>
    </row>
    <row r="821" spans="1:4">
      <c r="A821" s="1"/>
      <c r="D821" s="1"/>
    </row>
    <row r="822" spans="1:4">
      <c r="A822" s="1"/>
      <c r="D822" s="1"/>
    </row>
    <row r="823" spans="1:4">
      <c r="A823" s="1"/>
      <c r="D823" s="1"/>
    </row>
    <row r="824" spans="1:4">
      <c r="A824" s="1"/>
      <c r="D824" s="1"/>
    </row>
    <row r="825" spans="1:4">
      <c r="A825" s="1"/>
      <c r="D825" s="1"/>
    </row>
    <row r="826" spans="1:4">
      <c r="A826" s="1"/>
      <c r="D826" s="1"/>
    </row>
    <row r="827" spans="1:4">
      <c r="A827" s="1"/>
      <c r="D827" s="1"/>
    </row>
    <row r="828" spans="1:4">
      <c r="A828" s="1"/>
      <c r="D828" s="1"/>
    </row>
    <row r="829" spans="1:4">
      <c r="A829" s="1"/>
      <c r="D829" s="1"/>
    </row>
    <row r="830" spans="1:4">
      <c r="A830" s="1"/>
      <c r="D830" s="1"/>
    </row>
    <row r="831" spans="1:4">
      <c r="A831" s="1"/>
      <c r="D831" s="1"/>
    </row>
    <row r="832" spans="1:4">
      <c r="A832" s="1"/>
      <c r="D832" s="1"/>
    </row>
    <row r="833" spans="1:4">
      <c r="A833" s="1"/>
      <c r="D833" s="1"/>
    </row>
    <row r="834" spans="1:4">
      <c r="A834" s="1"/>
      <c r="D834" s="1"/>
    </row>
    <row r="835" spans="1:4">
      <c r="A835" s="1"/>
      <c r="D835" s="1"/>
    </row>
    <row r="836" spans="1:4">
      <c r="A836" s="1"/>
      <c r="D836" s="1"/>
    </row>
    <row r="837" spans="1:4">
      <c r="A837" s="1"/>
      <c r="D837" s="1"/>
    </row>
    <row r="838" spans="1:4">
      <c r="A838" s="1"/>
      <c r="D838" s="1"/>
    </row>
    <row r="839" spans="1:4">
      <c r="A839" s="1"/>
      <c r="D839" s="1"/>
    </row>
    <row r="840" spans="1:4">
      <c r="A840" s="1"/>
      <c r="D840" s="1"/>
    </row>
    <row r="841" spans="1:4">
      <c r="A841" s="1"/>
      <c r="D841" s="1"/>
    </row>
    <row r="842" spans="1:4">
      <c r="A842" s="1"/>
      <c r="D842" s="1"/>
    </row>
    <row r="843" spans="1:4">
      <c r="A843" s="1"/>
      <c r="D843" s="1"/>
    </row>
    <row r="844" spans="1:4">
      <c r="A844" s="1"/>
      <c r="D844" s="1"/>
    </row>
    <row r="845" spans="1:4">
      <c r="A845" s="1"/>
      <c r="D845" s="1"/>
    </row>
    <row r="846" spans="1:4">
      <c r="A846" s="1"/>
      <c r="D846" s="1"/>
    </row>
    <row r="847" spans="1:4">
      <c r="A847" s="1"/>
      <c r="D847" s="1"/>
    </row>
    <row r="848" spans="1:4">
      <c r="A848" s="1"/>
      <c r="D848" s="1"/>
    </row>
    <row r="849" spans="1:4">
      <c r="A849" s="1"/>
      <c r="D849" s="1"/>
    </row>
    <row r="850" spans="1:4">
      <c r="A850" s="1"/>
      <c r="D850" s="1"/>
    </row>
    <row r="851" spans="1:4">
      <c r="A851" s="1"/>
      <c r="D851" s="1"/>
    </row>
    <row r="852" spans="1:4">
      <c r="A852" s="1"/>
      <c r="D852" s="1"/>
    </row>
    <row r="853" spans="1:4">
      <c r="A853" s="1"/>
      <c r="D853" s="1"/>
    </row>
    <row r="854" spans="1:4">
      <c r="A854" s="1"/>
      <c r="D854" s="1"/>
    </row>
    <row r="855" spans="1:4">
      <c r="A855" s="1"/>
      <c r="D855" s="1"/>
    </row>
    <row r="856" spans="1:4">
      <c r="A856" s="1"/>
      <c r="D856" s="1"/>
    </row>
    <row r="857" spans="1:4">
      <c r="A857" s="1"/>
      <c r="D857" s="1"/>
    </row>
    <row r="858" spans="1:4">
      <c r="A858" s="1"/>
      <c r="D858" s="1"/>
    </row>
    <row r="859" spans="1:4">
      <c r="A859" s="1"/>
      <c r="D859" s="1"/>
    </row>
    <row r="860" spans="1:4">
      <c r="A860" s="1"/>
      <c r="D860" s="1"/>
    </row>
    <row r="861" spans="1:4">
      <c r="A861" s="1"/>
      <c r="D861" s="1"/>
    </row>
    <row r="862" spans="1:4">
      <c r="A862" s="1"/>
      <c r="D862" s="1"/>
    </row>
    <row r="863" spans="1:4">
      <c r="A863" s="1"/>
      <c r="D863" s="1"/>
    </row>
    <row r="864" spans="1:4">
      <c r="A864" s="1"/>
      <c r="D864" s="1"/>
    </row>
    <row r="865" spans="1:4">
      <c r="A865" s="1"/>
      <c r="D865" s="1"/>
    </row>
    <row r="866" spans="1:4">
      <c r="A866" s="1"/>
      <c r="D866" s="1"/>
    </row>
    <row r="867" spans="1:4">
      <c r="A867" s="1"/>
      <c r="D867" s="1"/>
    </row>
    <row r="868" spans="1:4">
      <c r="A868" s="1"/>
      <c r="D868" s="1"/>
    </row>
    <row r="869" spans="1:4">
      <c r="A869" s="1"/>
      <c r="D869" s="1"/>
    </row>
    <row r="870" spans="1:4">
      <c r="A870" s="1"/>
      <c r="D870" s="1"/>
    </row>
    <row r="871" spans="1:4">
      <c r="A871" s="1"/>
      <c r="D871" s="1"/>
    </row>
    <row r="872" spans="1:4">
      <c r="A872" s="1"/>
      <c r="D872" s="1"/>
    </row>
    <row r="873" spans="1:4">
      <c r="A873" s="1"/>
      <c r="D873" s="1"/>
    </row>
    <row r="874" spans="1:4">
      <c r="A874" s="1"/>
      <c r="D874" s="1"/>
    </row>
    <row r="875" spans="1:4">
      <c r="A875" s="1"/>
      <c r="D875" s="1"/>
    </row>
    <row r="876" spans="1:4">
      <c r="A876" s="1"/>
      <c r="D876" s="1"/>
    </row>
    <row r="877" spans="1:4">
      <c r="A877" s="1"/>
      <c r="D877" s="1"/>
    </row>
    <row r="878" spans="1:4">
      <c r="A878" s="1"/>
      <c r="D878" s="1"/>
    </row>
    <row r="879" spans="1:4">
      <c r="A879" s="1"/>
      <c r="D879" s="1"/>
    </row>
    <row r="880" spans="1:4">
      <c r="A880" s="1"/>
      <c r="D880" s="1"/>
    </row>
    <row r="881" spans="1:4">
      <c r="A881" s="1"/>
      <c r="D881" s="1"/>
    </row>
    <row r="882" spans="1:4">
      <c r="A882" s="1"/>
      <c r="D882" s="1"/>
    </row>
    <row r="883" spans="1:4">
      <c r="A883" s="1"/>
      <c r="D883" s="1"/>
    </row>
    <row r="884" spans="1:4">
      <c r="A884" s="1"/>
      <c r="D884" s="1"/>
    </row>
    <row r="885" spans="1:4">
      <c r="A885" s="1"/>
      <c r="D885" s="1"/>
    </row>
    <row r="886" spans="1:4">
      <c r="A886" s="1"/>
      <c r="D886" s="1"/>
    </row>
    <row r="887" spans="1:4">
      <c r="A887" s="1"/>
      <c r="D887" s="1"/>
    </row>
    <row r="888" spans="1:4">
      <c r="A888" s="1"/>
      <c r="D888" s="1"/>
    </row>
    <row r="889" spans="1:4">
      <c r="A889" s="1"/>
      <c r="D889" s="1"/>
    </row>
    <row r="890" spans="1:4">
      <c r="A890" s="1"/>
      <c r="D890" s="1"/>
    </row>
    <row r="891" spans="1:4">
      <c r="A891" s="1"/>
      <c r="D891" s="1"/>
    </row>
    <row r="892" spans="1:4">
      <c r="A892" s="1"/>
      <c r="D892" s="1"/>
    </row>
    <row r="893" spans="1:4">
      <c r="A893" s="1"/>
      <c r="D893" s="1"/>
    </row>
    <row r="894" spans="1:4">
      <c r="A894" s="1"/>
      <c r="D894" s="1"/>
    </row>
    <row r="895" spans="1:4">
      <c r="A895" s="1"/>
      <c r="D895" s="1"/>
    </row>
    <row r="896" spans="1:4">
      <c r="A896" s="1"/>
      <c r="D896" s="1"/>
    </row>
    <row r="897" spans="1:4">
      <c r="A897" s="1"/>
      <c r="D897" s="1"/>
    </row>
    <row r="898" spans="1:4">
      <c r="A898" s="1"/>
      <c r="D898" s="1"/>
    </row>
    <row r="899" spans="1:4">
      <c r="A899" s="1"/>
      <c r="D899" s="1"/>
    </row>
    <row r="900" spans="1:4">
      <c r="A900" s="1"/>
      <c r="D900" s="1"/>
    </row>
    <row r="901" spans="1:4">
      <c r="A901" s="1"/>
      <c r="D901" s="1"/>
    </row>
    <row r="902" spans="1:4">
      <c r="A902" s="1"/>
      <c r="D902" s="1"/>
    </row>
    <row r="903" spans="1:4">
      <c r="A903" s="1"/>
      <c r="D903" s="1"/>
    </row>
    <row r="904" spans="1:4">
      <c r="A904" s="1"/>
      <c r="D904" s="1"/>
    </row>
    <row r="905" spans="1:4">
      <c r="A905" s="1"/>
      <c r="D905" s="1"/>
    </row>
    <row r="906" spans="1:4">
      <c r="A906" s="1"/>
      <c r="D906" s="1"/>
    </row>
    <row r="907" spans="1:4">
      <c r="A907" s="1"/>
      <c r="D907" s="1"/>
    </row>
    <row r="908" spans="1:4">
      <c r="A908" s="1"/>
      <c r="D908" s="1"/>
    </row>
    <row r="909" spans="1:4">
      <c r="A909" s="1"/>
      <c r="D909" s="1"/>
    </row>
    <row r="910" spans="1:4">
      <c r="A910" s="1"/>
      <c r="D910" s="1"/>
    </row>
    <row r="911" spans="1:4">
      <c r="A911" s="1"/>
      <c r="D911" s="1"/>
    </row>
    <row r="912" spans="1:4">
      <c r="A912" s="1"/>
      <c r="D912" s="1"/>
    </row>
    <row r="913" spans="1:4">
      <c r="A913" s="1"/>
      <c r="D913" s="1"/>
    </row>
    <row r="914" spans="1:4">
      <c r="A914" s="1"/>
      <c r="D914" s="1"/>
    </row>
    <row r="915" spans="1:4">
      <c r="A915" s="1"/>
      <c r="D915" s="1"/>
    </row>
    <row r="916" spans="1:4">
      <c r="A916" s="1"/>
      <c r="D916" s="1"/>
    </row>
    <row r="917" spans="1:4">
      <c r="A917" s="1"/>
      <c r="D917" s="1"/>
    </row>
    <row r="918" spans="1:4">
      <c r="A918" s="1"/>
      <c r="D918" s="1"/>
    </row>
    <row r="919" spans="1:4">
      <c r="A919" s="1"/>
      <c r="D919" s="1"/>
    </row>
    <row r="920" spans="1:4">
      <c r="A920" s="1"/>
      <c r="D920" s="1"/>
    </row>
    <row r="921" spans="1:4">
      <c r="A921" s="1"/>
      <c r="D921" s="1"/>
    </row>
    <row r="922" spans="1:4">
      <c r="A922" s="1"/>
      <c r="D922" s="1"/>
    </row>
    <row r="923" spans="1:4">
      <c r="A923" s="1"/>
      <c r="D923" s="1"/>
    </row>
    <row r="924" spans="1:4">
      <c r="A924" s="1"/>
      <c r="D924" s="1"/>
    </row>
    <row r="925" spans="1:4">
      <c r="A925" s="1"/>
      <c r="D925" s="1"/>
    </row>
    <row r="926" spans="1:4">
      <c r="A926" s="1"/>
      <c r="D926" s="1"/>
    </row>
    <row r="927" spans="1:4">
      <c r="A927" s="1"/>
      <c r="D927" s="1"/>
    </row>
    <row r="928" spans="1:4">
      <c r="A928" s="1"/>
      <c r="D928" s="1"/>
    </row>
    <row r="929" spans="1:4">
      <c r="A929" s="1"/>
      <c r="D929" s="1"/>
    </row>
    <row r="930" spans="1:4">
      <c r="A930" s="1"/>
      <c r="D930" s="1"/>
    </row>
    <row r="931" spans="1:4">
      <c r="A931" s="1"/>
      <c r="D931" s="1"/>
    </row>
    <row r="932" spans="1:4">
      <c r="A932" s="1"/>
      <c r="D932" s="1"/>
    </row>
    <row r="933" spans="1:4">
      <c r="A933" s="1"/>
      <c r="D933" s="1"/>
    </row>
    <row r="934" spans="1:4">
      <c r="A934" s="1"/>
      <c r="D934" s="1"/>
    </row>
    <row r="935" spans="1:4">
      <c r="A935" s="1"/>
      <c r="D935" s="1"/>
    </row>
    <row r="936" spans="1:4">
      <c r="A936" s="1"/>
      <c r="D936" s="1"/>
    </row>
    <row r="937" spans="1:4">
      <c r="A937" s="1"/>
      <c r="D937" s="1"/>
    </row>
    <row r="938" spans="1:4">
      <c r="A938" s="1"/>
      <c r="D938" s="1"/>
    </row>
    <row r="939" spans="1:4">
      <c r="A939" s="1"/>
      <c r="D939" s="1"/>
    </row>
    <row r="940" spans="1:4">
      <c r="A940" s="1"/>
      <c r="D940" s="1"/>
    </row>
    <row r="941" spans="1:4">
      <c r="A941" s="1"/>
      <c r="D941" s="1"/>
    </row>
    <row r="942" spans="1:4">
      <c r="A942" s="1"/>
      <c r="D942" s="1"/>
    </row>
    <row r="943" spans="1:4">
      <c r="A943" s="1"/>
      <c r="D943" s="1"/>
    </row>
    <row r="944" spans="1:4">
      <c r="A944" s="1"/>
      <c r="D944" s="1"/>
    </row>
    <row r="945" spans="1:4">
      <c r="A945" s="1"/>
      <c r="D945" s="1"/>
    </row>
    <row r="946" spans="1:4">
      <c r="A946" s="1"/>
      <c r="D946" s="1"/>
    </row>
    <row r="947" spans="1:4">
      <c r="A947" s="1"/>
      <c r="D947" s="1"/>
    </row>
    <row r="948" spans="1:4">
      <c r="A948" s="1"/>
      <c r="D948" s="1"/>
    </row>
    <row r="949" spans="1:4">
      <c r="A949" s="1"/>
      <c r="D949" s="1"/>
    </row>
    <row r="950" spans="1:4">
      <c r="A950" s="1"/>
      <c r="D950" s="1"/>
    </row>
    <row r="951" spans="1:4">
      <c r="A951" s="1"/>
      <c r="D951" s="1"/>
    </row>
    <row r="952" spans="1:4">
      <c r="A952" s="1"/>
      <c r="D952" s="1"/>
    </row>
    <row r="953" spans="1:4">
      <c r="A953" s="1"/>
      <c r="D953" s="1"/>
    </row>
    <row r="954" spans="1:4">
      <c r="A954" s="1"/>
      <c r="D954" s="1"/>
    </row>
    <row r="955" spans="1:4">
      <c r="A955" s="1"/>
      <c r="D955" s="1"/>
    </row>
    <row r="956" spans="1:4">
      <c r="A956" s="1"/>
      <c r="D956" s="1"/>
    </row>
    <row r="957" spans="1:4">
      <c r="A957" s="1"/>
      <c r="D957" s="1"/>
    </row>
    <row r="958" spans="1:4">
      <c r="A958" s="1"/>
      <c r="D958" s="1"/>
    </row>
    <row r="959" spans="1:4">
      <c r="A959" s="1"/>
      <c r="D959" s="1"/>
    </row>
    <row r="960" spans="1:4">
      <c r="A960" s="1"/>
      <c r="D960" s="1"/>
    </row>
    <row r="961" spans="1:4">
      <c r="A961" s="1"/>
      <c r="D961" s="1"/>
    </row>
    <row r="962" spans="1:4">
      <c r="A962" s="1"/>
      <c r="D962" s="1"/>
    </row>
    <row r="963" spans="1:4">
      <c r="A963" s="1"/>
      <c r="D963" s="1"/>
    </row>
    <row r="964" spans="1:4">
      <c r="A964" s="1"/>
      <c r="D964" s="1"/>
    </row>
    <row r="965" spans="1:4">
      <c r="A965" s="1"/>
      <c r="D965" s="1"/>
    </row>
    <row r="966" spans="1:4">
      <c r="A966" s="1"/>
      <c r="D966" s="1"/>
    </row>
    <row r="967" spans="1:4">
      <c r="A967" s="1"/>
      <c r="D967" s="1"/>
    </row>
    <row r="968" spans="1:4">
      <c r="A968" s="1"/>
      <c r="D968" s="1"/>
    </row>
    <row r="969" spans="1:4">
      <c r="A969" s="1"/>
      <c r="D969" s="1"/>
    </row>
    <row r="970" spans="1:4">
      <c r="A970" s="1"/>
      <c r="D970" s="1"/>
    </row>
    <row r="971" spans="1:4">
      <c r="A971" s="1"/>
      <c r="D971" s="1"/>
    </row>
    <row r="972" spans="1:4">
      <c r="A972" s="1"/>
      <c r="D972" s="1"/>
    </row>
    <row r="973" spans="1:4">
      <c r="A973" s="1"/>
      <c r="D973" s="1"/>
    </row>
    <row r="974" spans="1:4">
      <c r="A974" s="1"/>
      <c r="D974" s="1"/>
    </row>
    <row r="975" spans="1:4">
      <c r="A975" s="1"/>
      <c r="D975" s="1"/>
    </row>
    <row r="976" spans="1:4">
      <c r="A976" s="1"/>
      <c r="D976" s="1"/>
    </row>
    <row r="977" spans="1:4">
      <c r="A977" s="1"/>
      <c r="D977" s="1"/>
    </row>
    <row r="978" spans="1:4">
      <c r="A978" s="1"/>
      <c r="D978" s="1"/>
    </row>
    <row r="979" spans="1:4">
      <c r="A979" s="1"/>
      <c r="D979" s="1"/>
    </row>
    <row r="980" spans="1:4">
      <c r="A980" s="1"/>
      <c r="D980" s="1"/>
    </row>
    <row r="981" spans="1:4">
      <c r="A981" s="1"/>
      <c r="D981" s="1"/>
    </row>
    <row r="982" spans="1:4">
      <c r="A982" s="1"/>
      <c r="D982" s="1"/>
    </row>
    <row r="983" spans="1:4">
      <c r="A983" s="1"/>
      <c r="D983" s="1"/>
    </row>
    <row r="984" spans="1:4">
      <c r="A984" s="1"/>
      <c r="D984" s="1"/>
    </row>
    <row r="985" spans="1:4">
      <c r="A985" s="1"/>
      <c r="D985" s="1"/>
    </row>
    <row r="986" spans="1:4">
      <c r="A986" s="1"/>
      <c r="D986" s="1"/>
    </row>
    <row r="987" spans="1:4">
      <c r="A987" s="1"/>
      <c r="D987" s="1"/>
    </row>
    <row r="988" spans="1:4">
      <c r="A988" s="1"/>
      <c r="D988" s="1"/>
    </row>
    <row r="989" spans="1:4">
      <c r="A989" s="1"/>
      <c r="D989" s="1"/>
    </row>
    <row r="990" spans="1:4">
      <c r="A990" s="1"/>
      <c r="D990" s="1"/>
    </row>
    <row r="991" spans="1:4">
      <c r="A991" s="1"/>
      <c r="D991" s="1"/>
    </row>
    <row r="992" spans="1:4">
      <c r="A992" s="1"/>
      <c r="D992" s="1"/>
    </row>
    <row r="993" spans="1:4">
      <c r="A993" s="1"/>
      <c r="D993" s="1"/>
    </row>
    <row r="994" spans="1:4">
      <c r="A994" s="1"/>
      <c r="D994" s="1"/>
    </row>
    <row r="995" spans="1:4">
      <c r="A995" s="1"/>
      <c r="D995" s="1"/>
    </row>
    <row r="996" spans="1:4">
      <c r="A996" s="1"/>
      <c r="D996" s="1"/>
    </row>
    <row r="997" spans="1:4">
      <c r="A997" s="1"/>
      <c r="D997" s="1"/>
    </row>
    <row r="998" spans="1:4">
      <c r="A998" s="1"/>
      <c r="D998" s="1"/>
    </row>
    <row r="999" spans="1:4">
      <c r="A999" s="1"/>
      <c r="D999" s="1"/>
    </row>
    <row r="1000" spans="1:4">
      <c r="A1000" s="1"/>
      <c r="D1000" s="1"/>
    </row>
    <row r="1001" spans="1:4">
      <c r="A1001" s="1"/>
      <c r="D1001" s="1"/>
    </row>
    <row r="1002" spans="1:4">
      <c r="A1002" s="1"/>
      <c r="D1002" s="1"/>
    </row>
    <row r="1003" spans="1:4">
      <c r="A1003" s="1"/>
      <c r="D1003" s="1"/>
    </row>
    <row r="1004" spans="1:4">
      <c r="A1004" s="1"/>
      <c r="D1004" s="1"/>
    </row>
    <row r="1005" spans="1:4">
      <c r="A1005" s="1"/>
      <c r="D1005" s="1"/>
    </row>
    <row r="1006" spans="1:4">
      <c r="A1006" s="1"/>
      <c r="D1006" s="1"/>
    </row>
    <row r="1007" spans="1:4">
      <c r="A1007" s="1"/>
      <c r="D1007" s="1"/>
    </row>
    <row r="1008" spans="1:4">
      <c r="A1008" s="1"/>
      <c r="D1008" s="1"/>
    </row>
    <row r="1009" spans="1:4">
      <c r="A1009" s="1"/>
      <c r="D1009" s="1"/>
    </row>
    <row r="1010" spans="1:4">
      <c r="A1010" s="1"/>
      <c r="D1010" s="1"/>
    </row>
    <row r="1011" spans="1:4">
      <c r="A1011" s="1"/>
      <c r="D1011" s="1"/>
    </row>
    <row r="1012" spans="1:4">
      <c r="A1012" s="1"/>
      <c r="D1012" s="1"/>
    </row>
    <row r="1013" spans="1:4">
      <c r="A1013" s="1"/>
      <c r="D1013" s="1"/>
    </row>
    <row r="1014" spans="1:4">
      <c r="A1014" s="1"/>
      <c r="D1014" s="1"/>
    </row>
    <row r="1015" spans="1:4">
      <c r="A1015" s="1"/>
      <c r="D1015" s="1"/>
    </row>
    <row r="1016" spans="1:4">
      <c r="A1016" s="1"/>
      <c r="D1016" s="1"/>
    </row>
    <row r="1017" spans="1:4">
      <c r="A1017" s="1"/>
      <c r="D1017" s="1"/>
    </row>
    <row r="1018" spans="1:4">
      <c r="A1018" s="1"/>
      <c r="D1018" s="1"/>
    </row>
    <row r="1019" spans="1:4">
      <c r="A1019" s="1"/>
      <c r="D1019" s="1"/>
    </row>
    <row r="1020" spans="1:4">
      <c r="A1020" s="1"/>
      <c r="D1020" s="1"/>
    </row>
    <row r="1021" spans="1:4">
      <c r="A1021" s="1"/>
      <c r="D1021" s="1"/>
    </row>
    <row r="1022" spans="1:4">
      <c r="A1022" s="1"/>
      <c r="D1022" s="1"/>
    </row>
    <row r="1023" spans="1:4">
      <c r="A1023" s="1"/>
      <c r="D1023" s="1"/>
    </row>
    <row r="1024" spans="1:4">
      <c r="A1024" s="1"/>
      <c r="D1024" s="1"/>
    </row>
    <row r="1025" spans="1:4">
      <c r="A1025" s="1"/>
      <c r="D1025" s="1"/>
    </row>
    <row r="1026" spans="1:4">
      <c r="A1026" s="1"/>
      <c r="D1026" s="1"/>
    </row>
    <row r="1027" spans="1:4">
      <c r="A1027" s="1"/>
      <c r="D1027" s="1"/>
    </row>
    <row r="1028" spans="1:4">
      <c r="A1028" s="1"/>
      <c r="D1028" s="1"/>
    </row>
    <row r="1029" spans="1:4">
      <c r="A1029" s="1"/>
      <c r="D1029" s="1"/>
    </row>
    <row r="1030" spans="1:4">
      <c r="A1030" s="1"/>
      <c r="D1030" s="1"/>
    </row>
    <row r="1031" spans="1:4">
      <c r="A1031" s="1"/>
      <c r="D1031" s="1"/>
    </row>
    <row r="1032" spans="1:4">
      <c r="A1032" s="1"/>
      <c r="D1032" s="1"/>
    </row>
    <row r="1033" spans="1:4">
      <c r="A1033" s="1"/>
      <c r="D1033" s="1"/>
    </row>
    <row r="1034" spans="1:4">
      <c r="A1034" s="1"/>
      <c r="D1034" s="1"/>
    </row>
    <row r="1035" spans="1:4">
      <c r="A1035" s="1"/>
      <c r="D1035" s="1"/>
    </row>
    <row r="1036" spans="1:4">
      <c r="A1036" s="1"/>
      <c r="D1036" s="1"/>
    </row>
    <row r="1037" spans="1:4">
      <c r="A1037" s="1"/>
      <c r="D1037" s="1"/>
    </row>
    <row r="1038" spans="1:4">
      <c r="A1038" s="1"/>
      <c r="D1038" s="1"/>
    </row>
    <row r="1039" spans="1:4">
      <c r="A1039" s="1"/>
      <c r="D1039" s="1"/>
    </row>
    <row r="1040" spans="1:4">
      <c r="A1040" s="1"/>
      <c r="D1040" s="1"/>
    </row>
    <row r="1041" spans="1:4">
      <c r="A1041" s="1"/>
      <c r="D1041" s="1"/>
    </row>
    <row r="1042" spans="1:4">
      <c r="A1042" s="1"/>
      <c r="D1042" s="1"/>
    </row>
    <row r="1043" spans="1:4">
      <c r="A1043" s="1"/>
      <c r="D1043" s="1"/>
    </row>
    <row r="1044" spans="1:4">
      <c r="A1044" s="1"/>
      <c r="D1044" s="1"/>
    </row>
    <row r="1045" spans="1:4">
      <c r="A1045" s="1"/>
      <c r="D1045" s="1"/>
    </row>
    <row r="1046" spans="1:4">
      <c r="A1046" s="1"/>
      <c r="D1046" s="1"/>
    </row>
    <row r="1047" spans="1:4">
      <c r="A1047" s="1"/>
      <c r="D1047" s="1"/>
    </row>
    <row r="1048" spans="1:4">
      <c r="A1048" s="1"/>
      <c r="D1048" s="1"/>
    </row>
    <row r="1049" spans="1:4">
      <c r="A1049" s="1"/>
      <c r="D1049" s="1"/>
    </row>
    <row r="1050" spans="1:4">
      <c r="A1050" s="1"/>
      <c r="D1050" s="1"/>
    </row>
    <row r="1051" spans="1:4">
      <c r="A1051" s="1"/>
      <c r="D1051" s="1"/>
    </row>
    <row r="1052" spans="1:4">
      <c r="A1052" s="1"/>
      <c r="D1052" s="1"/>
    </row>
    <row r="1053" spans="1:4">
      <c r="A1053" s="1"/>
      <c r="D1053" s="1"/>
    </row>
    <row r="1054" spans="1:4">
      <c r="A1054" s="1"/>
      <c r="D1054" s="1"/>
    </row>
    <row r="1055" spans="1:4">
      <c r="A1055" s="1"/>
      <c r="D1055" s="1"/>
    </row>
    <row r="1056" spans="1:4">
      <c r="A1056" s="1"/>
      <c r="D1056" s="1"/>
    </row>
    <row r="1057" spans="1:4">
      <c r="A1057" s="1"/>
      <c r="D1057" s="1"/>
    </row>
    <row r="1058" spans="1:4">
      <c r="A1058" s="1"/>
      <c r="D1058" s="1"/>
    </row>
    <row r="1059" spans="1:4">
      <c r="A1059" s="1"/>
      <c r="D1059" s="1"/>
    </row>
    <row r="1060" spans="1:4">
      <c r="A1060" s="1"/>
      <c r="D1060" s="1"/>
    </row>
    <row r="1061" spans="1:4">
      <c r="A1061" s="1"/>
      <c r="D1061" s="1"/>
    </row>
    <row r="1062" spans="1:4">
      <c r="A1062" s="1"/>
      <c r="D1062" s="1"/>
    </row>
    <row r="1063" spans="1:4">
      <c r="A1063" s="1"/>
      <c r="D1063" s="1"/>
    </row>
    <row r="1064" spans="1:4">
      <c r="A1064" s="1"/>
      <c r="D1064" s="1"/>
    </row>
    <row r="1065" spans="1:4">
      <c r="A1065" s="1"/>
      <c r="D1065" s="1"/>
    </row>
    <row r="1066" spans="1:4">
      <c r="A1066" s="1"/>
      <c r="D1066" s="1"/>
    </row>
    <row r="1067" spans="1:4">
      <c r="A1067" s="1"/>
      <c r="D1067" s="1"/>
    </row>
    <row r="1068" spans="1:4">
      <c r="A1068" s="1"/>
      <c r="D1068" s="1"/>
    </row>
    <row r="1069" spans="1:4">
      <c r="A1069" s="1"/>
      <c r="D1069" s="1"/>
    </row>
    <row r="1070" spans="1:4">
      <c r="A1070" s="1"/>
      <c r="D1070" s="1"/>
    </row>
    <row r="1071" spans="1:4">
      <c r="A1071" s="1"/>
      <c r="D1071" s="1"/>
    </row>
    <row r="1072" spans="1:4">
      <c r="A1072" s="1"/>
      <c r="D1072" s="1"/>
    </row>
    <row r="1073" spans="1:4">
      <c r="A1073" s="1"/>
      <c r="D1073" s="1"/>
    </row>
    <row r="1074" spans="1:4">
      <c r="A1074" s="1"/>
      <c r="D1074" s="1"/>
    </row>
    <row r="1075" spans="1:4">
      <c r="A1075" s="1"/>
      <c r="D1075" s="1"/>
    </row>
    <row r="1076" spans="1:4">
      <c r="A1076" s="1"/>
      <c r="D1076" s="1"/>
    </row>
    <row r="1077" spans="1:4">
      <c r="A1077" s="1"/>
      <c r="D1077" s="1"/>
    </row>
    <row r="1078" spans="1:4">
      <c r="A1078" s="1"/>
      <c r="D1078" s="1"/>
    </row>
    <row r="1079" spans="1:4">
      <c r="A1079" s="1"/>
      <c r="D1079" s="1"/>
    </row>
    <row r="1080" spans="1:4">
      <c r="A1080" s="1"/>
      <c r="D1080" s="1"/>
    </row>
    <row r="1081" spans="1:4">
      <c r="A1081" s="1"/>
      <c r="D1081" s="1"/>
    </row>
    <row r="1082" spans="1:4">
      <c r="A1082" s="1"/>
      <c r="D1082" s="1"/>
    </row>
    <row r="1083" spans="1:4">
      <c r="A1083" s="1"/>
      <c r="D1083" s="1"/>
    </row>
    <row r="1084" spans="1:4">
      <c r="A1084" s="1"/>
      <c r="D1084" s="1"/>
    </row>
    <row r="1085" spans="1:4">
      <c r="A1085" s="1"/>
      <c r="D1085" s="1"/>
    </row>
    <row r="1086" spans="1:4">
      <c r="A1086" s="1"/>
      <c r="D1086" s="1"/>
    </row>
    <row r="1087" spans="1:4">
      <c r="A1087" s="1"/>
      <c r="D1087" s="1"/>
    </row>
    <row r="1088" spans="1:4">
      <c r="A1088" s="1"/>
      <c r="D1088" s="1"/>
    </row>
    <row r="1089" spans="1:4">
      <c r="A1089" s="1"/>
      <c r="D1089" s="1"/>
    </row>
    <row r="1090" spans="1:4">
      <c r="A1090" s="1"/>
      <c r="D1090" s="1"/>
    </row>
    <row r="1091" spans="1:4">
      <c r="A1091" s="1"/>
      <c r="D1091" s="1"/>
    </row>
    <row r="1092" spans="1:4">
      <c r="A1092" s="1"/>
      <c r="D1092" s="1"/>
    </row>
    <row r="1093" spans="1:4">
      <c r="A1093" s="1"/>
      <c r="D1093" s="1"/>
    </row>
    <row r="1094" spans="1:4">
      <c r="A1094" s="1"/>
      <c r="D1094" s="1"/>
    </row>
    <row r="1095" spans="1:4">
      <c r="A1095" s="1"/>
      <c r="D1095" s="1"/>
    </row>
    <row r="1096" spans="1:4">
      <c r="A1096" s="1"/>
      <c r="D1096" s="1"/>
    </row>
    <row r="1097" spans="1:4">
      <c r="A1097" s="1"/>
      <c r="D1097" s="1"/>
    </row>
    <row r="1098" spans="1:4">
      <c r="A1098" s="1"/>
      <c r="D1098" s="1"/>
    </row>
    <row r="1099" spans="1:4">
      <c r="A1099" s="1"/>
      <c r="D1099" s="1"/>
    </row>
    <row r="1100" spans="1:4">
      <c r="A1100" s="1"/>
      <c r="D1100" s="1"/>
    </row>
    <row r="1101" spans="1:4">
      <c r="A1101" s="1"/>
      <c r="D1101" s="1"/>
    </row>
    <row r="1102" spans="1:4">
      <c r="A1102" s="1"/>
      <c r="D1102" s="1"/>
    </row>
    <row r="1103" spans="1:4">
      <c r="A1103" s="1"/>
      <c r="D1103" s="1"/>
    </row>
    <row r="1104" spans="1:4">
      <c r="A1104" s="1"/>
      <c r="D1104" s="1"/>
    </row>
    <row r="1105" spans="1:4">
      <c r="A1105" s="1"/>
      <c r="D1105" s="1"/>
    </row>
    <row r="1106" spans="1:4">
      <c r="A1106" s="1"/>
      <c r="D1106" s="1"/>
    </row>
    <row r="1107" spans="1:4">
      <c r="A1107" s="1"/>
      <c r="D1107" s="1"/>
    </row>
    <row r="1108" spans="1:4">
      <c r="A1108" s="1"/>
      <c r="D1108" s="1"/>
    </row>
    <row r="1109" spans="1:4">
      <c r="A1109" s="1"/>
      <c r="D1109" s="1"/>
    </row>
    <row r="1110" spans="1:4">
      <c r="A1110" s="1"/>
      <c r="D1110" s="1"/>
    </row>
    <row r="1111" spans="1:4">
      <c r="A1111" s="1"/>
      <c r="D1111" s="1"/>
    </row>
    <row r="1112" spans="1:4">
      <c r="A1112" s="1"/>
      <c r="D1112" s="1"/>
    </row>
    <row r="1113" spans="1:4">
      <c r="A1113" s="1"/>
      <c r="D1113" s="1"/>
    </row>
    <row r="1114" spans="1:4">
      <c r="A1114" s="1"/>
      <c r="D1114" s="1"/>
    </row>
    <row r="1115" spans="1:4">
      <c r="A1115" s="1"/>
      <c r="D1115" s="1"/>
    </row>
    <row r="1116" spans="1:4">
      <c r="A1116" s="1"/>
      <c r="D1116" s="1"/>
    </row>
    <row r="1117" spans="1:4">
      <c r="A1117" s="1"/>
      <c r="D1117" s="1"/>
    </row>
    <row r="1118" spans="1:4">
      <c r="A1118" s="1"/>
      <c r="D1118" s="1"/>
    </row>
    <row r="1119" spans="1:4">
      <c r="A1119" s="1"/>
      <c r="D1119" s="1"/>
    </row>
    <row r="1120" spans="1:4">
      <c r="A1120" s="1"/>
      <c r="D1120" s="1"/>
    </row>
    <row r="1121" spans="1:4">
      <c r="A1121" s="1"/>
      <c r="D1121" s="1"/>
    </row>
    <row r="1122" spans="1:4">
      <c r="A1122" s="1"/>
      <c r="D1122" s="1"/>
    </row>
    <row r="1123" spans="1:4">
      <c r="A1123" s="1"/>
      <c r="D1123" s="1"/>
    </row>
    <row r="1124" spans="1:4">
      <c r="A1124" s="1"/>
      <c r="D1124" s="1"/>
    </row>
    <row r="1125" spans="1:4">
      <c r="A1125" s="1"/>
      <c r="D1125" s="1"/>
    </row>
    <row r="1126" spans="1:4">
      <c r="A1126" s="1"/>
      <c r="D1126" s="1"/>
    </row>
    <row r="1127" spans="1:4">
      <c r="A1127" s="1"/>
      <c r="D1127" s="1"/>
    </row>
    <row r="1128" spans="1:4">
      <c r="A1128" s="1"/>
      <c r="D1128" s="1"/>
    </row>
    <row r="1129" spans="1:4">
      <c r="A1129" s="1"/>
      <c r="D1129" s="1"/>
    </row>
    <row r="1130" spans="1:4">
      <c r="A1130" s="1"/>
      <c r="D1130" s="1"/>
    </row>
    <row r="1131" spans="1:4">
      <c r="A1131" s="1"/>
      <c r="D1131" s="1"/>
    </row>
    <row r="1132" spans="1:4">
      <c r="A1132" s="1"/>
      <c r="D1132" s="1"/>
    </row>
    <row r="1133" spans="1:4">
      <c r="A1133" s="1"/>
      <c r="D1133" s="1"/>
    </row>
    <row r="1134" spans="1:4">
      <c r="A1134" s="1"/>
      <c r="D1134" s="1"/>
    </row>
    <row r="1135" spans="1:4">
      <c r="A1135" s="1"/>
      <c r="D1135" s="1"/>
    </row>
    <row r="1136" spans="1:4">
      <c r="A1136" s="1"/>
      <c r="D1136" s="1"/>
    </row>
    <row r="1137" spans="1:4">
      <c r="A1137" s="1"/>
      <c r="D1137" s="1"/>
    </row>
    <row r="1138" spans="1:4">
      <c r="A1138" s="1"/>
      <c r="D1138" s="1"/>
    </row>
    <row r="1139" spans="1:4">
      <c r="A1139" s="1"/>
      <c r="D1139" s="1"/>
    </row>
    <row r="1140" spans="1:4">
      <c r="A1140" s="1"/>
      <c r="D1140" s="1"/>
    </row>
    <row r="1141" spans="1:4">
      <c r="A1141" s="1"/>
      <c r="D1141" s="1"/>
    </row>
    <row r="1142" spans="1:4">
      <c r="A1142" s="1"/>
      <c r="D1142" s="1"/>
    </row>
    <row r="1143" spans="1:4">
      <c r="A1143" s="1"/>
      <c r="D1143" s="1"/>
    </row>
    <row r="1144" spans="1:4">
      <c r="A1144" s="1"/>
      <c r="D1144" s="1"/>
    </row>
    <row r="1145" spans="1:4">
      <c r="A1145" s="1"/>
      <c r="D1145" s="1"/>
    </row>
    <row r="1146" spans="1:4">
      <c r="A1146" s="1"/>
      <c r="D1146" s="1"/>
    </row>
    <row r="1147" spans="1:4">
      <c r="A1147" s="1"/>
      <c r="D1147" s="1"/>
    </row>
    <row r="1148" spans="1:4">
      <c r="A1148" s="1"/>
      <c r="D1148" s="1"/>
    </row>
    <row r="1149" spans="1:4">
      <c r="A1149" s="1"/>
      <c r="D1149" s="1"/>
    </row>
    <row r="1150" spans="1:4">
      <c r="A1150" s="1"/>
      <c r="D1150" s="1"/>
    </row>
    <row r="1151" spans="1:4">
      <c r="A1151" s="1"/>
      <c r="D1151" s="1"/>
    </row>
    <row r="1152" spans="1:4">
      <c r="A1152" s="1"/>
      <c r="D1152" s="1"/>
    </row>
    <row r="1153" spans="1:4">
      <c r="A1153" s="1"/>
      <c r="D1153" s="1"/>
    </row>
    <row r="1154" spans="1:4">
      <c r="A1154" s="1"/>
      <c r="D1154" s="1"/>
    </row>
    <row r="1155" spans="1:4">
      <c r="A1155" s="1"/>
      <c r="D1155" s="1"/>
    </row>
    <row r="1156" spans="1:4">
      <c r="A1156" s="1"/>
      <c r="D1156" s="1"/>
    </row>
    <row r="1157" spans="1:4">
      <c r="A1157" s="1"/>
      <c r="D1157" s="1"/>
    </row>
    <row r="1158" spans="1:4">
      <c r="A1158" s="1"/>
      <c r="D1158" s="1"/>
    </row>
    <row r="1159" spans="1:4">
      <c r="A1159" s="1"/>
      <c r="D1159" s="1"/>
    </row>
    <row r="1160" spans="1:4">
      <c r="A1160" s="1"/>
      <c r="D1160" s="1"/>
    </row>
    <row r="1161" spans="1:4">
      <c r="A1161" s="1"/>
      <c r="D1161" s="1"/>
    </row>
    <row r="1162" spans="1:4">
      <c r="A1162" s="1"/>
      <c r="D1162" s="1"/>
    </row>
    <row r="1163" spans="1:4">
      <c r="A1163" s="1"/>
      <c r="D1163" s="1"/>
    </row>
    <row r="1164" spans="1:4">
      <c r="A1164" s="1"/>
      <c r="D1164" s="1"/>
    </row>
    <row r="1165" spans="1:4">
      <c r="A1165" s="1"/>
      <c r="D1165" s="1"/>
    </row>
    <row r="1166" spans="1:4">
      <c r="A1166" s="1"/>
      <c r="D1166" s="1"/>
    </row>
    <row r="1167" spans="1:4">
      <c r="A1167" s="1"/>
      <c r="D1167" s="1"/>
    </row>
    <row r="1168" spans="1:4">
      <c r="A1168" s="1"/>
      <c r="D1168" s="1"/>
    </row>
    <row r="1169" spans="1:4">
      <c r="A1169" s="1"/>
      <c r="D1169" s="1"/>
    </row>
    <row r="1170" spans="1:4">
      <c r="A1170" s="1"/>
      <c r="D1170" s="1"/>
    </row>
    <row r="1171" spans="1:4">
      <c r="A1171" s="1"/>
      <c r="D1171" s="1"/>
    </row>
    <row r="1172" spans="1:4">
      <c r="A1172" s="1"/>
      <c r="D1172" s="1"/>
    </row>
    <row r="1173" spans="1:4">
      <c r="A1173" s="1"/>
      <c r="D1173" s="1"/>
    </row>
    <row r="1174" spans="1:4">
      <c r="A1174" s="1"/>
      <c r="D1174" s="1"/>
    </row>
    <row r="1175" spans="1:4">
      <c r="A1175" s="1"/>
      <c r="D1175" s="1"/>
    </row>
    <row r="1176" spans="1:4">
      <c r="A1176" s="1"/>
      <c r="D1176" s="1"/>
    </row>
    <row r="1177" spans="1:4">
      <c r="A1177" s="1"/>
      <c r="D1177" s="1"/>
    </row>
    <row r="1178" spans="1:4">
      <c r="A1178" s="1"/>
      <c r="D1178" s="1"/>
    </row>
    <row r="1179" spans="1:4">
      <c r="A1179" s="1"/>
      <c r="D1179" s="1"/>
    </row>
    <row r="1180" spans="1:4">
      <c r="A1180" s="1"/>
      <c r="D1180" s="1"/>
    </row>
    <row r="1181" spans="1:4">
      <c r="A1181" s="1"/>
      <c r="D1181" s="1"/>
    </row>
    <row r="1182" spans="1:4">
      <c r="A1182" s="1"/>
      <c r="D1182" s="1"/>
    </row>
    <row r="1183" spans="1:4">
      <c r="A1183" s="1"/>
      <c r="D1183" s="1"/>
    </row>
    <row r="1184" spans="1:4">
      <c r="A1184" s="1"/>
      <c r="D1184" s="1"/>
    </row>
    <row r="1185" spans="1:4">
      <c r="A1185" s="1"/>
      <c r="D1185" s="1"/>
    </row>
    <row r="1186" spans="1:4">
      <c r="A1186" s="1"/>
      <c r="D1186" s="1"/>
    </row>
    <row r="1187" spans="1:4">
      <c r="A1187" s="1"/>
      <c r="D1187" s="1"/>
    </row>
    <row r="1188" spans="1:4">
      <c r="A1188" s="1"/>
      <c r="D1188" s="1"/>
    </row>
    <row r="1189" spans="1:4">
      <c r="A1189" s="1"/>
      <c r="D1189" s="1"/>
    </row>
    <row r="1190" spans="1:4">
      <c r="A1190" s="1"/>
      <c r="D1190" s="1"/>
    </row>
    <row r="1191" spans="1:4">
      <c r="A1191" s="1"/>
      <c r="D1191" s="1"/>
    </row>
    <row r="1192" spans="1:4">
      <c r="A1192" s="1"/>
      <c r="D1192" s="1"/>
    </row>
    <row r="1193" spans="1:4">
      <c r="A1193" s="1"/>
      <c r="D1193" s="1"/>
    </row>
    <row r="1194" spans="1:4">
      <c r="A1194" s="1"/>
      <c r="D1194" s="1"/>
    </row>
    <row r="1195" spans="1:4">
      <c r="A1195" s="1"/>
      <c r="D1195" s="1"/>
    </row>
    <row r="1196" spans="1:4">
      <c r="A1196" s="1"/>
      <c r="D1196" s="1"/>
    </row>
    <row r="1197" spans="1:4">
      <c r="A1197" s="1"/>
      <c r="D1197" s="1"/>
    </row>
    <row r="1198" spans="1:4">
      <c r="A1198" s="1"/>
      <c r="D1198" s="1"/>
    </row>
    <row r="1199" spans="1:4">
      <c r="A1199" s="1"/>
      <c r="D1199" s="1"/>
    </row>
    <row r="1200" spans="1:4">
      <c r="A1200" s="1"/>
      <c r="D1200" s="1"/>
    </row>
    <row r="1201" spans="1:4">
      <c r="A1201" s="1"/>
      <c r="D1201" s="1"/>
    </row>
    <row r="1202" spans="1:4">
      <c r="A1202" s="1"/>
      <c r="D1202" s="1"/>
    </row>
    <row r="1203" spans="1:4">
      <c r="A1203" s="1"/>
      <c r="D1203" s="1"/>
    </row>
    <row r="1204" spans="1:4">
      <c r="A1204" s="1"/>
      <c r="D1204" s="1"/>
    </row>
    <row r="1205" spans="1:4">
      <c r="A1205" s="1"/>
      <c r="D1205" s="1"/>
    </row>
    <row r="1206" spans="1:4">
      <c r="A1206" s="1"/>
      <c r="D1206" s="1"/>
    </row>
    <row r="1207" spans="1:4">
      <c r="A1207" s="1"/>
      <c r="D1207" s="1"/>
    </row>
    <row r="1208" spans="1:4">
      <c r="A1208" s="1"/>
      <c r="D1208" s="1"/>
    </row>
    <row r="1209" spans="1:4">
      <c r="A1209" s="1"/>
      <c r="D1209" s="1"/>
    </row>
    <row r="1210" spans="1:4">
      <c r="A1210" s="1"/>
      <c r="D1210" s="1"/>
    </row>
    <row r="1211" spans="1:4">
      <c r="A1211" s="1"/>
      <c r="D1211" s="1"/>
    </row>
    <row r="1212" spans="1:4">
      <c r="A1212" s="1"/>
      <c r="D1212" s="1"/>
    </row>
    <row r="1213" spans="1:4">
      <c r="A1213" s="1"/>
      <c r="D1213" s="1"/>
    </row>
    <row r="1214" spans="1:4">
      <c r="A1214" s="1"/>
      <c r="D1214" s="1"/>
    </row>
    <row r="1215" spans="1:4">
      <c r="A1215" s="1"/>
      <c r="D1215" s="1"/>
    </row>
    <row r="1216" spans="1:4">
      <c r="A1216" s="1"/>
      <c r="D1216" s="1"/>
    </row>
    <row r="1217" spans="1:4">
      <c r="A1217" s="1"/>
      <c r="D1217" s="1"/>
    </row>
    <row r="1218" spans="1:4">
      <c r="A1218" s="1"/>
      <c r="D1218" s="1"/>
    </row>
    <row r="1219" spans="1:4">
      <c r="A1219" s="1"/>
      <c r="D1219" s="1"/>
    </row>
    <row r="1220" spans="1:4">
      <c r="A1220" s="1"/>
      <c r="D1220" s="1"/>
    </row>
    <row r="1221" spans="1:4">
      <c r="A1221" s="1"/>
      <c r="D1221" s="1"/>
    </row>
    <row r="1222" spans="1:4">
      <c r="A1222" s="1"/>
      <c r="D1222" s="1"/>
    </row>
    <row r="1223" spans="1:4">
      <c r="A1223" s="1"/>
      <c r="D1223" s="1"/>
    </row>
    <row r="1224" spans="1:4">
      <c r="A1224" s="1"/>
      <c r="D1224" s="1"/>
    </row>
    <row r="1225" spans="1:4">
      <c r="A1225" s="1"/>
      <c r="D1225" s="1"/>
    </row>
    <row r="1226" spans="1:4">
      <c r="A1226" s="1"/>
      <c r="D1226" s="1"/>
    </row>
    <row r="1227" spans="1:4">
      <c r="A1227" s="1"/>
      <c r="D1227" s="1"/>
    </row>
    <row r="1228" spans="1:4">
      <c r="A1228" s="1"/>
      <c r="D1228" s="1"/>
    </row>
    <row r="1229" spans="1:4">
      <c r="A1229" s="1"/>
      <c r="D1229" s="1"/>
    </row>
    <row r="1230" spans="1:4">
      <c r="A1230" s="1"/>
      <c r="D1230" s="1"/>
    </row>
    <row r="1231" spans="1:4">
      <c r="A1231" s="1"/>
      <c r="D1231" s="1"/>
    </row>
    <row r="1232" spans="1:4">
      <c r="A1232" s="1"/>
      <c r="D1232" s="1"/>
    </row>
    <row r="1233" spans="1:4">
      <c r="A1233" s="1"/>
      <c r="D1233" s="1"/>
    </row>
    <row r="1234" spans="1:4">
      <c r="A1234" s="1"/>
      <c r="D1234" s="1"/>
    </row>
    <row r="1235" spans="1:4">
      <c r="A1235" s="1"/>
      <c r="D1235" s="1"/>
    </row>
    <row r="1236" spans="1:4">
      <c r="A1236" s="1"/>
      <c r="D1236" s="1"/>
    </row>
    <row r="1237" spans="1:4">
      <c r="A1237" s="1"/>
      <c r="D1237" s="1"/>
    </row>
    <row r="1238" spans="1:4">
      <c r="A1238" s="1"/>
      <c r="D1238" s="1"/>
    </row>
    <row r="1239" spans="1:4">
      <c r="A1239" s="1"/>
      <c r="D1239" s="1"/>
    </row>
    <row r="1240" spans="1:4">
      <c r="A1240" s="1"/>
      <c r="D1240" s="1"/>
    </row>
    <row r="1241" spans="1:4">
      <c r="A1241" s="1"/>
      <c r="D1241" s="1"/>
    </row>
    <row r="1242" spans="1:4">
      <c r="A1242" s="1"/>
      <c r="D1242" s="1"/>
    </row>
    <row r="1243" spans="1:4">
      <c r="A1243" s="1"/>
      <c r="D1243" s="1"/>
    </row>
    <row r="1244" spans="1:4">
      <c r="A1244" s="1"/>
      <c r="D1244" s="1"/>
    </row>
    <row r="1245" spans="1:4">
      <c r="A1245" s="1"/>
      <c r="D1245" s="1"/>
    </row>
    <row r="1246" spans="1:4">
      <c r="A1246" s="1"/>
      <c r="D1246" s="1"/>
    </row>
    <row r="1247" spans="1:4">
      <c r="A1247" s="1"/>
      <c r="D1247" s="1"/>
    </row>
    <row r="1248" spans="1:4">
      <c r="A1248" s="1"/>
      <c r="D1248" s="1"/>
    </row>
    <row r="1249" spans="1:4">
      <c r="A1249" s="1"/>
      <c r="D1249" s="1"/>
    </row>
    <row r="1250" spans="1:4">
      <c r="A1250" s="1"/>
      <c r="D1250" s="1"/>
    </row>
    <row r="1251" spans="1:4">
      <c r="A1251" s="1"/>
      <c r="D1251" s="1"/>
    </row>
    <row r="1252" spans="1:4">
      <c r="A1252" s="1"/>
      <c r="D1252" s="1"/>
    </row>
    <row r="1253" spans="1:4">
      <c r="A1253" s="1"/>
      <c r="D1253" s="1"/>
    </row>
    <row r="1254" spans="1:4">
      <c r="A1254" s="1"/>
      <c r="D1254" s="1"/>
    </row>
    <row r="1255" spans="1:4">
      <c r="A1255" s="1"/>
      <c r="D1255" s="1"/>
    </row>
    <row r="1256" spans="1:4">
      <c r="A1256" s="1"/>
      <c r="D1256" s="1"/>
    </row>
    <row r="1257" spans="1:4">
      <c r="A1257" s="1"/>
      <c r="D1257" s="1"/>
    </row>
    <row r="1258" spans="1:4">
      <c r="A1258" s="1"/>
      <c r="D1258" s="1"/>
    </row>
    <row r="1259" spans="1:4">
      <c r="A1259" s="1"/>
      <c r="D1259" s="1"/>
    </row>
    <row r="1260" spans="1:4">
      <c r="A1260" s="1"/>
      <c r="D1260" s="1"/>
    </row>
    <row r="1261" spans="1:4">
      <c r="A1261" s="1"/>
      <c r="D1261" s="1"/>
    </row>
    <row r="1262" spans="1:4">
      <c r="A1262" s="1"/>
      <c r="D1262" s="1"/>
    </row>
    <row r="1263" spans="1:4">
      <c r="A1263" s="1"/>
      <c r="D1263" s="1"/>
    </row>
    <row r="1264" spans="1:4">
      <c r="A1264" s="1"/>
      <c r="D1264" s="1"/>
    </row>
    <row r="1265" spans="1:4">
      <c r="A1265" s="1"/>
      <c r="D1265" s="1"/>
    </row>
    <row r="1266" spans="1:4">
      <c r="A1266" s="1"/>
      <c r="D1266" s="1"/>
    </row>
    <row r="1267" spans="1:4">
      <c r="A1267" s="1"/>
      <c r="D1267" s="1"/>
    </row>
    <row r="1268" spans="1:4">
      <c r="A1268" s="1"/>
      <c r="D1268" s="1"/>
    </row>
    <row r="1269" spans="1:4">
      <c r="A1269" s="1"/>
      <c r="D1269" s="1"/>
    </row>
    <row r="1270" spans="1:4">
      <c r="A1270" s="1"/>
      <c r="D1270" s="1"/>
    </row>
    <row r="1271" spans="1:4">
      <c r="A1271" s="1"/>
      <c r="D1271" s="1"/>
    </row>
    <row r="1272" spans="1:4">
      <c r="A1272" s="1"/>
      <c r="D1272" s="1"/>
    </row>
    <row r="1273" spans="1:4">
      <c r="A1273" s="1"/>
      <c r="D1273" s="1"/>
    </row>
    <row r="1274" spans="1:4">
      <c r="A1274" s="1"/>
      <c r="D1274" s="1"/>
    </row>
    <row r="1275" spans="1:4">
      <c r="A1275" s="1"/>
      <c r="D1275" s="1"/>
    </row>
    <row r="1276" spans="1:4">
      <c r="A1276" s="1"/>
      <c r="D1276" s="1"/>
    </row>
    <row r="1277" spans="1:4">
      <c r="A1277" s="1"/>
      <c r="D1277" s="1"/>
    </row>
    <row r="1278" spans="1:4">
      <c r="A1278" s="1"/>
      <c r="D1278" s="1"/>
    </row>
    <row r="1279" spans="1:4">
      <c r="A1279" s="1"/>
      <c r="D1279" s="1"/>
    </row>
    <row r="1280" spans="1:4">
      <c r="A1280" s="1"/>
      <c r="D1280" s="1"/>
    </row>
    <row r="1281" spans="1:4">
      <c r="A1281" s="1"/>
      <c r="D1281" s="1"/>
    </row>
    <row r="1282" spans="1:4">
      <c r="A1282" s="1"/>
      <c r="D1282" s="1"/>
    </row>
    <row r="1283" spans="1:4">
      <c r="A1283" s="1"/>
      <c r="D1283" s="1"/>
    </row>
    <row r="1284" spans="1:4">
      <c r="A1284" s="1"/>
      <c r="D1284" s="1"/>
    </row>
    <row r="1285" spans="1:4">
      <c r="A1285" s="1"/>
      <c r="D1285" s="1"/>
    </row>
    <row r="1286" spans="1:4">
      <c r="A1286" s="1"/>
      <c r="D1286" s="1"/>
    </row>
    <row r="1287" spans="1:4">
      <c r="A1287" s="1"/>
      <c r="D1287" s="1"/>
    </row>
    <row r="1288" spans="1:4">
      <c r="A1288" s="1"/>
      <c r="D1288" s="1"/>
    </row>
    <row r="1289" spans="1:4">
      <c r="A1289" s="1"/>
      <c r="D1289" s="1"/>
    </row>
    <row r="1290" spans="1:4">
      <c r="A1290" s="1"/>
      <c r="D1290" s="1"/>
    </row>
    <row r="1291" spans="1:4">
      <c r="A1291" s="1"/>
      <c r="D1291" s="1"/>
    </row>
    <row r="1292" spans="1:4">
      <c r="A1292" s="1"/>
      <c r="D1292" s="1"/>
    </row>
    <row r="1293" spans="1:4">
      <c r="A1293" s="1"/>
      <c r="D1293" s="1"/>
    </row>
    <row r="1294" spans="1:4">
      <c r="A1294" s="1"/>
      <c r="D1294" s="1"/>
    </row>
    <row r="1295" spans="1:4">
      <c r="A1295" s="1"/>
      <c r="D1295" s="1"/>
    </row>
    <row r="1296" spans="1:4">
      <c r="A1296" s="1"/>
      <c r="D1296" s="1"/>
    </row>
    <row r="1297" spans="1:4">
      <c r="A1297" s="1"/>
      <c r="D1297" s="1"/>
    </row>
    <row r="1298" spans="1:4">
      <c r="A1298" s="1"/>
      <c r="D1298" s="1"/>
    </row>
    <row r="1299" spans="1:4">
      <c r="A1299" s="1"/>
      <c r="D1299" s="1"/>
    </row>
    <row r="1300" spans="1:4">
      <c r="A1300" s="1"/>
      <c r="D1300" s="1"/>
    </row>
    <row r="1301" spans="1:4">
      <c r="A1301" s="1"/>
      <c r="D1301" s="1"/>
    </row>
    <row r="1302" spans="1:4">
      <c r="A1302" s="1"/>
      <c r="D1302" s="1"/>
    </row>
    <row r="1303" spans="1:4">
      <c r="A1303" s="1"/>
      <c r="D1303" s="1"/>
    </row>
    <row r="1304" spans="1:4">
      <c r="A1304" s="1"/>
      <c r="D1304" s="1"/>
    </row>
    <row r="1305" spans="1:4">
      <c r="A1305" s="1"/>
      <c r="D1305" s="1"/>
    </row>
    <row r="1306" spans="1:4">
      <c r="A1306" s="1"/>
      <c r="D1306" s="1"/>
    </row>
    <row r="1307" spans="1:4">
      <c r="A1307" s="1"/>
      <c r="D1307" s="1"/>
    </row>
    <row r="1308" spans="1:4">
      <c r="A1308" s="1"/>
      <c r="D1308" s="1"/>
    </row>
    <row r="1309" spans="1:4">
      <c r="A1309" s="1"/>
      <c r="D1309" s="1"/>
    </row>
    <row r="1310" spans="1:4">
      <c r="A1310" s="1"/>
      <c r="D1310" s="1"/>
    </row>
    <row r="1311" spans="1:4">
      <c r="A1311" s="1"/>
      <c r="D1311" s="1"/>
    </row>
    <row r="1312" spans="1:4">
      <c r="A1312" s="1"/>
      <c r="D1312" s="1"/>
    </row>
    <row r="1313" spans="1:4">
      <c r="A1313" s="1"/>
      <c r="D1313" s="1"/>
    </row>
    <row r="1314" spans="1:4">
      <c r="A1314" s="1"/>
      <c r="D1314" s="1"/>
    </row>
    <row r="1315" spans="1:4">
      <c r="A1315" s="1"/>
      <c r="D1315" s="1"/>
    </row>
    <row r="1316" spans="1:4">
      <c r="A1316" s="1"/>
      <c r="D1316" s="1"/>
    </row>
    <row r="1317" spans="1:4">
      <c r="A1317" s="1"/>
      <c r="D1317" s="1"/>
    </row>
    <row r="1318" spans="1:4">
      <c r="A1318" s="1"/>
      <c r="D1318" s="1"/>
    </row>
    <row r="1319" spans="1:4">
      <c r="A1319" s="1"/>
      <c r="D1319" s="1"/>
    </row>
    <row r="1320" spans="1:4">
      <c r="A1320" s="1"/>
      <c r="D1320" s="1"/>
    </row>
    <row r="1321" spans="1:4">
      <c r="A1321" s="1"/>
      <c r="D1321" s="1"/>
    </row>
    <row r="1322" spans="1:4">
      <c r="A1322" s="1"/>
      <c r="D1322" s="1"/>
    </row>
    <row r="1323" spans="1:4">
      <c r="A1323" s="1"/>
      <c r="D1323" s="1"/>
    </row>
    <row r="1324" spans="1:4">
      <c r="A1324" s="1"/>
      <c r="D1324" s="1"/>
    </row>
    <row r="1325" spans="1:4">
      <c r="A1325" s="1"/>
      <c r="D1325" s="1"/>
    </row>
    <row r="1326" spans="1:4">
      <c r="A1326" s="1"/>
      <c r="D1326" s="1"/>
    </row>
    <row r="1327" spans="1:4">
      <c r="A1327" s="1"/>
      <c r="D1327" s="1"/>
    </row>
    <row r="1328" spans="1:4">
      <c r="A1328" s="1"/>
      <c r="D1328" s="1"/>
    </row>
    <row r="1329" spans="1:4">
      <c r="A1329" s="1"/>
      <c r="D1329" s="1"/>
    </row>
    <row r="1330" spans="1:4">
      <c r="A1330" s="1"/>
      <c r="D1330" s="1"/>
    </row>
    <row r="1331" spans="1:4">
      <c r="A1331" s="1"/>
      <c r="D1331" s="1"/>
    </row>
    <row r="1332" spans="1:4">
      <c r="A1332" s="1"/>
      <c r="D1332" s="1"/>
    </row>
    <row r="1333" spans="1:4">
      <c r="A1333" s="1"/>
      <c r="D1333" s="1"/>
    </row>
    <row r="1334" spans="1:4">
      <c r="A1334" s="1"/>
      <c r="D1334" s="1"/>
    </row>
    <row r="1335" spans="1:4">
      <c r="A1335" s="1"/>
      <c r="D1335" s="1"/>
    </row>
    <row r="1336" spans="1:4">
      <c r="A1336" s="1"/>
      <c r="D1336" s="1"/>
    </row>
    <row r="1337" spans="1:4">
      <c r="A1337" s="1"/>
      <c r="D1337" s="1"/>
    </row>
    <row r="1338" spans="1:4">
      <c r="A1338" s="1"/>
      <c r="D1338" s="1"/>
    </row>
    <row r="1339" spans="1:4">
      <c r="A1339" s="1"/>
      <c r="D1339" s="1"/>
    </row>
    <row r="1340" spans="1:4">
      <c r="A1340" s="1"/>
      <c r="D1340" s="1"/>
    </row>
    <row r="1341" spans="1:4">
      <c r="A1341" s="1"/>
      <c r="D1341" s="1"/>
    </row>
    <row r="1342" spans="1:4">
      <c r="A1342" s="1"/>
      <c r="D1342" s="1"/>
    </row>
    <row r="1343" spans="1:4">
      <c r="A1343" s="1"/>
      <c r="D1343" s="1"/>
    </row>
    <row r="1344" spans="1:4">
      <c r="A1344" s="1"/>
      <c r="D1344" s="1"/>
    </row>
    <row r="1345" spans="1:4">
      <c r="A1345" s="1"/>
      <c r="D1345" s="1"/>
    </row>
    <row r="1346" spans="1:4">
      <c r="A1346" s="1"/>
      <c r="D1346" s="1"/>
    </row>
    <row r="1347" spans="1:4">
      <c r="A1347" s="1"/>
      <c r="D1347" s="1"/>
    </row>
    <row r="1348" spans="1:4">
      <c r="A1348" s="1"/>
      <c r="D1348" s="1"/>
    </row>
    <row r="1349" spans="1:4">
      <c r="A1349" s="1"/>
      <c r="D1349" s="1"/>
    </row>
    <row r="1350" spans="1:4">
      <c r="A1350" s="1"/>
      <c r="D1350" s="1"/>
    </row>
    <row r="1351" spans="1:4">
      <c r="A1351" s="1"/>
      <c r="D1351" s="1"/>
    </row>
    <row r="1352" spans="1:4">
      <c r="A1352" s="1"/>
      <c r="D1352" s="1"/>
    </row>
    <row r="1353" spans="1:4">
      <c r="A1353" s="1"/>
      <c r="D1353" s="1"/>
    </row>
    <row r="1354" spans="1:4">
      <c r="A1354" s="1"/>
      <c r="D1354" s="1"/>
    </row>
    <row r="1355" spans="1:4">
      <c r="A1355" s="1"/>
      <c r="D1355" s="1"/>
    </row>
    <row r="1356" spans="1:4">
      <c r="A1356" s="1"/>
      <c r="D1356" s="1"/>
    </row>
    <row r="1357" spans="1:4">
      <c r="A1357" s="1"/>
      <c r="D1357" s="1"/>
    </row>
    <row r="1358" spans="1:4">
      <c r="A1358" s="1"/>
      <c r="D1358" s="1"/>
    </row>
    <row r="1359" spans="1:4">
      <c r="A1359" s="1"/>
      <c r="D1359" s="1"/>
    </row>
    <row r="1360" spans="1:4">
      <c r="A1360" s="1"/>
      <c r="D1360" s="1"/>
    </row>
    <row r="1361" spans="1:4">
      <c r="A1361" s="1"/>
      <c r="D1361" s="1"/>
    </row>
    <row r="1362" spans="1:4">
      <c r="A1362" s="1"/>
      <c r="D1362" s="1"/>
    </row>
    <row r="1363" spans="1:4">
      <c r="A1363" s="1"/>
      <c r="D1363" s="1"/>
    </row>
    <row r="1364" spans="1:4">
      <c r="A1364" s="1"/>
      <c r="D1364" s="1"/>
    </row>
    <row r="1365" spans="1:4">
      <c r="A1365" s="1"/>
      <c r="D1365" s="1"/>
    </row>
    <row r="1366" spans="1:4">
      <c r="A1366" s="1"/>
      <c r="D1366" s="1"/>
    </row>
    <row r="1367" spans="1:4">
      <c r="A1367" s="1"/>
      <c r="D1367" s="1"/>
    </row>
    <row r="1368" spans="1:4">
      <c r="A1368" s="1"/>
      <c r="D1368" s="1"/>
    </row>
    <row r="1369" spans="1:4">
      <c r="A1369" s="1"/>
      <c r="D1369" s="1"/>
    </row>
    <row r="1370" spans="1:4">
      <c r="A1370" s="1"/>
      <c r="D1370" s="1"/>
    </row>
    <row r="1371" spans="1:4">
      <c r="A1371" s="1"/>
      <c r="D1371" s="1"/>
    </row>
    <row r="1372" spans="1:4">
      <c r="A1372" s="1"/>
      <c r="D1372" s="1"/>
    </row>
    <row r="1373" spans="1:4">
      <c r="A1373" s="1"/>
      <c r="D1373" s="1"/>
    </row>
    <row r="1374" spans="1:4">
      <c r="A1374" s="1"/>
      <c r="D1374" s="1"/>
    </row>
    <row r="1375" spans="1:4">
      <c r="A1375" s="1"/>
      <c r="D1375" s="1"/>
    </row>
    <row r="1376" spans="1:4">
      <c r="A1376" s="1"/>
      <c r="D1376" s="1"/>
    </row>
    <row r="1377" spans="1:4">
      <c r="A1377" s="1"/>
      <c r="D1377" s="1"/>
    </row>
    <row r="1378" spans="1:4">
      <c r="A1378" s="1"/>
      <c r="D1378" s="1"/>
    </row>
    <row r="1379" spans="1:4">
      <c r="A1379" s="1"/>
      <c r="D1379" s="1"/>
    </row>
    <row r="1380" spans="1:4">
      <c r="A1380" s="1"/>
      <c r="D1380" s="1"/>
    </row>
    <row r="1381" spans="1:4">
      <c r="A1381" s="1"/>
      <c r="D1381" s="1"/>
    </row>
    <row r="1382" spans="1:4">
      <c r="A1382" s="1"/>
      <c r="D1382" s="1"/>
    </row>
    <row r="1383" spans="1:4">
      <c r="A1383" s="1"/>
      <c r="D1383" s="1"/>
    </row>
    <row r="1384" spans="1:4">
      <c r="A1384" s="1"/>
      <c r="D1384" s="1"/>
    </row>
    <row r="1385" spans="1:4">
      <c r="A1385" s="1"/>
      <c r="D1385" s="1"/>
    </row>
    <row r="1386" spans="1:4">
      <c r="A1386" s="1"/>
      <c r="D1386" s="1"/>
    </row>
    <row r="1387" spans="1:4">
      <c r="A1387" s="1"/>
      <c r="D1387" s="1"/>
    </row>
    <row r="1388" spans="1:4">
      <c r="A1388" s="1"/>
      <c r="D1388" s="1"/>
    </row>
    <row r="1389" spans="1:4">
      <c r="A1389" s="1"/>
      <c r="D1389" s="1"/>
    </row>
    <row r="1390" spans="1:4">
      <c r="A1390" s="1"/>
      <c r="D1390" s="1"/>
    </row>
    <row r="1391" spans="1:4">
      <c r="A1391" s="1"/>
      <c r="D1391" s="1"/>
    </row>
    <row r="1392" spans="1:4">
      <c r="A1392" s="1"/>
      <c r="D1392" s="1"/>
    </row>
    <row r="1393" spans="1:4">
      <c r="A1393" s="1"/>
      <c r="D1393" s="1"/>
    </row>
    <row r="1394" spans="1:4">
      <c r="A1394" s="1"/>
      <c r="D1394" s="1"/>
    </row>
    <row r="1395" spans="1:4">
      <c r="A1395" s="1"/>
      <c r="D1395" s="1"/>
    </row>
    <row r="1396" spans="1:4">
      <c r="A1396" s="1"/>
      <c r="D1396" s="1"/>
    </row>
    <row r="1397" spans="1:4">
      <c r="A1397" s="1"/>
      <c r="D1397" s="1"/>
    </row>
    <row r="1398" spans="1:4">
      <c r="A1398" s="1"/>
      <c r="D1398" s="1"/>
    </row>
    <row r="1399" spans="1:4">
      <c r="A1399" s="1"/>
      <c r="D1399" s="1"/>
    </row>
    <row r="1400" spans="1:4">
      <c r="A1400" s="1"/>
      <c r="D1400" s="1"/>
    </row>
    <row r="1401" spans="1:4">
      <c r="A1401" s="1"/>
      <c r="D1401" s="1"/>
    </row>
    <row r="1402" spans="1:4">
      <c r="A1402" s="1"/>
      <c r="D1402" s="1"/>
    </row>
    <row r="1403" spans="1:4">
      <c r="A1403" s="1"/>
      <c r="D1403" s="1"/>
    </row>
    <row r="1404" spans="1:4">
      <c r="A1404" s="1"/>
      <c r="D1404" s="1"/>
    </row>
    <row r="1405" spans="1:4">
      <c r="A1405" s="1"/>
      <c r="D1405" s="1"/>
    </row>
    <row r="1406" spans="1:4">
      <c r="A1406" s="1"/>
      <c r="D1406" s="1"/>
    </row>
    <row r="1407" spans="1:4">
      <c r="A1407" s="1"/>
      <c r="D1407" s="1"/>
    </row>
    <row r="1408" spans="1:4">
      <c r="A1408" s="1"/>
      <c r="D1408" s="1"/>
    </row>
    <row r="1409" spans="1:4">
      <c r="A1409" s="1"/>
      <c r="D1409" s="1"/>
    </row>
    <row r="1410" spans="1:4">
      <c r="A1410" s="1"/>
      <c r="D1410" s="1"/>
    </row>
    <row r="1411" spans="1:4">
      <c r="A1411" s="1"/>
      <c r="D1411" s="1"/>
    </row>
    <row r="1412" spans="1:4">
      <c r="A1412" s="1"/>
      <c r="D1412" s="1"/>
    </row>
    <row r="1413" spans="1:4">
      <c r="A1413" s="1"/>
      <c r="D1413" s="1"/>
    </row>
    <row r="1414" spans="1:4">
      <c r="A1414" s="1"/>
      <c r="D1414" s="1"/>
    </row>
    <row r="1415" spans="1:4">
      <c r="A1415" s="1"/>
      <c r="D1415" s="1"/>
    </row>
    <row r="1416" spans="1:4">
      <c r="A1416" s="1"/>
      <c r="D1416" s="1"/>
    </row>
    <row r="1417" spans="1:4">
      <c r="A1417" s="1"/>
      <c r="D1417" s="1"/>
    </row>
    <row r="1418" spans="1:4">
      <c r="A1418" s="1"/>
      <c r="D1418" s="1"/>
    </row>
    <row r="1419" spans="1:4">
      <c r="A1419" s="1"/>
      <c r="D1419" s="1"/>
    </row>
    <row r="1420" spans="1:4">
      <c r="A1420" s="1"/>
      <c r="D1420" s="1"/>
    </row>
    <row r="1421" spans="1:4">
      <c r="A1421" s="1"/>
      <c r="D1421" s="1"/>
    </row>
    <row r="1422" spans="1:4">
      <c r="A1422" s="1"/>
      <c r="D1422" s="1"/>
    </row>
    <row r="1423" spans="1:4">
      <c r="A1423" s="1"/>
      <c r="D1423" s="1"/>
    </row>
    <row r="1424" spans="1:4">
      <c r="A1424" s="1"/>
      <c r="D1424" s="1"/>
    </row>
    <row r="1425" spans="1:4">
      <c r="A1425" s="1"/>
      <c r="D1425" s="1"/>
    </row>
    <row r="1426" spans="1:4">
      <c r="A1426" s="1"/>
      <c r="D1426" s="1"/>
    </row>
    <row r="1427" spans="1:4">
      <c r="A1427" s="1"/>
      <c r="D1427" s="1"/>
    </row>
    <row r="1428" spans="1:4">
      <c r="A1428" s="1"/>
      <c r="D1428" s="1"/>
    </row>
    <row r="1429" spans="1:4">
      <c r="A1429" s="1"/>
      <c r="D1429" s="1"/>
    </row>
    <row r="1430" spans="1:4">
      <c r="A1430" s="1"/>
      <c r="D1430" s="1"/>
    </row>
    <row r="1431" spans="1:4">
      <c r="A1431" s="1"/>
      <c r="D1431" s="1"/>
    </row>
    <row r="1432" spans="1:4">
      <c r="A1432" s="1"/>
      <c r="D1432" s="1"/>
    </row>
    <row r="1433" spans="1:4">
      <c r="A1433" s="1"/>
      <c r="D1433" s="1"/>
    </row>
    <row r="1434" spans="1:4">
      <c r="A1434" s="1"/>
      <c r="D1434" s="1"/>
    </row>
    <row r="1435" spans="1:4">
      <c r="A1435" s="1"/>
      <c r="D1435" s="1"/>
    </row>
    <row r="1436" spans="1:4">
      <c r="A1436" s="1"/>
      <c r="D1436" s="1"/>
    </row>
    <row r="1437" spans="1:4">
      <c r="A1437" s="1"/>
      <c r="D1437" s="1"/>
    </row>
    <row r="1438" spans="1:4">
      <c r="A1438" s="1"/>
      <c r="D1438" s="1"/>
    </row>
    <row r="1439" spans="1:4">
      <c r="A1439" s="1"/>
      <c r="D1439" s="1"/>
    </row>
    <row r="1440" spans="1:4">
      <c r="A1440" s="1"/>
      <c r="D1440" s="1"/>
    </row>
    <row r="1441" spans="1:4">
      <c r="A1441" s="1"/>
      <c r="D1441" s="1"/>
    </row>
    <row r="1442" spans="1:4">
      <c r="A1442" s="1"/>
      <c r="D1442" s="1"/>
    </row>
    <row r="1443" spans="1:4">
      <c r="A1443" s="1"/>
      <c r="D1443" s="1"/>
    </row>
    <row r="1444" spans="1:4">
      <c r="A1444" s="1"/>
      <c r="D1444" s="1"/>
    </row>
    <row r="1445" spans="1:4">
      <c r="A1445" s="1"/>
      <c r="D1445" s="1"/>
    </row>
    <row r="1446" spans="1:4">
      <c r="A1446" s="1"/>
      <c r="D1446" s="1"/>
    </row>
    <row r="1447" spans="1:4">
      <c r="A1447" s="1"/>
      <c r="D1447" s="1"/>
    </row>
    <row r="1448" spans="1:4">
      <c r="A1448" s="1"/>
      <c r="D1448" s="1"/>
    </row>
    <row r="1449" spans="1:4">
      <c r="A1449" s="1"/>
      <c r="D1449" s="1"/>
    </row>
    <row r="1450" spans="1:4">
      <c r="A1450" s="1"/>
      <c r="D1450" s="1"/>
    </row>
    <row r="1451" spans="1:4">
      <c r="A1451" s="1"/>
      <c r="D1451" s="1"/>
    </row>
    <row r="1452" spans="1:4">
      <c r="A1452" s="1"/>
      <c r="D1452" s="1"/>
    </row>
    <row r="1453" spans="1:4">
      <c r="A1453" s="1"/>
      <c r="D1453" s="1"/>
    </row>
    <row r="1454" spans="1:4">
      <c r="A1454" s="1"/>
      <c r="D1454" s="1"/>
    </row>
    <row r="1455" spans="1:4">
      <c r="A1455" s="1"/>
      <c r="D1455" s="1"/>
    </row>
    <row r="1456" spans="1:4">
      <c r="A1456" s="1"/>
      <c r="D1456" s="1"/>
    </row>
    <row r="1457" spans="1:4">
      <c r="A1457" s="1"/>
      <c r="D1457" s="1"/>
    </row>
    <row r="1458" spans="1:4">
      <c r="A1458" s="1"/>
      <c r="D1458" s="1"/>
    </row>
    <row r="1459" spans="1:4">
      <c r="A1459" s="1"/>
      <c r="D1459" s="1"/>
    </row>
    <row r="1460" spans="1:4">
      <c r="A1460" s="1"/>
      <c r="D1460" s="1"/>
    </row>
    <row r="1461" spans="1:4">
      <c r="A1461" s="1"/>
      <c r="D1461" s="1"/>
    </row>
    <row r="1462" spans="1:4">
      <c r="A1462" s="1"/>
      <c r="D1462" s="1"/>
    </row>
    <row r="1463" spans="1:4">
      <c r="A1463" s="1"/>
      <c r="D1463" s="1"/>
    </row>
    <row r="1464" spans="1:4">
      <c r="A1464" s="1"/>
      <c r="D1464" s="1"/>
    </row>
    <row r="1465" spans="1:4">
      <c r="A1465" s="1"/>
      <c r="D1465" s="1"/>
    </row>
    <row r="1466" spans="1:4">
      <c r="A1466" s="1"/>
      <c r="D1466" s="1"/>
    </row>
    <row r="1467" spans="1:4">
      <c r="A1467" s="1"/>
      <c r="D1467" s="1"/>
    </row>
    <row r="1468" spans="1:4">
      <c r="A1468" s="1"/>
      <c r="D1468" s="1"/>
    </row>
    <row r="1469" spans="1:4">
      <c r="A1469" s="1"/>
      <c r="D1469" s="1"/>
    </row>
    <row r="1470" spans="1:4">
      <c r="A1470" s="1"/>
      <c r="D1470" s="1"/>
    </row>
    <row r="1471" spans="1:4">
      <c r="A1471" s="1"/>
      <c r="D1471" s="1"/>
    </row>
    <row r="1472" spans="1:4">
      <c r="A1472" s="1"/>
      <c r="D1472" s="1"/>
    </row>
    <row r="1473" spans="1:4">
      <c r="A1473" s="1"/>
      <c r="D1473" s="1"/>
    </row>
    <row r="1474" spans="1:4">
      <c r="A1474" s="1"/>
      <c r="D1474" s="1"/>
    </row>
    <row r="1475" spans="1:4">
      <c r="A1475" s="1"/>
      <c r="D1475" s="1"/>
    </row>
    <row r="1476" spans="1:4">
      <c r="A1476" s="1"/>
      <c r="D1476" s="1"/>
    </row>
    <row r="1477" spans="1:4">
      <c r="A1477" s="1"/>
      <c r="D1477" s="1"/>
    </row>
    <row r="1478" spans="1:4">
      <c r="A1478" s="1"/>
      <c r="D1478" s="1"/>
    </row>
    <row r="1479" spans="1:4">
      <c r="A1479" s="1"/>
      <c r="D1479" s="1"/>
    </row>
    <row r="1480" spans="1:4">
      <c r="A1480" s="1"/>
      <c r="D1480" s="1"/>
    </row>
    <row r="1481" spans="1:4">
      <c r="A1481" s="1"/>
      <c r="D1481" s="1"/>
    </row>
    <row r="1482" spans="1:4">
      <c r="A1482" s="1"/>
      <c r="D1482" s="1"/>
    </row>
    <row r="1483" spans="1:4">
      <c r="A1483" s="1"/>
      <c r="D1483" s="1"/>
    </row>
    <row r="1484" spans="1:4">
      <c r="A1484" s="1"/>
      <c r="D1484" s="1"/>
    </row>
    <row r="1485" spans="1:4">
      <c r="A1485" s="1"/>
      <c r="D1485" s="1"/>
    </row>
    <row r="1486" spans="1:4">
      <c r="A1486" s="1"/>
      <c r="D1486" s="1"/>
    </row>
    <row r="1487" spans="1:4">
      <c r="A1487" s="1"/>
      <c r="D1487" s="1"/>
    </row>
    <row r="1488" spans="1:4">
      <c r="A1488" s="1"/>
      <c r="D1488" s="1"/>
    </row>
    <row r="1489" spans="1:4">
      <c r="A1489" s="1"/>
      <c r="D1489" s="1"/>
    </row>
    <row r="1490" spans="1:4">
      <c r="A1490" s="1"/>
      <c r="D1490" s="1"/>
    </row>
    <row r="1491" spans="1:4">
      <c r="A1491" s="1"/>
      <c r="D1491" s="1"/>
    </row>
    <row r="1492" spans="1:4">
      <c r="A1492" s="1"/>
      <c r="D1492" s="1"/>
    </row>
    <row r="1493" spans="1:4">
      <c r="A1493" s="1"/>
      <c r="D1493" s="1"/>
    </row>
    <row r="1494" spans="1:4">
      <c r="A1494" s="1"/>
      <c r="D1494" s="1"/>
    </row>
    <row r="1495" spans="1:4">
      <c r="A1495" s="1"/>
      <c r="D1495" s="1"/>
    </row>
    <row r="1496" spans="1:4">
      <c r="A1496" s="1"/>
      <c r="D1496" s="1"/>
    </row>
    <row r="1497" spans="1:4">
      <c r="A1497" s="1"/>
      <c r="D1497" s="1"/>
    </row>
    <row r="1498" spans="1:4">
      <c r="A1498" s="1"/>
      <c r="D1498" s="1"/>
    </row>
    <row r="1499" spans="1:4">
      <c r="A1499" s="1"/>
      <c r="D1499" s="1"/>
    </row>
    <row r="1500" spans="1:4">
      <c r="A1500" s="1"/>
      <c r="D1500" s="1"/>
    </row>
    <row r="1501" spans="1:4">
      <c r="A1501" s="1"/>
      <c r="D1501" s="1"/>
    </row>
    <row r="1502" spans="1:4">
      <c r="A1502" s="1"/>
      <c r="D1502" s="1"/>
    </row>
    <row r="1503" spans="1:4">
      <c r="A1503" s="1"/>
      <c r="D1503" s="1"/>
    </row>
    <row r="1504" spans="1:4">
      <c r="A1504" s="1"/>
      <c r="D1504" s="1"/>
    </row>
    <row r="1505" spans="1:4">
      <c r="A1505" s="1"/>
      <c r="D1505" s="1"/>
    </row>
    <row r="1506" spans="1:4">
      <c r="A1506" s="1"/>
      <c r="D1506" s="1"/>
    </row>
    <row r="1507" spans="1:4">
      <c r="A1507" s="1"/>
      <c r="D1507" s="1"/>
    </row>
    <row r="1508" spans="1:4">
      <c r="A1508" s="1"/>
      <c r="D1508" s="1"/>
    </row>
    <row r="1509" spans="1:4">
      <c r="A1509" s="1"/>
      <c r="D1509" s="1"/>
    </row>
    <row r="1510" spans="1:4">
      <c r="A1510" s="1"/>
      <c r="D1510" s="1"/>
    </row>
    <row r="1511" spans="1:4">
      <c r="A1511" s="1"/>
      <c r="D1511" s="1"/>
    </row>
    <row r="1512" spans="1:4">
      <c r="A1512" s="1"/>
      <c r="D1512" s="1"/>
    </row>
    <row r="1513" spans="1:4">
      <c r="A1513" s="1"/>
      <c r="D1513" s="1"/>
    </row>
    <row r="1514" spans="1:4">
      <c r="A1514" s="1"/>
      <c r="D1514" s="1"/>
    </row>
    <row r="1515" spans="1:4">
      <c r="A1515" s="1"/>
      <c r="D1515" s="1"/>
    </row>
    <row r="1516" spans="1:4">
      <c r="A1516" s="1"/>
      <c r="D1516" s="1"/>
    </row>
    <row r="1517" spans="1:4">
      <c r="A1517" s="1"/>
      <c r="D1517" s="1"/>
    </row>
    <row r="1518" spans="1:4">
      <c r="A1518" s="1"/>
      <c r="D1518" s="1"/>
    </row>
    <row r="1519" spans="1:4">
      <c r="A1519" s="1"/>
      <c r="D1519" s="1"/>
    </row>
    <row r="1520" spans="1:4">
      <c r="A1520" s="1"/>
      <c r="D1520" s="1"/>
    </row>
    <row r="1521" spans="1:4">
      <c r="A1521" s="1"/>
      <c r="D1521" s="1"/>
    </row>
    <row r="1522" spans="1:4">
      <c r="A1522" s="1"/>
      <c r="D1522" s="1"/>
    </row>
    <row r="1523" spans="1:4">
      <c r="A1523" s="1"/>
      <c r="D1523" s="1"/>
    </row>
    <row r="1524" spans="1:4">
      <c r="A1524" s="1"/>
      <c r="D1524" s="1"/>
    </row>
    <row r="1525" spans="1:4">
      <c r="A1525" s="1"/>
      <c r="D1525" s="1"/>
    </row>
    <row r="1526" spans="1:4">
      <c r="A1526" s="1"/>
      <c r="D1526" s="1"/>
    </row>
    <row r="1527" spans="1:4">
      <c r="A1527" s="1"/>
      <c r="D1527" s="1"/>
    </row>
    <row r="1528" spans="1:4">
      <c r="A1528" s="1"/>
      <c r="D1528" s="1"/>
    </row>
    <row r="1529" spans="1:4">
      <c r="A1529" s="1"/>
      <c r="D1529" s="1"/>
    </row>
    <row r="1530" spans="1:4">
      <c r="A1530" s="1"/>
      <c r="D1530" s="1"/>
    </row>
    <row r="1531" spans="1:4">
      <c r="A1531" s="1"/>
      <c r="D1531" s="1"/>
    </row>
    <row r="1532" spans="1:4">
      <c r="A1532" s="1"/>
      <c r="D1532" s="1"/>
    </row>
    <row r="1533" spans="1:4">
      <c r="A1533" s="1"/>
      <c r="D1533" s="1"/>
    </row>
    <row r="1534" spans="1:4">
      <c r="A1534" s="1"/>
      <c r="D1534" s="1"/>
    </row>
    <row r="1535" spans="1:4">
      <c r="A1535" s="1"/>
      <c r="D1535" s="1"/>
    </row>
    <row r="1536" spans="1:4">
      <c r="A1536" s="1"/>
      <c r="D1536" s="1"/>
    </row>
    <row r="1537" spans="1:4">
      <c r="A1537" s="1"/>
      <c r="D1537" s="1"/>
    </row>
    <row r="1538" spans="1:4">
      <c r="A1538" s="1"/>
      <c r="D1538" s="1"/>
    </row>
    <row r="1539" spans="1:4">
      <c r="A1539" s="1"/>
      <c r="D1539" s="1"/>
    </row>
    <row r="1540" spans="1:4">
      <c r="A1540" s="1"/>
      <c r="D1540" s="1"/>
    </row>
    <row r="1541" spans="1:4">
      <c r="A1541" s="1"/>
      <c r="D1541" s="1"/>
    </row>
    <row r="1542" spans="1:4">
      <c r="A1542" s="1"/>
      <c r="D1542" s="1"/>
    </row>
    <row r="1543" spans="1:4">
      <c r="A1543" s="1"/>
      <c r="D1543" s="1"/>
    </row>
    <row r="1544" spans="1:4">
      <c r="A1544" s="1"/>
      <c r="D1544" s="1"/>
    </row>
    <row r="1545" spans="1:4">
      <c r="A1545" s="1"/>
      <c r="D1545" s="1"/>
    </row>
    <row r="1546" spans="1:4">
      <c r="A1546" s="1"/>
      <c r="D1546" s="1"/>
    </row>
    <row r="1547" spans="1:4">
      <c r="A1547" s="1"/>
      <c r="D1547" s="1"/>
    </row>
    <row r="1548" spans="1:4">
      <c r="A1548" s="1"/>
      <c r="D1548" s="1"/>
    </row>
    <row r="1549" spans="1:4">
      <c r="A1549" s="1"/>
      <c r="D1549" s="1"/>
    </row>
    <row r="1550" spans="1:4">
      <c r="A1550" s="1"/>
      <c r="D1550" s="1"/>
    </row>
    <row r="1551" spans="1:4">
      <c r="A1551" s="1"/>
      <c r="D1551" s="1"/>
    </row>
    <row r="1552" spans="1:4">
      <c r="A1552" s="1"/>
      <c r="D1552" s="1"/>
    </row>
    <row r="1553" spans="1:4">
      <c r="A1553" s="1"/>
      <c r="D1553" s="1"/>
    </row>
    <row r="1554" spans="1:4">
      <c r="A1554" s="1"/>
      <c r="D1554" s="1"/>
    </row>
    <row r="1555" spans="1:4">
      <c r="A1555" s="1"/>
      <c r="D1555" s="1"/>
    </row>
    <row r="1556" spans="1:4">
      <c r="A1556" s="1"/>
      <c r="D1556" s="1"/>
    </row>
    <row r="1557" spans="1:4">
      <c r="A1557" s="1"/>
      <c r="D1557" s="1"/>
    </row>
    <row r="1558" spans="1:4">
      <c r="A1558" s="1"/>
      <c r="D1558" s="1"/>
    </row>
    <row r="1559" spans="1:4">
      <c r="A1559" s="1"/>
      <c r="D1559" s="1"/>
    </row>
    <row r="1560" spans="1:4">
      <c r="A1560" s="1"/>
      <c r="D1560" s="1"/>
    </row>
    <row r="1561" spans="1:4">
      <c r="A1561" s="1"/>
      <c r="D1561" s="1"/>
    </row>
    <row r="1562" spans="1:4">
      <c r="A1562" s="1"/>
      <c r="D1562" s="1"/>
    </row>
    <row r="1563" spans="1:4">
      <c r="A1563" s="1"/>
      <c r="D1563" s="1"/>
    </row>
    <row r="1564" spans="1:4">
      <c r="A1564" s="1"/>
      <c r="D1564" s="1"/>
    </row>
    <row r="1565" spans="1:4">
      <c r="A1565" s="1"/>
      <c r="D1565" s="1"/>
    </row>
    <row r="1566" spans="1:4">
      <c r="A1566" s="1"/>
      <c r="D1566" s="1"/>
    </row>
    <row r="1567" spans="1:4">
      <c r="A1567" s="1"/>
      <c r="D1567" s="1"/>
    </row>
    <row r="1568" spans="1:4">
      <c r="A1568" s="1"/>
      <c r="D1568" s="1"/>
    </row>
    <row r="1569" spans="1:4">
      <c r="A1569" s="1"/>
      <c r="D1569" s="1"/>
    </row>
    <row r="1570" spans="1:4">
      <c r="A1570" s="1"/>
      <c r="D1570" s="1"/>
    </row>
    <row r="1571" spans="1:4">
      <c r="A1571" s="1"/>
      <c r="D1571" s="1"/>
    </row>
    <row r="1572" spans="1:4">
      <c r="A1572" s="1"/>
      <c r="D1572" s="1"/>
    </row>
    <row r="1573" spans="1:4">
      <c r="A1573" s="1"/>
      <c r="D1573" s="1"/>
    </row>
    <row r="1574" spans="1:4">
      <c r="A1574" s="1"/>
      <c r="D1574" s="1"/>
    </row>
    <row r="1575" spans="1:4">
      <c r="A1575" s="1"/>
      <c r="D1575" s="1"/>
    </row>
    <row r="1576" spans="1:4">
      <c r="A1576" s="1"/>
      <c r="D1576" s="1"/>
    </row>
    <row r="1577" spans="1:4">
      <c r="A1577" s="1"/>
      <c r="D1577" s="1"/>
    </row>
    <row r="1578" spans="1:4">
      <c r="A1578" s="1"/>
      <c r="D1578" s="1"/>
    </row>
    <row r="1579" spans="1:4">
      <c r="A1579" s="1"/>
      <c r="D1579" s="1"/>
    </row>
    <row r="1580" spans="1:4">
      <c r="A1580" s="1"/>
      <c r="D1580" s="1"/>
    </row>
    <row r="1581" spans="1:4">
      <c r="A1581" s="1"/>
      <c r="D1581" s="1"/>
    </row>
    <row r="1582" spans="1:4">
      <c r="A1582" s="1"/>
      <c r="D1582" s="1"/>
    </row>
    <row r="1583" spans="1:4">
      <c r="A1583" s="1"/>
      <c r="D1583" s="1"/>
    </row>
    <row r="1584" spans="1:4">
      <c r="A1584" s="1"/>
      <c r="D1584" s="1"/>
    </row>
    <row r="1585" spans="1:4">
      <c r="A1585" s="1"/>
      <c r="D1585" s="1"/>
    </row>
    <row r="1586" spans="1:4">
      <c r="A1586" s="1"/>
      <c r="D1586" s="1"/>
    </row>
    <row r="1587" spans="1:4">
      <c r="A1587" s="1"/>
      <c r="D1587" s="1"/>
    </row>
    <row r="1588" spans="1:4">
      <c r="A1588" s="1"/>
      <c r="D1588" s="1"/>
    </row>
    <row r="1589" spans="1:4">
      <c r="A1589" s="1"/>
      <c r="D1589" s="1"/>
    </row>
    <row r="1590" spans="1:4">
      <c r="A1590" s="1"/>
      <c r="D1590" s="1"/>
    </row>
    <row r="1591" spans="1:4">
      <c r="A1591" s="1"/>
      <c r="D1591" s="1"/>
    </row>
    <row r="1592" spans="1:4">
      <c r="A1592" s="1"/>
      <c r="D1592" s="1"/>
    </row>
    <row r="1593" spans="1:4">
      <c r="A1593" s="1"/>
      <c r="D1593" s="1"/>
    </row>
    <row r="1594" spans="1:4">
      <c r="A1594" s="1"/>
      <c r="D1594" s="1"/>
    </row>
    <row r="1595" spans="1:4">
      <c r="A1595" s="1"/>
      <c r="D1595" s="1"/>
    </row>
    <row r="1596" spans="1:4">
      <c r="A1596" s="1"/>
      <c r="D1596" s="1"/>
    </row>
    <row r="1597" spans="1:4">
      <c r="A1597" s="1"/>
      <c r="D1597" s="1"/>
    </row>
    <row r="1598" spans="1:4">
      <c r="A1598" s="1"/>
      <c r="D1598" s="1"/>
    </row>
    <row r="1599" spans="1:4">
      <c r="A1599" s="1"/>
      <c r="D1599" s="1"/>
    </row>
    <row r="1600" spans="1:4">
      <c r="A1600" s="1"/>
      <c r="D1600" s="1"/>
    </row>
    <row r="1601" spans="1:4">
      <c r="A1601" s="1"/>
      <c r="D1601" s="1"/>
    </row>
    <row r="1602" spans="1:4">
      <c r="A1602" s="1"/>
      <c r="D1602" s="1"/>
    </row>
    <row r="1603" spans="1:4">
      <c r="A1603" s="1"/>
      <c r="D1603" s="1"/>
    </row>
    <row r="1604" spans="1:4">
      <c r="A1604" s="1"/>
      <c r="D1604" s="1"/>
    </row>
    <row r="1605" spans="1:4">
      <c r="A1605" s="1"/>
      <c r="D1605" s="1"/>
    </row>
    <row r="1606" spans="1:4">
      <c r="A1606" s="1"/>
      <c r="D1606" s="1"/>
    </row>
    <row r="1607" spans="1:4">
      <c r="A1607" s="1"/>
      <c r="D1607" s="1"/>
    </row>
    <row r="1608" spans="1:4">
      <c r="A1608" s="1"/>
      <c r="D1608" s="1"/>
    </row>
    <row r="1609" spans="1:4">
      <c r="A1609" s="1"/>
      <c r="D1609" s="1"/>
    </row>
    <row r="1610" spans="1:4">
      <c r="A1610" s="1"/>
      <c r="D1610" s="1"/>
    </row>
    <row r="1611" spans="1:4">
      <c r="A1611" s="1"/>
      <c r="D1611" s="1"/>
    </row>
    <row r="1612" spans="1:4">
      <c r="A1612" s="1"/>
      <c r="D1612" s="1"/>
    </row>
    <row r="1613" spans="1:4">
      <c r="A1613" s="1"/>
      <c r="D1613" s="1"/>
    </row>
    <row r="1614" spans="1:4">
      <c r="A1614" s="1"/>
      <c r="D1614" s="1"/>
    </row>
    <row r="1615" spans="1:4">
      <c r="A1615" s="1"/>
      <c r="D1615" s="1"/>
    </row>
    <row r="1616" spans="1:4">
      <c r="A1616" s="1"/>
      <c r="D1616" s="1"/>
    </row>
    <row r="1617" spans="1:4">
      <c r="A1617" s="1"/>
      <c r="D1617" s="1"/>
    </row>
    <row r="1618" spans="1:4">
      <c r="A1618" s="1"/>
      <c r="D1618" s="1"/>
    </row>
    <row r="1619" spans="1:4">
      <c r="A1619" s="1"/>
      <c r="D1619" s="1"/>
    </row>
    <row r="1620" spans="1:4">
      <c r="A1620" s="1"/>
      <c r="D1620" s="1"/>
    </row>
    <row r="1621" spans="1:4">
      <c r="A1621" s="1"/>
      <c r="D1621" s="1"/>
    </row>
    <row r="1622" spans="1:4">
      <c r="A1622" s="1"/>
      <c r="D1622" s="1"/>
    </row>
    <row r="1623" spans="1:4">
      <c r="A1623" s="1"/>
      <c r="D1623" s="1"/>
    </row>
    <row r="1624" spans="1:4">
      <c r="A1624" s="1"/>
      <c r="D1624" s="1"/>
    </row>
    <row r="1625" spans="1:4">
      <c r="A1625" s="1"/>
      <c r="D1625" s="1"/>
    </row>
    <row r="1626" spans="1:4">
      <c r="A1626" s="1"/>
      <c r="D1626" s="1"/>
    </row>
    <row r="1627" spans="1:4">
      <c r="A1627" s="1"/>
      <c r="D1627" s="1"/>
    </row>
    <row r="1628" spans="1:4">
      <c r="A1628" s="1"/>
      <c r="D1628" s="1"/>
    </row>
    <row r="1629" spans="1:4">
      <c r="A1629" s="1"/>
      <c r="D1629" s="1"/>
    </row>
    <row r="1630" spans="1:4">
      <c r="A1630" s="1"/>
      <c r="D1630" s="1"/>
    </row>
    <row r="1631" spans="1:4">
      <c r="A1631" s="1"/>
      <c r="D1631" s="1"/>
    </row>
    <row r="1632" spans="1:4">
      <c r="A1632" s="1"/>
      <c r="D1632" s="1"/>
    </row>
    <row r="1633" spans="1:4">
      <c r="A1633" s="1"/>
      <c r="D1633" s="1"/>
    </row>
    <row r="1634" spans="1:4">
      <c r="A1634" s="1"/>
      <c r="D1634" s="1"/>
    </row>
    <row r="1635" spans="1:4">
      <c r="A1635" s="1"/>
      <c r="D1635" s="1"/>
    </row>
    <row r="1636" spans="1:4">
      <c r="A1636" s="1"/>
      <c r="D1636" s="1"/>
    </row>
    <row r="1637" spans="1:4">
      <c r="A1637" s="1"/>
      <c r="D1637" s="1"/>
    </row>
    <row r="1638" spans="1:4">
      <c r="A1638" s="1"/>
      <c r="D1638" s="1"/>
    </row>
    <row r="1639" spans="1:4">
      <c r="A1639" s="1"/>
      <c r="D1639" s="1"/>
    </row>
    <row r="1640" spans="1:4">
      <c r="A1640" s="1"/>
      <c r="D1640" s="1"/>
    </row>
    <row r="1641" spans="1:4">
      <c r="A1641" s="1"/>
      <c r="D1641" s="1"/>
    </row>
    <row r="1642" spans="1:4">
      <c r="A1642" s="1"/>
      <c r="D1642" s="1"/>
    </row>
    <row r="1643" spans="1:4">
      <c r="A1643" s="1"/>
      <c r="D1643" s="1"/>
    </row>
    <row r="1644" spans="1:4">
      <c r="A1644" s="1"/>
      <c r="D1644" s="1"/>
    </row>
    <row r="1645" spans="1:4">
      <c r="A1645" s="1"/>
      <c r="D1645" s="1"/>
    </row>
    <row r="1646" spans="1:4">
      <c r="A1646" s="1"/>
      <c r="D1646" s="1"/>
    </row>
    <row r="1647" spans="1:4">
      <c r="A1647" s="1"/>
      <c r="D1647" s="1"/>
    </row>
    <row r="1648" spans="1:4">
      <c r="A1648" s="1"/>
      <c r="D1648" s="1"/>
    </row>
    <row r="1649" spans="1:4">
      <c r="A1649" s="1"/>
      <c r="D1649" s="1"/>
    </row>
    <row r="1650" spans="1:4">
      <c r="A1650" s="1"/>
      <c r="D1650" s="1"/>
    </row>
    <row r="1651" spans="1:4">
      <c r="A1651" s="1"/>
      <c r="D1651" s="1"/>
    </row>
    <row r="1652" spans="1:4">
      <c r="A1652" s="1"/>
      <c r="D1652" s="1"/>
    </row>
    <row r="1653" spans="1:4">
      <c r="A1653" s="1"/>
      <c r="D1653" s="1"/>
    </row>
    <row r="1654" spans="1:4">
      <c r="A1654" s="1"/>
      <c r="D1654" s="1"/>
    </row>
    <row r="1655" spans="1:4">
      <c r="A1655" s="1"/>
      <c r="D1655" s="1"/>
    </row>
    <row r="1656" spans="1:4">
      <c r="A1656" s="1"/>
      <c r="D1656" s="1"/>
    </row>
    <row r="1657" spans="1:4">
      <c r="A1657" s="1"/>
      <c r="D1657" s="1"/>
    </row>
    <row r="1658" spans="1:4">
      <c r="A1658" s="1"/>
      <c r="D1658" s="1"/>
    </row>
    <row r="1659" spans="1:4">
      <c r="A1659" s="1"/>
      <c r="D1659" s="1"/>
    </row>
    <row r="1660" spans="1:4">
      <c r="A1660" s="1"/>
      <c r="D1660" s="1"/>
    </row>
    <row r="1661" spans="1:4">
      <c r="A1661" s="1"/>
      <c r="D1661" s="1"/>
    </row>
    <row r="1662" spans="1:4">
      <c r="A1662" s="1"/>
      <c r="D1662" s="1"/>
    </row>
    <row r="1663" spans="1:4">
      <c r="A1663" s="1"/>
      <c r="D1663" s="1"/>
    </row>
    <row r="1664" spans="1:4">
      <c r="A1664" s="1"/>
      <c r="D1664" s="1"/>
    </row>
    <row r="1665" spans="1:4">
      <c r="A1665" s="1"/>
      <c r="D1665" s="1"/>
    </row>
    <row r="1666" spans="1:4">
      <c r="A1666" s="1"/>
      <c r="D1666" s="1"/>
    </row>
    <row r="1667" spans="1:4">
      <c r="A1667" s="1"/>
      <c r="D1667" s="1"/>
    </row>
    <row r="1668" spans="1:4">
      <c r="A1668" s="1"/>
      <c r="D1668" s="1"/>
    </row>
    <row r="1669" spans="1:4">
      <c r="A1669" s="1"/>
      <c r="D1669" s="1"/>
    </row>
    <row r="1670" spans="1:4">
      <c r="A1670" s="1"/>
      <c r="D1670" s="1"/>
    </row>
    <row r="1671" spans="1:4">
      <c r="A1671" s="1"/>
      <c r="D1671" s="1"/>
    </row>
    <row r="1672" spans="1:4">
      <c r="A1672" s="1"/>
      <c r="D1672" s="1"/>
    </row>
    <row r="1673" spans="1:4">
      <c r="A1673" s="1"/>
      <c r="D1673" s="1"/>
    </row>
    <row r="1674" spans="1:4">
      <c r="A1674" s="1"/>
      <c r="D1674" s="1"/>
    </row>
    <row r="1675" spans="1:4">
      <c r="A1675" s="1"/>
      <c r="D1675" s="1"/>
    </row>
    <row r="1676" spans="1:4">
      <c r="A1676" s="1"/>
      <c r="D1676" s="1"/>
    </row>
    <row r="1677" spans="1:4">
      <c r="A1677" s="1"/>
      <c r="D1677" s="1"/>
    </row>
    <row r="1678" spans="1:4">
      <c r="A1678" s="1"/>
      <c r="D1678" s="1"/>
    </row>
    <row r="1679" spans="1:4">
      <c r="A1679" s="1"/>
      <c r="D1679" s="1"/>
    </row>
    <row r="1680" spans="1:4">
      <c r="A1680" s="1"/>
      <c r="D1680" s="1"/>
    </row>
    <row r="1681" spans="1:4">
      <c r="A1681" s="1"/>
      <c r="D1681" s="1"/>
    </row>
    <row r="1682" spans="1:4">
      <c r="A1682" s="1"/>
      <c r="D1682" s="1"/>
    </row>
    <row r="1683" spans="1:4">
      <c r="A1683" s="1"/>
      <c r="D1683" s="1"/>
    </row>
    <row r="1684" spans="1:4">
      <c r="A1684" s="1"/>
      <c r="D1684" s="1"/>
    </row>
    <row r="1685" spans="1:4">
      <c r="A1685" s="1"/>
      <c r="D1685" s="1"/>
    </row>
    <row r="1686" spans="1:4">
      <c r="A1686" s="1"/>
      <c r="D1686" s="1"/>
    </row>
    <row r="1687" spans="1:4">
      <c r="A1687" s="1"/>
      <c r="D1687" s="1"/>
    </row>
    <row r="1688" spans="1:4">
      <c r="A1688" s="1"/>
      <c r="D1688" s="1"/>
    </row>
    <row r="1689" spans="1:4">
      <c r="A1689" s="1"/>
      <c r="D1689" s="1"/>
    </row>
    <row r="1690" spans="1:4">
      <c r="A1690" s="1"/>
      <c r="D1690" s="1"/>
    </row>
    <row r="1691" spans="1:4">
      <c r="A1691" s="1"/>
      <c r="D1691" s="1"/>
    </row>
    <row r="1692" spans="1:4">
      <c r="A1692" s="1"/>
      <c r="D1692" s="1"/>
    </row>
    <row r="1693" spans="1:4">
      <c r="A1693" s="1"/>
      <c r="D1693" s="1"/>
    </row>
    <row r="1694" spans="1:4">
      <c r="A1694" s="1"/>
      <c r="D1694" s="1"/>
    </row>
    <row r="1695" spans="1:4">
      <c r="A1695" s="1"/>
      <c r="D1695" s="1"/>
    </row>
    <row r="1696" spans="1:4">
      <c r="A1696" s="1"/>
      <c r="D1696" s="1"/>
    </row>
    <row r="1697" spans="1:4">
      <c r="A1697" s="1"/>
      <c r="D1697" s="1"/>
    </row>
    <row r="1698" spans="1:4">
      <c r="A1698" s="1"/>
      <c r="D1698" s="1"/>
    </row>
    <row r="1699" spans="1:4">
      <c r="A1699" s="1"/>
      <c r="D1699" s="1"/>
    </row>
    <row r="1700" spans="1:4">
      <c r="A1700" s="1"/>
      <c r="D1700" s="1"/>
    </row>
    <row r="1701" spans="1:4">
      <c r="A1701" s="1"/>
      <c r="D1701" s="1"/>
    </row>
    <row r="1702" spans="1:4">
      <c r="A1702" s="1"/>
      <c r="D1702" s="1"/>
    </row>
    <row r="1703" spans="1:4">
      <c r="A1703" s="1"/>
      <c r="D1703" s="1"/>
    </row>
    <row r="1704" spans="1:4">
      <c r="A1704" s="1"/>
      <c r="D1704" s="1"/>
    </row>
    <row r="1705" spans="1:4">
      <c r="A1705" s="1"/>
      <c r="D1705" s="1"/>
    </row>
    <row r="1706" spans="1:4">
      <c r="A1706" s="1"/>
      <c r="D1706" s="1"/>
    </row>
    <row r="1707" spans="1:4">
      <c r="A1707" s="1"/>
      <c r="D1707" s="1"/>
    </row>
    <row r="1708" spans="1:4">
      <c r="A1708" s="1"/>
      <c r="D1708" s="1"/>
    </row>
    <row r="1709" spans="1:4">
      <c r="A1709" s="1"/>
      <c r="D1709" s="1"/>
    </row>
    <row r="1710" spans="1:4">
      <c r="A1710" s="1"/>
      <c r="D1710" s="1"/>
    </row>
    <row r="1711" spans="1:4">
      <c r="A1711" s="1"/>
      <c r="D1711" s="1"/>
    </row>
    <row r="1712" spans="1:4">
      <c r="A1712" s="1"/>
      <c r="D1712" s="1"/>
    </row>
    <row r="1713" spans="1:4">
      <c r="A1713" s="1"/>
      <c r="D1713" s="1"/>
    </row>
    <row r="1714" spans="1:4">
      <c r="A1714" s="1"/>
      <c r="D1714" s="1"/>
    </row>
    <row r="1715" spans="1:4">
      <c r="A1715" s="1"/>
      <c r="D1715" s="1"/>
    </row>
    <row r="1716" spans="1:4">
      <c r="A1716" s="1"/>
      <c r="D1716" s="1"/>
    </row>
    <row r="1717" spans="1:4">
      <c r="A1717" s="1"/>
      <c r="D1717" s="1"/>
    </row>
    <row r="1718" spans="1:4">
      <c r="A1718" s="1"/>
      <c r="D1718" s="1"/>
    </row>
    <row r="1719" spans="1:4">
      <c r="A1719" s="1"/>
      <c r="D1719" s="1"/>
    </row>
    <row r="1720" spans="1:4">
      <c r="A1720" s="1"/>
      <c r="D1720" s="1"/>
    </row>
    <row r="1721" spans="1:4">
      <c r="A1721" s="1"/>
      <c r="D1721" s="1"/>
    </row>
    <row r="1722" spans="1:4">
      <c r="A1722" s="1"/>
      <c r="D1722" s="1"/>
    </row>
    <row r="1723" spans="1:4">
      <c r="A1723" s="1"/>
      <c r="D1723" s="1"/>
    </row>
    <row r="1724" spans="1:4">
      <c r="A1724" s="1"/>
      <c r="D1724" s="1"/>
    </row>
    <row r="1725" spans="1:4">
      <c r="A1725" s="1"/>
      <c r="D1725" s="1"/>
    </row>
    <row r="1726" spans="1:4">
      <c r="A1726" s="1"/>
      <c r="D1726" s="1"/>
    </row>
    <row r="1727" spans="1:4">
      <c r="A1727" s="1"/>
      <c r="D1727" s="1"/>
    </row>
    <row r="1728" spans="1:4">
      <c r="A1728" s="1"/>
      <c r="D1728" s="1"/>
    </row>
    <row r="1729" spans="1:4">
      <c r="A1729" s="1"/>
      <c r="D1729" s="1"/>
    </row>
    <row r="1730" spans="1:4">
      <c r="A1730" s="1"/>
      <c r="D1730" s="1"/>
    </row>
    <row r="1731" spans="1:4">
      <c r="A1731" s="1"/>
      <c r="D1731" s="1"/>
    </row>
    <row r="1732" spans="1:4">
      <c r="A1732" s="1"/>
      <c r="D1732" s="1"/>
    </row>
    <row r="1733" spans="1:4">
      <c r="A1733" s="1"/>
      <c r="D1733" s="1"/>
    </row>
    <row r="1734" spans="1:4">
      <c r="A1734" s="1"/>
      <c r="D1734" s="1"/>
    </row>
    <row r="1735" spans="1:4">
      <c r="A1735" s="1"/>
      <c r="D1735" s="1"/>
    </row>
    <row r="1736" spans="1:4">
      <c r="A1736" s="1"/>
      <c r="D1736" s="1"/>
    </row>
    <row r="1737" spans="1:4">
      <c r="A1737" s="1"/>
      <c r="D1737" s="1"/>
    </row>
    <row r="1738" spans="1:4">
      <c r="A1738" s="1"/>
      <c r="D1738" s="1"/>
    </row>
    <row r="1739" spans="1:4">
      <c r="A1739" s="1"/>
      <c r="D1739" s="1"/>
    </row>
    <row r="1740" spans="1:4">
      <c r="A1740" s="1"/>
      <c r="D1740" s="1"/>
    </row>
    <row r="1741" spans="1:4">
      <c r="A1741" s="1"/>
      <c r="D1741" s="1"/>
    </row>
    <row r="1742" spans="1:4">
      <c r="A1742" s="1"/>
      <c r="D1742" s="1"/>
    </row>
    <row r="1743" spans="1:4">
      <c r="A1743" s="1"/>
      <c r="D1743" s="1"/>
    </row>
    <row r="1744" spans="1:4">
      <c r="A1744" s="1"/>
      <c r="D1744" s="1"/>
    </row>
    <row r="1745" spans="1:4">
      <c r="A1745" s="1"/>
      <c r="D1745" s="1"/>
    </row>
    <row r="1746" spans="1:4">
      <c r="A1746" s="1"/>
      <c r="D1746" s="1"/>
    </row>
    <row r="1747" spans="1:4">
      <c r="A1747" s="1"/>
      <c r="D1747" s="1"/>
    </row>
    <row r="1748" spans="1:4">
      <c r="A1748" s="1"/>
      <c r="D1748" s="1"/>
    </row>
    <row r="1749" spans="1:4">
      <c r="A1749" s="1"/>
      <c r="D1749" s="1"/>
    </row>
    <row r="1750" spans="1:4">
      <c r="A1750" s="1"/>
      <c r="D1750" s="1"/>
    </row>
    <row r="1751" spans="1:4">
      <c r="A1751" s="1"/>
      <c r="D1751" s="1"/>
    </row>
    <row r="1752" spans="1:4">
      <c r="A1752" s="1"/>
      <c r="D1752" s="1"/>
    </row>
    <row r="1753" spans="1:4">
      <c r="A1753" s="1"/>
      <c r="D1753" s="1"/>
    </row>
    <row r="1754" spans="1:4">
      <c r="A1754" s="1"/>
      <c r="D1754" s="1"/>
    </row>
    <row r="1755" spans="1:4">
      <c r="A1755" s="1"/>
      <c r="D1755" s="1"/>
    </row>
    <row r="1756" spans="1:4">
      <c r="A1756" s="1"/>
      <c r="D1756" s="1"/>
    </row>
    <row r="1757" spans="1:4">
      <c r="A1757" s="1"/>
      <c r="D1757" s="1"/>
    </row>
    <row r="1758" spans="1:4">
      <c r="A1758" s="1"/>
      <c r="D1758" s="1"/>
    </row>
    <row r="1759" spans="1:4">
      <c r="A1759" s="1"/>
      <c r="D1759" s="1"/>
    </row>
    <row r="1760" spans="1:4">
      <c r="A1760" s="1"/>
      <c r="D1760" s="1"/>
    </row>
    <row r="1761" spans="1:4">
      <c r="A1761" s="1"/>
      <c r="D1761" s="1"/>
    </row>
    <row r="1762" spans="1:4">
      <c r="A1762" s="1"/>
      <c r="D1762" s="1"/>
    </row>
    <row r="1763" spans="1:4">
      <c r="A1763" s="1"/>
      <c r="D1763" s="1"/>
    </row>
    <row r="1764" spans="1:4">
      <c r="A1764" s="1"/>
      <c r="D1764" s="1"/>
    </row>
    <row r="1765" spans="1:4">
      <c r="A1765" s="1"/>
      <c r="D1765" s="1"/>
    </row>
    <row r="1766" spans="1:4">
      <c r="A1766" s="1"/>
      <c r="D1766" s="1"/>
    </row>
    <row r="1767" spans="1:4">
      <c r="A1767" s="1"/>
      <c r="D1767" s="1"/>
    </row>
    <row r="1768" spans="1:4">
      <c r="A1768" s="1"/>
      <c r="D1768" s="1"/>
    </row>
    <row r="1769" spans="1:4">
      <c r="A1769" s="1"/>
      <c r="D1769" s="1"/>
    </row>
    <row r="1770" spans="1:4">
      <c r="A1770" s="1"/>
      <c r="D1770" s="1"/>
    </row>
    <row r="1771" spans="1:4">
      <c r="A1771" s="1"/>
      <c r="D1771" s="1"/>
    </row>
    <row r="1772" spans="1:4">
      <c r="A1772" s="1"/>
      <c r="D1772" s="1"/>
    </row>
    <row r="1773" spans="1:4">
      <c r="A1773" s="1"/>
      <c r="D1773" s="1"/>
    </row>
    <row r="1774" spans="1:4">
      <c r="A1774" s="1"/>
      <c r="D1774" s="1"/>
    </row>
    <row r="1775" spans="1:4">
      <c r="A1775" s="1"/>
      <c r="D1775" s="1"/>
    </row>
    <row r="1776" spans="1:4">
      <c r="A1776" s="1"/>
      <c r="D1776" s="1"/>
    </row>
    <row r="1777" spans="1:4">
      <c r="A1777" s="1"/>
      <c r="D1777" s="1"/>
    </row>
    <row r="1778" spans="1:4">
      <c r="A1778" s="1"/>
      <c r="D1778" s="1"/>
    </row>
    <row r="1779" spans="1:4">
      <c r="A1779" s="1"/>
      <c r="D1779" s="1"/>
    </row>
    <row r="1780" spans="1:4">
      <c r="A1780" s="1"/>
      <c r="D1780" s="1"/>
    </row>
    <row r="1781" spans="1:4">
      <c r="A1781" s="1"/>
      <c r="D1781" s="1"/>
    </row>
    <row r="1782" spans="1:4">
      <c r="A1782" s="1"/>
      <c r="D1782" s="1"/>
    </row>
    <row r="1783" spans="1:4">
      <c r="A1783" s="1"/>
      <c r="D1783" s="1"/>
    </row>
    <row r="1784" spans="1:4">
      <c r="A1784" s="1"/>
      <c r="D1784" s="1"/>
    </row>
    <row r="1785" spans="1:4">
      <c r="A1785" s="1"/>
      <c r="D1785" s="1"/>
    </row>
    <row r="1786" spans="1:4">
      <c r="A1786" s="1"/>
      <c r="D1786" s="1"/>
    </row>
    <row r="1787" spans="1:4">
      <c r="A1787" s="1"/>
      <c r="D1787" s="1"/>
    </row>
    <row r="1788" spans="1:4">
      <c r="A1788" s="1"/>
      <c r="D1788" s="1"/>
    </row>
    <row r="1789" spans="1:4">
      <c r="A1789" s="1"/>
      <c r="D1789" s="1"/>
    </row>
    <row r="1790" spans="1:4">
      <c r="A1790" s="1"/>
      <c r="D1790" s="1"/>
    </row>
    <row r="1791" spans="1:4">
      <c r="A1791" s="1"/>
      <c r="D1791" s="1"/>
    </row>
    <row r="1792" spans="1:4">
      <c r="A1792" s="1"/>
      <c r="D1792" s="1"/>
    </row>
    <row r="1793" spans="1:4">
      <c r="A1793" s="1"/>
      <c r="D1793" s="1"/>
    </row>
    <row r="1794" spans="1:4">
      <c r="A1794" s="1"/>
      <c r="D1794" s="1"/>
    </row>
    <row r="1795" spans="1:4">
      <c r="A1795" s="1"/>
      <c r="D1795" s="1"/>
    </row>
    <row r="1796" spans="1:4">
      <c r="A1796" s="1"/>
      <c r="D1796" s="1"/>
    </row>
    <row r="1797" spans="1:4">
      <c r="A1797" s="1"/>
      <c r="D1797" s="1"/>
    </row>
    <row r="1798" spans="1:4">
      <c r="A1798" s="1"/>
      <c r="D1798" s="1"/>
    </row>
    <row r="1799" spans="1:4">
      <c r="A1799" s="1"/>
      <c r="D1799" s="1"/>
    </row>
    <row r="1800" spans="1:4">
      <c r="A1800" s="1"/>
      <c r="D1800" s="1"/>
    </row>
    <row r="1801" spans="1:4">
      <c r="A1801" s="1"/>
      <c r="D1801" s="1"/>
    </row>
    <row r="1802" spans="1:4">
      <c r="A1802" s="1"/>
      <c r="D1802" s="1"/>
    </row>
    <row r="1803" spans="1:4">
      <c r="A1803" s="1"/>
      <c r="D1803" s="1"/>
    </row>
    <row r="1804" spans="1:4">
      <c r="A1804" s="1"/>
      <c r="D1804" s="1"/>
    </row>
    <row r="1805" spans="1:4">
      <c r="A1805" s="1"/>
      <c r="D1805" s="1"/>
    </row>
    <row r="1806" spans="1:4">
      <c r="A1806" s="1"/>
      <c r="D1806" s="1"/>
    </row>
    <row r="1807" spans="1:4">
      <c r="A1807" s="1"/>
      <c r="D1807" s="1"/>
    </row>
    <row r="1808" spans="1:4">
      <c r="A1808" s="1"/>
      <c r="D1808" s="1"/>
    </row>
    <row r="1809" spans="1:4">
      <c r="A1809" s="1"/>
      <c r="D1809" s="1"/>
    </row>
    <row r="1810" spans="1:4">
      <c r="A1810" s="1"/>
      <c r="D1810" s="1"/>
    </row>
    <row r="1811" spans="1:4">
      <c r="A1811" s="1"/>
      <c r="D1811" s="1"/>
    </row>
    <row r="1812" spans="1:4">
      <c r="A1812" s="1"/>
      <c r="D1812" s="1"/>
    </row>
    <row r="1813" spans="1:4">
      <c r="A1813" s="1"/>
      <c r="D1813" s="1"/>
    </row>
    <row r="1814" spans="1:4">
      <c r="A1814" s="1"/>
      <c r="D1814" s="1"/>
    </row>
    <row r="1815" spans="1:4">
      <c r="A1815" s="1"/>
      <c r="D1815" s="1"/>
    </row>
    <row r="1816" spans="1:4">
      <c r="A1816" s="1"/>
      <c r="D1816" s="1"/>
    </row>
    <row r="1817" spans="1:4">
      <c r="A1817" s="1"/>
      <c r="D1817" s="1"/>
    </row>
    <row r="1818" spans="1:4">
      <c r="A1818" s="1"/>
      <c r="D1818" s="1"/>
    </row>
    <row r="1819" spans="1:4">
      <c r="A1819" s="1"/>
      <c r="D1819" s="1"/>
    </row>
    <row r="1820" spans="1:4">
      <c r="A1820" s="1"/>
      <c r="D1820" s="1"/>
    </row>
    <row r="1821" spans="1:4">
      <c r="A1821" s="1"/>
      <c r="D1821" s="1"/>
    </row>
    <row r="1822" spans="1:4">
      <c r="A1822" s="1"/>
      <c r="D1822" s="1"/>
    </row>
    <row r="1823" spans="1:4">
      <c r="A1823" s="1"/>
      <c r="D1823" s="1"/>
    </row>
    <row r="1824" spans="1:4">
      <c r="A1824" s="1"/>
      <c r="D1824" s="1"/>
    </row>
    <row r="1825" spans="1:4">
      <c r="A1825" s="1"/>
      <c r="D1825" s="1"/>
    </row>
    <row r="1826" spans="1:4">
      <c r="A1826" s="1"/>
      <c r="D1826" s="1"/>
    </row>
    <row r="1827" spans="1:4">
      <c r="A1827" s="1"/>
      <c r="D1827" s="1"/>
    </row>
    <row r="1828" spans="1:4">
      <c r="A1828" s="1"/>
      <c r="D1828" s="1"/>
    </row>
    <row r="1829" spans="1:4">
      <c r="A1829" s="1"/>
      <c r="D1829" s="1"/>
    </row>
    <row r="1830" spans="1:4">
      <c r="A1830" s="1"/>
      <c r="D1830" s="1"/>
    </row>
    <row r="1831" spans="1:4">
      <c r="A1831" s="1"/>
      <c r="D1831" s="1"/>
    </row>
    <row r="1832" spans="1:4">
      <c r="A1832" s="1"/>
      <c r="D1832" s="1"/>
    </row>
    <row r="1833" spans="1:4">
      <c r="A1833" s="1"/>
      <c r="D1833" s="1"/>
    </row>
    <row r="1834" spans="1:4">
      <c r="A1834" s="1"/>
      <c r="D1834" s="1"/>
    </row>
    <row r="1835" spans="1:4">
      <c r="A1835" s="1"/>
      <c r="D1835" s="1"/>
    </row>
    <row r="1836" spans="1:4">
      <c r="A1836" s="1"/>
      <c r="D1836" s="1"/>
    </row>
    <row r="1837" spans="1:4">
      <c r="A1837" s="1"/>
      <c r="D1837" s="1"/>
    </row>
    <row r="1838" spans="1:4">
      <c r="A1838" s="1"/>
      <c r="D1838" s="1"/>
    </row>
    <row r="1839" spans="1:4">
      <c r="A1839" s="1"/>
      <c r="D1839" s="1"/>
    </row>
    <row r="1840" spans="1:4">
      <c r="A1840" s="1"/>
      <c r="D1840" s="1"/>
    </row>
    <row r="1841" spans="1:4">
      <c r="A1841" s="1"/>
      <c r="D1841" s="1"/>
    </row>
    <row r="1842" spans="1:4">
      <c r="A1842" s="1"/>
      <c r="D1842" s="1"/>
    </row>
    <row r="1843" spans="1:4">
      <c r="A1843" s="1"/>
      <c r="D1843" s="1"/>
    </row>
    <row r="1844" spans="1:4">
      <c r="A1844" s="1"/>
      <c r="D1844" s="1"/>
    </row>
    <row r="1845" spans="1:4">
      <c r="A1845" s="1"/>
      <c r="D1845" s="1"/>
    </row>
    <row r="1846" spans="1:4">
      <c r="A1846" s="1"/>
      <c r="D1846" s="1"/>
    </row>
    <row r="1847" spans="1:4">
      <c r="A1847" s="1"/>
      <c r="D1847" s="1"/>
    </row>
    <row r="1848" spans="1:4">
      <c r="A1848" s="1"/>
      <c r="D1848" s="1"/>
    </row>
    <row r="1849" spans="1:4">
      <c r="A1849" s="1"/>
      <c r="D1849" s="1"/>
    </row>
    <row r="1850" spans="1:4">
      <c r="A1850" s="1"/>
      <c r="D1850" s="1"/>
    </row>
    <row r="1851" spans="1:4">
      <c r="A1851" s="1"/>
      <c r="D1851" s="1"/>
    </row>
    <row r="1852" spans="1:4">
      <c r="A1852" s="1"/>
      <c r="D1852" s="1"/>
    </row>
    <row r="1853" spans="1:4">
      <c r="A1853" s="1"/>
      <c r="D1853" s="1"/>
    </row>
    <row r="1854" spans="1:4">
      <c r="A1854" s="1"/>
      <c r="D1854" s="1"/>
    </row>
    <row r="1855" spans="1:4">
      <c r="A1855" s="1"/>
      <c r="D1855" s="1"/>
    </row>
    <row r="1856" spans="1:4">
      <c r="A1856" s="1"/>
      <c r="D1856" s="1"/>
    </row>
    <row r="1857" spans="1:4">
      <c r="A1857" s="1"/>
      <c r="D1857" s="1"/>
    </row>
    <row r="1858" spans="1:4">
      <c r="A1858" s="1"/>
      <c r="D1858" s="1"/>
    </row>
    <row r="1859" spans="1:4">
      <c r="A1859" s="1"/>
      <c r="D1859" s="1"/>
    </row>
    <row r="1860" spans="1:4">
      <c r="A1860" s="1"/>
      <c r="D1860" s="1"/>
    </row>
    <row r="1861" spans="1:4">
      <c r="A1861" s="1"/>
      <c r="D1861" s="1"/>
    </row>
    <row r="1862" spans="1:4">
      <c r="A1862" s="1"/>
      <c r="D1862" s="1"/>
    </row>
    <row r="1863" spans="1:4">
      <c r="A1863" s="1"/>
      <c r="D1863" s="1"/>
    </row>
    <row r="1864" spans="1:4">
      <c r="A1864" s="1"/>
      <c r="D1864" s="1"/>
    </row>
    <row r="1865" spans="1:4">
      <c r="A1865" s="1"/>
      <c r="D1865" s="1"/>
    </row>
    <row r="1866" spans="1:4">
      <c r="A1866" s="1"/>
      <c r="D1866" s="1"/>
    </row>
    <row r="1867" spans="1:4">
      <c r="A1867" s="1"/>
      <c r="D1867" s="1"/>
    </row>
    <row r="1868" spans="1:4">
      <c r="A1868" s="1"/>
      <c r="D1868" s="1"/>
    </row>
    <row r="1869" spans="1:4">
      <c r="A1869" s="1"/>
      <c r="D1869" s="1"/>
    </row>
    <row r="1870" spans="1:4">
      <c r="A1870" s="1"/>
      <c r="D1870" s="1"/>
    </row>
    <row r="1871" spans="1:4">
      <c r="A1871" s="1"/>
      <c r="D1871" s="1"/>
    </row>
    <row r="1872" spans="1:4">
      <c r="A1872" s="1"/>
      <c r="D1872" s="1"/>
    </row>
    <row r="1873" spans="1:4">
      <c r="A1873" s="1"/>
      <c r="D1873" s="1"/>
    </row>
    <row r="1874" spans="1:4">
      <c r="A1874" s="1"/>
      <c r="D1874" s="1"/>
    </row>
    <row r="1875" spans="1:4">
      <c r="A1875" s="1"/>
      <c r="D1875" s="1"/>
    </row>
    <row r="1876" spans="1:4">
      <c r="A1876" s="1"/>
      <c r="D1876" s="1"/>
    </row>
    <row r="1877" spans="1:4">
      <c r="A1877" s="1"/>
      <c r="D1877" s="1"/>
    </row>
    <row r="1878" spans="1:4">
      <c r="A1878" s="1"/>
      <c r="D1878" s="1"/>
    </row>
    <row r="1879" spans="1:4">
      <c r="A1879" s="1"/>
      <c r="D1879" s="1"/>
    </row>
    <row r="1880" spans="1:4">
      <c r="A1880" s="1"/>
      <c r="D1880" s="1"/>
    </row>
    <row r="1881" spans="1:4">
      <c r="A1881" s="1"/>
      <c r="D1881" s="1"/>
    </row>
    <row r="1882" spans="1:4">
      <c r="A1882" s="1"/>
      <c r="D1882" s="1"/>
    </row>
    <row r="1883" spans="1:4">
      <c r="A1883" s="1"/>
      <c r="D1883" s="1"/>
    </row>
    <row r="1884" spans="1:4">
      <c r="A1884" s="1"/>
      <c r="D1884" s="1"/>
    </row>
    <row r="1885" spans="1:4">
      <c r="A1885" s="1"/>
      <c r="D1885" s="1"/>
    </row>
    <row r="1886" spans="1:4">
      <c r="A1886" s="1"/>
      <c r="D1886" s="1"/>
    </row>
    <row r="1887" spans="1:4">
      <c r="A1887" s="1"/>
      <c r="D1887" s="1"/>
    </row>
    <row r="1888" spans="1:4">
      <c r="A1888" s="1"/>
      <c r="D1888" s="1"/>
    </row>
    <row r="1889" spans="1:4">
      <c r="A1889" s="1"/>
      <c r="D1889" s="1"/>
    </row>
    <row r="1890" spans="1:4">
      <c r="A1890" s="1"/>
      <c r="D1890" s="1"/>
    </row>
    <row r="1891" spans="1:4">
      <c r="A1891" s="1"/>
      <c r="D1891" s="1"/>
    </row>
    <row r="1892" spans="1:4">
      <c r="A1892" s="1"/>
      <c r="D1892" s="1"/>
    </row>
    <row r="1893" spans="1:4">
      <c r="A1893" s="1"/>
      <c r="D1893" s="1"/>
    </row>
    <row r="1894" spans="1:4">
      <c r="A1894" s="1"/>
      <c r="D1894" s="1"/>
    </row>
    <row r="1895" spans="1:4">
      <c r="A1895" s="1"/>
      <c r="D1895" s="1"/>
    </row>
    <row r="1896" spans="1:4">
      <c r="A1896" s="1"/>
      <c r="D1896" s="1"/>
    </row>
    <row r="1897" spans="1:4">
      <c r="A1897" s="1"/>
      <c r="D1897" s="1"/>
    </row>
    <row r="1898" spans="1:4">
      <c r="A1898" s="1"/>
      <c r="D1898" s="1"/>
    </row>
    <row r="1899" spans="1:4">
      <c r="A1899" s="1"/>
      <c r="D1899" s="1"/>
    </row>
    <row r="1900" spans="1:4">
      <c r="A1900" s="1"/>
      <c r="D1900" s="1"/>
    </row>
    <row r="1901" spans="1:4">
      <c r="A1901" s="1"/>
      <c r="D1901" s="1"/>
    </row>
    <row r="1902" spans="1:4">
      <c r="A1902" s="1"/>
      <c r="D1902" s="1"/>
    </row>
    <row r="1903" spans="1:4">
      <c r="A1903" s="1"/>
      <c r="D1903" s="1"/>
    </row>
    <row r="1904" spans="1:4">
      <c r="A1904" s="1"/>
      <c r="D1904" s="1"/>
    </row>
    <row r="1905" spans="1:4">
      <c r="A1905" s="1"/>
      <c r="D1905" s="1"/>
    </row>
    <row r="1906" spans="1:4">
      <c r="A1906" s="1"/>
      <c r="D1906" s="1"/>
    </row>
    <row r="1907" spans="1:4">
      <c r="A1907" s="1"/>
      <c r="D1907" s="1"/>
    </row>
    <row r="1908" spans="1:4">
      <c r="A1908" s="1"/>
      <c r="D1908" s="1"/>
    </row>
    <row r="1909" spans="1:4">
      <c r="A1909" s="1"/>
      <c r="D1909" s="1"/>
    </row>
    <row r="1910" spans="1:4">
      <c r="A1910" s="1"/>
      <c r="D1910" s="1"/>
    </row>
    <row r="1911" spans="1:4">
      <c r="A1911" s="1"/>
      <c r="D1911" s="1"/>
    </row>
    <row r="1912" spans="1:4">
      <c r="A1912" s="1"/>
      <c r="D1912" s="1"/>
    </row>
    <row r="1913" spans="1:4">
      <c r="A1913" s="1"/>
      <c r="D1913" s="1"/>
    </row>
    <row r="1914" spans="1:4">
      <c r="A1914" s="1"/>
      <c r="D1914" s="1"/>
    </row>
    <row r="1915" spans="1:4">
      <c r="A1915" s="1"/>
      <c r="D1915" s="1"/>
    </row>
    <row r="1916" spans="1:4">
      <c r="A1916" s="1"/>
      <c r="D1916" s="1"/>
    </row>
    <row r="1917" spans="1:4">
      <c r="A1917" s="1"/>
      <c r="D1917" s="1"/>
    </row>
    <row r="1918" spans="1:4">
      <c r="A1918" s="1"/>
      <c r="D1918" s="1"/>
    </row>
    <row r="1919" spans="1:4">
      <c r="A1919" s="1"/>
      <c r="D1919" s="1"/>
    </row>
    <row r="1920" spans="1:4">
      <c r="A1920" s="1"/>
      <c r="D1920" s="1"/>
    </row>
    <row r="1921" spans="1:4">
      <c r="A1921" s="1"/>
      <c r="D1921" s="1"/>
    </row>
    <row r="1922" spans="1:4">
      <c r="A1922" s="1"/>
      <c r="D1922" s="1"/>
    </row>
    <row r="1923" spans="1:4">
      <c r="A1923" s="1"/>
      <c r="D1923" s="1"/>
    </row>
    <row r="1924" spans="1:4">
      <c r="A1924" s="1"/>
      <c r="D1924" s="1"/>
    </row>
    <row r="1925" spans="1:4">
      <c r="A1925" s="1"/>
      <c r="D1925" s="1"/>
    </row>
    <row r="1926" spans="1:4">
      <c r="A1926" s="1"/>
      <c r="D1926" s="1"/>
    </row>
    <row r="1927" spans="1:4">
      <c r="A1927" s="1"/>
      <c r="D1927" s="1"/>
    </row>
    <row r="1928" spans="1:4">
      <c r="A1928" s="1"/>
      <c r="D1928" s="1"/>
    </row>
    <row r="1929" spans="1:4">
      <c r="A1929" s="1"/>
      <c r="D1929" s="1"/>
    </row>
    <row r="1930" spans="1:4">
      <c r="A1930" s="1"/>
      <c r="D1930" s="1"/>
    </row>
    <row r="1931" spans="1:4">
      <c r="A1931" s="1"/>
      <c r="D1931" s="1"/>
    </row>
    <row r="1932" spans="1:4">
      <c r="A1932" s="1"/>
      <c r="D1932" s="1"/>
    </row>
    <row r="1933" spans="1:4">
      <c r="A1933" s="1"/>
      <c r="D1933" s="1"/>
    </row>
    <row r="1934" spans="1:4">
      <c r="A1934" s="1"/>
      <c r="D1934" s="1"/>
    </row>
    <row r="1935" spans="1:4">
      <c r="A1935" s="1"/>
      <c r="D1935" s="1"/>
    </row>
    <row r="1936" spans="1:4">
      <c r="A1936" s="1"/>
      <c r="D1936" s="1"/>
    </row>
    <row r="1937" spans="1:4">
      <c r="A1937" s="1"/>
      <c r="D1937" s="1"/>
    </row>
    <row r="1938" spans="1:4">
      <c r="A1938" s="1"/>
      <c r="D1938" s="1"/>
    </row>
    <row r="1939" spans="1:4">
      <c r="A1939" s="1"/>
      <c r="D1939" s="1"/>
    </row>
    <row r="1940" spans="1:4">
      <c r="A1940" s="1"/>
      <c r="D1940" s="1"/>
    </row>
    <row r="1941" spans="1:4">
      <c r="A1941" s="1"/>
      <c r="D1941" s="1"/>
    </row>
    <row r="1942" spans="1:4">
      <c r="A1942" s="1"/>
      <c r="D1942" s="1"/>
    </row>
    <row r="1943" spans="1:4">
      <c r="A1943" s="1"/>
      <c r="D1943" s="1"/>
    </row>
    <row r="1944" spans="1:4">
      <c r="A1944" s="1"/>
      <c r="D1944" s="1"/>
    </row>
    <row r="1945" spans="1:4">
      <c r="A1945" s="1"/>
      <c r="D1945" s="1"/>
    </row>
    <row r="1946" spans="1:4">
      <c r="A1946" s="1"/>
      <c r="D1946" s="1"/>
    </row>
    <row r="1947" spans="1:4">
      <c r="A1947" s="1"/>
      <c r="D1947" s="1"/>
    </row>
    <row r="1948" spans="1:4">
      <c r="A1948" s="1"/>
      <c r="D1948" s="1"/>
    </row>
    <row r="1949" spans="1:4">
      <c r="A1949" s="1"/>
      <c r="D1949" s="1"/>
    </row>
    <row r="1950" spans="1:4">
      <c r="A1950" s="1"/>
      <c r="D1950" s="1"/>
    </row>
    <row r="1951" spans="1:4">
      <c r="A1951" s="1"/>
      <c r="D1951" s="1"/>
    </row>
    <row r="1952" spans="1:4">
      <c r="A1952" s="1"/>
      <c r="D1952" s="1"/>
    </row>
    <row r="1953" spans="1:4">
      <c r="A1953" s="1"/>
      <c r="D1953" s="1"/>
    </row>
    <row r="1954" spans="1:4">
      <c r="A1954" s="1"/>
      <c r="D1954" s="1"/>
    </row>
    <row r="1955" spans="1:4">
      <c r="A1955" s="1"/>
      <c r="D1955" s="1"/>
    </row>
    <row r="1956" spans="1:4">
      <c r="A1956" s="1"/>
      <c r="D1956" s="1"/>
    </row>
    <row r="1957" spans="1:4">
      <c r="A1957" s="1"/>
      <c r="D1957" s="1"/>
    </row>
    <row r="1958" spans="1:4">
      <c r="A1958" s="1"/>
      <c r="D1958" s="1"/>
    </row>
    <row r="1959" spans="1:4">
      <c r="A1959" s="1"/>
      <c r="D1959" s="1"/>
    </row>
    <row r="1960" spans="1:4">
      <c r="A1960" s="1"/>
      <c r="D1960" s="1"/>
    </row>
    <row r="1961" spans="1:4">
      <c r="A1961" s="1"/>
      <c r="D1961" s="1"/>
    </row>
    <row r="1962" spans="1:4">
      <c r="A1962" s="1"/>
      <c r="D1962" s="1"/>
    </row>
    <row r="1963" spans="1:4">
      <c r="A1963" s="1"/>
      <c r="D1963" s="1"/>
    </row>
    <row r="1964" spans="1:4">
      <c r="A1964" s="1"/>
      <c r="D1964" s="1"/>
    </row>
    <row r="1965" spans="1:4">
      <c r="A1965" s="1"/>
      <c r="D1965" s="1"/>
    </row>
    <row r="1966" spans="1:4">
      <c r="A1966" s="1"/>
      <c r="D1966" s="1"/>
    </row>
    <row r="1967" spans="1:4">
      <c r="A1967" s="1"/>
      <c r="D1967" s="1"/>
    </row>
    <row r="1968" spans="1:4">
      <c r="A1968" s="1"/>
      <c r="D1968" s="1"/>
    </row>
    <row r="1969" spans="1:4">
      <c r="A1969" s="1"/>
      <c r="D1969" s="1"/>
    </row>
    <row r="1970" spans="1:4">
      <c r="A1970" s="1"/>
      <c r="D1970" s="1"/>
    </row>
    <row r="1971" spans="1:4">
      <c r="A1971" s="1"/>
      <c r="D1971" s="1"/>
    </row>
    <row r="1972" spans="1:4">
      <c r="A1972" s="1"/>
      <c r="D1972" s="1"/>
    </row>
    <row r="1973" spans="1:4">
      <c r="A1973" s="1"/>
      <c r="D1973" s="1"/>
    </row>
    <row r="1974" spans="1:4">
      <c r="A1974" s="1"/>
      <c r="D1974" s="1"/>
    </row>
    <row r="1975" spans="1:4">
      <c r="A1975" s="1"/>
      <c r="D1975" s="1"/>
    </row>
    <row r="1976" spans="1:4">
      <c r="A1976" s="1"/>
      <c r="D1976" s="1"/>
    </row>
    <row r="1977" spans="1:4">
      <c r="A1977" s="1"/>
      <c r="D1977" s="1"/>
    </row>
    <row r="1978" spans="1:4">
      <c r="A1978" s="1"/>
      <c r="D1978" s="1"/>
    </row>
    <row r="1979" spans="1:4">
      <c r="A1979" s="1"/>
      <c r="D1979" s="1"/>
    </row>
    <row r="1980" spans="1:4">
      <c r="A1980" s="1"/>
      <c r="D1980" s="1"/>
    </row>
    <row r="1981" spans="1:4">
      <c r="A1981" s="1"/>
      <c r="D1981" s="1"/>
    </row>
    <row r="1982" spans="1:4">
      <c r="A1982" s="1"/>
      <c r="D1982" s="1"/>
    </row>
    <row r="1983" spans="1:4">
      <c r="A1983" s="1"/>
      <c r="D1983" s="1"/>
    </row>
    <row r="1984" spans="1:4">
      <c r="A1984" s="1"/>
      <c r="D1984" s="1"/>
    </row>
    <row r="1985" spans="1:4">
      <c r="A1985" s="1"/>
      <c r="D1985" s="1"/>
    </row>
    <row r="1986" spans="1:4">
      <c r="A1986" s="1"/>
      <c r="D1986" s="1"/>
    </row>
    <row r="1987" spans="1:4">
      <c r="A1987" s="1"/>
      <c r="D1987" s="1"/>
    </row>
    <row r="1988" spans="1:4">
      <c r="A1988" s="1"/>
      <c r="D1988" s="1"/>
    </row>
    <row r="1989" spans="1:4">
      <c r="A1989" s="1"/>
      <c r="D1989" s="1"/>
    </row>
    <row r="1990" spans="1:4">
      <c r="A1990" s="1"/>
      <c r="D1990" s="1"/>
    </row>
    <row r="1991" spans="1:4">
      <c r="A1991" s="1"/>
      <c r="D1991" s="1"/>
    </row>
    <row r="1992" spans="1:4">
      <c r="A1992" s="1"/>
      <c r="D1992" s="1"/>
    </row>
    <row r="1993" spans="1:4">
      <c r="A1993" s="1"/>
      <c r="D1993" s="1"/>
    </row>
    <row r="1994" spans="1:4">
      <c r="A1994" s="1"/>
      <c r="D1994" s="1"/>
    </row>
    <row r="1995" spans="1:4">
      <c r="A1995" s="1"/>
      <c r="D1995" s="1"/>
    </row>
    <row r="1996" spans="1:4">
      <c r="A1996" s="1"/>
      <c r="D1996" s="1"/>
    </row>
    <row r="1997" spans="1:4">
      <c r="A1997" s="1"/>
      <c r="D1997" s="1"/>
    </row>
    <row r="1998" spans="1:4">
      <c r="A1998" s="1"/>
      <c r="D1998" s="1"/>
    </row>
    <row r="1999" spans="1:4">
      <c r="A1999" s="1"/>
      <c r="D1999" s="1"/>
    </row>
    <row r="2000" spans="1:4">
      <c r="A2000" s="1"/>
      <c r="D2000" s="1"/>
    </row>
    <row r="2001" spans="1:4">
      <c r="A2001" s="1"/>
      <c r="D2001" s="1"/>
    </row>
    <row r="2002" spans="1:4">
      <c r="A2002" s="1"/>
      <c r="D2002" s="1"/>
    </row>
    <row r="2003" spans="1:4">
      <c r="A2003" s="1"/>
      <c r="D2003" s="1"/>
    </row>
    <row r="2004" spans="1:4">
      <c r="A2004" s="1"/>
      <c r="D2004" s="1"/>
    </row>
    <row r="2005" spans="1:4">
      <c r="A2005" s="1"/>
      <c r="D2005" s="1"/>
    </row>
    <row r="2006" spans="1:4">
      <c r="A2006" s="1"/>
      <c r="D2006" s="1"/>
    </row>
    <row r="2007" spans="1:4">
      <c r="A2007" s="1"/>
      <c r="D2007" s="1"/>
    </row>
    <row r="2008" spans="1:4">
      <c r="A2008" s="1"/>
      <c r="D2008" s="1"/>
    </row>
    <row r="2009" spans="1:4">
      <c r="A2009" s="1"/>
      <c r="D2009" s="1"/>
    </row>
    <row r="2010" spans="1:4">
      <c r="A2010" s="1"/>
      <c r="D2010" s="1"/>
    </row>
    <row r="2011" spans="1:4">
      <c r="A2011" s="1"/>
      <c r="D2011" s="1"/>
    </row>
    <row r="2012" spans="1:4">
      <c r="A2012" s="1"/>
      <c r="D2012" s="1"/>
    </row>
    <row r="2013" spans="1:4">
      <c r="A2013" s="1"/>
      <c r="D2013" s="1"/>
    </row>
    <row r="2014" spans="1:4">
      <c r="A2014" s="1"/>
      <c r="D2014" s="1"/>
    </row>
    <row r="2015" spans="1:4">
      <c r="A2015" s="1"/>
      <c r="D2015" s="1"/>
    </row>
    <row r="2016" spans="1:4">
      <c r="A2016" s="1"/>
      <c r="D2016" s="1"/>
    </row>
    <row r="2017" spans="1:4">
      <c r="A2017" s="1"/>
      <c r="D2017" s="1"/>
    </row>
    <row r="2018" spans="1:4">
      <c r="A2018" s="1"/>
      <c r="D2018" s="1"/>
    </row>
    <row r="2019" spans="1:4">
      <c r="A2019" s="1"/>
      <c r="D2019" s="1"/>
    </row>
    <row r="2020" spans="1:4">
      <c r="A2020" s="1"/>
      <c r="D2020" s="1"/>
    </row>
    <row r="2021" spans="1:4">
      <c r="A2021" s="1"/>
      <c r="D2021" s="1"/>
    </row>
    <row r="2022" spans="1:4">
      <c r="A2022" s="1"/>
      <c r="D2022" s="1"/>
    </row>
    <row r="2023" spans="1:4">
      <c r="A2023" s="1"/>
      <c r="D2023" s="1"/>
    </row>
    <row r="2024" spans="1:4">
      <c r="A2024" s="1"/>
      <c r="D2024" s="1"/>
    </row>
    <row r="2025" spans="1:4">
      <c r="A2025" s="1"/>
      <c r="D2025" s="1"/>
    </row>
    <row r="2026" spans="1:4">
      <c r="A2026" s="1"/>
      <c r="D2026" s="1"/>
    </row>
    <row r="2027" spans="1:4">
      <c r="A2027" s="1"/>
      <c r="D2027" s="1"/>
    </row>
    <row r="2028" spans="1:4">
      <c r="A2028" s="1"/>
      <c r="D2028" s="1"/>
    </row>
    <row r="2029" spans="1:4">
      <c r="A2029" s="1"/>
      <c r="D2029" s="1"/>
    </row>
    <row r="2030" spans="1:4">
      <c r="A2030" s="1"/>
      <c r="D2030" s="1"/>
    </row>
    <row r="2031" spans="1:4">
      <c r="A2031" s="1"/>
      <c r="D2031" s="1"/>
    </row>
    <row r="2032" spans="1:4">
      <c r="A2032" s="1"/>
      <c r="D2032" s="1"/>
    </row>
    <row r="2033" spans="1:4">
      <c r="A2033" s="1"/>
      <c r="D2033" s="1"/>
    </row>
    <row r="2034" spans="1:4">
      <c r="A2034" s="1"/>
      <c r="D2034" s="1"/>
    </row>
    <row r="2035" spans="1:4">
      <c r="A2035" s="1"/>
      <c r="D2035" s="1"/>
    </row>
    <row r="2036" spans="1:4">
      <c r="A2036" s="1"/>
      <c r="D2036" s="1"/>
    </row>
    <row r="2037" spans="1:4">
      <c r="A2037" s="1"/>
      <c r="D2037" s="1"/>
    </row>
    <row r="2038" spans="1:4">
      <c r="A2038" s="1"/>
      <c r="D2038" s="1"/>
    </row>
    <row r="2039" spans="1:4">
      <c r="A2039" s="1"/>
      <c r="D2039" s="1"/>
    </row>
    <row r="2040" spans="1:4">
      <c r="A2040" s="1"/>
      <c r="D2040" s="1"/>
    </row>
    <row r="2041" spans="1:4">
      <c r="A2041" s="1"/>
      <c r="D2041" s="1"/>
    </row>
    <row r="2042" spans="1:4">
      <c r="A2042" s="1"/>
      <c r="D2042" s="1"/>
    </row>
    <row r="2043" spans="1:4">
      <c r="A2043" s="1"/>
      <c r="D2043" s="1"/>
    </row>
    <row r="2044" spans="1:4">
      <c r="A2044" s="1"/>
      <c r="D2044" s="1"/>
    </row>
    <row r="2045" spans="1:4">
      <c r="A2045" s="1"/>
      <c r="D2045" s="1"/>
    </row>
    <row r="2046" spans="1:4">
      <c r="A2046" s="1"/>
      <c r="D2046" s="1"/>
    </row>
    <row r="2047" spans="1:4">
      <c r="A2047" s="1"/>
      <c r="D2047" s="1"/>
    </row>
    <row r="2048" spans="1:4">
      <c r="A2048" s="1"/>
      <c r="D2048" s="1"/>
    </row>
    <row r="2049" spans="1:4">
      <c r="A2049" s="1"/>
      <c r="D2049" s="1"/>
    </row>
    <row r="2050" spans="1:4">
      <c r="A2050" s="1"/>
      <c r="D2050" s="1"/>
    </row>
    <row r="2051" spans="1:4">
      <c r="A2051" s="1"/>
      <c r="D2051" s="1"/>
    </row>
    <row r="2052" spans="1:4">
      <c r="A2052" s="1"/>
      <c r="D2052" s="1"/>
    </row>
    <row r="2053" spans="1:4">
      <c r="A2053" s="1"/>
      <c r="D2053" s="1"/>
    </row>
    <row r="2054" spans="1:4">
      <c r="A2054" s="1"/>
      <c r="D2054" s="1"/>
    </row>
    <row r="2055" spans="1:4">
      <c r="A2055" s="1"/>
      <c r="D2055" s="1"/>
    </row>
    <row r="2056" spans="1:4">
      <c r="A2056" s="1"/>
      <c r="D2056" s="1"/>
    </row>
    <row r="2057" spans="1:4">
      <c r="A2057" s="1"/>
      <c r="D2057" s="1"/>
    </row>
    <row r="2058" spans="1:4">
      <c r="A2058" s="1"/>
      <c r="D2058" s="1"/>
    </row>
    <row r="2059" spans="1:4">
      <c r="A2059" s="1"/>
      <c r="D2059" s="1"/>
    </row>
    <row r="2060" spans="1:4">
      <c r="A2060" s="1"/>
      <c r="D2060" s="1"/>
    </row>
    <row r="2061" spans="1:4">
      <c r="A2061" s="1"/>
      <c r="D2061" s="1"/>
    </row>
    <row r="2062" spans="1:4">
      <c r="A2062" s="1"/>
      <c r="D2062" s="1"/>
    </row>
    <row r="2063" spans="1:4">
      <c r="A2063" s="1"/>
      <c r="D2063" s="1"/>
    </row>
    <row r="2064" spans="1:4">
      <c r="A2064" s="1"/>
      <c r="D2064" s="1"/>
    </row>
    <row r="2065" spans="1:4">
      <c r="A2065" s="1"/>
      <c r="D2065" s="1"/>
    </row>
    <row r="2066" spans="1:4">
      <c r="A2066" s="1"/>
      <c r="D2066" s="1"/>
    </row>
    <row r="2067" spans="1:4">
      <c r="A2067" s="1"/>
      <c r="D2067" s="1"/>
    </row>
    <row r="2068" spans="1:4">
      <c r="A2068" s="1"/>
      <c r="D2068" s="1"/>
    </row>
    <row r="2069" spans="1:4">
      <c r="A2069" s="1"/>
      <c r="D2069" s="1"/>
    </row>
    <row r="2070" spans="1:4">
      <c r="A2070" s="1"/>
      <c r="D2070" s="1"/>
    </row>
    <row r="2071" spans="1:4">
      <c r="A2071" s="1"/>
      <c r="D2071" s="1"/>
    </row>
    <row r="2072" spans="1:4">
      <c r="A2072" s="1"/>
      <c r="D2072" s="1"/>
    </row>
    <row r="2073" spans="1:4">
      <c r="A2073" s="1"/>
      <c r="D2073" s="1"/>
    </row>
    <row r="2074" spans="1:4">
      <c r="A2074" s="1"/>
      <c r="D2074" s="1"/>
    </row>
    <row r="2075" spans="1:4">
      <c r="A2075" s="1"/>
      <c r="D2075" s="1"/>
    </row>
    <row r="2076" spans="1:4">
      <c r="A2076" s="1"/>
      <c r="D2076" s="1"/>
    </row>
    <row r="2077" spans="1:4">
      <c r="A2077" s="1"/>
      <c r="D2077" s="1"/>
    </row>
    <row r="2078" spans="1:4">
      <c r="A2078" s="1"/>
      <c r="D2078" s="1"/>
    </row>
    <row r="2079" spans="1:4">
      <c r="A2079" s="1"/>
      <c r="D2079" s="1"/>
    </row>
    <row r="2080" spans="1:4">
      <c r="A2080" s="1"/>
      <c r="D2080" s="1"/>
    </row>
    <row r="2081" spans="1:4">
      <c r="A2081" s="1"/>
      <c r="D2081" s="1"/>
    </row>
    <row r="2082" spans="1:4">
      <c r="A2082" s="1"/>
      <c r="D2082" s="1"/>
    </row>
    <row r="2083" spans="1:4">
      <c r="A2083" s="1"/>
      <c r="D2083" s="1"/>
    </row>
    <row r="2084" spans="1:4">
      <c r="A2084" s="1"/>
      <c r="D2084" s="1"/>
    </row>
    <row r="2085" spans="1:4">
      <c r="A2085" s="1"/>
      <c r="D2085" s="1"/>
    </row>
    <row r="2086" spans="1:4">
      <c r="A2086" s="1"/>
      <c r="D2086" s="1"/>
    </row>
    <row r="2087" spans="1:4">
      <c r="A2087" s="1"/>
      <c r="D2087" s="1"/>
    </row>
    <row r="2088" spans="1:4">
      <c r="A2088" s="1"/>
      <c r="D2088" s="1"/>
    </row>
    <row r="2089" spans="1:4">
      <c r="A2089" s="1"/>
      <c r="D2089" s="1"/>
    </row>
    <row r="2090" spans="1:4">
      <c r="A2090" s="1"/>
      <c r="D2090" s="1"/>
    </row>
    <row r="2091" spans="1:4">
      <c r="A2091" s="1"/>
      <c r="D2091" s="1"/>
    </row>
    <row r="2092" spans="1:4">
      <c r="A2092" s="1"/>
      <c r="D2092" s="1"/>
    </row>
    <row r="2093" spans="1:4">
      <c r="A2093" s="1"/>
      <c r="D2093" s="1"/>
    </row>
    <row r="2094" spans="1:4">
      <c r="A2094" s="1"/>
      <c r="D2094" s="1"/>
    </row>
    <row r="2095" spans="1:4">
      <c r="A2095" s="1"/>
      <c r="D2095" s="1"/>
    </row>
    <row r="2096" spans="1:4">
      <c r="A2096" s="1"/>
      <c r="D2096" s="1"/>
    </row>
    <row r="2097" spans="1:4">
      <c r="A2097" s="1"/>
      <c r="D2097" s="1"/>
    </row>
    <row r="2098" spans="1:4">
      <c r="A2098" s="1"/>
      <c r="D2098" s="1"/>
    </row>
    <row r="2099" spans="1:4">
      <c r="A2099" s="1"/>
      <c r="D2099" s="1"/>
    </row>
    <row r="2100" spans="1:4">
      <c r="A2100" s="1"/>
      <c r="D2100" s="1"/>
    </row>
    <row r="2101" spans="1:4">
      <c r="A2101" s="1"/>
      <c r="D2101" s="1"/>
    </row>
    <row r="2102" spans="1:4">
      <c r="A2102" s="1"/>
      <c r="D2102" s="1"/>
    </row>
    <row r="2103" spans="1:4">
      <c r="A2103" s="1"/>
      <c r="D2103" s="1"/>
    </row>
    <row r="2104" spans="1:4">
      <c r="A2104" s="1"/>
      <c r="D2104" s="1"/>
    </row>
    <row r="2105" spans="1:4">
      <c r="A2105" s="1"/>
      <c r="D2105" s="1"/>
    </row>
    <row r="2106" spans="1:4">
      <c r="A2106" s="1"/>
      <c r="D2106" s="1"/>
    </row>
    <row r="2107" spans="1:4">
      <c r="A2107" s="1"/>
      <c r="D2107" s="1"/>
    </row>
    <row r="2108" spans="1:4">
      <c r="A2108" s="1"/>
      <c r="D2108" s="1"/>
    </row>
    <row r="2109" spans="1:4">
      <c r="A2109" s="1"/>
      <c r="D2109" s="1"/>
    </row>
    <row r="2110" spans="1:4">
      <c r="A2110" s="1"/>
      <c r="D2110" s="1"/>
    </row>
    <row r="2111" spans="1:4">
      <c r="A2111" s="1"/>
      <c r="D2111" s="1"/>
    </row>
    <row r="2112" spans="1:4">
      <c r="A2112" s="1"/>
      <c r="D2112" s="1"/>
    </row>
    <row r="2113" spans="1:4">
      <c r="A2113" s="1"/>
      <c r="D2113" s="1"/>
    </row>
    <row r="2114" spans="1:4">
      <c r="A2114" s="1"/>
      <c r="D2114" s="1"/>
    </row>
    <row r="2115" spans="1:4">
      <c r="A2115" s="1"/>
      <c r="D2115" s="1"/>
    </row>
    <row r="2116" spans="1:4">
      <c r="A2116" s="1"/>
      <c r="D2116" s="1"/>
    </row>
    <row r="2117" spans="1:4">
      <c r="A2117" s="1"/>
      <c r="D2117" s="1"/>
    </row>
    <row r="2118" spans="1:4">
      <c r="A2118" s="1"/>
      <c r="D2118" s="1"/>
    </row>
    <row r="2119" spans="1:4">
      <c r="A2119" s="1"/>
      <c r="D2119" s="1"/>
    </row>
    <row r="2120" spans="1:4">
      <c r="A2120" s="1"/>
      <c r="D2120" s="1"/>
    </row>
    <row r="2121" spans="1:4">
      <c r="A2121" s="1"/>
      <c r="D2121" s="1"/>
    </row>
    <row r="2122" spans="1:4">
      <c r="A2122" s="1"/>
      <c r="D2122" s="1"/>
    </row>
    <row r="2123" spans="1:4">
      <c r="A2123" s="1"/>
      <c r="D2123" s="1"/>
    </row>
    <row r="2124" spans="1:4">
      <c r="A2124" s="1"/>
      <c r="D2124" s="1"/>
    </row>
    <row r="2125" spans="1:4">
      <c r="A2125" s="1"/>
      <c r="D2125" s="1"/>
    </row>
    <row r="2126" spans="1:4">
      <c r="A2126" s="1"/>
      <c r="D2126" s="1"/>
    </row>
    <row r="2127" spans="1:4">
      <c r="A2127" s="1"/>
      <c r="D2127" s="1"/>
    </row>
    <row r="2128" spans="1:4">
      <c r="A2128" s="1"/>
      <c r="D2128" s="1"/>
    </row>
    <row r="2129" spans="1:4">
      <c r="A2129" s="1"/>
      <c r="D2129" s="1"/>
    </row>
    <row r="2130" spans="1:4">
      <c r="A2130" s="1"/>
      <c r="D2130" s="1"/>
    </row>
    <row r="2131" spans="1:4">
      <c r="A2131" s="1"/>
      <c r="D2131" s="1"/>
    </row>
    <row r="2132" spans="1:4">
      <c r="A2132" s="1"/>
      <c r="D2132" s="1"/>
    </row>
    <row r="2133" spans="1:4">
      <c r="A2133" s="1"/>
      <c r="D2133" s="1"/>
    </row>
    <row r="2134" spans="1:4">
      <c r="A2134" s="1"/>
      <c r="D2134" s="1"/>
    </row>
    <row r="2135" spans="1:4">
      <c r="A2135" s="1"/>
      <c r="D2135" s="1"/>
    </row>
    <row r="2136" spans="1:4">
      <c r="A2136" s="1"/>
      <c r="D2136" s="1"/>
    </row>
    <row r="2137" spans="1:4">
      <c r="A2137" s="1"/>
      <c r="D2137" s="1"/>
    </row>
    <row r="2138" spans="1:4">
      <c r="A2138" s="1"/>
      <c r="D2138" s="1"/>
    </row>
    <row r="2139" spans="1:4">
      <c r="A2139" s="1"/>
      <c r="D2139" s="1"/>
    </row>
    <row r="2140" spans="1:4">
      <c r="A2140" s="1"/>
      <c r="D2140" s="1"/>
    </row>
    <row r="2141" spans="1:4">
      <c r="A2141" s="1"/>
      <c r="D2141" s="1"/>
    </row>
    <row r="2142" spans="1:4">
      <c r="A2142" s="1"/>
      <c r="D2142" s="1"/>
    </row>
    <row r="2143" spans="1:4">
      <c r="A2143" s="1"/>
      <c r="D2143" s="1"/>
    </row>
    <row r="2144" spans="1:4">
      <c r="A2144" s="1"/>
      <c r="D2144" s="1"/>
    </row>
    <row r="2145" spans="1:4">
      <c r="A2145" s="1"/>
      <c r="D2145" s="1"/>
    </row>
    <row r="2146" spans="1:4">
      <c r="A2146" s="1"/>
      <c r="D2146" s="1"/>
    </row>
    <row r="2147" spans="1:4">
      <c r="A2147" s="1"/>
      <c r="D2147" s="1"/>
    </row>
    <row r="2148" spans="1:4">
      <c r="A2148" s="1"/>
      <c r="D2148" s="1"/>
    </row>
    <row r="2149" spans="1:4">
      <c r="A2149" s="1"/>
      <c r="D2149" s="1"/>
    </row>
    <row r="2150" spans="1:4">
      <c r="A2150" s="1"/>
      <c r="D2150" s="1"/>
    </row>
    <row r="2151" spans="1:4">
      <c r="A2151" s="1"/>
      <c r="D2151" s="1"/>
    </row>
    <row r="2152" spans="1:4">
      <c r="A2152" s="1"/>
      <c r="D2152" s="1"/>
    </row>
    <row r="2153" spans="1:4">
      <c r="A2153" s="1"/>
      <c r="D2153" s="1"/>
    </row>
    <row r="2154" spans="1:4">
      <c r="A2154" s="1"/>
      <c r="D2154" s="1"/>
    </row>
    <row r="2155" spans="1:4">
      <c r="A2155" s="1"/>
      <c r="D2155" s="1"/>
    </row>
    <row r="2156" spans="1:4">
      <c r="A2156" s="1"/>
      <c r="D2156" s="1"/>
    </row>
    <row r="2157" spans="1:4">
      <c r="A2157" s="1"/>
      <c r="D2157" s="1"/>
    </row>
    <row r="2158" spans="1:4">
      <c r="A2158" s="1"/>
      <c r="D2158" s="1"/>
    </row>
    <row r="2159" spans="1:4">
      <c r="A2159" s="1"/>
      <c r="D2159" s="1"/>
    </row>
    <row r="2160" spans="1:4">
      <c r="A2160" s="1"/>
      <c r="D2160" s="1"/>
    </row>
    <row r="2161" spans="1:4">
      <c r="A2161" s="1"/>
      <c r="D2161" s="1"/>
    </row>
    <row r="2162" spans="1:4">
      <c r="A2162" s="1"/>
      <c r="D2162" s="1"/>
    </row>
    <row r="2163" spans="1:4">
      <c r="A2163" s="1"/>
      <c r="D2163" s="1"/>
    </row>
    <row r="2164" spans="1:4">
      <c r="A2164" s="1"/>
      <c r="D2164" s="1"/>
    </row>
    <row r="2165" spans="1:4">
      <c r="A2165" s="1"/>
      <c r="D2165" s="1"/>
    </row>
    <row r="2166" spans="1:4">
      <c r="A2166" s="1"/>
      <c r="D2166" s="1"/>
    </row>
    <row r="2167" spans="1:4">
      <c r="A2167" s="1"/>
      <c r="D2167" s="1"/>
    </row>
    <row r="2168" spans="1:4">
      <c r="A2168" s="1"/>
      <c r="D2168" s="1"/>
    </row>
    <row r="2169" spans="1:4">
      <c r="A2169" s="1"/>
      <c r="D2169" s="1"/>
    </row>
    <row r="2170" spans="1:4">
      <c r="A2170" s="1"/>
      <c r="D2170" s="1"/>
    </row>
    <row r="2171" spans="1:4">
      <c r="A2171" s="1"/>
      <c r="D2171" s="1"/>
    </row>
    <row r="2172" spans="1:4">
      <c r="A2172" s="1"/>
      <c r="D2172" s="1"/>
    </row>
    <row r="2173" spans="1:4">
      <c r="A2173" s="1"/>
      <c r="D2173" s="1"/>
    </row>
    <row r="2174" spans="1:4">
      <c r="A2174" s="1"/>
      <c r="D2174" s="1"/>
    </row>
    <row r="2175" spans="1:4">
      <c r="A2175" s="1"/>
      <c r="D2175" s="1"/>
    </row>
    <row r="2176" spans="1:4">
      <c r="A2176" s="1"/>
      <c r="D2176" s="1"/>
    </row>
    <row r="2177" spans="1:4">
      <c r="A2177" s="1"/>
      <c r="D2177" s="1"/>
    </row>
    <row r="2178" spans="1:4">
      <c r="A2178" s="1"/>
      <c r="D2178" s="1"/>
    </row>
    <row r="2179" spans="1:4">
      <c r="A2179" s="1"/>
      <c r="D2179" s="1"/>
    </row>
    <row r="2180" spans="1:4">
      <c r="A2180" s="1"/>
      <c r="D2180" s="1"/>
    </row>
    <row r="2181" spans="1:4">
      <c r="A2181" s="1"/>
      <c r="D2181" s="1"/>
    </row>
    <row r="2182" spans="1:4">
      <c r="A2182" s="1"/>
      <c r="D2182" s="1"/>
    </row>
    <row r="2183" spans="1:4">
      <c r="A2183" s="1"/>
      <c r="D2183" s="1"/>
    </row>
    <row r="2184" spans="1:4">
      <c r="A2184" s="1"/>
      <c r="D2184" s="1"/>
    </row>
    <row r="2185" spans="1:4">
      <c r="A2185" s="1"/>
      <c r="D2185" s="1"/>
    </row>
    <row r="2186" spans="1:4">
      <c r="A2186" s="1"/>
      <c r="D2186" s="1"/>
    </row>
    <row r="2187" spans="1:4">
      <c r="A2187" s="1"/>
      <c r="D2187" s="1"/>
    </row>
    <row r="2188" spans="1:4">
      <c r="A2188" s="1"/>
      <c r="D2188" s="1"/>
    </row>
    <row r="2189" spans="1:4">
      <c r="A2189" s="1"/>
      <c r="D2189" s="1"/>
    </row>
    <row r="2190" spans="1:4">
      <c r="A2190" s="1"/>
      <c r="D2190" s="1"/>
    </row>
    <row r="2191" spans="1:4">
      <c r="A2191" s="1"/>
      <c r="D2191" s="1"/>
    </row>
    <row r="2192" spans="1:4">
      <c r="A2192" s="1"/>
      <c r="D2192" s="1"/>
    </row>
    <row r="2193" spans="1:4">
      <c r="A2193" s="1"/>
      <c r="D2193" s="1"/>
    </row>
    <row r="2194" spans="1:4">
      <c r="A2194" s="1"/>
      <c r="D2194" s="1"/>
    </row>
    <row r="2195" spans="1:4">
      <c r="A2195" s="1"/>
      <c r="D2195" s="1"/>
    </row>
    <row r="2196" spans="1:4">
      <c r="A2196" s="1"/>
      <c r="D2196" s="1"/>
    </row>
    <row r="2197" spans="1:4">
      <c r="A2197" s="1"/>
      <c r="D2197" s="1"/>
    </row>
    <row r="2198" spans="1:4">
      <c r="A2198" s="1"/>
      <c r="D2198" s="1"/>
    </row>
    <row r="2199" spans="1:4">
      <c r="A2199" s="1"/>
      <c r="D2199" s="1"/>
    </row>
    <row r="2200" spans="1:4">
      <c r="A2200" s="1"/>
      <c r="D2200" s="1"/>
    </row>
    <row r="2201" spans="1:4">
      <c r="A2201" s="1"/>
      <c r="D2201" s="1"/>
    </row>
    <row r="2202" spans="1:4">
      <c r="A2202" s="1"/>
      <c r="D2202" s="1"/>
    </row>
    <row r="2203" spans="1:4">
      <c r="A2203" s="1"/>
      <c r="D2203" s="1"/>
    </row>
    <row r="2204" spans="1:4">
      <c r="A2204" s="1"/>
      <c r="D2204" s="1"/>
    </row>
    <row r="2205" spans="1:4">
      <c r="A2205" s="1"/>
      <c r="D2205" s="1"/>
    </row>
    <row r="2206" spans="1:4">
      <c r="A2206" s="1"/>
      <c r="D2206" s="1"/>
    </row>
    <row r="2207" spans="1:4">
      <c r="A2207" s="1"/>
      <c r="D2207" s="1"/>
    </row>
    <row r="2208" spans="1:4">
      <c r="A2208" s="1"/>
      <c r="D2208" s="1"/>
    </row>
    <row r="2209" spans="1:4">
      <c r="A2209" s="1"/>
      <c r="D2209" s="1"/>
    </row>
    <row r="2210" spans="1:4">
      <c r="A2210" s="1"/>
      <c r="D2210" s="1"/>
    </row>
    <row r="2211" spans="1:4">
      <c r="A2211" s="1"/>
      <c r="D2211" s="1"/>
    </row>
    <row r="2212" spans="1:4">
      <c r="A2212" s="1"/>
      <c r="D2212" s="1"/>
    </row>
    <row r="2213" spans="1:4">
      <c r="A2213" s="1"/>
      <c r="D2213" s="1"/>
    </row>
    <row r="2214" spans="1:4">
      <c r="A2214" s="1"/>
      <c r="D2214" s="1"/>
    </row>
    <row r="2215" spans="1:4">
      <c r="A2215" s="1"/>
      <c r="D2215" s="1"/>
    </row>
    <row r="2216" spans="1:4">
      <c r="A2216" s="1"/>
      <c r="D2216" s="1"/>
    </row>
    <row r="2217" spans="1:4">
      <c r="A2217" s="1"/>
      <c r="D2217" s="1"/>
    </row>
    <row r="2218" spans="1:4">
      <c r="A2218" s="1"/>
      <c r="D2218" s="1"/>
    </row>
    <row r="2219" spans="1:4">
      <c r="A2219" s="1"/>
      <c r="D2219" s="1"/>
    </row>
    <row r="2220" spans="1:4">
      <c r="A2220" s="1"/>
      <c r="D2220" s="1"/>
    </row>
    <row r="2221" spans="1:4">
      <c r="A2221" s="1"/>
      <c r="D2221" s="1"/>
    </row>
    <row r="2222" spans="1:4">
      <c r="A2222" s="1"/>
      <c r="D2222" s="1"/>
    </row>
    <row r="2223" spans="1:4">
      <c r="A2223" s="1"/>
      <c r="D2223" s="1"/>
    </row>
    <row r="2224" spans="1:4">
      <c r="A2224" s="1"/>
      <c r="D2224" s="1"/>
    </row>
    <row r="2225" spans="1:4">
      <c r="A2225" s="1"/>
      <c r="D2225" s="1"/>
    </row>
    <row r="2226" spans="1:4">
      <c r="A2226" s="1"/>
      <c r="D2226" s="1"/>
    </row>
    <row r="2227" spans="1:4">
      <c r="A2227" s="1"/>
      <c r="D2227" s="1"/>
    </row>
    <row r="2228" spans="1:4">
      <c r="A2228" s="1"/>
      <c r="D2228" s="1"/>
    </row>
    <row r="2229" spans="1:4">
      <c r="A2229" s="1"/>
      <c r="D2229" s="1"/>
    </row>
    <row r="2230" spans="1:4">
      <c r="A2230" s="1"/>
      <c r="D2230" s="1"/>
    </row>
    <row r="2231" spans="1:4">
      <c r="A2231" s="1"/>
      <c r="D2231" s="1"/>
    </row>
    <row r="2232" spans="1:4">
      <c r="A2232" s="1"/>
      <c r="D2232" s="1"/>
    </row>
    <row r="2233" spans="1:4">
      <c r="A2233" s="1"/>
      <c r="D2233" s="1"/>
    </row>
    <row r="2234" spans="1:4">
      <c r="A2234" s="1"/>
      <c r="D2234" s="1"/>
    </row>
    <row r="2235" spans="1:4">
      <c r="A2235" s="1"/>
      <c r="D2235" s="1"/>
    </row>
    <row r="2236" spans="1:4">
      <c r="A2236" s="1"/>
      <c r="D2236" s="1"/>
    </row>
    <row r="2237" spans="1:4">
      <c r="A2237" s="1"/>
      <c r="D2237" s="1"/>
    </row>
    <row r="2238" spans="1:4">
      <c r="A2238" s="1"/>
      <c r="D2238" s="1"/>
    </row>
    <row r="2239" spans="1:4">
      <c r="A2239" s="1"/>
      <c r="D2239" s="1"/>
    </row>
    <row r="2240" spans="1:4">
      <c r="A2240" s="1"/>
      <c r="D2240" s="1"/>
    </row>
    <row r="2241" spans="1:4">
      <c r="A2241" s="1"/>
      <c r="D2241" s="1"/>
    </row>
    <row r="2242" spans="1:4">
      <c r="A2242" s="1"/>
      <c r="D2242" s="1"/>
    </row>
    <row r="2243" spans="1:4">
      <c r="A2243" s="1"/>
      <c r="D2243" s="1"/>
    </row>
    <row r="2244" spans="1:4">
      <c r="A2244" s="1"/>
      <c r="D2244" s="1"/>
    </row>
    <row r="2245" spans="1:4">
      <c r="A2245" s="1"/>
      <c r="D2245" s="1"/>
    </row>
    <row r="2246" spans="1:4">
      <c r="A2246" s="1"/>
      <c r="D2246" s="1"/>
    </row>
    <row r="2247" spans="1:4">
      <c r="A2247" s="1"/>
      <c r="D2247" s="1"/>
    </row>
    <row r="2248" spans="1:4">
      <c r="A2248" s="1"/>
      <c r="D2248" s="1"/>
    </row>
    <row r="2249" spans="1:4">
      <c r="A2249" s="1"/>
      <c r="D2249" s="1"/>
    </row>
    <row r="2250" spans="1:4">
      <c r="A2250" s="1"/>
      <c r="D2250" s="1"/>
    </row>
    <row r="2251" spans="1:4">
      <c r="A2251" s="1"/>
      <c r="D2251" s="1"/>
    </row>
    <row r="2252" spans="1:4">
      <c r="A2252" s="1"/>
      <c r="D2252" s="1"/>
    </row>
    <row r="2253" spans="1:4">
      <c r="A2253" s="1"/>
      <c r="D2253" s="1"/>
    </row>
    <row r="2254" spans="1:4">
      <c r="A2254" s="1"/>
      <c r="D2254" s="1"/>
    </row>
    <row r="2255" spans="1:4">
      <c r="A2255" s="1"/>
      <c r="D2255" s="1"/>
    </row>
    <row r="2256" spans="1:4">
      <c r="A2256" s="1"/>
      <c r="D2256" s="1"/>
    </row>
    <row r="2257" spans="1:4">
      <c r="A2257" s="1"/>
      <c r="D2257" s="1"/>
    </row>
    <row r="2258" spans="1:4">
      <c r="A2258" s="1"/>
      <c r="D2258" s="1"/>
    </row>
    <row r="2259" spans="1:4">
      <c r="A2259" s="1"/>
      <c r="D2259" s="1"/>
    </row>
    <row r="2260" spans="1:4">
      <c r="A2260" s="1"/>
      <c r="D2260" s="1"/>
    </row>
    <row r="2261" spans="1:4">
      <c r="A2261" s="1"/>
      <c r="D2261" s="1"/>
    </row>
    <row r="2262" spans="1:4">
      <c r="A2262" s="1"/>
      <c r="D2262" s="1"/>
    </row>
    <row r="2263" spans="1:4">
      <c r="A2263" s="1"/>
      <c r="D2263" s="1"/>
    </row>
    <row r="2264" spans="1:4">
      <c r="A2264" s="1"/>
      <c r="D2264" s="1"/>
    </row>
    <row r="2265" spans="1:4">
      <c r="A2265" s="1"/>
      <c r="D2265" s="1"/>
    </row>
    <row r="2266" spans="1:4">
      <c r="A2266" s="1"/>
      <c r="D2266" s="1"/>
    </row>
    <row r="2267" spans="1:4">
      <c r="A2267" s="1"/>
      <c r="D2267" s="1"/>
    </row>
    <row r="2268" spans="1:4">
      <c r="A2268" s="1"/>
      <c r="D2268" s="1"/>
    </row>
    <row r="2269" spans="1:4">
      <c r="A2269" s="1"/>
      <c r="D2269" s="1"/>
    </row>
    <row r="2270" spans="1:4">
      <c r="A2270" s="1"/>
      <c r="D2270" s="1"/>
    </row>
    <row r="2271" spans="1:4">
      <c r="A2271" s="1"/>
      <c r="D2271" s="1"/>
    </row>
    <row r="2272" spans="1:4">
      <c r="A2272" s="1"/>
      <c r="D2272" s="1"/>
    </row>
    <row r="2273" spans="1:4">
      <c r="A2273" s="1"/>
      <c r="D2273" s="1"/>
    </row>
    <row r="2274" spans="1:4">
      <c r="A2274" s="1"/>
      <c r="D2274" s="1"/>
    </row>
    <row r="2275" spans="1:4">
      <c r="A2275" s="1"/>
      <c r="D2275" s="1"/>
    </row>
    <row r="2276" spans="1:4">
      <c r="A2276" s="1"/>
      <c r="D2276" s="1"/>
    </row>
    <row r="2277" spans="1:4">
      <c r="A2277" s="1"/>
      <c r="D2277" s="1"/>
    </row>
    <row r="2278" spans="1:4">
      <c r="A2278" s="1"/>
      <c r="D2278" s="1"/>
    </row>
    <row r="2279" spans="1:4">
      <c r="A2279" s="1"/>
      <c r="D2279" s="1"/>
    </row>
    <row r="2280" spans="1:4">
      <c r="A2280" s="1"/>
      <c r="D2280" s="1"/>
    </row>
    <row r="2281" spans="1:4">
      <c r="A2281" s="1"/>
      <c r="D2281" s="1"/>
    </row>
    <row r="2282" spans="1:4">
      <c r="A2282" s="1"/>
      <c r="D2282" s="1"/>
    </row>
    <row r="2283" spans="1:4">
      <c r="A2283" s="1"/>
      <c r="D2283" s="1"/>
    </row>
    <row r="2284" spans="1:4">
      <c r="A2284" s="1"/>
      <c r="D2284" s="1"/>
    </row>
    <row r="2285" spans="1:4">
      <c r="A2285" s="1"/>
      <c r="D2285" s="1"/>
    </row>
    <row r="2286" spans="1:4">
      <c r="A2286" s="1"/>
      <c r="D2286" s="1"/>
    </row>
    <row r="2287" spans="1:4">
      <c r="A2287" s="1"/>
      <c r="D2287" s="1"/>
    </row>
    <row r="2288" spans="1:4">
      <c r="A2288" s="1"/>
      <c r="D2288" s="1"/>
    </row>
    <row r="2289" spans="1:4">
      <c r="A2289" s="1"/>
      <c r="D2289" s="1"/>
    </row>
    <row r="2290" spans="1:4">
      <c r="A2290" s="1"/>
      <c r="D2290" s="1"/>
    </row>
    <row r="2291" spans="1:4">
      <c r="A2291" s="1"/>
      <c r="D2291" s="1"/>
    </row>
    <row r="2292" spans="1:4">
      <c r="A2292" s="1"/>
      <c r="D2292" s="1"/>
    </row>
    <row r="2293" spans="1:4">
      <c r="A2293" s="1"/>
      <c r="D2293" s="1"/>
    </row>
    <row r="2294" spans="1:4">
      <c r="A2294" s="1"/>
      <c r="D2294" s="1"/>
    </row>
    <row r="2295" spans="1:4">
      <c r="A2295" s="1"/>
      <c r="D2295" s="1"/>
    </row>
    <row r="2296" spans="1:4">
      <c r="A2296" s="1"/>
      <c r="D2296" s="1"/>
    </row>
    <row r="2297" spans="1:4">
      <c r="A2297" s="1"/>
      <c r="D2297" s="1"/>
    </row>
    <row r="2298" spans="1:4">
      <c r="A2298" s="1"/>
      <c r="D2298" s="1"/>
    </row>
    <row r="2299" spans="1:4">
      <c r="A2299" s="1"/>
      <c r="D2299" s="1"/>
    </row>
    <row r="2300" spans="1:4">
      <c r="A2300" s="1"/>
      <c r="D2300" s="1"/>
    </row>
    <row r="2301" spans="1:4">
      <c r="A2301" s="1"/>
      <c r="D2301" s="1"/>
    </row>
    <row r="2302" spans="1:4">
      <c r="A2302" s="1"/>
      <c r="D2302" s="1"/>
    </row>
    <row r="2303" spans="1:4">
      <c r="A2303" s="1"/>
      <c r="D2303" s="1"/>
    </row>
    <row r="2304" spans="1:4">
      <c r="A2304" s="1"/>
      <c r="D2304" s="1"/>
    </row>
    <row r="2305" spans="1:4">
      <c r="A2305" s="1"/>
      <c r="D2305" s="1"/>
    </row>
    <row r="2306" spans="1:4">
      <c r="A2306" s="1"/>
      <c r="D2306" s="1"/>
    </row>
    <row r="2307" spans="1:4">
      <c r="A2307" s="1"/>
      <c r="D2307" s="1"/>
    </row>
    <row r="2308" spans="1:4">
      <c r="A2308" s="1"/>
      <c r="D2308" s="1"/>
    </row>
    <row r="2309" spans="1:4">
      <c r="A2309" s="1"/>
      <c r="D2309" s="1"/>
    </row>
    <row r="2310" spans="1:4">
      <c r="A2310" s="1"/>
      <c r="D2310" s="1"/>
    </row>
    <row r="2311" spans="1:4">
      <c r="A2311" s="1"/>
      <c r="D2311" s="1"/>
    </row>
    <row r="2312" spans="1:4">
      <c r="A2312" s="1"/>
      <c r="D2312" s="1"/>
    </row>
    <row r="2313" spans="1:4">
      <c r="A2313" s="1"/>
      <c r="D2313" s="1"/>
    </row>
    <row r="2314" spans="1:4">
      <c r="A2314" s="1"/>
      <c r="D2314" s="1"/>
    </row>
    <row r="2315" spans="1:4">
      <c r="A2315" s="1"/>
      <c r="D2315" s="1"/>
    </row>
    <row r="2316" spans="1:4">
      <c r="A2316" s="1"/>
      <c r="D2316" s="1"/>
    </row>
    <row r="2317" spans="1:4">
      <c r="A2317" s="1"/>
      <c r="D2317" s="1"/>
    </row>
    <row r="2318" spans="1:4">
      <c r="A2318" s="1"/>
      <c r="D2318" s="1"/>
    </row>
    <row r="2319" spans="1:4">
      <c r="A2319" s="1"/>
      <c r="D2319" s="1"/>
    </row>
    <row r="2320" spans="1:4">
      <c r="A2320" s="1"/>
      <c r="D2320" s="1"/>
    </row>
    <row r="2321" spans="1:4">
      <c r="A2321" s="1"/>
      <c r="D2321" s="1"/>
    </row>
    <row r="2322" spans="1:4">
      <c r="A2322" s="1"/>
      <c r="D2322" s="1"/>
    </row>
    <row r="2323" spans="1:4">
      <c r="A2323" s="1"/>
      <c r="D2323" s="1"/>
    </row>
    <row r="2324" spans="1:4">
      <c r="A2324" s="1"/>
      <c r="D2324" s="1"/>
    </row>
    <row r="2325" spans="1:4">
      <c r="A2325" s="1"/>
      <c r="D2325" s="1"/>
    </row>
    <row r="2326" spans="1:4">
      <c r="A2326" s="1"/>
      <c r="D2326" s="1"/>
    </row>
    <row r="2327" spans="1:4">
      <c r="A2327" s="1"/>
      <c r="D2327" s="1"/>
    </row>
    <row r="2328" spans="1:4">
      <c r="A2328" s="1"/>
      <c r="D2328" s="1"/>
    </row>
    <row r="2329" spans="1:4">
      <c r="A2329" s="1"/>
      <c r="D2329" s="1"/>
    </row>
    <row r="2330" spans="1:4">
      <c r="A2330" s="1"/>
      <c r="D2330" s="1"/>
    </row>
    <row r="2331" spans="1:4">
      <c r="A2331" s="1"/>
      <c r="D2331" s="1"/>
    </row>
    <row r="2332" spans="1:4">
      <c r="A2332" s="1"/>
      <c r="D2332" s="1"/>
    </row>
    <row r="2333" spans="1:4">
      <c r="A2333" s="1"/>
      <c r="D2333" s="1"/>
    </row>
    <row r="2334" spans="1:4">
      <c r="A2334" s="1"/>
      <c r="D2334" s="1"/>
    </row>
    <row r="2335" spans="1:4">
      <c r="A2335" s="1"/>
      <c r="D2335" s="1"/>
    </row>
    <row r="2336" spans="1:4">
      <c r="A2336" s="1"/>
      <c r="D2336" s="1"/>
    </row>
    <row r="2337" spans="1:4">
      <c r="A2337" s="1"/>
      <c r="D2337" s="1"/>
    </row>
    <row r="2338" spans="1:4">
      <c r="A2338" s="1"/>
      <c r="D2338" s="1"/>
    </row>
    <row r="2339" spans="1:4">
      <c r="A2339" s="1"/>
      <c r="D2339" s="1"/>
    </row>
    <row r="2340" spans="1:4">
      <c r="A2340" s="1"/>
      <c r="D2340" s="1"/>
    </row>
    <row r="2341" spans="1:4">
      <c r="A2341" s="1"/>
      <c r="D2341" s="1"/>
    </row>
    <row r="2342" spans="1:4">
      <c r="A2342" s="1"/>
      <c r="D2342" s="1"/>
    </row>
    <row r="2343" spans="1:4">
      <c r="A2343" s="1"/>
      <c r="D2343" s="1"/>
    </row>
    <row r="2344" spans="1:4">
      <c r="A2344" s="1"/>
      <c r="D2344" s="1"/>
    </row>
    <row r="2345" spans="1:4">
      <c r="A2345" s="1"/>
      <c r="D2345" s="1"/>
    </row>
    <row r="2346" spans="1:4">
      <c r="A2346" s="1"/>
      <c r="D2346" s="1"/>
    </row>
    <row r="2347" spans="1:4">
      <c r="A2347" s="1"/>
      <c r="D2347" s="1"/>
    </row>
    <row r="2348" spans="1:4">
      <c r="A2348" s="1"/>
      <c r="D2348" s="1"/>
    </row>
    <row r="2349" spans="1:4">
      <c r="A2349" s="1"/>
      <c r="D2349" s="1"/>
    </row>
    <row r="2350" spans="1:4">
      <c r="A2350" s="1"/>
      <c r="D2350" s="1"/>
    </row>
    <row r="2351" spans="1:4">
      <c r="A2351" s="1"/>
      <c r="D2351" s="1"/>
    </row>
    <row r="2352" spans="1:4">
      <c r="A2352" s="1"/>
      <c r="D2352" s="1"/>
    </row>
    <row r="2353" spans="1:4">
      <c r="A2353" s="1"/>
      <c r="D2353" s="1"/>
    </row>
    <row r="2354" spans="1:4">
      <c r="A2354" s="1"/>
      <c r="D2354" s="1"/>
    </row>
    <row r="2355" spans="1:4">
      <c r="A2355" s="1"/>
      <c r="D2355" s="1"/>
    </row>
    <row r="2356" spans="1:4">
      <c r="A2356" s="1"/>
      <c r="D2356" s="1"/>
    </row>
    <row r="2357" spans="1:4">
      <c r="A2357" s="1"/>
      <c r="D2357" s="1"/>
    </row>
    <row r="2358" spans="1:4">
      <c r="A2358" s="1"/>
      <c r="D2358" s="1"/>
    </row>
    <row r="2359" spans="1:4">
      <c r="A2359" s="1"/>
      <c r="D2359" s="1"/>
    </row>
    <row r="2360" spans="1:4">
      <c r="A2360" s="1"/>
      <c r="D2360" s="1"/>
    </row>
    <row r="2361" spans="1:4">
      <c r="A2361" s="1"/>
      <c r="D2361" s="1"/>
    </row>
    <row r="2362" spans="1:4">
      <c r="A2362" s="1"/>
      <c r="D2362" s="1"/>
    </row>
    <row r="2363" spans="1:4">
      <c r="A2363" s="1"/>
      <c r="D2363" s="1"/>
    </row>
    <row r="2364" spans="1:4">
      <c r="A2364" s="1"/>
      <c r="D2364" s="1"/>
    </row>
    <row r="2365" spans="1:4">
      <c r="A2365" s="1"/>
      <c r="D2365" s="1"/>
    </row>
    <row r="2366" spans="1:4">
      <c r="A2366" s="1"/>
      <c r="D2366" s="1"/>
    </row>
    <row r="2367" spans="1:4">
      <c r="A2367" s="1"/>
      <c r="D2367" s="1"/>
    </row>
    <row r="2368" spans="1:4">
      <c r="A2368" s="1"/>
      <c r="D2368" s="1"/>
    </row>
    <row r="2369" spans="1:4">
      <c r="A2369" s="1"/>
      <c r="D2369" s="1"/>
    </row>
    <row r="2370" spans="1:4">
      <c r="A2370" s="1"/>
      <c r="D2370" s="1"/>
    </row>
    <row r="2371" spans="1:4">
      <c r="A2371" s="1"/>
      <c r="D2371" s="1"/>
    </row>
    <row r="2372" spans="1:4">
      <c r="A2372" s="1"/>
      <c r="D2372" s="1"/>
    </row>
    <row r="2373" spans="1:4">
      <c r="A2373" s="1"/>
      <c r="D2373" s="1"/>
    </row>
    <row r="2374" spans="1:4">
      <c r="A2374" s="1"/>
      <c r="D2374" s="1"/>
    </row>
    <row r="2375" spans="1:4">
      <c r="A2375" s="1"/>
      <c r="D2375" s="1"/>
    </row>
    <row r="2376" spans="1:4">
      <c r="A2376" s="1"/>
      <c r="D2376" s="1"/>
    </row>
    <row r="2377" spans="1:4">
      <c r="A2377" s="1"/>
      <c r="D2377" s="1"/>
    </row>
    <row r="2378" spans="1:4">
      <c r="A2378" s="1"/>
      <c r="D2378" s="1"/>
    </row>
    <row r="2379" spans="1:4">
      <c r="A2379" s="1"/>
      <c r="D2379" s="1"/>
    </row>
    <row r="2380" spans="1:4">
      <c r="A2380" s="1"/>
      <c r="D2380" s="1"/>
    </row>
    <row r="2381" spans="1:4">
      <c r="A2381" s="1"/>
      <c r="D2381" s="1"/>
    </row>
    <row r="2382" spans="1:4">
      <c r="A2382" s="1"/>
      <c r="D2382" s="1"/>
    </row>
    <row r="2383" spans="1:4">
      <c r="A2383" s="1"/>
      <c r="D2383" s="1"/>
    </row>
    <row r="2384" spans="1:4">
      <c r="A2384" s="1"/>
      <c r="D2384" s="1"/>
    </row>
    <row r="2385" spans="1:4">
      <c r="A2385" s="1"/>
      <c r="D2385" s="1"/>
    </row>
    <row r="2386" spans="1:4">
      <c r="A2386" s="1"/>
      <c r="D2386" s="1"/>
    </row>
    <row r="2387" spans="1:4">
      <c r="A2387" s="1"/>
      <c r="D2387" s="1"/>
    </row>
    <row r="2388" spans="1:4">
      <c r="A2388" s="1"/>
      <c r="D2388" s="1"/>
    </row>
    <row r="2389" spans="1:4">
      <c r="A2389" s="1"/>
      <c r="D2389" s="1"/>
    </row>
    <row r="2390" spans="1:4">
      <c r="A2390" s="1"/>
      <c r="D2390" s="1"/>
    </row>
    <row r="2391" spans="1:4">
      <c r="A2391" s="1"/>
      <c r="D2391" s="1"/>
    </row>
    <row r="2392" spans="1:4">
      <c r="A2392" s="1"/>
      <c r="D2392" s="1"/>
    </row>
    <row r="2393" spans="1:4">
      <c r="A2393" s="1"/>
      <c r="D2393" s="1"/>
    </row>
    <row r="2394" spans="1:4">
      <c r="A2394" s="1"/>
      <c r="D2394" s="1"/>
    </row>
    <row r="2395" spans="1:4">
      <c r="A2395" s="1"/>
      <c r="D2395" s="1"/>
    </row>
    <row r="2396" spans="1:4">
      <c r="A2396" s="1"/>
      <c r="D2396" s="1"/>
    </row>
    <row r="2397" spans="1:4">
      <c r="A2397" s="1"/>
      <c r="D2397" s="1"/>
    </row>
    <row r="2398" spans="1:4">
      <c r="A2398" s="1"/>
      <c r="D2398" s="1"/>
    </row>
    <row r="2399" spans="1:4">
      <c r="A2399" s="1"/>
      <c r="D2399" s="1"/>
    </row>
    <row r="2400" spans="1:4">
      <c r="A2400" s="1"/>
      <c r="D2400" s="1"/>
    </row>
    <row r="2401" spans="1:4">
      <c r="A2401" s="1"/>
      <c r="D2401" s="1"/>
    </row>
    <row r="2402" spans="1:4">
      <c r="A2402" s="1"/>
      <c r="D2402" s="1"/>
    </row>
    <row r="2403" spans="1:4">
      <c r="A2403" s="1"/>
      <c r="D2403" s="1"/>
    </row>
    <row r="2404" spans="1:4">
      <c r="A2404" s="1"/>
      <c r="D2404" s="1"/>
    </row>
    <row r="2405" spans="1:4">
      <c r="A2405" s="1"/>
      <c r="D2405" s="1"/>
    </row>
    <row r="2406" spans="1:4">
      <c r="A2406" s="1"/>
      <c r="D2406" s="1"/>
    </row>
    <row r="2407" spans="1:4">
      <c r="A2407" s="1"/>
      <c r="D2407" s="1"/>
    </row>
    <row r="2408" spans="1:4">
      <c r="A2408" s="1"/>
      <c r="D2408" s="1"/>
    </row>
    <row r="2409" spans="1:4">
      <c r="A2409" s="1"/>
      <c r="D2409" s="1"/>
    </row>
    <row r="2410" spans="1:4">
      <c r="A2410" s="1"/>
      <c r="D2410" s="1"/>
    </row>
    <row r="2411" spans="1:4">
      <c r="A2411" s="1"/>
      <c r="D2411" s="1"/>
    </row>
    <row r="2412" spans="1:4">
      <c r="A2412" s="1"/>
      <c r="D2412" s="1"/>
    </row>
    <row r="2413" spans="1:4">
      <c r="A2413" s="1"/>
      <c r="D2413" s="1"/>
    </row>
    <row r="2414" spans="1:4">
      <c r="A2414" s="1"/>
      <c r="D2414" s="1"/>
    </row>
    <row r="2415" spans="1:4">
      <c r="A2415" s="1"/>
      <c r="D2415" s="1"/>
    </row>
    <row r="2416" spans="1:4">
      <c r="A2416" s="1"/>
      <c r="D2416" s="1"/>
    </row>
    <row r="2417" spans="1:4">
      <c r="A2417" s="1"/>
      <c r="D2417" s="1"/>
    </row>
    <row r="2418" spans="1:4">
      <c r="A2418" s="1"/>
      <c r="D2418" s="1"/>
    </row>
    <row r="2419" spans="1:4">
      <c r="A2419" s="1"/>
      <c r="D2419" s="1"/>
    </row>
    <row r="2420" spans="1:4">
      <c r="A2420" s="1"/>
      <c r="D2420" s="1"/>
    </row>
    <row r="2421" spans="1:4">
      <c r="A2421" s="1"/>
      <c r="D2421" s="1"/>
    </row>
    <row r="2422" spans="1:4">
      <c r="A2422" s="1"/>
      <c r="D2422" s="1"/>
    </row>
    <row r="2423" spans="1:4">
      <c r="A2423" s="1"/>
      <c r="D2423" s="1"/>
    </row>
    <row r="2424" spans="1:4">
      <c r="A2424" s="1"/>
      <c r="D2424" s="1"/>
    </row>
    <row r="2425" spans="1:4">
      <c r="A2425" s="1"/>
      <c r="D2425" s="1"/>
    </row>
    <row r="2426" spans="1:4">
      <c r="A2426" s="1"/>
      <c r="D2426" s="1"/>
    </row>
    <row r="2427" spans="1:4">
      <c r="A2427" s="1"/>
      <c r="D2427" s="1"/>
    </row>
    <row r="2428" spans="1:4">
      <c r="A2428" s="1"/>
      <c r="D2428" s="1"/>
    </row>
    <row r="2429" spans="1:4">
      <c r="A2429" s="1"/>
      <c r="D2429" s="1"/>
    </row>
    <row r="2430" spans="1:4">
      <c r="A2430" s="1"/>
      <c r="D2430" s="1"/>
    </row>
    <row r="2431" spans="1:4">
      <c r="A2431" s="1"/>
      <c r="D2431" s="1"/>
    </row>
    <row r="2432" spans="1:4">
      <c r="A2432" s="1"/>
      <c r="D2432" s="1"/>
    </row>
    <row r="2433" spans="1:4">
      <c r="A2433" s="1"/>
      <c r="D2433" s="1"/>
    </row>
    <row r="2434" spans="1:4">
      <c r="A2434" s="1"/>
      <c r="D2434" s="1"/>
    </row>
    <row r="2435" spans="1:4">
      <c r="A2435" s="1"/>
      <c r="D2435" s="1"/>
    </row>
    <row r="2436" spans="1:4">
      <c r="A2436" s="1"/>
      <c r="D2436" s="1"/>
    </row>
    <row r="2437" spans="1:4">
      <c r="A2437" s="1"/>
      <c r="D2437" s="1"/>
    </row>
    <row r="2438" spans="1:4">
      <c r="A2438" s="1"/>
      <c r="D2438" s="1"/>
    </row>
    <row r="2439" spans="1:4">
      <c r="A2439" s="1"/>
      <c r="D2439" s="1"/>
    </row>
    <row r="2440" spans="1:4">
      <c r="A2440" s="1"/>
      <c r="D2440" s="1"/>
    </row>
    <row r="2441" spans="1:4">
      <c r="A2441" s="1"/>
      <c r="D2441" s="1"/>
    </row>
    <row r="2442" spans="1:4">
      <c r="A2442" s="1"/>
      <c r="D2442" s="1"/>
    </row>
    <row r="2443" spans="1:4">
      <c r="A2443" s="1"/>
      <c r="D2443" s="1"/>
    </row>
    <row r="2444" spans="1:4">
      <c r="A2444" s="1"/>
      <c r="D2444" s="1"/>
    </row>
    <row r="2445" spans="1:4">
      <c r="A2445" s="1"/>
      <c r="D2445" s="1"/>
    </row>
    <row r="2446" spans="1:4">
      <c r="A2446" s="1"/>
      <c r="D2446" s="1"/>
    </row>
    <row r="2447" spans="1:4">
      <c r="A2447" s="1"/>
      <c r="D2447" s="1"/>
    </row>
    <row r="2448" spans="1:4">
      <c r="A2448" s="1"/>
      <c r="D2448" s="1"/>
    </row>
    <row r="2449" spans="1:4">
      <c r="A2449" s="1"/>
      <c r="D2449" s="1"/>
    </row>
    <row r="2450" spans="1:4">
      <c r="A2450" s="1"/>
      <c r="D2450" s="1"/>
    </row>
    <row r="2451" spans="1:4">
      <c r="A2451" s="1"/>
      <c r="D2451" s="1"/>
    </row>
    <row r="2452" spans="1:4">
      <c r="A2452" s="1"/>
      <c r="D2452" s="1"/>
    </row>
    <row r="2453" spans="1:4">
      <c r="A2453" s="1"/>
      <c r="D2453" s="1"/>
    </row>
    <row r="2454" spans="1:4">
      <c r="A2454" s="1"/>
      <c r="D2454" s="1"/>
    </row>
    <row r="2455" spans="1:4">
      <c r="A2455" s="1"/>
      <c r="D2455" s="1"/>
    </row>
    <row r="2456" spans="1:4">
      <c r="A2456" s="1"/>
      <c r="D2456" s="1"/>
    </row>
    <row r="2457" spans="1:4">
      <c r="A2457" s="1"/>
      <c r="D2457" s="1"/>
    </row>
    <row r="2458" spans="1:4">
      <c r="A2458" s="1"/>
      <c r="D2458" s="1"/>
    </row>
    <row r="2459" spans="1:4">
      <c r="A2459" s="1"/>
      <c r="D2459" s="1"/>
    </row>
    <row r="2460" spans="1:4">
      <c r="A2460" s="1"/>
      <c r="D2460" s="1"/>
    </row>
    <row r="2461" spans="1:4">
      <c r="A2461" s="1"/>
      <c r="D2461" s="1"/>
    </row>
    <row r="2462" spans="1:4">
      <c r="A2462" s="1"/>
      <c r="D2462" s="1"/>
    </row>
    <row r="2463" spans="1:4">
      <c r="A2463" s="1"/>
      <c r="D2463" s="1"/>
    </row>
    <row r="2464" spans="1:4">
      <c r="A2464" s="1"/>
      <c r="D2464" s="1"/>
    </row>
    <row r="2465" spans="1:4">
      <c r="A2465" s="1"/>
      <c r="D2465" s="1"/>
    </row>
    <row r="2466" spans="1:4">
      <c r="A2466" s="1"/>
      <c r="D2466" s="1"/>
    </row>
    <row r="2467" spans="1:4">
      <c r="A2467" s="1"/>
      <c r="D2467" s="1"/>
    </row>
    <row r="2468" spans="1:4">
      <c r="A2468" s="1"/>
      <c r="D2468" s="1"/>
    </row>
    <row r="2469" spans="1:4">
      <c r="A2469" s="1"/>
      <c r="D2469" s="1"/>
    </row>
    <row r="2470" spans="1:4">
      <c r="A2470" s="1"/>
      <c r="D2470" s="1"/>
    </row>
    <row r="2471" spans="1:4">
      <c r="A2471" s="1"/>
      <c r="D2471" s="1"/>
    </row>
    <row r="2472" spans="1:4">
      <c r="A2472" s="1"/>
      <c r="D2472" s="1"/>
    </row>
    <row r="2473" spans="1:4">
      <c r="A2473" s="1"/>
      <c r="D2473" s="1"/>
    </row>
    <row r="2474" spans="1:4">
      <c r="A2474" s="1"/>
      <c r="D2474" s="1"/>
    </row>
    <row r="2475" spans="1:4">
      <c r="A2475" s="1"/>
      <c r="D2475" s="1"/>
    </row>
    <row r="2476" spans="1:4">
      <c r="A2476" s="1"/>
      <c r="D2476" s="1"/>
    </row>
    <row r="2477" spans="1:4">
      <c r="A2477" s="1"/>
      <c r="D2477" s="1"/>
    </row>
    <row r="2478" spans="1:4">
      <c r="A2478" s="1"/>
      <c r="D2478" s="1"/>
    </row>
    <row r="2479" spans="1:4">
      <c r="A2479" s="1"/>
      <c r="D2479" s="1"/>
    </row>
    <row r="2480" spans="1:4">
      <c r="A2480" s="1"/>
      <c r="D2480" s="1"/>
    </row>
    <row r="2481" spans="1:4">
      <c r="A2481" s="1"/>
      <c r="D2481" s="1"/>
    </row>
    <row r="2482" spans="1:4">
      <c r="A2482" s="1"/>
      <c r="D2482" s="1"/>
    </row>
    <row r="2483" spans="1:4">
      <c r="A2483" s="1"/>
      <c r="D2483" s="1"/>
    </row>
    <row r="2484" spans="1:4">
      <c r="A2484" s="1"/>
      <c r="D2484" s="1"/>
    </row>
    <row r="2485" spans="1:4">
      <c r="A2485" s="1"/>
      <c r="D2485" s="1"/>
    </row>
    <row r="2486" spans="1:4">
      <c r="A2486" s="1"/>
      <c r="D2486" s="1"/>
    </row>
    <row r="2487" spans="1:4">
      <c r="A2487" s="1"/>
      <c r="D2487" s="1"/>
    </row>
    <row r="2488" spans="1:4">
      <c r="A2488" s="1"/>
      <c r="D2488" s="1"/>
    </row>
    <row r="2489" spans="1:4">
      <c r="A2489" s="1"/>
      <c r="D2489" s="1"/>
    </row>
    <row r="2490" spans="1:4">
      <c r="A2490" s="1"/>
      <c r="D2490" s="1"/>
    </row>
    <row r="2491" spans="1:4">
      <c r="A2491" s="1"/>
      <c r="D2491" s="1"/>
    </row>
    <row r="2492" spans="1:4">
      <c r="A2492" s="1"/>
      <c r="D2492" s="1"/>
    </row>
    <row r="2493" spans="1:4">
      <c r="A2493" s="1"/>
      <c r="D2493" s="1"/>
    </row>
    <row r="2494" spans="1:4">
      <c r="A2494" s="1"/>
      <c r="D2494" s="1"/>
    </row>
    <row r="2495" spans="1:4">
      <c r="A2495" s="1"/>
      <c r="D2495" s="1"/>
    </row>
    <row r="2496" spans="1:4">
      <c r="A2496" s="1"/>
      <c r="D2496" s="1"/>
    </row>
    <row r="2497" spans="1:4">
      <c r="A2497" s="1"/>
      <c r="D2497" s="1"/>
    </row>
    <row r="2498" spans="1:4">
      <c r="A2498" s="1"/>
      <c r="D2498" s="1"/>
    </row>
    <row r="2499" spans="1:4">
      <c r="A2499" s="1"/>
      <c r="D2499" s="1"/>
    </row>
    <row r="2500" spans="1:4">
      <c r="A2500" s="1"/>
      <c r="D2500" s="1"/>
    </row>
    <row r="2501" spans="1:4">
      <c r="A2501" s="1"/>
      <c r="D2501" s="1"/>
    </row>
    <row r="2502" spans="1:4">
      <c r="A2502" s="1"/>
      <c r="D2502" s="1"/>
    </row>
    <row r="2503" spans="1:4">
      <c r="A2503" s="1"/>
      <c r="D2503" s="1"/>
    </row>
    <row r="2504" spans="1:4">
      <c r="A2504" s="1"/>
      <c r="D2504" s="1"/>
    </row>
    <row r="2505" spans="1:4">
      <c r="A2505" s="1"/>
      <c r="D2505" s="1"/>
    </row>
    <row r="2506" spans="1:4">
      <c r="A2506" s="1"/>
      <c r="D2506" s="1"/>
    </row>
    <row r="2507" spans="1:4">
      <c r="A2507" s="1"/>
      <c r="D2507" s="1"/>
    </row>
    <row r="2508" spans="1:4">
      <c r="A2508" s="1"/>
      <c r="D2508" s="1"/>
    </row>
    <row r="2509" spans="1:4">
      <c r="A2509" s="1"/>
      <c r="D2509" s="1"/>
    </row>
    <row r="2510" spans="1:4">
      <c r="A2510" s="1"/>
      <c r="D2510" s="1"/>
    </row>
    <row r="2511" spans="1:4">
      <c r="A2511" s="1"/>
      <c r="D2511" s="1"/>
    </row>
    <row r="2512" spans="1:4">
      <c r="A2512" s="1"/>
      <c r="D2512" s="1"/>
    </row>
    <row r="2513" spans="1:4">
      <c r="A2513" s="1"/>
      <c r="D2513" s="1"/>
    </row>
    <row r="2514" spans="1:4">
      <c r="A2514" s="1"/>
      <c r="D2514" s="1"/>
    </row>
    <row r="2515" spans="1:4">
      <c r="A2515" s="1"/>
      <c r="D2515" s="1"/>
    </row>
    <row r="2516" spans="1:4">
      <c r="A2516" s="1"/>
      <c r="D2516" s="1"/>
    </row>
    <row r="2517" spans="1:4">
      <c r="A2517" s="1"/>
      <c r="D2517" s="1"/>
    </row>
    <row r="2518" spans="1:4">
      <c r="A2518" s="1"/>
      <c r="D2518" s="1"/>
    </row>
    <row r="2519" spans="1:4">
      <c r="A2519" s="1"/>
      <c r="D2519" s="1"/>
    </row>
    <row r="2520" spans="1:4">
      <c r="A2520" s="1"/>
      <c r="D2520" s="1"/>
    </row>
    <row r="2521" spans="1:4">
      <c r="A2521" s="1"/>
      <c r="D2521" s="1"/>
    </row>
    <row r="2522" spans="1:4">
      <c r="A2522" s="1"/>
      <c r="D2522" s="1"/>
    </row>
    <row r="2523" spans="1:4">
      <c r="A2523" s="1"/>
      <c r="D2523" s="1"/>
    </row>
    <row r="2524" spans="1:4">
      <c r="A2524" s="1"/>
      <c r="D2524" s="1"/>
    </row>
    <row r="2525" spans="1:4">
      <c r="A2525" s="1"/>
      <c r="D2525" s="1"/>
    </row>
    <row r="2526" spans="1:4">
      <c r="A2526" s="1"/>
      <c r="D2526" s="1"/>
    </row>
    <row r="2527" spans="1:4">
      <c r="A2527" s="1"/>
      <c r="D2527" s="1"/>
    </row>
    <row r="2528" spans="1:4">
      <c r="A2528" s="1"/>
      <c r="D2528" s="1"/>
    </row>
    <row r="2529" spans="1:4">
      <c r="A2529" s="1"/>
      <c r="D2529" s="1"/>
    </row>
    <row r="2530" spans="1:4">
      <c r="A2530" s="1"/>
      <c r="D2530" s="1"/>
    </row>
    <row r="2531" spans="1:4">
      <c r="A2531" s="1"/>
      <c r="D2531" s="1"/>
    </row>
    <row r="2532" spans="1:4">
      <c r="A2532" s="1"/>
      <c r="D2532" s="1"/>
    </row>
    <row r="2533" spans="1:4">
      <c r="A2533" s="1"/>
      <c r="D2533" s="1"/>
    </row>
    <row r="2534" spans="1:4">
      <c r="A2534" s="1"/>
      <c r="D2534" s="1"/>
    </row>
    <row r="2535" spans="1:4">
      <c r="A2535" s="1"/>
      <c r="D2535" s="1"/>
    </row>
    <row r="2536" spans="1:4">
      <c r="A2536" s="1"/>
      <c r="D2536" s="1"/>
    </row>
    <row r="2537" spans="1:4">
      <c r="A2537" s="1"/>
      <c r="D2537" s="1"/>
    </row>
    <row r="2538" spans="1:4">
      <c r="A2538" s="1"/>
      <c r="D2538" s="1"/>
    </row>
    <row r="2539" spans="1:4">
      <c r="A2539" s="1"/>
      <c r="D2539" s="1"/>
    </row>
    <row r="2540" spans="1:4">
      <c r="A2540" s="1"/>
      <c r="D2540" s="1"/>
    </row>
    <row r="2541" spans="1:4">
      <c r="A2541" s="1"/>
      <c r="D2541" s="1"/>
    </row>
    <row r="2542" spans="1:4">
      <c r="A2542" s="1"/>
      <c r="D2542" s="1"/>
    </row>
    <row r="2543" spans="1:4">
      <c r="A2543" s="1"/>
      <c r="D2543" s="1"/>
    </row>
    <row r="2544" spans="1:4">
      <c r="A2544" s="1"/>
      <c r="D2544" s="1"/>
    </row>
    <row r="2545" spans="1:4">
      <c r="A2545" s="1"/>
      <c r="D2545" s="1"/>
    </row>
    <row r="2546" spans="1:4">
      <c r="A2546" s="1"/>
      <c r="D2546" s="1"/>
    </row>
    <row r="2547" spans="1:4">
      <c r="A2547" s="1"/>
      <c r="D2547" s="1"/>
    </row>
    <row r="2548" spans="1:4">
      <c r="A2548" s="1"/>
      <c r="D2548" s="1"/>
    </row>
    <row r="2549" spans="1:4">
      <c r="A2549" s="1"/>
      <c r="D2549" s="1"/>
    </row>
    <row r="2550" spans="1:4">
      <c r="A2550" s="1"/>
      <c r="D2550" s="1"/>
    </row>
    <row r="2551" spans="1:4">
      <c r="A2551" s="1"/>
      <c r="D2551" s="1"/>
    </row>
    <row r="2552" spans="1:4">
      <c r="A2552" s="1"/>
      <c r="D2552" s="1"/>
    </row>
    <row r="2553" spans="1:4">
      <c r="A2553" s="1"/>
      <c r="D2553" s="1"/>
    </row>
    <row r="2554" spans="1:4">
      <c r="A2554" s="1"/>
      <c r="D2554" s="1"/>
    </row>
    <row r="2555" spans="1:4">
      <c r="A2555" s="1"/>
      <c r="D2555" s="1"/>
    </row>
    <row r="2556" spans="1:4">
      <c r="A2556" s="1"/>
      <c r="D2556" s="1"/>
    </row>
    <row r="2557" spans="1:4">
      <c r="A2557" s="1"/>
      <c r="D2557" s="1"/>
    </row>
    <row r="2558" spans="1:4">
      <c r="A2558" s="1"/>
      <c r="D2558" s="1"/>
    </row>
    <row r="2559" spans="1:4">
      <c r="A2559" s="1"/>
      <c r="D2559" s="1"/>
    </row>
    <row r="2560" spans="1:4">
      <c r="A2560" s="1"/>
      <c r="D2560" s="1"/>
    </row>
    <row r="2561" spans="1:4">
      <c r="A2561" s="1"/>
      <c r="D2561" s="1"/>
    </row>
    <row r="2562" spans="1:4">
      <c r="A2562" s="1"/>
      <c r="D2562" s="1"/>
    </row>
    <row r="2563" spans="1:4">
      <c r="A2563" s="1"/>
      <c r="D2563" s="1"/>
    </row>
    <row r="2564" spans="1:4">
      <c r="A2564" s="1"/>
      <c r="D2564" s="1"/>
    </row>
    <row r="2565" spans="1:4">
      <c r="A2565" s="1"/>
      <c r="D2565" s="1"/>
    </row>
    <row r="2566" spans="1:4">
      <c r="A2566" s="1"/>
      <c r="D2566" s="1"/>
    </row>
    <row r="2567" spans="1:4">
      <c r="A2567" s="1"/>
      <c r="D2567" s="1"/>
    </row>
    <row r="2568" spans="1:4">
      <c r="A2568" s="1"/>
      <c r="D2568" s="1"/>
    </row>
    <row r="2569" spans="1:4">
      <c r="A2569" s="1"/>
      <c r="D2569" s="1"/>
    </row>
    <row r="2570" spans="1:4">
      <c r="A2570" s="1"/>
      <c r="D2570" s="1"/>
    </row>
    <row r="2571" spans="1:4">
      <c r="A2571" s="1"/>
      <c r="D2571" s="1"/>
    </row>
    <row r="2572" spans="1:4">
      <c r="A2572" s="1"/>
      <c r="D2572" s="1"/>
    </row>
    <row r="2573" spans="1:4">
      <c r="A2573" s="1"/>
      <c r="D2573" s="1"/>
    </row>
    <row r="2574" spans="1:4">
      <c r="A2574" s="1"/>
      <c r="D2574" s="1"/>
    </row>
    <row r="2575" spans="1:4">
      <c r="A2575" s="1"/>
      <c r="D2575" s="1"/>
    </row>
    <row r="2576" spans="1:4">
      <c r="A2576" s="1"/>
      <c r="D2576" s="1"/>
    </row>
    <row r="2577" spans="1:4">
      <c r="A2577" s="1"/>
      <c r="D2577" s="1"/>
    </row>
    <row r="2578" spans="1:4">
      <c r="A2578" s="1"/>
      <c r="D2578" s="1"/>
    </row>
    <row r="2579" spans="1:4">
      <c r="A2579" s="1"/>
      <c r="D2579" s="1"/>
    </row>
    <row r="2580" spans="1:4">
      <c r="A2580" s="1"/>
      <c r="D2580" s="1"/>
    </row>
    <row r="2581" spans="1:4">
      <c r="A2581" s="1"/>
      <c r="D2581" s="1"/>
    </row>
    <row r="2582" spans="1:4">
      <c r="A2582" s="1"/>
      <c r="D2582" s="1"/>
    </row>
    <row r="2583" spans="1:4">
      <c r="A2583" s="1"/>
      <c r="D2583" s="1"/>
    </row>
    <row r="2584" spans="1:4">
      <c r="A2584" s="1"/>
      <c r="D2584" s="1"/>
    </row>
    <row r="2585" spans="1:4">
      <c r="A2585" s="1"/>
      <c r="D2585" s="1"/>
    </row>
    <row r="2586" spans="1:4">
      <c r="A2586" s="1"/>
      <c r="D2586" s="1"/>
    </row>
    <row r="2587" spans="1:4">
      <c r="A2587" s="1"/>
      <c r="D2587" s="1"/>
    </row>
    <row r="2588" spans="1:4">
      <c r="A2588" s="1"/>
      <c r="D2588" s="1"/>
    </row>
    <row r="2589" spans="1:4">
      <c r="A2589" s="1"/>
      <c r="D2589" s="1"/>
    </row>
    <row r="2590" spans="1:4">
      <c r="A2590" s="1"/>
      <c r="D2590" s="1"/>
    </row>
    <row r="2591" spans="1:4">
      <c r="A2591" s="1"/>
      <c r="D2591" s="1"/>
    </row>
    <row r="2592" spans="1:4">
      <c r="A2592" s="1"/>
      <c r="D2592" s="1"/>
    </row>
    <row r="2593" spans="1:4">
      <c r="A2593" s="1"/>
      <c r="D2593" s="1"/>
    </row>
    <row r="2594" spans="1:4">
      <c r="A2594" s="1"/>
      <c r="D2594" s="1"/>
    </row>
    <row r="2595" spans="1:4">
      <c r="A2595" s="1"/>
      <c r="D2595" s="1"/>
    </row>
    <row r="2596" spans="1:4">
      <c r="A2596" s="1"/>
      <c r="D2596" s="1"/>
    </row>
    <row r="2597" spans="1:4">
      <c r="A2597" s="1"/>
      <c r="D2597" s="1"/>
    </row>
    <row r="2598" spans="1:4">
      <c r="A2598" s="1"/>
      <c r="D2598" s="1"/>
    </row>
    <row r="2599" spans="1:4">
      <c r="A2599" s="1"/>
      <c r="D2599" s="1"/>
    </row>
    <row r="2600" spans="1:4">
      <c r="A2600" s="1"/>
      <c r="D2600" s="1"/>
    </row>
    <row r="2601" spans="1:4">
      <c r="A2601" s="1"/>
      <c r="D2601" s="1"/>
    </row>
    <row r="2602" spans="1:4">
      <c r="A2602" s="1"/>
      <c r="D2602" s="1"/>
    </row>
    <row r="2603" spans="1:4">
      <c r="A2603" s="1"/>
      <c r="D2603" s="1"/>
    </row>
    <row r="2604" spans="1:4">
      <c r="A2604" s="1"/>
      <c r="D2604" s="1"/>
    </row>
    <row r="2605" spans="1:4">
      <c r="A2605" s="1"/>
      <c r="D2605" s="1"/>
    </row>
    <row r="2606" spans="1:4">
      <c r="A2606" s="1"/>
      <c r="D2606" s="1"/>
    </row>
    <row r="2607" spans="1:4">
      <c r="A2607" s="1"/>
      <c r="D2607" s="1"/>
    </row>
    <row r="2608" spans="1:4">
      <c r="A2608" s="1"/>
      <c r="D2608" s="1"/>
    </row>
    <row r="2609" spans="1:4">
      <c r="A2609" s="1"/>
      <c r="D2609" s="1"/>
    </row>
    <row r="2610" spans="1:4">
      <c r="A2610" s="1"/>
      <c r="D2610" s="1"/>
    </row>
    <row r="2611" spans="1:4">
      <c r="A2611" s="1"/>
      <c r="D2611" s="1"/>
    </row>
    <row r="2612" spans="1:4">
      <c r="A2612" s="1"/>
      <c r="D2612" s="1"/>
    </row>
    <row r="2613" spans="1:4">
      <c r="A2613" s="1"/>
      <c r="D2613" s="1"/>
    </row>
    <row r="2614" spans="1:4">
      <c r="A2614" s="1"/>
      <c r="D2614" s="1"/>
    </row>
    <row r="2615" spans="1:4">
      <c r="A2615" s="1"/>
      <c r="D2615" s="1"/>
    </row>
    <row r="2616" spans="1:4">
      <c r="A2616" s="1"/>
      <c r="D2616" s="1"/>
    </row>
    <row r="2617" spans="1:4">
      <c r="A2617" s="1"/>
      <c r="D2617" s="1"/>
    </row>
    <row r="2618" spans="1:4">
      <c r="A2618" s="1"/>
      <c r="D2618" s="1"/>
    </row>
    <row r="2619" spans="1:4">
      <c r="A2619" s="1"/>
      <c r="D2619" s="1"/>
    </row>
    <row r="2620" spans="1:4">
      <c r="A2620" s="1"/>
      <c r="D2620" s="1"/>
    </row>
    <row r="2621" spans="1:4">
      <c r="A2621" s="1"/>
      <c r="D2621" s="1"/>
    </row>
    <row r="2622" spans="1:4">
      <c r="A2622" s="1"/>
      <c r="D2622" s="1"/>
    </row>
    <row r="2623" spans="1:4">
      <c r="A2623" s="1"/>
      <c r="D2623" s="1"/>
    </row>
    <row r="2624" spans="1:4">
      <c r="A2624" s="1"/>
      <c r="D2624" s="1"/>
    </row>
    <row r="2625" spans="1:4">
      <c r="A2625" s="1"/>
      <c r="D2625" s="1"/>
    </row>
    <row r="2626" spans="1:4">
      <c r="A2626" s="1"/>
      <c r="D2626" s="1"/>
    </row>
    <row r="2627" spans="1:4">
      <c r="A2627" s="1"/>
      <c r="D2627" s="1"/>
    </row>
    <row r="2628" spans="1:4">
      <c r="A2628" s="1"/>
      <c r="D2628" s="1"/>
    </row>
    <row r="2629" spans="1:4">
      <c r="A2629" s="1"/>
      <c r="D2629" s="1"/>
    </row>
    <row r="2630" spans="1:4">
      <c r="A2630" s="1"/>
      <c r="D2630" s="1"/>
    </row>
    <row r="2631" spans="1:4">
      <c r="A2631" s="1"/>
      <c r="D2631" s="1"/>
    </row>
    <row r="2632" spans="1:4">
      <c r="A2632" s="1"/>
      <c r="D2632" s="1"/>
    </row>
    <row r="2633" spans="1:4">
      <c r="A2633" s="1"/>
      <c r="D2633" s="1"/>
    </row>
    <row r="2634" spans="1:4">
      <c r="A2634" s="1"/>
      <c r="D2634" s="1"/>
    </row>
    <row r="2635" spans="1:4">
      <c r="A2635" s="1"/>
      <c r="D2635" s="1"/>
    </row>
    <row r="2636" spans="1:4">
      <c r="A2636" s="1"/>
      <c r="D2636" s="1"/>
    </row>
    <row r="2637" spans="1:4">
      <c r="A2637" s="1"/>
      <c r="D2637" s="1"/>
    </row>
    <row r="2638" spans="1:4">
      <c r="A2638" s="1"/>
      <c r="D2638" s="1"/>
    </row>
    <row r="2639" spans="1:4">
      <c r="A2639" s="1"/>
      <c r="D2639" s="1"/>
    </row>
    <row r="2640" spans="1:4">
      <c r="A2640" s="1"/>
      <c r="D2640" s="1"/>
    </row>
    <row r="2641" spans="1:4">
      <c r="A2641" s="1"/>
      <c r="D2641" s="1"/>
    </row>
    <row r="2642" spans="1:4">
      <c r="A2642" s="1"/>
      <c r="D2642" s="1"/>
    </row>
    <row r="2643" spans="1:4">
      <c r="A2643" s="1"/>
      <c r="D2643" s="1"/>
    </row>
    <row r="2644" spans="1:4">
      <c r="A2644" s="1"/>
      <c r="D2644" s="1"/>
    </row>
    <row r="2645" spans="1:4">
      <c r="A2645" s="1"/>
      <c r="D2645" s="1"/>
    </row>
    <row r="2646" spans="1:4">
      <c r="A2646" s="1"/>
      <c r="D2646" s="1"/>
    </row>
    <row r="2647" spans="1:4">
      <c r="A2647" s="1"/>
      <c r="D2647" s="1"/>
    </row>
    <row r="2648" spans="1:4">
      <c r="A2648" s="1"/>
      <c r="D2648" s="1"/>
    </row>
    <row r="2649" spans="1:4">
      <c r="A2649" s="1"/>
      <c r="D2649" s="1"/>
    </row>
    <row r="2650" spans="1:4">
      <c r="A2650" s="1"/>
      <c r="D2650" s="1"/>
    </row>
    <row r="2651" spans="1:4">
      <c r="A2651" s="1"/>
      <c r="D2651" s="1"/>
    </row>
    <row r="2652" spans="1:4">
      <c r="A2652" s="1"/>
      <c r="D2652" s="1"/>
    </row>
    <row r="2653" spans="1:4">
      <c r="A2653" s="1"/>
      <c r="D2653" s="1"/>
    </row>
    <row r="2654" spans="1:4">
      <c r="A2654" s="1"/>
      <c r="D2654" s="1"/>
    </row>
    <row r="2655" spans="1:4">
      <c r="A2655" s="1"/>
      <c r="D2655" s="1"/>
    </row>
    <row r="2656" spans="1:4">
      <c r="A2656" s="1"/>
      <c r="D2656" s="1"/>
    </row>
    <row r="2657" spans="1:4">
      <c r="A2657" s="1"/>
      <c r="D2657" s="1"/>
    </row>
    <row r="2658" spans="1:4">
      <c r="A2658" s="1"/>
      <c r="D2658" s="1"/>
    </row>
    <row r="2659" spans="1:4">
      <c r="A2659" s="1"/>
      <c r="D2659" s="1"/>
    </row>
    <row r="2660" spans="1:4">
      <c r="A2660" s="1"/>
      <c r="D2660" s="1"/>
    </row>
    <row r="2661" spans="1:4">
      <c r="A2661" s="1"/>
      <c r="D2661" s="1"/>
    </row>
    <row r="2662" spans="1:4">
      <c r="A2662" s="1"/>
      <c r="D2662" s="1"/>
    </row>
    <row r="2663" spans="1:4">
      <c r="A2663" s="1"/>
      <c r="D2663" s="1"/>
    </row>
    <row r="2664" spans="1:4">
      <c r="A2664" s="1"/>
      <c r="D2664" s="1"/>
    </row>
    <row r="2665" spans="1:4">
      <c r="A2665" s="1"/>
      <c r="D2665" s="1"/>
    </row>
    <row r="2666" spans="1:4">
      <c r="A2666" s="1"/>
      <c r="D2666" s="1"/>
    </row>
    <row r="2667" spans="1:4">
      <c r="A2667" s="1"/>
      <c r="D2667" s="1"/>
    </row>
    <row r="2668" spans="1:4">
      <c r="A2668" s="1"/>
      <c r="D2668" s="1"/>
    </row>
    <row r="2669" spans="1:4">
      <c r="A2669" s="1"/>
      <c r="D2669" s="1"/>
    </row>
    <row r="2670" spans="1:4">
      <c r="A2670" s="1"/>
      <c r="D2670" s="1"/>
    </row>
    <row r="2671" spans="1:4">
      <c r="A2671" s="1"/>
      <c r="D2671" s="1"/>
    </row>
    <row r="2672" spans="1:4">
      <c r="A2672" s="1"/>
      <c r="D2672" s="1"/>
    </row>
    <row r="2673" spans="1:4">
      <c r="A2673" s="1"/>
      <c r="D2673" s="1"/>
    </row>
    <row r="2674" spans="1:4">
      <c r="A2674" s="1"/>
      <c r="D2674" s="1"/>
    </row>
    <row r="2675" spans="1:4">
      <c r="A2675" s="1"/>
      <c r="D2675" s="1"/>
    </row>
    <row r="2676" spans="1:4">
      <c r="A2676" s="1"/>
      <c r="D2676" s="1"/>
    </row>
    <row r="2677" spans="1:4">
      <c r="A2677" s="1"/>
      <c r="D2677" s="1"/>
    </row>
    <row r="2678" spans="1:4">
      <c r="A2678" s="1"/>
      <c r="D2678" s="1"/>
    </row>
    <row r="2679" spans="1:4">
      <c r="A2679" s="1"/>
      <c r="D2679" s="1"/>
    </row>
    <row r="2680" spans="1:4">
      <c r="A2680" s="1"/>
      <c r="D2680" s="1"/>
    </row>
    <row r="2681" spans="1:4">
      <c r="A2681" s="1"/>
      <c r="D2681" s="1"/>
    </row>
    <row r="2682" spans="1:4">
      <c r="A2682" s="1"/>
      <c r="D2682" s="1"/>
    </row>
    <row r="2683" spans="1:4">
      <c r="A2683" s="1"/>
      <c r="D2683" s="1"/>
    </row>
    <row r="2684" spans="1:4">
      <c r="A2684" s="1"/>
      <c r="D2684" s="1"/>
    </row>
    <row r="2685" spans="1:4">
      <c r="A2685" s="1"/>
      <c r="D2685" s="1"/>
    </row>
    <row r="2686" spans="1:4">
      <c r="A2686" s="1"/>
      <c r="D2686" s="1"/>
    </row>
    <row r="2687" spans="1:4">
      <c r="A2687" s="1"/>
      <c r="D2687" s="1"/>
    </row>
    <row r="2688" spans="1:4">
      <c r="A2688" s="1"/>
      <c r="D2688" s="1"/>
    </row>
    <row r="2689" spans="1:4">
      <c r="A2689" s="1"/>
      <c r="D2689" s="1"/>
    </row>
    <row r="2690" spans="1:4">
      <c r="A2690" s="1"/>
      <c r="D2690" s="1"/>
    </row>
    <row r="2691" spans="1:4">
      <c r="A2691" s="1"/>
      <c r="D2691" s="1"/>
    </row>
    <row r="2692" spans="1:4">
      <c r="A2692" s="1"/>
      <c r="D2692" s="1"/>
    </row>
    <row r="2693" spans="1:4">
      <c r="A2693" s="1"/>
      <c r="D2693" s="1"/>
    </row>
    <row r="2694" spans="1:4">
      <c r="A2694" s="1"/>
      <c r="D2694" s="1"/>
    </row>
    <row r="2695" spans="1:4">
      <c r="A2695" s="1"/>
      <c r="D2695" s="1"/>
    </row>
    <row r="2696" spans="1:4">
      <c r="A2696" s="1"/>
      <c r="D2696" s="1"/>
    </row>
    <row r="2697" spans="1:4">
      <c r="A2697" s="1"/>
      <c r="D2697" s="1"/>
    </row>
    <row r="2698" spans="1:4">
      <c r="A2698" s="1"/>
      <c r="D2698" s="1"/>
    </row>
    <row r="2699" spans="1:4">
      <c r="A2699" s="1"/>
      <c r="D2699" s="1"/>
    </row>
    <row r="2700" spans="1:4">
      <c r="A2700" s="1"/>
      <c r="D2700" s="1"/>
    </row>
    <row r="2701" spans="1:4">
      <c r="A2701" s="1"/>
      <c r="D2701" s="1"/>
    </row>
    <row r="2702" spans="1:4">
      <c r="A2702" s="1"/>
      <c r="D2702" s="1"/>
    </row>
    <row r="2703" spans="1:4">
      <c r="A2703" s="1"/>
      <c r="D2703" s="1"/>
    </row>
    <row r="2704" spans="1:4">
      <c r="A2704" s="1"/>
      <c r="D2704" s="1"/>
    </row>
    <row r="2705" spans="1:4">
      <c r="A2705" s="1"/>
      <c r="D2705" s="1"/>
    </row>
    <row r="2706" spans="1:4">
      <c r="A2706" s="1"/>
      <c r="D2706" s="1"/>
    </row>
    <row r="2707" spans="1:4">
      <c r="A2707" s="1"/>
      <c r="D2707" s="1"/>
    </row>
    <row r="2708" spans="1:4">
      <c r="A2708" s="1"/>
      <c r="D2708" s="1"/>
    </row>
    <row r="2709" spans="1:4">
      <c r="A2709" s="1"/>
      <c r="D2709" s="1"/>
    </row>
    <row r="2710" spans="1:4">
      <c r="A2710" s="1"/>
      <c r="D2710" s="1"/>
    </row>
    <row r="2711" spans="1:4">
      <c r="A2711" s="1"/>
      <c r="D2711" s="1"/>
    </row>
    <row r="2712" spans="1:4">
      <c r="A2712" s="1"/>
      <c r="D2712" s="1"/>
    </row>
    <row r="2713" spans="1:4">
      <c r="A2713" s="1"/>
      <c r="D2713" s="1"/>
    </row>
    <row r="2714" spans="1:4">
      <c r="A2714" s="1"/>
      <c r="D2714" s="1"/>
    </row>
    <row r="2715" spans="1:4">
      <c r="A2715" s="1"/>
      <c r="D2715" s="1"/>
    </row>
    <row r="2716" spans="1:4">
      <c r="A2716" s="1"/>
      <c r="D2716" s="1"/>
    </row>
    <row r="2717" spans="1:4">
      <c r="A2717" s="1"/>
      <c r="D2717" s="1"/>
    </row>
    <row r="2718" spans="1:4">
      <c r="A2718" s="1"/>
      <c r="D2718" s="1"/>
    </row>
    <row r="2719" spans="1:4">
      <c r="A2719" s="1"/>
      <c r="D2719" s="1"/>
    </row>
    <row r="2720" spans="1:4">
      <c r="A2720" s="1"/>
      <c r="D2720" s="1"/>
    </row>
    <row r="2721" spans="1:4">
      <c r="A2721" s="1"/>
      <c r="D2721" s="1"/>
    </row>
    <row r="2722" spans="1:4">
      <c r="A2722" s="1"/>
      <c r="D2722" s="1"/>
    </row>
    <row r="2723" spans="1:4">
      <c r="A2723" s="1"/>
      <c r="D2723" s="1"/>
    </row>
    <row r="2724" spans="1:4">
      <c r="A2724" s="1"/>
      <c r="D2724" s="1"/>
    </row>
    <row r="2725" spans="1:4">
      <c r="A2725" s="1"/>
      <c r="D2725" s="1"/>
    </row>
    <row r="2726" spans="1:4">
      <c r="A2726" s="1"/>
      <c r="D2726" s="1"/>
    </row>
    <row r="2727" spans="1:4">
      <c r="A2727" s="1"/>
      <c r="D2727" s="1"/>
    </row>
    <row r="2728" spans="1:4">
      <c r="A2728" s="1"/>
      <c r="D2728" s="1"/>
    </row>
    <row r="2729" spans="1:4">
      <c r="A2729" s="1"/>
      <c r="D2729" s="1"/>
    </row>
    <row r="2730" spans="1:4">
      <c r="A2730" s="1"/>
      <c r="D2730" s="1"/>
    </row>
    <row r="2731" spans="1:4">
      <c r="A2731" s="1"/>
      <c r="D2731" s="1"/>
    </row>
    <row r="2732" spans="1:4">
      <c r="A2732" s="1"/>
      <c r="D2732" s="1"/>
    </row>
    <row r="2733" spans="1:4">
      <c r="A2733" s="1"/>
      <c r="D2733" s="1"/>
    </row>
    <row r="2734" spans="1:4">
      <c r="A2734" s="1"/>
      <c r="D2734" s="1"/>
    </row>
    <row r="2735" spans="1:4">
      <c r="A2735" s="1"/>
      <c r="D2735" s="1"/>
    </row>
    <row r="2736" spans="1:4">
      <c r="A2736" s="1"/>
      <c r="D2736" s="1"/>
    </row>
    <row r="2737" spans="1:4">
      <c r="A2737" s="1"/>
      <c r="D2737" s="1"/>
    </row>
    <row r="2738" spans="1:4">
      <c r="A2738" s="1"/>
      <c r="D2738" s="1"/>
    </row>
    <row r="2739" spans="1:4">
      <c r="A2739" s="1"/>
      <c r="D2739" s="1"/>
    </row>
    <row r="2740" spans="1:4">
      <c r="A2740" s="1"/>
      <c r="D2740" s="1"/>
    </row>
    <row r="2741" spans="1:4">
      <c r="A2741" s="1"/>
      <c r="D2741" s="1"/>
    </row>
    <row r="2742" spans="1:4">
      <c r="A2742" s="1"/>
      <c r="D2742" s="1"/>
    </row>
    <row r="2743" spans="1:4">
      <c r="A2743" s="1"/>
      <c r="D2743" s="1"/>
    </row>
    <row r="2744" spans="1:4">
      <c r="A2744" s="1"/>
      <c r="D2744" s="1"/>
    </row>
    <row r="2745" spans="1:4">
      <c r="A2745" s="1"/>
      <c r="D2745" s="1"/>
    </row>
    <row r="2746" spans="1:4">
      <c r="A2746" s="1"/>
      <c r="D2746" s="1"/>
    </row>
    <row r="2747" spans="1:4">
      <c r="A2747" s="1"/>
      <c r="D2747" s="1"/>
    </row>
    <row r="2748" spans="1:4">
      <c r="A2748" s="1"/>
      <c r="D2748" s="1"/>
    </row>
    <row r="2749" spans="1:4">
      <c r="A2749" s="1"/>
      <c r="D2749" s="1"/>
    </row>
    <row r="2750" spans="1:4">
      <c r="A2750" s="1"/>
      <c r="D2750" s="1"/>
    </row>
    <row r="2751" spans="1:4">
      <c r="A2751" s="1"/>
      <c r="D2751" s="1"/>
    </row>
    <row r="2752" spans="1:4">
      <c r="A2752" s="1"/>
      <c r="D2752" s="1"/>
    </row>
    <row r="2753" spans="1:4">
      <c r="A2753" s="1"/>
      <c r="D2753" s="1"/>
    </row>
    <row r="2754" spans="1:4">
      <c r="A2754" s="1"/>
      <c r="D2754" s="1"/>
    </row>
    <row r="2755" spans="1:4">
      <c r="A2755" s="1"/>
      <c r="D2755" s="1"/>
    </row>
    <row r="2756" spans="1:4">
      <c r="A2756" s="1"/>
      <c r="D2756" s="1"/>
    </row>
    <row r="2757" spans="1:4">
      <c r="A2757" s="1"/>
      <c r="D2757" s="1"/>
    </row>
    <row r="2758" spans="1:4">
      <c r="A2758" s="1"/>
      <c r="D2758" s="1"/>
    </row>
    <row r="2759" spans="1:4">
      <c r="A2759" s="1"/>
      <c r="D2759" s="1"/>
    </row>
    <row r="2760" spans="1:4">
      <c r="A2760" s="1"/>
      <c r="D2760" s="1"/>
    </row>
    <row r="2761" spans="1:4">
      <c r="A2761" s="1"/>
      <c r="D2761" s="1"/>
    </row>
    <row r="2762" spans="1:4">
      <c r="A2762" s="1"/>
      <c r="D2762" s="1"/>
    </row>
    <row r="2763" spans="1:4">
      <c r="A2763" s="1"/>
      <c r="D2763" s="1"/>
    </row>
    <row r="2764" spans="1:4">
      <c r="A2764" s="1"/>
      <c r="D2764" s="1"/>
    </row>
    <row r="2765" spans="1:4">
      <c r="A2765" s="1"/>
      <c r="D2765" s="1"/>
    </row>
    <row r="2766" spans="1:4">
      <c r="A2766" s="1"/>
      <c r="D2766" s="1"/>
    </row>
    <row r="2767" spans="1:4">
      <c r="A2767" s="1"/>
      <c r="D2767" s="1"/>
    </row>
    <row r="2768" spans="1:4">
      <c r="A2768" s="1"/>
      <c r="D2768" s="1"/>
    </row>
    <row r="2769" spans="1:4">
      <c r="A2769" s="1"/>
      <c r="D2769" s="1"/>
    </row>
    <row r="2770" spans="1:4">
      <c r="A2770" s="1"/>
      <c r="D2770" s="1"/>
    </row>
    <row r="2771" spans="1:4">
      <c r="A2771" s="1"/>
      <c r="D2771" s="1"/>
    </row>
    <row r="2772" spans="1:4">
      <c r="A2772" s="1"/>
      <c r="D2772" s="1"/>
    </row>
    <row r="2773" spans="1:4">
      <c r="A2773" s="1"/>
      <c r="D2773" s="1"/>
    </row>
    <row r="2774" spans="1:4">
      <c r="A2774" s="1"/>
      <c r="D2774" s="1"/>
    </row>
    <row r="2775" spans="1:4">
      <c r="A2775" s="1"/>
      <c r="D2775" s="1"/>
    </row>
    <row r="2776" spans="1:4">
      <c r="A2776" s="1"/>
      <c r="D2776" s="1"/>
    </row>
    <row r="2777" spans="1:4">
      <c r="A2777" s="1"/>
      <c r="D2777" s="1"/>
    </row>
    <row r="2778" spans="1:4">
      <c r="A2778" s="1"/>
      <c r="D2778" s="1"/>
    </row>
    <row r="2779" spans="1:4">
      <c r="A2779" s="1"/>
      <c r="D2779" s="1"/>
    </row>
    <row r="2780" spans="1:4">
      <c r="A2780" s="1"/>
      <c r="D2780" s="1"/>
    </row>
    <row r="2781" spans="1:4">
      <c r="A2781" s="1"/>
      <c r="D2781" s="1"/>
    </row>
  </sheetData>
  <phoneticPr fontId="1" type="noConversion"/>
  <pageMargins left="0.75" right="0.75" top="1" bottom="1" header="0.5" footer="0.5"/>
  <headerFooter alignWithMargins="0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K2781"/>
  <sheetViews>
    <sheetView topLeftCell="A3" workbookViewId="0">
      <selection activeCell="I4" sqref="I4"/>
    </sheetView>
  </sheetViews>
  <sheetFormatPr defaultRowHeight="13.2"/>
  <cols>
    <col min="1" max="1" width="9.77734375" bestFit="1" customWidth="1"/>
    <col min="4" max="4" width="9.77734375" bestFit="1" customWidth="1"/>
    <col min="16" max="16" width="11.21875" bestFit="1" customWidth="1"/>
    <col min="17" max="17" width="10.109375" bestFit="1" customWidth="1"/>
    <col min="18" max="20" width="10.109375" customWidth="1"/>
    <col min="21" max="21" width="12.5546875" bestFit="1" customWidth="1"/>
    <col min="22" max="22" width="9.5546875" bestFit="1" customWidth="1"/>
    <col min="23" max="23" width="9.5546875" customWidth="1"/>
    <col min="24" max="24" width="9.33203125" bestFit="1" customWidth="1"/>
    <col min="27" max="27" width="9.33203125" bestFit="1" customWidth="1"/>
    <col min="28" max="28" width="9.33203125" customWidth="1"/>
    <col min="30" max="30" width="10.109375" bestFit="1" customWidth="1"/>
    <col min="31" max="34" width="10.109375" customWidth="1"/>
    <col min="40" max="40" width="9.33203125" bestFit="1" customWidth="1"/>
    <col min="41" max="41" width="9.33203125" customWidth="1"/>
    <col min="52" max="52" width="10.109375" bestFit="1" customWidth="1"/>
    <col min="53" max="53" width="12.33203125" bestFit="1" customWidth="1"/>
  </cols>
  <sheetData>
    <row r="1" spans="1:11">
      <c r="A1" t="s">
        <v>8</v>
      </c>
      <c r="B1">
        <v>-31.13</v>
      </c>
    </row>
    <row r="3" spans="1:11">
      <c r="A3" t="s">
        <v>9</v>
      </c>
      <c r="B3" t="s">
        <v>6</v>
      </c>
      <c r="C3" t="s">
        <v>7</v>
      </c>
      <c r="D3" t="s">
        <v>11</v>
      </c>
      <c r="E3" t="s">
        <v>0</v>
      </c>
      <c r="F3" t="s">
        <v>1</v>
      </c>
      <c r="G3" t="s">
        <v>2</v>
      </c>
      <c r="H3" t="s">
        <v>3</v>
      </c>
      <c r="I3" s="3" t="s">
        <v>88</v>
      </c>
      <c r="J3" t="s">
        <v>4</v>
      </c>
      <c r="K3" s="3"/>
    </row>
    <row r="4" spans="1:11">
      <c r="A4" s="1">
        <f>DATE(E4,1,1)+F4-1</f>
        <v>32629</v>
      </c>
      <c r="B4">
        <f>J4</f>
        <v>8.043199427385499</v>
      </c>
      <c r="C4">
        <f>day_length(F4,$B$1,Fitting!$B$4)</f>
        <v>11.756546974182129</v>
      </c>
      <c r="D4" s="1">
        <f>A4</f>
        <v>32629</v>
      </c>
      <c r="E4" s="5">
        <v>1989</v>
      </c>
      <c r="F4" s="5">
        <v>121</v>
      </c>
      <c r="G4">
        <v>22.7</v>
      </c>
      <c r="H4">
        <v>9.6999999999999993</v>
      </c>
      <c r="I4">
        <f>MAX(0,1-Fitting!$B$7*(Fitting!$B$6-Herm8889!C4)^2)</f>
        <v>0.49649376843153181</v>
      </c>
      <c r="J4">
        <f>tt(G4,H4,Fitting!$B$1:$E$1,Fitting!$B$2:$E$2)*I4</f>
        <v>8.043199427385499</v>
      </c>
      <c r="K4" s="3"/>
    </row>
    <row r="5" spans="1:11">
      <c r="A5" s="1">
        <f>A4+1</f>
        <v>32630</v>
      </c>
      <c r="B5">
        <f t="shared" ref="B5:B68" si="0">B4+J5</f>
        <v>15.749900928121942</v>
      </c>
      <c r="C5">
        <f>day_length(F5,$B$1,Fitting!$B$4)</f>
        <v>11.730808258056641</v>
      </c>
      <c r="D5" s="1">
        <f t="shared" ref="D5:D68" si="1">A5</f>
        <v>32630</v>
      </c>
      <c r="E5">
        <f>YEAR(A5)</f>
        <v>1989</v>
      </c>
      <c r="F5" s="6">
        <f>A5-DATE(E5,1,1)+1</f>
        <v>122</v>
      </c>
      <c r="G5">
        <v>23.4</v>
      </c>
      <c r="H5">
        <v>7.8</v>
      </c>
      <c r="I5">
        <f>MAX(0,1-Fitting!$B$7*(Fitting!$B$6-Herm8889!C5)^2)</f>
        <v>0.49401934509080636</v>
      </c>
      <c r="J5">
        <f>tt(G5,H5,Fitting!$B$1:$E$1,Fitting!$B$2:$E$2)*I5</f>
        <v>7.7067015007364423</v>
      </c>
    </row>
    <row r="6" spans="1:11">
      <c r="A6" s="1">
        <f t="shared" ref="A6:A69" si="2">A5+1</f>
        <v>32631</v>
      </c>
      <c r="B6">
        <f t="shared" si="0"/>
        <v>23.762500005353829</v>
      </c>
      <c r="C6">
        <f>day_length(F6,$B$1,Fitting!$B$4)</f>
        <v>11.705378532409668</v>
      </c>
      <c r="D6" s="1">
        <f t="shared" si="1"/>
        <v>32631</v>
      </c>
      <c r="E6">
        <f t="shared" ref="E6:E69" si="3">YEAR(A6)</f>
        <v>1989</v>
      </c>
      <c r="F6" s="6">
        <f t="shared" ref="F6:F69" si="4">A6-DATE(E6,1,1)+1</f>
        <v>123</v>
      </c>
      <c r="G6">
        <v>22.5</v>
      </c>
      <c r="H6">
        <v>10.1</v>
      </c>
      <c r="I6">
        <f>MAX(0,1-Fitting!$B$7*(Fitting!$B$6-Herm8889!C6)^2)</f>
        <v>0.49157046102295321</v>
      </c>
      <c r="J6">
        <f>tt(G6,H6,Fitting!$B$1:$E$1,Fitting!$B$2:$E$2)*I6</f>
        <v>8.0125990772318847</v>
      </c>
    </row>
    <row r="7" spans="1:11">
      <c r="A7" s="1">
        <f t="shared" si="2"/>
        <v>32632</v>
      </c>
      <c r="B7">
        <f t="shared" si="0"/>
        <v>31.050803590340074</v>
      </c>
      <c r="C7">
        <f>day_length(F7,$B$1,Fitting!$B$4)</f>
        <v>11.680267333984375</v>
      </c>
      <c r="D7" s="1">
        <f t="shared" si="1"/>
        <v>32632</v>
      </c>
      <c r="E7">
        <f t="shared" si="3"/>
        <v>1989</v>
      </c>
      <c r="F7" s="6">
        <f t="shared" si="4"/>
        <v>124</v>
      </c>
      <c r="G7">
        <v>21.7</v>
      </c>
      <c r="H7">
        <v>8.1</v>
      </c>
      <c r="I7">
        <f>MAX(0,1-Fitting!$B$7*(Fitting!$B$6-Herm8889!C7)^2)</f>
        <v>0.4891478728250731</v>
      </c>
      <c r="J7">
        <f>tt(G7,H7,Fitting!$B$1:$E$1,Fitting!$B$2:$E$2)*I7</f>
        <v>7.288303584986247</v>
      </c>
    </row>
    <row r="8" spans="1:11">
      <c r="A8" s="1">
        <f t="shared" si="2"/>
        <v>32633</v>
      </c>
      <c r="B8">
        <f t="shared" si="0"/>
        <v>38.960531612181981</v>
      </c>
      <c r="C8">
        <f>day_length(F8,$B$1,Fitting!$B$4)</f>
        <v>11.655481338500977</v>
      </c>
      <c r="D8" s="1">
        <f t="shared" si="1"/>
        <v>32633</v>
      </c>
      <c r="E8">
        <f t="shared" si="3"/>
        <v>1989</v>
      </c>
      <c r="F8" s="6">
        <f t="shared" si="4"/>
        <v>125</v>
      </c>
      <c r="G8">
        <v>22.4</v>
      </c>
      <c r="H8">
        <v>10.1</v>
      </c>
      <c r="I8">
        <f>MAX(0,1-Fitting!$B$7*(Fitting!$B$6-Herm8889!C8)^2)</f>
        <v>0.48675255078453661</v>
      </c>
      <c r="J8">
        <f>tt(G8,H8,Fitting!$B$1:$E$1,Fitting!$B$2:$E$2)*I8</f>
        <v>7.9097280218419073</v>
      </c>
    </row>
    <row r="9" spans="1:11">
      <c r="A9" s="1">
        <f t="shared" si="2"/>
        <v>32634</v>
      </c>
      <c r="B9">
        <f t="shared" si="0"/>
        <v>47.994323326181089</v>
      </c>
      <c r="C9">
        <f>day_length(F9,$B$1,Fitting!$B$4)</f>
        <v>11.631028175354004</v>
      </c>
      <c r="D9" s="1">
        <f t="shared" si="1"/>
        <v>32634</v>
      </c>
      <c r="E9">
        <f t="shared" si="3"/>
        <v>1989</v>
      </c>
      <c r="F9" s="6">
        <f t="shared" si="4"/>
        <v>126</v>
      </c>
      <c r="G9">
        <v>24.1</v>
      </c>
      <c r="H9">
        <v>13.2</v>
      </c>
      <c r="I9">
        <f>MAX(0,1-Fitting!$B$7*(Fitting!$B$6-Herm8889!C9)^2)</f>
        <v>0.4843855750608782</v>
      </c>
      <c r="J9">
        <f>tt(G9,H9,Fitting!$B$1:$E$1,Fitting!$B$2:$E$2)*I9</f>
        <v>9.0337917139991095</v>
      </c>
    </row>
    <row r="10" spans="1:11">
      <c r="A10" s="1">
        <f t="shared" si="2"/>
        <v>32635</v>
      </c>
      <c r="B10">
        <f t="shared" si="0"/>
        <v>56.285547986556082</v>
      </c>
      <c r="C10">
        <f>day_length(F10,$B$1,Fitting!$B$4)</f>
        <v>11.606916427612305</v>
      </c>
      <c r="D10" s="1">
        <f t="shared" si="1"/>
        <v>32635</v>
      </c>
      <c r="E10">
        <f t="shared" si="3"/>
        <v>1989</v>
      </c>
      <c r="F10" s="6">
        <f t="shared" si="4"/>
        <v>127</v>
      </c>
      <c r="G10">
        <v>22.6</v>
      </c>
      <c r="H10">
        <v>11.8</v>
      </c>
      <c r="I10">
        <f>MAX(0,1-Fitting!$B$7*(Fitting!$B$6-Herm8889!C10)^2)</f>
        <v>0.48204792398846619</v>
      </c>
      <c r="J10">
        <f>tt(G10,H10,Fitting!$B$1:$E$1,Fitting!$B$2:$E$2)*I10</f>
        <v>8.2912246603749971</v>
      </c>
    </row>
    <row r="11" spans="1:11">
      <c r="A11" s="1">
        <f t="shared" si="2"/>
        <v>32636</v>
      </c>
      <c r="B11">
        <f t="shared" si="0"/>
        <v>64.992838400563073</v>
      </c>
      <c r="C11">
        <f>day_length(F11,$B$1,Fitting!$B$4)</f>
        <v>11.58315372467041</v>
      </c>
      <c r="D11" s="1">
        <f t="shared" si="1"/>
        <v>32636</v>
      </c>
      <c r="E11">
        <f t="shared" si="3"/>
        <v>1989</v>
      </c>
      <c r="F11" s="6">
        <f t="shared" si="4"/>
        <v>128</v>
      </c>
      <c r="G11">
        <v>25</v>
      </c>
      <c r="H11">
        <v>11.3</v>
      </c>
      <c r="I11">
        <f>MAX(0,1-Fitting!$B$7*(Fitting!$B$6-Herm8889!C11)^2)</f>
        <v>0.47974057917609025</v>
      </c>
      <c r="J11">
        <f>tt(G11,H11,Fitting!$B$1:$E$1,Fitting!$B$2:$E$2)*I11</f>
        <v>8.7072904140069927</v>
      </c>
    </row>
    <row r="12" spans="1:11">
      <c r="A12" s="1">
        <f t="shared" si="2"/>
        <v>32637</v>
      </c>
      <c r="B12">
        <f t="shared" si="0"/>
        <v>73.563326993157276</v>
      </c>
      <c r="C12">
        <f>day_length(F12,$B$1,Fitting!$B$4)</f>
        <v>11.559748649597168</v>
      </c>
      <c r="D12" s="1">
        <f t="shared" si="1"/>
        <v>32637</v>
      </c>
      <c r="E12">
        <f t="shared" si="3"/>
        <v>1989</v>
      </c>
      <c r="F12" s="6">
        <f t="shared" si="4"/>
        <v>129</v>
      </c>
      <c r="G12">
        <v>23.8</v>
      </c>
      <c r="H12">
        <v>12.1</v>
      </c>
      <c r="I12">
        <f>MAX(0,1-Fitting!$B$7*(Fitting!$B$6-Herm8889!C12)^2)</f>
        <v>0.47746452525446692</v>
      </c>
      <c r="J12">
        <f>tt(G12,H12,Fitting!$B$1:$E$1,Fitting!$B$2:$E$2)*I12</f>
        <v>8.5704885925942058</v>
      </c>
    </row>
    <row r="13" spans="1:11">
      <c r="A13" s="1">
        <f t="shared" si="2"/>
        <v>32638</v>
      </c>
      <c r="B13">
        <f t="shared" si="0"/>
        <v>81.380711301726166</v>
      </c>
      <c r="C13">
        <f>day_length(F13,$B$1,Fitting!$B$4)</f>
        <v>11.536706924438477</v>
      </c>
      <c r="D13" s="1">
        <f t="shared" si="1"/>
        <v>32638</v>
      </c>
      <c r="E13">
        <f t="shared" si="3"/>
        <v>1989</v>
      </c>
      <c r="F13" s="6">
        <f t="shared" si="4"/>
        <v>130</v>
      </c>
      <c r="G13">
        <v>19.7</v>
      </c>
      <c r="H13">
        <v>13.2</v>
      </c>
      <c r="I13">
        <f>MAX(0,1-Fitting!$B$7*(Fitting!$B$6-Herm8889!C13)^2)</f>
        <v>0.47522096367271294</v>
      </c>
      <c r="J13">
        <f>tt(G13,H13,Fitting!$B$1:$E$1,Fitting!$B$2:$E$2)*I13</f>
        <v>7.8173843085688945</v>
      </c>
    </row>
    <row r="14" spans="1:11">
      <c r="A14" s="1">
        <f t="shared" si="2"/>
        <v>32639</v>
      </c>
      <c r="B14">
        <f t="shared" si="0"/>
        <v>89.090784034949039</v>
      </c>
      <c r="C14">
        <f>day_length(F14,$B$1,Fitting!$B$4)</f>
        <v>11.514039039611816</v>
      </c>
      <c r="D14" s="1">
        <f t="shared" si="1"/>
        <v>32639</v>
      </c>
      <c r="E14">
        <f t="shared" si="3"/>
        <v>1989</v>
      </c>
      <c r="F14" s="6">
        <f t="shared" si="4"/>
        <v>131</v>
      </c>
      <c r="G14">
        <v>18.100000000000001</v>
      </c>
      <c r="H14">
        <v>14.5</v>
      </c>
      <c r="I14">
        <f>MAX(0,1-Fitting!$B$7*(Fitting!$B$6-Herm8889!C14)^2)</f>
        <v>0.47301056392056673</v>
      </c>
      <c r="J14">
        <f>tt(G14,H14,Fitting!$B$1:$E$1,Fitting!$B$2:$E$2)*I14</f>
        <v>7.7100727332228693</v>
      </c>
    </row>
    <row r="15" spans="1:11">
      <c r="A15" s="1">
        <f t="shared" si="2"/>
        <v>32640</v>
      </c>
      <c r="B15">
        <f t="shared" si="0"/>
        <v>96.953724674625164</v>
      </c>
      <c r="C15">
        <f>day_length(F15,$B$1,Fitting!$B$4)</f>
        <v>11.491752624511719</v>
      </c>
      <c r="D15" s="1">
        <f t="shared" si="1"/>
        <v>32640</v>
      </c>
      <c r="E15">
        <f t="shared" si="3"/>
        <v>1989</v>
      </c>
      <c r="F15" s="6">
        <f t="shared" si="4"/>
        <v>132</v>
      </c>
      <c r="G15">
        <v>21.4</v>
      </c>
      <c r="H15">
        <v>12</v>
      </c>
      <c r="I15">
        <f>MAX(0,1-Fitting!$B$7*(Fitting!$B$6-Herm8889!C15)^2)</f>
        <v>0.47083474733279762</v>
      </c>
      <c r="J15">
        <f>tt(G15,H15,Fitting!$B$1:$E$1,Fitting!$B$2:$E$2)*I15</f>
        <v>7.8629406396761246</v>
      </c>
    </row>
    <row r="16" spans="1:11">
      <c r="A16" s="1">
        <f t="shared" si="2"/>
        <v>32641</v>
      </c>
      <c r="B16">
        <f t="shared" si="0"/>
        <v>105.06213650683654</v>
      </c>
      <c r="C16">
        <f>day_length(F16,$B$1,Fitting!$B$4)</f>
        <v>11.469853401184082</v>
      </c>
      <c r="D16" s="1">
        <f t="shared" si="1"/>
        <v>32641</v>
      </c>
      <c r="E16">
        <f t="shared" si="3"/>
        <v>1989</v>
      </c>
      <c r="F16" s="6">
        <f t="shared" si="4"/>
        <v>133</v>
      </c>
      <c r="G16">
        <v>20.399999999999999</v>
      </c>
      <c r="H16">
        <v>14.2</v>
      </c>
      <c r="I16">
        <f>MAX(0,1-Fitting!$B$7*(Fitting!$B$6-Herm8889!C16)^2)</f>
        <v>0.46869429455683898</v>
      </c>
      <c r="J16">
        <f>tt(G16,H16,Fitting!$B$1:$E$1,Fitting!$B$2:$E$2)*I16</f>
        <v>8.1084118322113667</v>
      </c>
    </row>
    <row r="17" spans="1:10">
      <c r="A17" s="1">
        <f t="shared" si="2"/>
        <v>32642</v>
      </c>
      <c r="B17">
        <f t="shared" si="0"/>
        <v>112.03766155012543</v>
      </c>
      <c r="C17">
        <f>day_length(F17,$B$1,Fitting!$B$4)</f>
        <v>11.448352813720703</v>
      </c>
      <c r="D17" s="1">
        <f t="shared" si="1"/>
        <v>32642</v>
      </c>
      <c r="E17">
        <f t="shared" si="3"/>
        <v>1989</v>
      </c>
      <c r="F17" s="6">
        <f t="shared" si="4"/>
        <v>134</v>
      </c>
      <c r="G17">
        <v>20</v>
      </c>
      <c r="H17">
        <v>9.9</v>
      </c>
      <c r="I17">
        <f>MAX(0,1-Fitting!$B$7*(Fitting!$B$6-Herm8889!C17)^2)</f>
        <v>0.4665903098517683</v>
      </c>
      <c r="J17">
        <f>tt(G17,H17,Fitting!$B$1:$E$1,Fitting!$B$2:$E$2)*I17</f>
        <v>6.9755250432888971</v>
      </c>
    </row>
    <row r="18" spans="1:10">
      <c r="A18" s="1">
        <f t="shared" si="2"/>
        <v>32643</v>
      </c>
      <c r="B18">
        <f t="shared" si="0"/>
        <v>120.32941333662014</v>
      </c>
      <c r="C18">
        <f>day_length(F18,$B$1,Fitting!$B$4)</f>
        <v>11.42725658416748</v>
      </c>
      <c r="D18" s="1">
        <f t="shared" si="1"/>
        <v>32643</v>
      </c>
      <c r="E18">
        <f t="shared" si="3"/>
        <v>1989</v>
      </c>
      <c r="F18" s="6">
        <f t="shared" si="4"/>
        <v>135</v>
      </c>
      <c r="G18">
        <v>21.4</v>
      </c>
      <c r="H18">
        <v>14.3</v>
      </c>
      <c r="I18">
        <f>MAX(0,1-Fitting!$B$7*(Fitting!$B$6-Herm8889!C18)^2)</f>
        <v>0.46452389968027452</v>
      </c>
      <c r="J18">
        <f>tt(G18,H18,Fitting!$B$1:$E$1,Fitting!$B$2:$E$2)*I18</f>
        <v>8.2917517864947055</v>
      </c>
    </row>
    <row r="19" spans="1:10">
      <c r="A19" s="1">
        <f t="shared" si="2"/>
        <v>32644</v>
      </c>
      <c r="B19">
        <f t="shared" si="0"/>
        <v>127.82184817248356</v>
      </c>
      <c r="C19">
        <f>day_length(F19,$B$1,Fitting!$B$4)</f>
        <v>11.406574249267578</v>
      </c>
      <c r="D19" s="1">
        <f t="shared" si="1"/>
        <v>32644</v>
      </c>
      <c r="E19">
        <f t="shared" si="3"/>
        <v>1989</v>
      </c>
      <c r="F19" s="6">
        <f t="shared" si="4"/>
        <v>136</v>
      </c>
      <c r="G19">
        <v>18.7</v>
      </c>
      <c r="H19">
        <v>13.7</v>
      </c>
      <c r="I19">
        <f>MAX(0,1-Fitting!$B$7*(Fitting!$B$6-Herm8889!C19)^2)</f>
        <v>0.46249595574117297</v>
      </c>
      <c r="J19">
        <f>tt(G19,H19,Fitting!$B$1:$E$1,Fitting!$B$2:$E$2)*I19</f>
        <v>7.4924348358634134</v>
      </c>
    </row>
    <row r="20" spans="1:10">
      <c r="A20" s="1">
        <f t="shared" si="2"/>
        <v>32645</v>
      </c>
      <c r="B20">
        <f t="shared" si="0"/>
        <v>135.8116568601007</v>
      </c>
      <c r="C20">
        <f>day_length(F20,$B$1,Fitting!$B$4)</f>
        <v>11.386312484741211</v>
      </c>
      <c r="D20" s="1">
        <f t="shared" si="1"/>
        <v>32645</v>
      </c>
      <c r="E20">
        <f t="shared" si="3"/>
        <v>1989</v>
      </c>
      <c r="F20" s="6">
        <f t="shared" si="4"/>
        <v>137</v>
      </c>
      <c r="G20">
        <v>20.8</v>
      </c>
      <c r="H20">
        <v>13.9</v>
      </c>
      <c r="I20">
        <f>MAX(0,1-Fitting!$B$7*(Fitting!$B$6-Herm8889!C20)^2)</f>
        <v>0.46050769521310575</v>
      </c>
      <c r="J20">
        <f>tt(G20,H20,Fitting!$B$1:$E$1,Fitting!$B$2:$E$2)*I20</f>
        <v>7.9898086876171295</v>
      </c>
    </row>
    <row r="21" spans="1:10">
      <c r="A21" s="1">
        <f t="shared" si="2"/>
        <v>32646</v>
      </c>
      <c r="B21">
        <f t="shared" si="0"/>
        <v>142.69005583404405</v>
      </c>
      <c r="C21">
        <f>day_length(F21,$B$1,Fitting!$B$4)</f>
        <v>11.366480827331543</v>
      </c>
      <c r="D21" s="1">
        <f t="shared" si="1"/>
        <v>32646</v>
      </c>
      <c r="E21">
        <f t="shared" si="3"/>
        <v>1989</v>
      </c>
      <c r="F21" s="6">
        <f t="shared" si="4"/>
        <v>138</v>
      </c>
      <c r="G21">
        <v>19.600000000000001</v>
      </c>
      <c r="H21">
        <v>10.4</v>
      </c>
      <c r="I21">
        <f>MAX(0,1-Fitting!$B$7*(Fitting!$B$6-Herm8889!C21)^2)</f>
        <v>0.4585599024417697</v>
      </c>
      <c r="J21">
        <f>tt(G21,H21,Fitting!$B$1:$E$1,Fitting!$B$2:$E$2)*I21</f>
        <v>6.8783989739433471</v>
      </c>
    </row>
    <row r="22" spans="1:10">
      <c r="A22" s="1">
        <f t="shared" si="2"/>
        <v>32647</v>
      </c>
      <c r="B22">
        <f t="shared" si="0"/>
        <v>150.81849305356457</v>
      </c>
      <c r="C22">
        <f>day_length(F22,$B$1,Fitting!$B$4)</f>
        <v>11.347085952758789</v>
      </c>
      <c r="D22" s="1">
        <f t="shared" si="1"/>
        <v>32647</v>
      </c>
      <c r="E22">
        <f t="shared" si="3"/>
        <v>1989</v>
      </c>
      <c r="F22" s="6">
        <f t="shared" si="4"/>
        <v>139</v>
      </c>
      <c r="G22">
        <v>23.4</v>
      </c>
      <c r="H22">
        <v>12.2</v>
      </c>
      <c r="I22">
        <f>MAX(0,1-Fitting!$B$7*(Fitting!$B$6-Herm8889!C22)^2)</f>
        <v>0.45665379595054578</v>
      </c>
      <c r="J22">
        <f>tt(G22,H22,Fitting!$B$1:$E$1,Fitting!$B$2:$E$2)*I22</f>
        <v>8.1284372195205172</v>
      </c>
    </row>
    <row r="23" spans="1:10">
      <c r="A23" s="1">
        <f t="shared" si="2"/>
        <v>32648</v>
      </c>
      <c r="B23">
        <f t="shared" si="0"/>
        <v>157.89048394269582</v>
      </c>
      <c r="C23">
        <f>day_length(F23,$B$1,Fitting!$B$4)</f>
        <v>11.328137397766113</v>
      </c>
      <c r="D23" s="1">
        <f t="shared" si="1"/>
        <v>32648</v>
      </c>
      <c r="E23">
        <f t="shared" si="3"/>
        <v>1989</v>
      </c>
      <c r="F23" s="6">
        <f t="shared" si="4"/>
        <v>140</v>
      </c>
      <c r="G23">
        <v>20.2</v>
      </c>
      <c r="H23">
        <v>10.9</v>
      </c>
      <c r="I23">
        <f>MAX(0,1-Fitting!$B$7*(Fitting!$B$6-Herm8889!C23)^2)</f>
        <v>0.45479037740610695</v>
      </c>
      <c r="J23">
        <f>tt(G23,H23,Fitting!$B$1:$E$1,Fitting!$B$2:$E$2)*I23</f>
        <v>7.0719908891312455</v>
      </c>
    </row>
    <row r="24" spans="1:10">
      <c r="A24" s="1">
        <f t="shared" si="2"/>
        <v>32649</v>
      </c>
      <c r="B24">
        <f t="shared" si="0"/>
        <v>164.91152898565187</v>
      </c>
      <c r="C24">
        <f>day_length(F24,$B$1,Fitting!$B$4)</f>
        <v>11.30964183807373</v>
      </c>
      <c r="D24" s="1">
        <f t="shared" si="1"/>
        <v>32649</v>
      </c>
      <c r="E24">
        <f t="shared" si="3"/>
        <v>1989</v>
      </c>
      <c r="F24" s="6">
        <f t="shared" si="4"/>
        <v>141</v>
      </c>
      <c r="G24">
        <v>20</v>
      </c>
      <c r="H24">
        <v>11</v>
      </c>
      <c r="I24">
        <f>MAX(0,1-Fitting!$B$7*(Fitting!$B$6-Herm8889!C24)^2)</f>
        <v>0.45297064793264874</v>
      </c>
      <c r="J24">
        <f>tt(G24,H24,Fitting!$B$1:$E$1,Fitting!$B$2:$E$2)*I24</f>
        <v>7.0210450429560556</v>
      </c>
    </row>
    <row r="25" spans="1:10">
      <c r="A25" s="1">
        <f t="shared" si="2"/>
        <v>32650</v>
      </c>
      <c r="B25">
        <f t="shared" si="0"/>
        <v>170.95754995787777</v>
      </c>
      <c r="C25">
        <f>day_length(F25,$B$1,Fitting!$B$4)</f>
        <v>11.291608810424805</v>
      </c>
      <c r="D25" s="1">
        <f t="shared" si="1"/>
        <v>32650</v>
      </c>
      <c r="E25">
        <f t="shared" si="3"/>
        <v>1989</v>
      </c>
      <c r="F25" s="6">
        <f t="shared" si="4"/>
        <v>142</v>
      </c>
      <c r="G25">
        <v>20</v>
      </c>
      <c r="H25">
        <v>6.8</v>
      </c>
      <c r="I25">
        <f>MAX(0,1-Fitting!$B$7*(Fitting!$B$6-Herm8889!C25)^2)</f>
        <v>0.45119560778681811</v>
      </c>
      <c r="J25">
        <f>tt(G25,H25,Fitting!$B$1:$E$1,Fitting!$B$2:$E$2)*I25</f>
        <v>6.0460209722258975</v>
      </c>
    </row>
    <row r="26" spans="1:10">
      <c r="A26" s="1">
        <f t="shared" si="2"/>
        <v>32651</v>
      </c>
      <c r="B26">
        <f t="shared" si="0"/>
        <v>175.96909811247991</v>
      </c>
      <c r="C26">
        <f>day_length(F26,$B$1,Fitting!$B$4)</f>
        <v>11.274044036865234</v>
      </c>
      <c r="D26" s="1">
        <f t="shared" si="1"/>
        <v>32651</v>
      </c>
      <c r="E26">
        <f t="shared" si="3"/>
        <v>1989</v>
      </c>
      <c r="F26" s="6">
        <f t="shared" si="4"/>
        <v>143</v>
      </c>
      <c r="G26">
        <v>19</v>
      </c>
      <c r="H26">
        <v>3.3</v>
      </c>
      <c r="I26">
        <f>MAX(0,1-Fitting!$B$7*(Fitting!$B$6-Herm8889!C26)^2)</f>
        <v>0.44946625602729362</v>
      </c>
      <c r="J26">
        <f>tt(G26,H26,Fitting!$B$1:$E$1,Fitting!$B$2:$E$2)*I26</f>
        <v>5.0115481546021297</v>
      </c>
    </row>
    <row r="27" spans="1:10">
      <c r="A27" s="1">
        <f t="shared" si="2"/>
        <v>32652</v>
      </c>
      <c r="B27">
        <f t="shared" si="0"/>
        <v>179.17075082496387</v>
      </c>
      <c r="C27">
        <f>day_length(F27,$B$1,Fitting!$B$4)</f>
        <v>11.256957054138184</v>
      </c>
      <c r="D27" s="1">
        <f t="shared" si="1"/>
        <v>32652</v>
      </c>
      <c r="E27">
        <f t="shared" si="3"/>
        <v>1989</v>
      </c>
      <c r="F27" s="6">
        <f t="shared" si="4"/>
        <v>144</v>
      </c>
      <c r="G27">
        <v>13.1</v>
      </c>
      <c r="H27">
        <v>1.2</v>
      </c>
      <c r="I27">
        <f>MAX(0,1-Fitting!$B$7*(Fitting!$B$6-Herm8889!C27)^2)</f>
        <v>0.44778359017901859</v>
      </c>
      <c r="J27">
        <f>tt(G27,H27,Fitting!$B$1:$E$1,Fitting!$B$2:$E$2)*I27</f>
        <v>3.2016527124839538</v>
      </c>
    </row>
    <row r="28" spans="1:10">
      <c r="A28" s="1">
        <f t="shared" si="2"/>
        <v>32653</v>
      </c>
      <c r="B28">
        <f t="shared" si="0"/>
        <v>183.56531325468745</v>
      </c>
      <c r="C28">
        <f>day_length(F28,$B$1,Fitting!$B$4)</f>
        <v>11.240352630615234</v>
      </c>
      <c r="D28" s="1">
        <f t="shared" si="1"/>
        <v>32653</v>
      </c>
      <c r="E28">
        <f t="shared" si="3"/>
        <v>1989</v>
      </c>
      <c r="F28" s="6">
        <f t="shared" si="4"/>
        <v>145</v>
      </c>
      <c r="G28">
        <v>16.899999999999999</v>
      </c>
      <c r="H28">
        <v>2.8</v>
      </c>
      <c r="I28">
        <f>MAX(0,1-Fitting!$B$7*(Fitting!$B$6-Herm8889!C28)^2)</f>
        <v>0.44614849594028239</v>
      </c>
      <c r="J28">
        <f>tt(G28,H28,Fitting!$B$1:$E$1,Fitting!$B$2:$E$2)*I28</f>
        <v>4.3945624297235648</v>
      </c>
    </row>
    <row r="29" spans="1:10">
      <c r="A29" s="1">
        <f t="shared" si="2"/>
        <v>32654</v>
      </c>
      <c r="B29">
        <f t="shared" si="0"/>
        <v>189.03342823326028</v>
      </c>
      <c r="C29">
        <f>day_length(F29,$B$1,Fitting!$B$4)</f>
        <v>11.2242431640625</v>
      </c>
      <c r="D29" s="1">
        <f t="shared" si="1"/>
        <v>32654</v>
      </c>
      <c r="E29">
        <f t="shared" si="3"/>
        <v>1989</v>
      </c>
      <c r="F29" s="6">
        <f t="shared" si="4"/>
        <v>146</v>
      </c>
      <c r="G29">
        <v>17.399999999999999</v>
      </c>
      <c r="H29">
        <v>7.2</v>
      </c>
      <c r="I29">
        <f>MAX(0,1-Fitting!$B$7*(Fitting!$B$6-Herm8889!C29)^2)</f>
        <v>0.44456218648612411</v>
      </c>
      <c r="J29">
        <f>tt(G29,H29,Fitting!$B$1:$E$1,Fitting!$B$2:$E$2)*I29</f>
        <v>5.4681149785728342</v>
      </c>
    </row>
    <row r="30" spans="1:10">
      <c r="A30" s="1">
        <f t="shared" si="2"/>
        <v>32655</v>
      </c>
      <c r="B30">
        <f t="shared" si="0"/>
        <v>195.61235237942569</v>
      </c>
      <c r="C30">
        <f>day_length(F30,$B$1,Fitting!$B$4)</f>
        <v>11.20863151550293</v>
      </c>
      <c r="D30" s="1">
        <f t="shared" si="1"/>
        <v>32655</v>
      </c>
      <c r="E30">
        <f t="shared" si="3"/>
        <v>1989</v>
      </c>
      <c r="F30" s="6">
        <f t="shared" si="4"/>
        <v>147</v>
      </c>
      <c r="G30">
        <v>20</v>
      </c>
      <c r="H30">
        <v>9.6999999999999993</v>
      </c>
      <c r="I30">
        <f>MAX(0,1-Fitting!$B$7*(Fitting!$B$6-Herm8889!C30)^2)</f>
        <v>0.44302521209875156</v>
      </c>
      <c r="J30">
        <f>tt(G30,H30,Fitting!$B$1:$E$1,Fitting!$B$2:$E$2)*I30</f>
        <v>6.5789241461654013</v>
      </c>
    </row>
    <row r="31" spans="1:10">
      <c r="A31" s="1">
        <f t="shared" si="2"/>
        <v>32656</v>
      </c>
      <c r="B31">
        <f t="shared" si="0"/>
        <v>202.21335913084852</v>
      </c>
      <c r="C31">
        <f>day_length(F31,$B$1,Fitting!$B$4)</f>
        <v>11.193528175354004</v>
      </c>
      <c r="D31" s="1">
        <f t="shared" si="1"/>
        <v>32656</v>
      </c>
      <c r="E31">
        <f t="shared" si="3"/>
        <v>1989</v>
      </c>
      <c r="F31" s="6">
        <f t="shared" si="4"/>
        <v>148</v>
      </c>
      <c r="G31">
        <v>20.100000000000001</v>
      </c>
      <c r="H31">
        <v>9.8000000000000007</v>
      </c>
      <c r="I31">
        <f>MAX(0,1-Fitting!$B$7*(Fitting!$B$6-Herm8889!C31)^2)</f>
        <v>0.44153889060571239</v>
      </c>
      <c r="J31">
        <f>tt(G31,H31,Fitting!$B$1:$E$1,Fitting!$B$2:$E$2)*I31</f>
        <v>6.6010067514228403</v>
      </c>
    </row>
    <row r="32" spans="1:10">
      <c r="A32" s="1">
        <f t="shared" si="2"/>
        <v>32657</v>
      </c>
      <c r="B32">
        <f t="shared" si="0"/>
        <v>207.84669023030526</v>
      </c>
      <c r="C32">
        <f>day_length(F32,$B$1,Fitting!$B$4)</f>
        <v>11.178937911987305</v>
      </c>
      <c r="D32" s="1">
        <f t="shared" si="1"/>
        <v>32657</v>
      </c>
      <c r="E32">
        <f t="shared" si="3"/>
        <v>1989</v>
      </c>
      <c r="F32" s="6">
        <f t="shared" si="4"/>
        <v>149</v>
      </c>
      <c r="G32">
        <v>20.9</v>
      </c>
      <c r="H32">
        <v>4.7</v>
      </c>
      <c r="I32">
        <f>MAX(0,1-Fitting!$B$7*(Fitting!$B$6-Herm8889!C32)^2)</f>
        <v>0.4401039855869967</v>
      </c>
      <c r="J32">
        <f>tt(G32,H32,Fitting!$B$1:$E$1,Fitting!$B$2:$E$2)*I32</f>
        <v>5.6333310994567309</v>
      </c>
    </row>
    <row r="33" spans="1:10">
      <c r="A33" s="1">
        <f t="shared" si="2"/>
        <v>32658</v>
      </c>
      <c r="B33">
        <f t="shared" si="0"/>
        <v>214.53718938234923</v>
      </c>
      <c r="C33">
        <f>day_length(F33,$B$1,Fitting!$B$4)</f>
        <v>11.16486930847168</v>
      </c>
      <c r="D33" s="1">
        <f t="shared" si="1"/>
        <v>32658</v>
      </c>
      <c r="E33">
        <f t="shared" si="3"/>
        <v>1989</v>
      </c>
      <c r="F33" s="6">
        <f t="shared" si="4"/>
        <v>150</v>
      </c>
      <c r="G33">
        <v>20.2</v>
      </c>
      <c r="H33">
        <v>10.3</v>
      </c>
      <c r="I33">
        <f>MAX(0,1-Fitting!$B$7*(Fitting!$B$6-Herm8889!C33)^2)</f>
        <v>0.43872125587173649</v>
      </c>
      <c r="J33">
        <f>tt(G33,H33,Fitting!$B$1:$E$1,Fitting!$B$2:$E$2)*I33</f>
        <v>6.6904991520439818</v>
      </c>
    </row>
    <row r="34" spans="1:10">
      <c r="A34" s="1">
        <f t="shared" si="2"/>
        <v>32659</v>
      </c>
      <c r="B34">
        <f t="shared" si="0"/>
        <v>220.83562894585094</v>
      </c>
      <c r="C34">
        <f>day_length(F34,$B$1,Fitting!$B$4)</f>
        <v>11.151329040527344</v>
      </c>
      <c r="D34" s="1">
        <f t="shared" si="1"/>
        <v>32659</v>
      </c>
      <c r="E34">
        <f t="shared" si="3"/>
        <v>1989</v>
      </c>
      <c r="F34" s="6">
        <f t="shared" si="4"/>
        <v>151</v>
      </c>
      <c r="G34">
        <v>18.5</v>
      </c>
      <c r="H34">
        <v>10.3</v>
      </c>
      <c r="I34">
        <f>MAX(0,1-Fitting!$B$7*(Fitting!$B$6-Herm8889!C34)^2)</f>
        <v>0.43739167690851355</v>
      </c>
      <c r="J34">
        <f>tt(G34,H34,Fitting!$B$1:$E$1,Fitting!$B$2:$E$2)*I34</f>
        <v>6.2984395635017032</v>
      </c>
    </row>
    <row r="35" spans="1:10">
      <c r="A35" s="1">
        <f t="shared" si="2"/>
        <v>32660</v>
      </c>
      <c r="B35">
        <f t="shared" si="0"/>
        <v>223.576551246029</v>
      </c>
      <c r="C35">
        <f>day_length(F35,$B$1,Fitting!$B$4)</f>
        <v>11.138323783874512</v>
      </c>
      <c r="D35" s="1">
        <f t="shared" si="1"/>
        <v>32660</v>
      </c>
      <c r="E35">
        <f t="shared" si="3"/>
        <v>1989</v>
      </c>
      <c r="F35" s="6">
        <f t="shared" si="4"/>
        <v>152</v>
      </c>
      <c r="G35">
        <v>13.8</v>
      </c>
      <c r="H35">
        <v>-1.4</v>
      </c>
      <c r="I35">
        <f>MAX(0,1-Fitting!$B$7*(Fitting!$B$6-Herm8889!C35)^2)</f>
        <v>0.43611610892389763</v>
      </c>
      <c r="J35">
        <f>tt(G35,H35,Fitting!$B$1:$E$1,Fitting!$B$2:$E$2)*I35</f>
        <v>2.7409223001780672</v>
      </c>
    </row>
    <row r="36" spans="1:10">
      <c r="A36" s="1">
        <f t="shared" si="2"/>
        <v>32661</v>
      </c>
      <c r="B36">
        <f t="shared" si="0"/>
        <v>227.12094864721826</v>
      </c>
      <c r="C36">
        <f>day_length(F36,$B$1,Fitting!$B$4)</f>
        <v>11.125859260559082</v>
      </c>
      <c r="D36" s="1">
        <f t="shared" si="1"/>
        <v>32661</v>
      </c>
      <c r="E36">
        <f t="shared" si="3"/>
        <v>1989</v>
      </c>
      <c r="F36" s="6">
        <f t="shared" si="4"/>
        <v>153</v>
      </c>
      <c r="G36">
        <v>12.7</v>
      </c>
      <c r="H36">
        <v>3.6</v>
      </c>
      <c r="I36">
        <f>MAX(0,1-Fitting!$B$7*(Fitting!$B$6-Herm8889!C36)^2)</f>
        <v>0.43489540700474749</v>
      </c>
      <c r="J36">
        <f>tt(G36,H36,Fitting!$B$1:$E$1,Fitting!$B$2:$E$2)*I36</f>
        <v>3.5443974011892601</v>
      </c>
    </row>
    <row r="37" spans="1:10">
      <c r="A37" s="1">
        <f t="shared" si="2"/>
        <v>32662</v>
      </c>
      <c r="B37">
        <f t="shared" si="0"/>
        <v>232.08716102294014</v>
      </c>
      <c r="C37">
        <f>day_length(F37,$B$1,Fitting!$B$4)</f>
        <v>11.113943099975586</v>
      </c>
      <c r="D37" s="1">
        <f t="shared" si="1"/>
        <v>32662</v>
      </c>
      <c r="E37">
        <f t="shared" si="3"/>
        <v>1989</v>
      </c>
      <c r="F37" s="6">
        <f t="shared" si="4"/>
        <v>154</v>
      </c>
      <c r="G37">
        <v>14.9</v>
      </c>
      <c r="H37">
        <v>8</v>
      </c>
      <c r="I37">
        <f>MAX(0,1-Fitting!$B$7*(Fitting!$B$6-Herm8889!C37)^2)</f>
        <v>0.4337303095905608</v>
      </c>
      <c r="J37">
        <f>tt(G37,H37,Fitting!$B$1:$E$1,Fitting!$B$2:$E$2)*I37</f>
        <v>4.9662123757218861</v>
      </c>
    </row>
    <row r="38" spans="1:10">
      <c r="A38" s="1">
        <f t="shared" si="2"/>
        <v>32663</v>
      </c>
      <c r="B38">
        <f t="shared" si="0"/>
        <v>236.06728021397365</v>
      </c>
      <c r="C38">
        <f>day_length(F38,$B$1,Fitting!$B$4)</f>
        <v>11.102580070495605</v>
      </c>
      <c r="D38" s="1">
        <f t="shared" si="1"/>
        <v>32663</v>
      </c>
      <c r="E38">
        <f t="shared" si="3"/>
        <v>1989</v>
      </c>
      <c r="F38" s="6">
        <f t="shared" si="4"/>
        <v>155</v>
      </c>
      <c r="G38">
        <v>10.9</v>
      </c>
      <c r="H38">
        <v>7.5</v>
      </c>
      <c r="I38">
        <f>MAX(0,1-Fitting!$B$7*(Fitting!$B$6-Herm8889!C38)^2)</f>
        <v>0.43262166016842818</v>
      </c>
      <c r="J38">
        <f>tt(G38,H38,Fitting!$B$1:$E$1,Fitting!$B$2:$E$2)*I38</f>
        <v>3.9801191910335061</v>
      </c>
    </row>
    <row r="39" spans="1:10">
      <c r="A39" s="1">
        <f t="shared" si="2"/>
        <v>32664</v>
      </c>
      <c r="B39">
        <f t="shared" si="0"/>
        <v>241.54822047464381</v>
      </c>
      <c r="C39">
        <f>day_length(F39,$B$1,Fitting!$B$4)</f>
        <v>11.091776847839355</v>
      </c>
      <c r="D39" s="1">
        <f t="shared" si="1"/>
        <v>32664</v>
      </c>
      <c r="E39">
        <f t="shared" si="3"/>
        <v>1989</v>
      </c>
      <c r="F39" s="6">
        <f t="shared" si="4"/>
        <v>156</v>
      </c>
      <c r="G39">
        <v>15.3</v>
      </c>
      <c r="H39">
        <v>10.1</v>
      </c>
      <c r="I39">
        <f>MAX(0,1-Fitting!$B$7*(Fitting!$B$6-Herm8889!C39)^2)</f>
        <v>0.43157007333923869</v>
      </c>
      <c r="J39">
        <f>tt(G39,H39,Fitting!$B$1:$E$1,Fitting!$B$2:$E$2)*I39</f>
        <v>5.4809402606701667</v>
      </c>
    </row>
    <row r="40" spans="1:10">
      <c r="A40" s="1">
        <f t="shared" si="2"/>
        <v>32665</v>
      </c>
      <c r="B40">
        <f t="shared" si="0"/>
        <v>246.7366641751039</v>
      </c>
      <c r="C40">
        <f>day_length(F40,$B$1,Fitting!$B$4)</f>
        <v>11.081538200378418</v>
      </c>
      <c r="D40" s="1">
        <f t="shared" si="1"/>
        <v>32665</v>
      </c>
      <c r="E40">
        <f t="shared" si="3"/>
        <v>1989</v>
      </c>
      <c r="F40" s="6">
        <f t="shared" si="4"/>
        <v>157</v>
      </c>
      <c r="G40">
        <v>15</v>
      </c>
      <c r="H40">
        <v>9.1</v>
      </c>
      <c r="I40">
        <f>MAX(0,1-Fitting!$B$7*(Fitting!$B$6-Herm8889!C40)^2)</f>
        <v>0.43057626796379367</v>
      </c>
      <c r="J40">
        <f>tt(G40,H40,Fitting!$B$1:$E$1,Fitting!$B$2:$E$2)*I40</f>
        <v>5.1884437004600912</v>
      </c>
    </row>
    <row r="41" spans="1:10">
      <c r="A41" s="1">
        <f t="shared" si="2"/>
        <v>32666</v>
      </c>
      <c r="B41">
        <f t="shared" si="0"/>
        <v>250.23823730146208</v>
      </c>
      <c r="C41">
        <f>day_length(F41,$B$1,Fitting!$B$4)</f>
        <v>11.071870803833008</v>
      </c>
      <c r="D41" s="1">
        <f t="shared" si="1"/>
        <v>32666</v>
      </c>
      <c r="E41">
        <f t="shared" si="3"/>
        <v>1989</v>
      </c>
      <c r="F41" s="6">
        <f t="shared" si="4"/>
        <v>158</v>
      </c>
      <c r="G41">
        <v>13.2</v>
      </c>
      <c r="H41">
        <v>3.1</v>
      </c>
      <c r="I41">
        <f>MAX(0,1-Fitting!$B$7*(Fitting!$B$6-Herm8889!C41)^2)</f>
        <v>0.42964084423505844</v>
      </c>
      <c r="J41">
        <f>tt(G41,H41,Fitting!$B$1:$E$1,Fitting!$B$2:$E$2)*I41</f>
        <v>3.5015731263581893</v>
      </c>
    </row>
    <row r="42" spans="1:10">
      <c r="A42" s="1">
        <f t="shared" si="2"/>
        <v>32667</v>
      </c>
      <c r="B42">
        <f t="shared" si="0"/>
        <v>252.74651113328176</v>
      </c>
      <c r="C42">
        <f>day_length(F42,$B$1,Fitting!$B$4)</f>
        <v>11.062779426574707</v>
      </c>
      <c r="D42" s="1">
        <f t="shared" si="1"/>
        <v>32667</v>
      </c>
      <c r="E42">
        <f t="shared" si="3"/>
        <v>1989</v>
      </c>
      <c r="F42" s="6">
        <f t="shared" si="4"/>
        <v>159</v>
      </c>
      <c r="G42">
        <v>11.3</v>
      </c>
      <c r="H42">
        <v>0.4</v>
      </c>
      <c r="I42">
        <f>MAX(0,1-Fitting!$B$7*(Fitting!$B$6-Herm8889!C42)^2)</f>
        <v>0.4287647296169107</v>
      </c>
      <c r="J42">
        <f>tt(G42,H42,Fitting!$B$1:$E$1,Fitting!$B$2:$E$2)*I42</f>
        <v>2.5082738318196918</v>
      </c>
    </row>
    <row r="43" spans="1:10">
      <c r="A43" s="1">
        <f t="shared" si="2"/>
        <v>32668</v>
      </c>
      <c r="B43">
        <f t="shared" si="0"/>
        <v>256.76922380670419</v>
      </c>
      <c r="C43">
        <f>day_length(F43,$B$1,Fitting!$B$4)</f>
        <v>11.054268836975098</v>
      </c>
      <c r="D43" s="1">
        <f t="shared" si="1"/>
        <v>32668</v>
      </c>
      <c r="E43">
        <f t="shared" si="3"/>
        <v>1989</v>
      </c>
      <c r="F43" s="6">
        <f t="shared" si="4"/>
        <v>160</v>
      </c>
      <c r="G43">
        <v>14.8</v>
      </c>
      <c r="H43">
        <v>4</v>
      </c>
      <c r="I43">
        <f>MAX(0,1-Fitting!$B$7*(Fitting!$B$6-Herm8889!C43)^2)</f>
        <v>0.42794817411401342</v>
      </c>
      <c r="J43">
        <f>tt(G43,H43,Fitting!$B$1:$E$1,Fitting!$B$2:$E$2)*I43</f>
        <v>4.0227126734224532</v>
      </c>
    </row>
    <row r="44" spans="1:10">
      <c r="A44" s="1">
        <f t="shared" si="2"/>
        <v>32669</v>
      </c>
      <c r="B44">
        <f t="shared" si="0"/>
        <v>260.27219743235253</v>
      </c>
      <c r="C44">
        <f>day_length(F44,$B$1,Fitting!$B$4)</f>
        <v>11.046342849731445</v>
      </c>
      <c r="D44" s="1">
        <f t="shared" si="1"/>
        <v>32669</v>
      </c>
      <c r="E44">
        <f t="shared" si="3"/>
        <v>1989</v>
      </c>
      <c r="F44" s="6">
        <f t="shared" si="4"/>
        <v>161</v>
      </c>
      <c r="G44">
        <v>12.9</v>
      </c>
      <c r="H44">
        <v>3.5</v>
      </c>
      <c r="I44">
        <f>MAX(0,1-Fitting!$B$7*(Fitting!$B$6-Herm8889!C44)^2)</f>
        <v>0.42719186582034485</v>
      </c>
      <c r="J44">
        <f>tt(G44,H44,Fitting!$B$1:$E$1,Fitting!$B$2:$E$2)*I44</f>
        <v>3.5029736256483561</v>
      </c>
    </row>
    <row r="45" spans="1:10">
      <c r="A45" s="1">
        <f t="shared" si="2"/>
        <v>32670</v>
      </c>
      <c r="B45">
        <f t="shared" si="0"/>
        <v>262.66057770586633</v>
      </c>
      <c r="C45">
        <f>day_length(F45,$B$1,Fitting!$B$4)</f>
        <v>11.039006233215332</v>
      </c>
      <c r="D45" s="1">
        <f t="shared" si="1"/>
        <v>32670</v>
      </c>
      <c r="E45">
        <f t="shared" si="3"/>
        <v>1989</v>
      </c>
      <c r="F45" s="6">
        <f t="shared" si="4"/>
        <v>162</v>
      </c>
      <c r="G45">
        <v>8.1</v>
      </c>
      <c r="H45">
        <v>3.1</v>
      </c>
      <c r="I45">
        <f>MAX(0,1-Fitting!$B$7*(Fitting!$B$6-Herm8889!C45)^2)</f>
        <v>0.42649648467637602</v>
      </c>
      <c r="J45">
        <f>tt(G45,H45,Fitting!$B$1:$E$1,Fitting!$B$2:$E$2)*I45</f>
        <v>2.3883802735138313</v>
      </c>
    </row>
    <row r="46" spans="1:10">
      <c r="A46" s="1">
        <f t="shared" si="2"/>
        <v>32671</v>
      </c>
      <c r="B46">
        <f t="shared" si="0"/>
        <v>265.5777341077669</v>
      </c>
      <c r="C46">
        <f>day_length(F46,$B$1,Fitting!$B$4)</f>
        <v>11.03226375579834</v>
      </c>
      <c r="D46" s="1">
        <f t="shared" si="1"/>
        <v>32671</v>
      </c>
      <c r="E46">
        <f t="shared" si="3"/>
        <v>1989</v>
      </c>
      <c r="F46" s="6">
        <f t="shared" si="4"/>
        <v>163</v>
      </c>
      <c r="G46">
        <v>9.1</v>
      </c>
      <c r="H46">
        <v>4.5999999999999996</v>
      </c>
      <c r="I46">
        <f>MAX(0,1-Fitting!$B$7*(Fitting!$B$6-Herm8889!C46)^2)</f>
        <v>0.42586225438159631</v>
      </c>
      <c r="J46">
        <f>tt(G46,H46,Fitting!$B$1:$E$1,Fitting!$B$2:$E$2)*I46</f>
        <v>2.9171564019005451</v>
      </c>
    </row>
    <row r="47" spans="1:10">
      <c r="A47" s="1">
        <f t="shared" si="2"/>
        <v>32672</v>
      </c>
      <c r="B47">
        <f t="shared" si="0"/>
        <v>269.51166469445741</v>
      </c>
      <c r="C47">
        <f>day_length(F47,$B$1,Fitting!$B$4)</f>
        <v>11.026118278503418</v>
      </c>
      <c r="D47" s="1">
        <f t="shared" si="1"/>
        <v>32672</v>
      </c>
      <c r="E47">
        <f t="shared" si="3"/>
        <v>1989</v>
      </c>
      <c r="F47" s="6">
        <f t="shared" si="4"/>
        <v>164</v>
      </c>
      <c r="G47">
        <v>14.9</v>
      </c>
      <c r="H47">
        <v>3.6</v>
      </c>
      <c r="I47">
        <f>MAX(0,1-Fitting!$B$7*(Fitting!$B$6-Herm8889!C47)^2)</f>
        <v>0.42528983700308343</v>
      </c>
      <c r="J47">
        <f>tt(G47,H47,Fitting!$B$1:$E$1,Fitting!$B$2:$E$2)*I47</f>
        <v>3.933930586690527</v>
      </c>
    </row>
    <row r="48" spans="1:10">
      <c r="A48" s="1">
        <f t="shared" si="2"/>
        <v>32673</v>
      </c>
      <c r="B48">
        <f t="shared" si="0"/>
        <v>274.07804405254871</v>
      </c>
      <c r="C48">
        <f>day_length(F48,$B$1,Fitting!$B$4)</f>
        <v>11.020573616027832</v>
      </c>
      <c r="D48" s="1">
        <f t="shared" si="1"/>
        <v>32673</v>
      </c>
      <c r="E48">
        <f t="shared" si="3"/>
        <v>1989</v>
      </c>
      <c r="F48" s="6">
        <f t="shared" si="4"/>
        <v>165</v>
      </c>
      <c r="G48">
        <v>17.600000000000001</v>
      </c>
      <c r="H48">
        <v>3.9</v>
      </c>
      <c r="I48">
        <f>MAX(0,1-Fitting!$B$7*(Fitting!$B$6-Herm8889!C48)^2)</f>
        <v>0.42477943748744473</v>
      </c>
      <c r="J48">
        <f>tt(G48,H48,Fitting!$B$1:$E$1,Fitting!$B$2:$E$2)*I48</f>
        <v>4.5663793580912708</v>
      </c>
    </row>
    <row r="49" spans="1:10">
      <c r="A49" s="1">
        <f t="shared" si="2"/>
        <v>32674</v>
      </c>
      <c r="B49">
        <f t="shared" si="0"/>
        <v>278.85177526451042</v>
      </c>
      <c r="C49">
        <f>day_length(F49,$B$1,Fitting!$B$4)</f>
        <v>11.015633583068848</v>
      </c>
      <c r="D49" s="1">
        <f t="shared" si="1"/>
        <v>32674</v>
      </c>
      <c r="E49">
        <f t="shared" si="3"/>
        <v>1989</v>
      </c>
      <c r="F49" s="6">
        <f t="shared" si="4"/>
        <v>166</v>
      </c>
      <c r="G49">
        <v>17.2</v>
      </c>
      <c r="H49">
        <v>5.3</v>
      </c>
      <c r="I49">
        <f>MAX(0,1-Fitting!$B$7*(Fitting!$B$6-Herm8889!C49)^2)</f>
        <v>0.42433169925653058</v>
      </c>
      <c r="J49">
        <f>tt(G49,H49,Fitting!$B$1:$E$1,Fitting!$B$2:$E$2)*I49</f>
        <v>4.7737312119617261</v>
      </c>
    </row>
    <row r="50" spans="1:10">
      <c r="A50" s="1">
        <f t="shared" si="2"/>
        <v>32675</v>
      </c>
      <c r="B50">
        <f t="shared" si="0"/>
        <v>283.68476783797342</v>
      </c>
      <c r="C50">
        <f>day_length(F50,$B$1,Fitting!$B$4)</f>
        <v>11.011299133300781</v>
      </c>
      <c r="D50" s="1">
        <f t="shared" si="1"/>
        <v>32675</v>
      </c>
      <c r="E50">
        <f t="shared" si="3"/>
        <v>1989</v>
      </c>
      <c r="F50" s="6">
        <f t="shared" si="4"/>
        <v>167</v>
      </c>
      <c r="G50">
        <v>17.399999999999999</v>
      </c>
      <c r="H50">
        <v>5.4</v>
      </c>
      <c r="I50">
        <f>MAX(0,1-Fitting!$B$7*(Fitting!$B$6-Herm8889!C50)^2)</f>
        <v>0.42394669569112009</v>
      </c>
      <c r="J50">
        <f>tt(G50,H50,Fitting!$B$1:$E$1,Fitting!$B$2:$E$2)*I50</f>
        <v>4.8329925734630139</v>
      </c>
    </row>
    <row r="51" spans="1:10">
      <c r="A51" s="1">
        <f t="shared" si="2"/>
        <v>32676</v>
      </c>
      <c r="B51">
        <f t="shared" si="0"/>
        <v>289.89086973937424</v>
      </c>
      <c r="C51">
        <f>day_length(F51,$B$1,Fitting!$B$4)</f>
        <v>11.007575035095215</v>
      </c>
      <c r="D51" s="1">
        <f t="shared" si="1"/>
        <v>32676</v>
      </c>
      <c r="E51">
        <f t="shared" si="3"/>
        <v>1989</v>
      </c>
      <c r="F51" s="6">
        <f t="shared" si="4"/>
        <v>168</v>
      </c>
      <c r="G51">
        <v>19.899999999999999</v>
      </c>
      <c r="H51">
        <v>9.4</v>
      </c>
      <c r="I51">
        <f>MAX(0,1-Fitting!$B$7*(Fitting!$B$6-Herm8889!C51)^2)</f>
        <v>0.42362471419800751</v>
      </c>
      <c r="J51">
        <f>tt(G51,H51,Fitting!$B$1:$E$1,Fitting!$B$2:$E$2)*I51</f>
        <v>6.2061019014008059</v>
      </c>
    </row>
    <row r="52" spans="1:10">
      <c r="A52" s="1">
        <f t="shared" si="2"/>
        <v>32677</v>
      </c>
      <c r="B52">
        <f t="shared" si="0"/>
        <v>296.09318235161368</v>
      </c>
      <c r="C52">
        <f>day_length(F52,$B$1,Fitting!$B$4)</f>
        <v>11.004461288452148</v>
      </c>
      <c r="D52" s="1">
        <f t="shared" si="1"/>
        <v>32677</v>
      </c>
      <c r="E52">
        <f t="shared" si="3"/>
        <v>1989</v>
      </c>
      <c r="F52" s="6">
        <f t="shared" si="4"/>
        <v>169</v>
      </c>
      <c r="G52">
        <v>18</v>
      </c>
      <c r="H52">
        <v>11.3</v>
      </c>
      <c r="I52">
        <f>MAX(0,1-Fitting!$B$7*(Fitting!$B$6-Herm8889!C52)^2)</f>
        <v>0.42336603208105406</v>
      </c>
      <c r="J52">
        <f>tt(G52,H52,Fitting!$B$1:$E$1,Fitting!$B$2:$E$2)*I52</f>
        <v>6.202312612239429</v>
      </c>
    </row>
    <row r="53" spans="1:10">
      <c r="A53" s="1">
        <f t="shared" si="2"/>
        <v>32678</v>
      </c>
      <c r="B53">
        <f t="shared" si="0"/>
        <v>300.72690340211096</v>
      </c>
      <c r="C53">
        <f>day_length(F53,$B$1,Fitting!$B$4)</f>
        <v>11.001959800720215</v>
      </c>
      <c r="D53" s="1">
        <f t="shared" si="1"/>
        <v>32678</v>
      </c>
      <c r="E53">
        <f t="shared" si="3"/>
        <v>1989</v>
      </c>
      <c r="F53" s="6">
        <f t="shared" si="4"/>
        <v>170</v>
      </c>
      <c r="G53">
        <v>16.399999999999999</v>
      </c>
      <c r="H53">
        <v>5.5</v>
      </c>
      <c r="I53">
        <f>MAX(0,1-Fitting!$B$7*(Fitting!$B$6-Herm8889!C53)^2)</f>
        <v>0.42317091641807925</v>
      </c>
      <c r="J53">
        <f>tt(G53,H53,Fitting!$B$1:$E$1,Fitting!$B$2:$E$2)*I53</f>
        <v>4.6337210504972868</v>
      </c>
    </row>
    <row r="54" spans="1:10">
      <c r="A54" s="1">
        <f t="shared" si="2"/>
        <v>32679</v>
      </c>
      <c r="B54">
        <f t="shared" si="0"/>
        <v>304.97845057553639</v>
      </c>
      <c r="C54">
        <f>day_length(F54,$B$1,Fitting!$B$4)</f>
        <v>11.000073432922363</v>
      </c>
      <c r="D54" s="1">
        <f t="shared" si="1"/>
        <v>32679</v>
      </c>
      <c r="E54">
        <f t="shared" si="3"/>
        <v>1989</v>
      </c>
      <c r="F54" s="6">
        <f t="shared" si="4"/>
        <v>171</v>
      </c>
      <c r="G54">
        <v>14.7</v>
      </c>
      <c r="H54">
        <v>5.4</v>
      </c>
      <c r="I54">
        <f>MAX(0,1-Fitting!$B$7*(Fitting!$B$6-Herm8889!C54)^2)</f>
        <v>0.42303951171512921</v>
      </c>
      <c r="J54">
        <f>tt(G54,H54,Fitting!$B$1:$E$1,Fitting!$B$2:$E$2)*I54</f>
        <v>4.2515471734254318</v>
      </c>
    </row>
    <row r="55" spans="1:10">
      <c r="A55" s="1">
        <f t="shared" si="2"/>
        <v>32680</v>
      </c>
      <c r="B55">
        <f t="shared" si="0"/>
        <v>308.08729190759584</v>
      </c>
      <c r="C55">
        <f>day_length(F55,$B$1,Fitting!$B$4)</f>
        <v>10.998802185058594</v>
      </c>
      <c r="D55" s="1">
        <f t="shared" si="1"/>
        <v>32680</v>
      </c>
      <c r="E55">
        <f t="shared" si="3"/>
        <v>1989</v>
      </c>
      <c r="F55" s="6">
        <f t="shared" si="4"/>
        <v>172</v>
      </c>
      <c r="G55">
        <v>12.7</v>
      </c>
      <c r="H55">
        <v>2</v>
      </c>
      <c r="I55">
        <f>MAX(0,1-Fitting!$B$7*(Fitting!$B$6-Herm8889!C55)^2)</f>
        <v>0.4229716152921319</v>
      </c>
      <c r="J55">
        <f>tt(G55,H55,Fitting!$B$1:$E$1,Fitting!$B$2:$E$2)*I55</f>
        <v>3.1088413320594528</v>
      </c>
    </row>
    <row r="56" spans="1:10">
      <c r="A56" s="1">
        <f t="shared" si="2"/>
        <v>32681</v>
      </c>
      <c r="B56">
        <f t="shared" si="0"/>
        <v>311.36529148399768</v>
      </c>
      <c r="C56">
        <f>day_length(F56,$B$1,Fitting!$B$4)</f>
        <v>10.998147010803223</v>
      </c>
      <c r="D56" s="1">
        <f t="shared" si="1"/>
        <v>32681</v>
      </c>
      <c r="E56">
        <f t="shared" si="3"/>
        <v>1989</v>
      </c>
      <c r="F56" s="6">
        <f t="shared" si="4"/>
        <v>173</v>
      </c>
      <c r="G56">
        <v>11.2</v>
      </c>
      <c r="H56">
        <v>4.3</v>
      </c>
      <c r="I56">
        <f>MAX(0,1-Fitting!$B$7*(Fitting!$B$6-Herm8889!C56)^2)</f>
        <v>0.42296768727765632</v>
      </c>
      <c r="J56">
        <f>tt(G56,H56,Fitting!$B$1:$E$1,Fitting!$B$2:$E$2)*I56</f>
        <v>3.2779995764018364</v>
      </c>
    </row>
    <row r="57" spans="1:10">
      <c r="A57" s="1">
        <f t="shared" si="2"/>
        <v>32682</v>
      </c>
      <c r="B57">
        <f t="shared" si="0"/>
        <v>315.36290171839107</v>
      </c>
      <c r="C57">
        <f>day_length(F57,$B$1,Fitting!$B$4)</f>
        <v>10.99810791015625</v>
      </c>
      <c r="D57" s="1">
        <f t="shared" si="1"/>
        <v>32682</v>
      </c>
      <c r="E57">
        <f t="shared" si="3"/>
        <v>1989</v>
      </c>
      <c r="F57" s="6">
        <f t="shared" si="4"/>
        <v>174</v>
      </c>
      <c r="G57">
        <v>15.3</v>
      </c>
      <c r="H57">
        <v>3.6</v>
      </c>
      <c r="I57">
        <f>MAX(0,1-Fitting!$B$7*(Fitting!$B$6-Herm8889!C57)^2)</f>
        <v>0.42302750387820565</v>
      </c>
      <c r="J57">
        <f>tt(G57,H57,Fitting!$B$1:$E$1,Fitting!$B$2:$E$2)*I57</f>
        <v>3.9976102343934157</v>
      </c>
    </row>
    <row r="58" spans="1:10">
      <c r="A58" s="1">
        <f t="shared" si="2"/>
        <v>32683</v>
      </c>
      <c r="B58">
        <f t="shared" si="0"/>
        <v>319.19241925204062</v>
      </c>
      <c r="C58">
        <f>day_length(F58,$B$1,Fitting!$B$4)</f>
        <v>10.998686790466309</v>
      </c>
      <c r="D58" s="1">
        <f t="shared" si="1"/>
        <v>32683</v>
      </c>
      <c r="E58">
        <f t="shared" si="3"/>
        <v>1989</v>
      </c>
      <c r="F58" s="6">
        <f t="shared" si="4"/>
        <v>175</v>
      </c>
      <c r="G58">
        <v>14.1</v>
      </c>
      <c r="H58">
        <v>4</v>
      </c>
      <c r="I58">
        <f>MAX(0,1-Fitting!$B$7*(Fitting!$B$6-Herm8889!C58)^2)</f>
        <v>0.42315105518139351</v>
      </c>
      <c r="J58">
        <f>tt(G58,H58,Fitting!$B$1:$E$1,Fitting!$B$2:$E$2)*I58</f>
        <v>3.8295175336495633</v>
      </c>
    </row>
    <row r="59" spans="1:10">
      <c r="A59" s="1">
        <f t="shared" si="2"/>
        <v>32684</v>
      </c>
      <c r="B59">
        <f t="shared" si="0"/>
        <v>320.85908392940934</v>
      </c>
      <c r="C59">
        <f>day_length(F59,$B$1,Fitting!$B$4)</f>
        <v>10.999880790710449</v>
      </c>
      <c r="D59" s="1">
        <f t="shared" si="1"/>
        <v>32684</v>
      </c>
      <c r="E59">
        <f t="shared" si="3"/>
        <v>1989</v>
      </c>
      <c r="F59" s="6">
        <f t="shared" si="4"/>
        <v>176</v>
      </c>
      <c r="G59">
        <v>9.6</v>
      </c>
      <c r="H59">
        <v>-2.6</v>
      </c>
      <c r="I59">
        <f>MAX(0,1-Fitting!$B$7*(Fitting!$B$6-Herm8889!C59)^2)</f>
        <v>0.42333820851840753</v>
      </c>
      <c r="J59">
        <f>tt(G59,H59,Fitting!$B$1:$E$1,Fitting!$B$2:$E$2)*I59</f>
        <v>1.6666646773687226</v>
      </c>
    </row>
    <row r="60" spans="1:10">
      <c r="A60" s="1">
        <f t="shared" si="2"/>
        <v>32685</v>
      </c>
      <c r="B60">
        <f t="shared" si="0"/>
        <v>322.76961796536034</v>
      </c>
      <c r="C60">
        <f>day_length(F60,$B$1,Fitting!$B$4)</f>
        <v>11.001689910888672</v>
      </c>
      <c r="D60" s="1">
        <f t="shared" si="1"/>
        <v>32685</v>
      </c>
      <c r="E60">
        <f t="shared" si="3"/>
        <v>1989</v>
      </c>
      <c r="F60" s="6">
        <f t="shared" si="4"/>
        <v>177</v>
      </c>
      <c r="G60">
        <v>9.9</v>
      </c>
      <c r="H60">
        <v>-1</v>
      </c>
      <c r="I60">
        <f>MAX(0,1-Fitting!$B$7*(Fitting!$B$6-Herm8889!C60)^2)</f>
        <v>0.4235889329234851</v>
      </c>
      <c r="J60">
        <f>tt(G60,H60,Fitting!$B$1:$E$1,Fitting!$B$2:$E$2)*I60</f>
        <v>1.9105340359510221</v>
      </c>
    </row>
    <row r="61" spans="1:10">
      <c r="A61" s="1">
        <f t="shared" si="2"/>
        <v>32686</v>
      </c>
      <c r="B61">
        <f t="shared" si="0"/>
        <v>325.04896293573029</v>
      </c>
      <c r="C61">
        <f>day_length(F61,$B$1,Fitting!$B$4)</f>
        <v>11.004114151000977</v>
      </c>
      <c r="D61" s="1">
        <f t="shared" si="1"/>
        <v>32686</v>
      </c>
      <c r="E61">
        <f t="shared" si="3"/>
        <v>1989</v>
      </c>
      <c r="F61" s="6">
        <f t="shared" si="4"/>
        <v>178</v>
      </c>
      <c r="G61">
        <v>11.5</v>
      </c>
      <c r="H61">
        <v>-0.8</v>
      </c>
      <c r="I61">
        <f>MAX(0,1-Fitting!$B$7*(Fitting!$B$6-Herm8889!C61)^2)</f>
        <v>0.42390285049018894</v>
      </c>
      <c r="J61">
        <f>tt(G61,H61,Fitting!$B$1:$E$1,Fitting!$B$2:$E$2)*I61</f>
        <v>2.2793449703699622</v>
      </c>
    </row>
    <row r="62" spans="1:10">
      <c r="A62" s="1">
        <f t="shared" si="2"/>
        <v>32687</v>
      </c>
      <c r="B62">
        <f t="shared" si="0"/>
        <v>328.90991190993543</v>
      </c>
      <c r="C62">
        <f>day_length(F62,$B$1,Fitting!$B$4)</f>
        <v>11.007152557373047</v>
      </c>
      <c r="D62" s="1">
        <f t="shared" si="1"/>
        <v>32687</v>
      </c>
      <c r="E62">
        <f t="shared" si="3"/>
        <v>1989</v>
      </c>
      <c r="F62" s="6">
        <f t="shared" si="4"/>
        <v>179</v>
      </c>
      <c r="G62">
        <v>15.3</v>
      </c>
      <c r="H62">
        <v>2.9</v>
      </c>
      <c r="I62">
        <f>MAX(0,1-Fitting!$B$7*(Fitting!$B$6-Herm8889!C62)^2)</f>
        <v>0.42428013373408613</v>
      </c>
      <c r="J62">
        <f>tt(G62,H62,Fitting!$B$1:$E$1,Fitting!$B$2:$E$2)*I62</f>
        <v>3.8609489742051437</v>
      </c>
    </row>
    <row r="63" spans="1:10">
      <c r="A63" s="1">
        <f t="shared" si="2"/>
        <v>32688</v>
      </c>
      <c r="B63">
        <f t="shared" si="0"/>
        <v>333.68801244930364</v>
      </c>
      <c r="C63">
        <f>day_length(F63,$B$1,Fitting!$B$4)</f>
        <v>11.010800361633301</v>
      </c>
      <c r="D63" s="1">
        <f t="shared" si="1"/>
        <v>32688</v>
      </c>
      <c r="E63">
        <f t="shared" si="3"/>
        <v>1989</v>
      </c>
      <c r="F63" s="6">
        <f t="shared" si="4"/>
        <v>180</v>
      </c>
      <c r="G63">
        <v>16.2</v>
      </c>
      <c r="H63">
        <v>6.3</v>
      </c>
      <c r="I63">
        <f>MAX(0,1-Fitting!$B$7*(Fitting!$B$6-Herm8889!C63)^2)</f>
        <v>0.42472004794384155</v>
      </c>
      <c r="J63">
        <f>tt(G63,H63,Fitting!$B$1:$E$1,Fitting!$B$2:$E$2)*I63</f>
        <v>4.7781005393682179</v>
      </c>
    </row>
    <row r="64" spans="1:10">
      <c r="A64" s="1">
        <f t="shared" si="2"/>
        <v>32689</v>
      </c>
      <c r="B64">
        <f t="shared" si="0"/>
        <v>338.57807273067397</v>
      </c>
      <c r="C64">
        <f>day_length(F64,$B$1,Fitting!$B$4)</f>
        <v>11.015058517456055</v>
      </c>
      <c r="D64" s="1">
        <f t="shared" si="1"/>
        <v>32689</v>
      </c>
      <c r="E64">
        <f t="shared" si="3"/>
        <v>1989</v>
      </c>
      <c r="F64" s="6">
        <f t="shared" si="4"/>
        <v>181</v>
      </c>
      <c r="G64">
        <v>18.8</v>
      </c>
      <c r="H64">
        <v>4.2</v>
      </c>
      <c r="I64">
        <f>MAX(0,1-Fitting!$B$7*(Fitting!$B$6-Herm8889!C64)^2)</f>
        <v>0.42522263316263886</v>
      </c>
      <c r="J64">
        <f>tt(G64,H64,Fitting!$B$1:$E$1,Fitting!$B$2:$E$2)*I64</f>
        <v>4.8900602813703467</v>
      </c>
    </row>
    <row r="65" spans="1:10">
      <c r="A65" s="1">
        <f t="shared" si="2"/>
        <v>32690</v>
      </c>
      <c r="B65">
        <f t="shared" si="0"/>
        <v>344.00686115406057</v>
      </c>
      <c r="C65">
        <f>day_length(F65,$B$1,Fitting!$B$4)</f>
        <v>11.019924163818359</v>
      </c>
      <c r="D65" s="1">
        <f t="shared" si="1"/>
        <v>32690</v>
      </c>
      <c r="E65">
        <f t="shared" si="3"/>
        <v>1989</v>
      </c>
      <c r="F65" s="6">
        <f t="shared" si="4"/>
        <v>182</v>
      </c>
      <c r="G65">
        <v>18.3</v>
      </c>
      <c r="H65">
        <v>7.2</v>
      </c>
      <c r="I65">
        <f>MAX(0,1-Fitting!$B$7*(Fitting!$B$6-Herm8889!C65)^2)</f>
        <v>0.42578735917247834</v>
      </c>
      <c r="J65">
        <f>tt(G65,H65,Fitting!$B$1:$E$1,Fitting!$B$2:$E$2)*I65</f>
        <v>5.4287884233866306</v>
      </c>
    </row>
    <row r="66" spans="1:10">
      <c r="A66" s="1">
        <f t="shared" si="2"/>
        <v>32691</v>
      </c>
      <c r="B66">
        <f t="shared" si="0"/>
        <v>349.93401278808102</v>
      </c>
      <c r="C66">
        <f>day_length(F66,$B$1,Fitting!$B$4)</f>
        <v>11.025392532348633</v>
      </c>
      <c r="D66" s="1">
        <f t="shared" si="1"/>
        <v>32691</v>
      </c>
      <c r="E66">
        <f t="shared" si="3"/>
        <v>1989</v>
      </c>
      <c r="F66" s="6">
        <f t="shared" si="4"/>
        <v>183</v>
      </c>
      <c r="G66">
        <v>19.3</v>
      </c>
      <c r="H66">
        <v>8.5</v>
      </c>
      <c r="I66">
        <f>MAX(0,1-Fitting!$B$7*(Fitting!$B$6-Herm8889!C66)^2)</f>
        <v>0.42641379832261916</v>
      </c>
      <c r="J66">
        <f>tt(G66,H66,Fitting!$B$1:$E$1,Fitting!$B$2:$E$2)*I66</f>
        <v>5.9271516340204515</v>
      </c>
    </row>
    <row r="67" spans="1:10">
      <c r="A67" s="1">
        <f t="shared" si="2"/>
        <v>32692</v>
      </c>
      <c r="B67">
        <f t="shared" si="0"/>
        <v>355.61446408053285</v>
      </c>
      <c r="C67">
        <f>day_length(F67,$B$1,Fitting!$B$4)</f>
        <v>11.031462669372559</v>
      </c>
      <c r="D67" s="1">
        <f t="shared" si="1"/>
        <v>32692</v>
      </c>
      <c r="E67">
        <f t="shared" si="3"/>
        <v>1989</v>
      </c>
      <c r="F67" s="6">
        <f t="shared" si="4"/>
        <v>184</v>
      </c>
      <c r="G67">
        <v>18.8</v>
      </c>
      <c r="H67">
        <v>7.8</v>
      </c>
      <c r="I67">
        <f>MAX(0,1-Fitting!$B$7*(Fitting!$B$6-Herm8889!C67)^2)</f>
        <v>0.42710162543642949</v>
      </c>
      <c r="J67">
        <f>tt(G67,H67,Fitting!$B$1:$E$1,Fitting!$B$2:$E$2)*I67</f>
        <v>5.6804512924518313</v>
      </c>
    </row>
    <row r="68" spans="1:10">
      <c r="A68" s="1">
        <f t="shared" si="2"/>
        <v>32693</v>
      </c>
      <c r="B68">
        <f t="shared" si="0"/>
        <v>362.05361050372898</v>
      </c>
      <c r="C68">
        <f>day_length(F68,$B$1,Fitting!$B$4)</f>
        <v>11.038130760192871</v>
      </c>
      <c r="D68" s="1">
        <f t="shared" si="1"/>
        <v>32693</v>
      </c>
      <c r="E68">
        <f t="shared" si="3"/>
        <v>1989</v>
      </c>
      <c r="F68" s="6">
        <f t="shared" si="4"/>
        <v>185</v>
      </c>
      <c r="G68">
        <v>20.3</v>
      </c>
      <c r="H68">
        <v>9.8000000000000007</v>
      </c>
      <c r="I68">
        <f>MAX(0,1-Fitting!$B$7*(Fitting!$B$6-Herm8889!C68)^2)</f>
        <v>0.42785028236677503</v>
      </c>
      <c r="J68">
        <f>tt(G68,H68,Fitting!$B$1:$E$1,Fitting!$B$2:$E$2)*I68</f>
        <v>6.439146423196104</v>
      </c>
    </row>
    <row r="69" spans="1:10">
      <c r="A69" s="1">
        <f t="shared" si="2"/>
        <v>32694</v>
      </c>
      <c r="B69">
        <f t="shared" ref="B69:B132" si="5">B68+J69</f>
        <v>366.2330392233456</v>
      </c>
      <c r="C69">
        <f>day_length(F69,$B$1,Fitting!$B$4)</f>
        <v>11.045392990112305</v>
      </c>
      <c r="D69" s="1">
        <f t="shared" ref="D69:D132" si="6">A69</f>
        <v>32694</v>
      </c>
      <c r="E69">
        <f t="shared" si="3"/>
        <v>1989</v>
      </c>
      <c r="F69" s="6">
        <f t="shared" si="4"/>
        <v>186</v>
      </c>
      <c r="G69">
        <v>14</v>
      </c>
      <c r="H69">
        <v>5.5</v>
      </c>
      <c r="I69">
        <f>MAX(0,1-Fitting!$B$7*(Fitting!$B$6-Herm8889!C69)^2)</f>
        <v>0.42865931392977108</v>
      </c>
      <c r="J69">
        <f>tt(G69,H69,Fitting!$B$1:$E$1,Fitting!$B$2:$E$2)*I69</f>
        <v>4.179428719616646</v>
      </c>
    </row>
    <row r="70" spans="1:10">
      <c r="A70" s="1">
        <f t="shared" ref="A70:A133" si="7">A69+1</f>
        <v>32695</v>
      </c>
      <c r="B70">
        <f t="shared" si="5"/>
        <v>368.23698155139408</v>
      </c>
      <c r="C70">
        <f>day_length(F70,$B$1,Fitting!$B$4)</f>
        <v>11.053244590759277</v>
      </c>
      <c r="D70" s="1">
        <f t="shared" si="6"/>
        <v>32695</v>
      </c>
      <c r="E70">
        <f t="shared" ref="E70:E133" si="8">YEAR(A70)</f>
        <v>1989</v>
      </c>
      <c r="F70" s="6">
        <f t="shared" ref="F70:F133" si="9">A70-DATE(E70,1,1)+1</f>
        <v>187</v>
      </c>
      <c r="G70">
        <v>10.5</v>
      </c>
      <c r="H70">
        <v>-1.5</v>
      </c>
      <c r="I70">
        <f>MAX(0,1-Fitting!$B$7*(Fitting!$B$6-Herm8889!C70)^2)</f>
        <v>0.42952814453971222</v>
      </c>
      <c r="J70">
        <f>tt(G70,H70,Fitting!$B$1:$E$1,Fitting!$B$2:$E$2)*I70</f>
        <v>2.0039423280484803</v>
      </c>
    </row>
    <row r="71" spans="1:10">
      <c r="A71" s="1">
        <f t="shared" si="7"/>
        <v>32696</v>
      </c>
      <c r="B71">
        <f t="shared" si="5"/>
        <v>370.94885472493854</v>
      </c>
      <c r="C71">
        <f>day_length(F71,$B$1,Fitting!$B$4)</f>
        <v>11.061683654785156</v>
      </c>
      <c r="D71" s="1">
        <f t="shared" si="6"/>
        <v>32696</v>
      </c>
      <c r="E71">
        <f t="shared" si="8"/>
        <v>1989</v>
      </c>
      <c r="F71" s="6">
        <f t="shared" si="9"/>
        <v>188</v>
      </c>
      <c r="G71">
        <v>9.4</v>
      </c>
      <c r="H71">
        <v>3.2</v>
      </c>
      <c r="I71">
        <f>MAX(0,1-Fitting!$B$7*(Fitting!$B$6-Herm8889!C71)^2)</f>
        <v>0.43045607884109816</v>
      </c>
      <c r="J71">
        <f>tt(G71,H71,Fitting!$B$1:$E$1,Fitting!$B$2:$E$2)*I71</f>
        <v>2.7118731735444466</v>
      </c>
    </row>
    <row r="72" spans="1:10">
      <c r="A72" s="1">
        <f t="shared" si="7"/>
        <v>32697</v>
      </c>
      <c r="B72">
        <f t="shared" si="5"/>
        <v>372.83229594221115</v>
      </c>
      <c r="C72">
        <f>day_length(F72,$B$1,Fitting!$B$4)</f>
        <v>11.07070255279541</v>
      </c>
      <c r="D72" s="1">
        <f t="shared" si="6"/>
        <v>32697</v>
      </c>
      <c r="E72">
        <f t="shared" si="8"/>
        <v>1989</v>
      </c>
      <c r="F72" s="6">
        <f t="shared" si="9"/>
        <v>189</v>
      </c>
      <c r="G72">
        <v>10.1</v>
      </c>
      <c r="H72">
        <v>-1.9</v>
      </c>
      <c r="I72">
        <f>MAX(0,1-Fitting!$B$7*(Fitting!$B$6-Herm8889!C72)^2)</f>
        <v>0.43144263663287896</v>
      </c>
      <c r="J72">
        <f>tt(G72,H72,Fitting!$B$1:$E$1,Fitting!$B$2:$E$2)*I72</f>
        <v>1.8834412172725898</v>
      </c>
    </row>
    <row r="73" spans="1:10">
      <c r="A73" s="1">
        <f t="shared" si="7"/>
        <v>32698</v>
      </c>
      <c r="B73">
        <f t="shared" si="5"/>
        <v>375.70833503836531</v>
      </c>
      <c r="C73">
        <f>day_length(F73,$B$1,Fitting!$B$4)</f>
        <v>11.080299377441406</v>
      </c>
      <c r="D73" s="1">
        <f t="shared" si="6"/>
        <v>32698</v>
      </c>
      <c r="E73">
        <f t="shared" si="8"/>
        <v>1989</v>
      </c>
      <c r="F73" s="6">
        <f t="shared" si="9"/>
        <v>190</v>
      </c>
      <c r="G73">
        <v>13.1</v>
      </c>
      <c r="H73">
        <v>0.2</v>
      </c>
      <c r="I73">
        <f>MAX(0,1-Fitting!$B$7*(Fitting!$B$6-Herm8889!C73)^2)</f>
        <v>0.43248710693757497</v>
      </c>
      <c r="J73">
        <f>tt(G73,H73,Fitting!$B$1:$E$1,Fitting!$B$2:$E$2)*I73</f>
        <v>2.8760390961541353</v>
      </c>
    </row>
    <row r="74" spans="1:10">
      <c r="A74" s="1">
        <f t="shared" si="7"/>
        <v>32699</v>
      </c>
      <c r="B74">
        <f t="shared" si="5"/>
        <v>379.54559484872976</v>
      </c>
      <c r="C74">
        <f>day_length(F74,$B$1,Fitting!$B$4)</f>
        <v>11.090465545654297</v>
      </c>
      <c r="D74" s="1">
        <f t="shared" si="6"/>
        <v>32699</v>
      </c>
      <c r="E74">
        <f t="shared" si="8"/>
        <v>1989</v>
      </c>
      <c r="F74" s="6">
        <f t="shared" si="9"/>
        <v>191</v>
      </c>
      <c r="G74">
        <v>13.7</v>
      </c>
      <c r="H74">
        <v>4</v>
      </c>
      <c r="I74">
        <f>MAX(0,1-Fitting!$B$7*(Fitting!$B$6-Herm8889!C74)^2)</f>
        <v>0.43358866044785283</v>
      </c>
      <c r="J74">
        <f>tt(G74,H74,Fitting!$B$1:$E$1,Fitting!$B$2:$E$2)*I74</f>
        <v>3.8372598103644453</v>
      </c>
    </row>
    <row r="75" spans="1:10">
      <c r="A75" s="1">
        <f t="shared" si="7"/>
        <v>32700</v>
      </c>
      <c r="B75">
        <f t="shared" si="5"/>
        <v>382.63229725689348</v>
      </c>
      <c r="C75">
        <f>day_length(F75,$B$1,Fitting!$B$4)</f>
        <v>11.101198196411133</v>
      </c>
      <c r="D75" s="1">
        <f t="shared" si="6"/>
        <v>32700</v>
      </c>
      <c r="E75">
        <f t="shared" si="8"/>
        <v>1989</v>
      </c>
      <c r="F75" s="6">
        <f t="shared" si="9"/>
        <v>192</v>
      </c>
      <c r="G75">
        <v>10.3</v>
      </c>
      <c r="H75">
        <v>3.9</v>
      </c>
      <c r="I75">
        <f>MAX(0,1-Fitting!$B$7*(Fitting!$B$6-Herm8889!C75)^2)</f>
        <v>0.43474679469309196</v>
      </c>
      <c r="J75">
        <f>tt(G75,H75,Fitting!$B$1:$E$1,Fitting!$B$2:$E$2)*I75</f>
        <v>3.0867024081636938</v>
      </c>
    </row>
    <row r="76" spans="1:10">
      <c r="A76" s="1">
        <f t="shared" si="7"/>
        <v>32701</v>
      </c>
      <c r="B76">
        <f t="shared" si="5"/>
        <v>385.1390712990983</v>
      </c>
      <c r="C76">
        <f>day_length(F76,$B$1,Fitting!$B$4)</f>
        <v>11.112491607666016</v>
      </c>
      <c r="D76" s="1">
        <f t="shared" si="6"/>
        <v>32701</v>
      </c>
      <c r="E76">
        <f t="shared" si="8"/>
        <v>1989</v>
      </c>
      <c r="F76" s="6">
        <f t="shared" si="9"/>
        <v>193</v>
      </c>
      <c r="G76">
        <v>7</v>
      </c>
      <c r="H76">
        <v>4.5</v>
      </c>
      <c r="I76">
        <f>MAX(0,1-Fitting!$B$7*(Fitting!$B$6-Herm8889!C76)^2)</f>
        <v>0.43596066683871326</v>
      </c>
      <c r="J76">
        <f>tt(G76,H76,Fitting!$B$1:$E$1,Fitting!$B$2:$E$2)*I76</f>
        <v>2.5067740422048468</v>
      </c>
    </row>
    <row r="77" spans="1:10">
      <c r="A77" s="1">
        <f t="shared" si="7"/>
        <v>32702</v>
      </c>
      <c r="B77">
        <f t="shared" si="5"/>
        <v>387.17218766668867</v>
      </c>
      <c r="C77">
        <f>day_length(F77,$B$1,Fitting!$B$4)</f>
        <v>11.124340057373047</v>
      </c>
      <c r="D77" s="1">
        <f t="shared" si="6"/>
        <v>32702</v>
      </c>
      <c r="E77">
        <f t="shared" si="8"/>
        <v>1989</v>
      </c>
      <c r="F77" s="6">
        <f t="shared" si="9"/>
        <v>194</v>
      </c>
      <c r="G77">
        <v>8.3000000000000007</v>
      </c>
      <c r="H77">
        <v>1</v>
      </c>
      <c r="I77">
        <f>MAX(0,1-Fitting!$B$7*(Fitting!$B$6-Herm8889!C77)^2)</f>
        <v>0.4372293173963262</v>
      </c>
      <c r="J77">
        <f>tt(G77,H77,Fitting!$B$1:$E$1,Fitting!$B$2:$E$2)*I77</f>
        <v>2.0331163675903539</v>
      </c>
    </row>
    <row r="78" spans="1:10">
      <c r="A78" s="1">
        <f t="shared" si="7"/>
        <v>32703</v>
      </c>
      <c r="B78">
        <f t="shared" si="5"/>
        <v>388.31516643506876</v>
      </c>
      <c r="C78">
        <f>day_length(F78,$B$1,Fitting!$B$4)</f>
        <v>11.136735916137695</v>
      </c>
      <c r="D78" s="1">
        <f t="shared" si="6"/>
        <v>32703</v>
      </c>
      <c r="E78">
        <f t="shared" si="8"/>
        <v>1989</v>
      </c>
      <c r="F78" s="6">
        <f t="shared" si="9"/>
        <v>195</v>
      </c>
      <c r="G78">
        <v>5.9</v>
      </c>
      <c r="H78">
        <v>-0.9</v>
      </c>
      <c r="I78">
        <f>MAX(0,1-Fitting!$B$7*(Fitting!$B$6-Herm8889!C78)^2)</f>
        <v>0.43855211402240823</v>
      </c>
      <c r="J78">
        <f>tt(G78,H78,Fitting!$B$1:$E$1,Fitting!$B$2:$E$2)*I78</f>
        <v>1.1429787683800774</v>
      </c>
    </row>
    <row r="79" spans="1:10">
      <c r="A79" s="1">
        <f t="shared" si="7"/>
        <v>32704</v>
      </c>
      <c r="B79">
        <f t="shared" si="5"/>
        <v>389.89821375988299</v>
      </c>
      <c r="C79">
        <f>day_length(F79,$B$1,Fitting!$B$4)</f>
        <v>11.149674415588379</v>
      </c>
      <c r="D79" s="1">
        <f t="shared" si="6"/>
        <v>32704</v>
      </c>
      <c r="E79">
        <f t="shared" si="8"/>
        <v>1989</v>
      </c>
      <c r="F79" s="6">
        <f t="shared" si="9"/>
        <v>196</v>
      </c>
      <c r="G79">
        <v>9.1</v>
      </c>
      <c r="H79">
        <v>-3.2</v>
      </c>
      <c r="I79">
        <f>MAX(0,1-Fitting!$B$7*(Fitting!$B$6-Herm8889!C79)^2)</f>
        <v>0.43992819702869745</v>
      </c>
      <c r="J79">
        <f>tt(G79,H79,Fitting!$B$1:$E$1,Fitting!$B$2:$E$2)*I79</f>
        <v>1.5830473248142478</v>
      </c>
    </row>
    <row r="80" spans="1:10">
      <c r="A80" s="1">
        <f t="shared" si="7"/>
        <v>32705</v>
      </c>
      <c r="B80">
        <f t="shared" si="5"/>
        <v>392.56842189034541</v>
      </c>
      <c r="C80">
        <f>day_length(F80,$B$1,Fitting!$B$4)</f>
        <v>11.163147926330566</v>
      </c>
      <c r="D80" s="1">
        <f t="shared" si="6"/>
        <v>32705</v>
      </c>
      <c r="E80">
        <f t="shared" si="8"/>
        <v>1989</v>
      </c>
      <c r="F80" s="6">
        <f t="shared" si="9"/>
        <v>197</v>
      </c>
      <c r="G80">
        <v>12.1</v>
      </c>
      <c r="H80">
        <v>0</v>
      </c>
      <c r="I80">
        <f>MAX(0,1-Fitting!$B$7*(Fitting!$B$6-Herm8889!C80)^2)</f>
        <v>0.4413567018645117</v>
      </c>
      <c r="J80">
        <f>tt(G80,H80,Fitting!$B$1:$E$1,Fitting!$B$2:$E$2)*I80</f>
        <v>2.6702081304624059</v>
      </c>
    </row>
    <row r="81" spans="1:10">
      <c r="A81" s="1">
        <f t="shared" si="7"/>
        <v>32706</v>
      </c>
      <c r="B81">
        <f t="shared" si="5"/>
        <v>394.51690297771859</v>
      </c>
      <c r="C81">
        <f>day_length(F81,$B$1,Fitting!$B$4)</f>
        <v>11.177150726318359</v>
      </c>
      <c r="D81" s="1">
        <f t="shared" si="6"/>
        <v>32706</v>
      </c>
      <c r="E81">
        <f t="shared" si="8"/>
        <v>1989</v>
      </c>
      <c r="F81" s="6">
        <f t="shared" si="9"/>
        <v>198</v>
      </c>
      <c r="G81">
        <v>7.1</v>
      </c>
      <c r="H81">
        <v>1.7</v>
      </c>
      <c r="I81">
        <f>MAX(0,1-Fitting!$B$7*(Fitting!$B$6-Herm8889!C81)^2)</f>
        <v>0.44283664915953158</v>
      </c>
      <c r="J81">
        <f>tt(G81,H81,Fitting!$B$1:$E$1,Fitting!$B$2:$E$2)*I81</f>
        <v>1.9484810873731635</v>
      </c>
    </row>
    <row r="82" spans="1:10">
      <c r="A82" s="1">
        <f t="shared" si="7"/>
        <v>32707</v>
      </c>
      <c r="B82">
        <f t="shared" si="5"/>
        <v>397.64969214769565</v>
      </c>
      <c r="C82">
        <f>day_length(F82,$B$1,Fitting!$B$4)</f>
        <v>11.191676139831543</v>
      </c>
      <c r="D82" s="1">
        <f t="shared" si="6"/>
        <v>32707</v>
      </c>
      <c r="E82">
        <f t="shared" si="8"/>
        <v>1989</v>
      </c>
      <c r="F82" s="6">
        <f t="shared" si="9"/>
        <v>199</v>
      </c>
      <c r="G82">
        <v>10.9</v>
      </c>
      <c r="H82">
        <v>3.2</v>
      </c>
      <c r="I82">
        <f>MAX(0,1-Fitting!$B$7*(Fitting!$B$6-Herm8889!C82)^2)</f>
        <v>0.44436727618603622</v>
      </c>
      <c r="J82">
        <f>tt(G82,H82,Fitting!$B$1:$E$1,Fitting!$B$2:$E$2)*I82</f>
        <v>3.132789169977058</v>
      </c>
    </row>
    <row r="83" spans="1:10">
      <c r="A83" s="1">
        <f t="shared" si="7"/>
        <v>32708</v>
      </c>
      <c r="B83">
        <f t="shared" si="5"/>
        <v>399.29969827331308</v>
      </c>
      <c r="C83">
        <f>day_length(F83,$B$1,Fitting!$B$4)</f>
        <v>11.20671558380127</v>
      </c>
      <c r="D83" s="1">
        <f t="shared" si="6"/>
        <v>32708</v>
      </c>
      <c r="E83">
        <f t="shared" si="8"/>
        <v>1989</v>
      </c>
      <c r="F83" s="6">
        <f t="shared" si="9"/>
        <v>200</v>
      </c>
      <c r="G83">
        <v>5.9</v>
      </c>
      <c r="H83">
        <v>1.5</v>
      </c>
      <c r="I83">
        <f>MAX(0,1-Fitting!$B$7*(Fitting!$B$6-Herm8889!C83)^2)</f>
        <v>0.44594759577108201</v>
      </c>
      <c r="J83">
        <f>tt(G83,H83,Fitting!$B$1:$E$1,Fitting!$B$2:$E$2)*I83</f>
        <v>1.6500061256174419</v>
      </c>
    </row>
    <row r="84" spans="1:10">
      <c r="A84" s="1">
        <f t="shared" si="7"/>
        <v>32709</v>
      </c>
      <c r="B84">
        <f t="shared" si="5"/>
        <v>401.44806612409286</v>
      </c>
      <c r="C84">
        <f>day_length(F84,$B$1,Fitting!$B$4)</f>
        <v>11.222264289855957</v>
      </c>
      <c r="D84" s="1">
        <f t="shared" si="6"/>
        <v>32709</v>
      </c>
      <c r="E84">
        <f t="shared" si="8"/>
        <v>1989</v>
      </c>
      <c r="F84" s="6">
        <f t="shared" si="9"/>
        <v>201</v>
      </c>
      <c r="G84">
        <v>9.6</v>
      </c>
      <c r="H84">
        <v>0</v>
      </c>
      <c r="I84">
        <f>MAX(0,1-Fitting!$B$7*(Fitting!$B$6-Herm8889!C84)^2)</f>
        <v>0.44757661779402402</v>
      </c>
      <c r="J84">
        <f>tt(G84,H84,Fitting!$B$1:$E$1,Fitting!$B$2:$E$2)*I84</f>
        <v>2.1483678507797803</v>
      </c>
    </row>
    <row r="85" spans="1:10">
      <c r="A85" s="1">
        <f t="shared" si="7"/>
        <v>32710</v>
      </c>
      <c r="B85">
        <f t="shared" si="5"/>
        <v>402.69934899277354</v>
      </c>
      <c r="C85">
        <f>day_length(F85,$B$1,Fitting!$B$4)</f>
        <v>11.238311767578125</v>
      </c>
      <c r="D85" s="1">
        <f t="shared" si="6"/>
        <v>32710</v>
      </c>
      <c r="E85">
        <f t="shared" si="8"/>
        <v>1989</v>
      </c>
      <c r="F85" s="6">
        <f t="shared" si="9"/>
        <v>202</v>
      </c>
      <c r="G85">
        <v>7.5</v>
      </c>
      <c r="H85">
        <v>-3.7</v>
      </c>
      <c r="I85">
        <f>MAX(0,1-Fitting!$B$7*(Fitting!$B$6-Herm8889!C85)^2)</f>
        <v>0.44925334954367457</v>
      </c>
      <c r="J85">
        <f>tt(G85,H85,Fitting!$B$1:$E$1,Fitting!$B$2:$E$2)*I85</f>
        <v>1.2512828686806849</v>
      </c>
    </row>
    <row r="86" spans="1:10">
      <c r="A86" s="1">
        <f t="shared" si="7"/>
        <v>32711</v>
      </c>
      <c r="B86">
        <f t="shared" si="5"/>
        <v>404.42160388499065</v>
      </c>
      <c r="C86">
        <f>day_length(F86,$B$1,Fitting!$B$4)</f>
        <v>11.254855155944824</v>
      </c>
      <c r="D86" s="1">
        <f t="shared" si="6"/>
        <v>32711</v>
      </c>
      <c r="E86">
        <f t="shared" si="8"/>
        <v>1989</v>
      </c>
      <c r="F86" s="6">
        <f t="shared" si="9"/>
        <v>203</v>
      </c>
      <c r="G86">
        <v>9.3000000000000007</v>
      </c>
      <c r="H86">
        <v>-2.5</v>
      </c>
      <c r="I86">
        <f>MAX(0,1-Fitting!$B$7*(Fitting!$B$6-Herm8889!C86)^2)</f>
        <v>0.45097690554160541</v>
      </c>
      <c r="J86">
        <f>tt(G86,H86,Fitting!$B$1:$E$1,Fitting!$B$2:$E$2)*I86</f>
        <v>1.7222548922171022</v>
      </c>
    </row>
    <row r="87" spans="1:10">
      <c r="A87" s="1">
        <f t="shared" si="7"/>
        <v>32712</v>
      </c>
      <c r="B87">
        <f t="shared" si="5"/>
        <v>406.66269889907801</v>
      </c>
      <c r="C87">
        <f>day_length(F87,$B$1,Fitting!$B$4)</f>
        <v>11.271882057189941</v>
      </c>
      <c r="D87" s="1">
        <f t="shared" si="6"/>
        <v>32712</v>
      </c>
      <c r="E87">
        <f t="shared" si="8"/>
        <v>1989</v>
      </c>
      <c r="F87" s="6">
        <f t="shared" si="9"/>
        <v>204</v>
      </c>
      <c r="G87">
        <v>8.6</v>
      </c>
      <c r="H87">
        <v>1.3</v>
      </c>
      <c r="I87">
        <f>MAX(0,1-Fitting!$B$7*(Fitting!$B$6-Herm8889!C87)^2)</f>
        <v>0.45274639771096548</v>
      </c>
      <c r="J87">
        <f>tt(G87,H87,Fitting!$B$1:$E$1,Fitting!$B$2:$E$2)*I87</f>
        <v>2.2410950140873682</v>
      </c>
    </row>
    <row r="88" spans="1:10">
      <c r="A88" s="1">
        <f t="shared" si="7"/>
        <v>32713</v>
      </c>
      <c r="B88">
        <f t="shared" si="5"/>
        <v>408.93550194072321</v>
      </c>
      <c r="C88">
        <f>day_length(F88,$B$1,Fitting!$B$4)</f>
        <v>11.289387702941895</v>
      </c>
      <c r="D88" s="1">
        <f t="shared" si="6"/>
        <v>32713</v>
      </c>
      <c r="E88">
        <f t="shared" si="8"/>
        <v>1989</v>
      </c>
      <c r="F88" s="6">
        <f t="shared" si="9"/>
        <v>205</v>
      </c>
      <c r="G88">
        <v>8</v>
      </c>
      <c r="H88">
        <v>2</v>
      </c>
      <c r="I88">
        <f>MAX(0,1-Fitting!$B$7*(Fitting!$B$6-Herm8889!C88)^2)</f>
        <v>0.45456060832904222</v>
      </c>
      <c r="J88">
        <f>tt(G88,H88,Fitting!$B$1:$E$1,Fitting!$B$2:$E$2)*I88</f>
        <v>2.272803041645211</v>
      </c>
    </row>
    <row r="89" spans="1:10">
      <c r="A89" s="1">
        <f t="shared" si="7"/>
        <v>32714</v>
      </c>
      <c r="B89">
        <f t="shared" si="5"/>
        <v>410.39604117445242</v>
      </c>
      <c r="C89">
        <f>day_length(F89,$B$1,Fitting!$B$4)</f>
        <v>11.30736255645752</v>
      </c>
      <c r="D89" s="1">
        <f t="shared" si="6"/>
        <v>32714</v>
      </c>
      <c r="E89">
        <f t="shared" si="8"/>
        <v>1989</v>
      </c>
      <c r="F89" s="6">
        <f t="shared" si="9"/>
        <v>206</v>
      </c>
      <c r="G89">
        <v>6.5</v>
      </c>
      <c r="H89">
        <v>-0.1</v>
      </c>
      <c r="I89">
        <f>MAX(0,1-Fitting!$B$7*(Fitting!$B$6-Herm8889!C89)^2)</f>
        <v>0.45641853774504304</v>
      </c>
      <c r="J89">
        <f>tt(G89,H89,Fitting!$B$1:$E$1,Fitting!$B$2:$E$2)*I89</f>
        <v>1.4605392337292102</v>
      </c>
    </row>
    <row r="90" spans="1:10">
      <c r="A90" s="1">
        <f t="shared" si="7"/>
        <v>32715</v>
      </c>
      <c r="B90">
        <f t="shared" si="5"/>
        <v>413.21470554598477</v>
      </c>
      <c r="C90">
        <f>day_length(F90,$B$1,Fitting!$B$4)</f>
        <v>11.325800895690918</v>
      </c>
      <c r="D90" s="1">
        <f t="shared" si="6"/>
        <v>32715</v>
      </c>
      <c r="E90">
        <f t="shared" si="8"/>
        <v>1989</v>
      </c>
      <c r="F90" s="6">
        <f t="shared" si="9"/>
        <v>207</v>
      </c>
      <c r="G90">
        <v>10.199999999999999</v>
      </c>
      <c r="H90">
        <v>2.1</v>
      </c>
      <c r="I90">
        <f>MAX(0,1-Fitting!$B$7*(Fitting!$B$6-Herm8889!C90)^2)</f>
        <v>0.45831940289814699</v>
      </c>
      <c r="J90">
        <f>tt(G90,H90,Fitting!$B$1:$E$1,Fitting!$B$2:$E$2)*I90</f>
        <v>2.8186643715323485</v>
      </c>
    </row>
    <row r="91" spans="1:10">
      <c r="A91" s="1">
        <f t="shared" si="7"/>
        <v>32716</v>
      </c>
      <c r="B91">
        <f t="shared" si="5"/>
        <v>417.81732539038421</v>
      </c>
      <c r="C91">
        <f>day_length(F91,$B$1,Fitting!$B$4)</f>
        <v>11.344694137573242</v>
      </c>
      <c r="D91" s="1">
        <f t="shared" si="6"/>
        <v>32716</v>
      </c>
      <c r="E91">
        <f t="shared" si="8"/>
        <v>1989</v>
      </c>
      <c r="F91" s="6">
        <f t="shared" si="9"/>
        <v>208</v>
      </c>
      <c r="G91">
        <v>16</v>
      </c>
      <c r="H91">
        <v>4</v>
      </c>
      <c r="I91">
        <f>MAX(0,1-Fitting!$B$7*(Fitting!$B$6-Herm8889!C91)^2)</f>
        <v>0.46026198443994504</v>
      </c>
      <c r="J91">
        <f>tt(G91,H91,Fitting!$B$1:$E$1,Fitting!$B$2:$E$2)*I91</f>
        <v>4.6026198443994506</v>
      </c>
    </row>
    <row r="92" spans="1:10">
      <c r="A92" s="1">
        <f t="shared" si="7"/>
        <v>32717</v>
      </c>
      <c r="B92">
        <f t="shared" si="5"/>
        <v>422.55533907991185</v>
      </c>
      <c r="C92">
        <f>day_length(F92,$B$1,Fitting!$B$4)</f>
        <v>11.364032745361328</v>
      </c>
      <c r="D92" s="1">
        <f t="shared" si="6"/>
        <v>32717</v>
      </c>
      <c r="E92">
        <f t="shared" si="8"/>
        <v>1989</v>
      </c>
      <c r="F92" s="6">
        <f t="shared" si="9"/>
        <v>209</v>
      </c>
      <c r="G92">
        <v>17</v>
      </c>
      <c r="H92">
        <v>3.5</v>
      </c>
      <c r="I92">
        <f>MAX(0,1-Fitting!$B$7*(Fitting!$B$6-Herm8889!C92)^2)</f>
        <v>0.46224528101064244</v>
      </c>
      <c r="J92">
        <f>tt(G92,H92,Fitting!$B$1:$E$1,Fitting!$B$2:$E$2)*I92</f>
        <v>4.7380136895276328</v>
      </c>
    </row>
    <row r="93" spans="1:10">
      <c r="A93" s="1">
        <f t="shared" si="7"/>
        <v>32718</v>
      </c>
      <c r="B93">
        <f t="shared" si="5"/>
        <v>427.89442443016287</v>
      </c>
      <c r="C93">
        <f>day_length(F93,$B$1,Fitting!$B$4)</f>
        <v>11.383810043334961</v>
      </c>
      <c r="D93" s="1">
        <f t="shared" si="6"/>
        <v>32718</v>
      </c>
      <c r="E93">
        <f t="shared" si="8"/>
        <v>1989</v>
      </c>
      <c r="F93" s="6">
        <f t="shared" si="9"/>
        <v>210</v>
      </c>
      <c r="G93">
        <v>17</v>
      </c>
      <c r="H93">
        <v>6</v>
      </c>
      <c r="I93">
        <f>MAX(0,1-Fitting!$B$7*(Fitting!$B$6-Herm8889!C93)^2)</f>
        <v>0.46426829132617597</v>
      </c>
      <c r="J93">
        <f>tt(G93,H93,Fitting!$B$1:$E$1,Fitting!$B$2:$E$2)*I93</f>
        <v>5.3390853502510236</v>
      </c>
    </row>
    <row r="94" spans="1:10">
      <c r="A94" s="1">
        <f t="shared" si="7"/>
        <v>32719</v>
      </c>
      <c r="B94">
        <f t="shared" si="5"/>
        <v>433.95671461849702</v>
      </c>
      <c r="C94">
        <f>day_length(F94,$B$1,Fitting!$B$4)</f>
        <v>11.404018402099609</v>
      </c>
      <c r="D94" s="1">
        <f t="shared" si="6"/>
        <v>32719</v>
      </c>
      <c r="E94">
        <f t="shared" si="8"/>
        <v>1989</v>
      </c>
      <c r="F94" s="6">
        <f t="shared" si="9"/>
        <v>211</v>
      </c>
      <c r="G94">
        <v>15</v>
      </c>
      <c r="H94">
        <v>11</v>
      </c>
      <c r="I94">
        <f>MAX(0,1-Fitting!$B$7*(Fitting!$B$6-Herm8889!C94)^2)</f>
        <v>0.46633001448724276</v>
      </c>
      <c r="J94">
        <f>tt(G94,H94,Fitting!$B$1:$E$1,Fitting!$B$2:$E$2)*I94</f>
        <v>6.0622901883341562</v>
      </c>
    </row>
    <row r="95" spans="1:10">
      <c r="A95" s="1">
        <f t="shared" si="7"/>
        <v>32720</v>
      </c>
      <c r="B95">
        <f t="shared" si="5"/>
        <v>439.01575160755021</v>
      </c>
      <c r="C95">
        <f>day_length(F95,$B$1,Fitting!$B$4)</f>
        <v>11.424649238586426</v>
      </c>
      <c r="D95" s="1">
        <f t="shared" si="6"/>
        <v>32720</v>
      </c>
      <c r="E95">
        <f t="shared" si="8"/>
        <v>1989</v>
      </c>
      <c r="F95" s="6">
        <f t="shared" si="9"/>
        <v>212</v>
      </c>
      <c r="G95">
        <v>12</v>
      </c>
      <c r="H95">
        <v>9.6</v>
      </c>
      <c r="I95">
        <f>MAX(0,1-Fitting!$B$7*(Fitting!$B$6-Herm8889!C95)^2)</f>
        <v>0.46842934256549962</v>
      </c>
      <c r="J95">
        <f>tt(G95,H95,Fitting!$B$1:$E$1,Fitting!$B$2:$E$2)*I95</f>
        <v>5.0590369890532028</v>
      </c>
    </row>
    <row r="96" spans="1:10">
      <c r="A96" s="1">
        <f t="shared" si="7"/>
        <v>32721</v>
      </c>
      <c r="B96">
        <f t="shared" si="5"/>
        <v>443.25083910043122</v>
      </c>
      <c r="C96">
        <f>day_length(F96,$B$1,Fitting!$B$4)</f>
        <v>11.445693016052246</v>
      </c>
      <c r="D96" s="1">
        <f t="shared" si="6"/>
        <v>32721</v>
      </c>
      <c r="E96">
        <f t="shared" si="8"/>
        <v>1989</v>
      </c>
      <c r="F96" s="6">
        <f t="shared" si="9"/>
        <v>213</v>
      </c>
      <c r="G96">
        <v>15</v>
      </c>
      <c r="H96">
        <v>3</v>
      </c>
      <c r="I96">
        <f>MAX(0,1-Fitting!$B$7*(Fitting!$B$6-Herm8889!C96)^2)</f>
        <v>0.47056527698678108</v>
      </c>
      <c r="J96">
        <f>tt(G96,H96,Fitting!$B$1:$E$1,Fitting!$B$2:$E$2)*I96</f>
        <v>4.2350874928810294</v>
      </c>
    </row>
    <row r="97" spans="1:10">
      <c r="A97" s="1">
        <f t="shared" si="7"/>
        <v>32722</v>
      </c>
      <c r="B97">
        <f t="shared" si="5"/>
        <v>445.638160134028</v>
      </c>
      <c r="C97">
        <f>day_length(F97,$B$1,Fitting!$B$4)</f>
        <v>11.467144966125488</v>
      </c>
      <c r="D97" s="1">
        <f t="shared" si="6"/>
        <v>32722</v>
      </c>
      <c r="E97">
        <f t="shared" si="8"/>
        <v>1989</v>
      </c>
      <c r="F97" s="6">
        <f t="shared" si="9"/>
        <v>214</v>
      </c>
      <c r="G97">
        <v>10.6</v>
      </c>
      <c r="H97">
        <v>-0.5</v>
      </c>
      <c r="I97">
        <f>MAX(0,1-Fitting!$B$7*(Fitting!$B$6-Herm8889!C97)^2)</f>
        <v>0.4727368204810718</v>
      </c>
      <c r="J97">
        <f>tt(G97,H97,Fitting!$B$1:$E$1,Fitting!$B$2:$E$2)*I97</f>
        <v>2.3873210335968054</v>
      </c>
    </row>
    <row r="98" spans="1:10">
      <c r="A98" s="1">
        <f t="shared" si="7"/>
        <v>32723</v>
      </c>
      <c r="B98">
        <f t="shared" si="5"/>
        <v>449.69892085047525</v>
      </c>
      <c r="C98">
        <f>day_length(F98,$B$1,Fitting!$B$4)</f>
        <v>11.488992691040039</v>
      </c>
      <c r="D98" s="1">
        <f t="shared" si="6"/>
        <v>32723</v>
      </c>
      <c r="E98">
        <f t="shared" si="8"/>
        <v>1989</v>
      </c>
      <c r="F98" s="6">
        <f t="shared" si="9"/>
        <v>215</v>
      </c>
      <c r="G98">
        <v>14.8</v>
      </c>
      <c r="H98">
        <v>2.2999999999999998</v>
      </c>
      <c r="I98">
        <f>MAX(0,1-Fitting!$B$7*(Fitting!$B$6-Herm8889!C98)^2)</f>
        <v>0.47494276325837748</v>
      </c>
      <c r="J98">
        <f>tt(G98,H98,Fitting!$B$1:$E$1,Fitting!$B$2:$E$2)*I98</f>
        <v>4.0607607164472705</v>
      </c>
    </row>
    <row r="99" spans="1:10">
      <c r="A99" s="1">
        <f t="shared" si="7"/>
        <v>32724</v>
      </c>
      <c r="B99">
        <f t="shared" si="5"/>
        <v>453.70725266643649</v>
      </c>
      <c r="C99">
        <f>day_length(F99,$B$1,Fitting!$B$4)</f>
        <v>11.511232376098633</v>
      </c>
      <c r="D99" s="1">
        <f t="shared" si="6"/>
        <v>32724</v>
      </c>
      <c r="E99">
        <f t="shared" si="8"/>
        <v>1989</v>
      </c>
      <c r="F99" s="6">
        <f t="shared" si="9"/>
        <v>216</v>
      </c>
      <c r="G99">
        <v>15.8</v>
      </c>
      <c r="H99">
        <v>1</v>
      </c>
      <c r="I99">
        <f>MAX(0,1-Fitting!$B$7*(Fitting!$B$6-Herm8889!C99)^2)</f>
        <v>0.47718232653753689</v>
      </c>
      <c r="J99">
        <f>tt(G99,H99,Fitting!$B$1:$E$1,Fitting!$B$2:$E$2)*I99</f>
        <v>4.0083318159612276</v>
      </c>
    </row>
    <row r="100" spans="1:10">
      <c r="A100" s="1">
        <f t="shared" si="7"/>
        <v>32725</v>
      </c>
      <c r="B100">
        <f t="shared" si="5"/>
        <v>457.78261426314117</v>
      </c>
      <c r="C100">
        <f>day_length(F100,$B$1,Fitting!$B$4)</f>
        <v>11.533852577209473</v>
      </c>
      <c r="D100" s="1">
        <f t="shared" si="6"/>
        <v>32725</v>
      </c>
      <c r="E100">
        <f t="shared" si="8"/>
        <v>1989</v>
      </c>
      <c r="F100" s="6">
        <f t="shared" si="9"/>
        <v>217</v>
      </c>
      <c r="G100">
        <v>14</v>
      </c>
      <c r="H100">
        <v>3</v>
      </c>
      <c r="I100">
        <f>MAX(0,1-Fitting!$B$7*(Fitting!$B$6-Herm8889!C100)^2)</f>
        <v>0.47945430549466983</v>
      </c>
      <c r="J100">
        <f>tt(G100,H100,Fitting!$B$1:$E$1,Fitting!$B$2:$E$2)*I100</f>
        <v>4.0753615967046937</v>
      </c>
    </row>
    <row r="101" spans="1:10">
      <c r="A101" s="1">
        <f t="shared" si="7"/>
        <v>32726</v>
      </c>
      <c r="B101">
        <f t="shared" si="5"/>
        <v>461.87755572199939</v>
      </c>
      <c r="C101">
        <f>day_length(F101,$B$1,Fitting!$B$4)</f>
        <v>11.55684757232666</v>
      </c>
      <c r="D101" s="1">
        <f t="shared" si="6"/>
        <v>32726</v>
      </c>
      <c r="E101">
        <f t="shared" si="8"/>
        <v>1989</v>
      </c>
      <c r="F101" s="6">
        <f t="shared" si="9"/>
        <v>218</v>
      </c>
      <c r="G101">
        <v>13.5</v>
      </c>
      <c r="H101">
        <v>3.5</v>
      </c>
      <c r="I101">
        <f>MAX(0,1-Fitting!$B$7*(Fitting!$B$6-Herm8889!C101)^2)</f>
        <v>0.48175781868919876</v>
      </c>
      <c r="J101">
        <f>tt(G101,H101,Fitting!$B$1:$E$1,Fitting!$B$2:$E$2)*I101</f>
        <v>4.0949414588581892</v>
      </c>
    </row>
    <row r="102" spans="1:10">
      <c r="A102" s="1">
        <f t="shared" si="7"/>
        <v>32727</v>
      </c>
      <c r="B102">
        <f t="shared" si="5"/>
        <v>465.8713128592525</v>
      </c>
      <c r="C102">
        <f>day_length(F102,$B$1,Fitting!$B$4)</f>
        <v>11.580208778381348</v>
      </c>
      <c r="D102" s="1">
        <f t="shared" si="6"/>
        <v>32727</v>
      </c>
      <c r="E102">
        <f t="shared" si="8"/>
        <v>1989</v>
      </c>
      <c r="F102" s="6">
        <f t="shared" si="9"/>
        <v>219</v>
      </c>
      <c r="G102">
        <v>12</v>
      </c>
      <c r="H102">
        <v>4.5</v>
      </c>
      <c r="I102">
        <f>MAX(0,1-Fitting!$B$7*(Fitting!$B$6-Herm8889!C102)^2)</f>
        <v>0.48409177421249661</v>
      </c>
      <c r="J102">
        <f>tt(G102,H102,Fitting!$B$1:$E$1,Fitting!$B$2:$E$2)*I102</f>
        <v>3.9937571372530969</v>
      </c>
    </row>
    <row r="103" spans="1:10">
      <c r="A103" s="1">
        <f t="shared" si="7"/>
        <v>32728</v>
      </c>
      <c r="B103">
        <f t="shared" si="5"/>
        <v>469.54404940435182</v>
      </c>
      <c r="C103">
        <f>day_length(F103,$B$1,Fitting!$B$4)</f>
        <v>11.603927612304688</v>
      </c>
      <c r="D103" s="1">
        <f t="shared" si="6"/>
        <v>32728</v>
      </c>
      <c r="E103">
        <f t="shared" si="8"/>
        <v>1989</v>
      </c>
      <c r="F103" s="6">
        <f t="shared" si="9"/>
        <v>220</v>
      </c>
      <c r="G103">
        <v>11.3</v>
      </c>
      <c r="H103">
        <v>3.8</v>
      </c>
      <c r="I103">
        <f>MAX(0,1-Fitting!$B$7*(Fitting!$B$6-Herm8889!C103)^2)</f>
        <v>0.48645518997023462</v>
      </c>
      <c r="J103">
        <f>tt(G103,H103,Fitting!$B$1:$E$1,Fitting!$B$2:$E$2)*I103</f>
        <v>3.6727365450993252</v>
      </c>
    </row>
    <row r="104" spans="1:10">
      <c r="A104" s="1">
        <f t="shared" si="7"/>
        <v>32729</v>
      </c>
      <c r="B104">
        <f t="shared" si="5"/>
        <v>472.74599676752064</v>
      </c>
      <c r="C104">
        <f>day_length(F104,$B$1,Fitting!$B$4)</f>
        <v>11.627995491027832</v>
      </c>
      <c r="D104" s="1">
        <f t="shared" si="6"/>
        <v>32729</v>
      </c>
      <c r="E104">
        <f t="shared" si="8"/>
        <v>1989</v>
      </c>
      <c r="F104" s="6">
        <f t="shared" si="9"/>
        <v>221</v>
      </c>
      <c r="G104">
        <v>10.1</v>
      </c>
      <c r="H104">
        <v>3</v>
      </c>
      <c r="I104">
        <f>MAX(0,1-Fitting!$B$7*(Fitting!$B$6-Herm8889!C104)^2)</f>
        <v>0.48884687585165376</v>
      </c>
      <c r="J104">
        <f>tt(G104,H104,Fitting!$B$1:$E$1,Fitting!$B$2:$E$2)*I104</f>
        <v>3.2019473631688293</v>
      </c>
    </row>
    <row r="105" spans="1:10">
      <c r="A105" s="1">
        <f t="shared" si="7"/>
        <v>32730</v>
      </c>
      <c r="B105">
        <f t="shared" si="5"/>
        <v>476.92175924760772</v>
      </c>
      <c r="C105">
        <f>day_length(F105,$B$1,Fitting!$B$4)</f>
        <v>11.652406692504883</v>
      </c>
      <c r="D105" s="1">
        <f t="shared" si="6"/>
        <v>32730</v>
      </c>
      <c r="E105">
        <f t="shared" si="8"/>
        <v>1989</v>
      </c>
      <c r="F105" s="6">
        <f t="shared" si="9"/>
        <v>222</v>
      </c>
      <c r="G105">
        <v>13</v>
      </c>
      <c r="H105">
        <v>4</v>
      </c>
      <c r="I105">
        <f>MAX(0,1-Fitting!$B$7*(Fitting!$B$6-Herm8889!C105)^2)</f>
        <v>0.49126617412789531</v>
      </c>
      <c r="J105">
        <f>tt(G105,H105,Fitting!$B$1:$E$1,Fitting!$B$2:$E$2)*I105</f>
        <v>4.1757624800871103</v>
      </c>
    </row>
    <row r="106" spans="1:10">
      <c r="A106" s="1">
        <f t="shared" si="7"/>
        <v>32731</v>
      </c>
      <c r="B106">
        <f t="shared" si="5"/>
        <v>480.87145338858858</v>
      </c>
      <c r="C106">
        <f>day_length(F106,$B$1,Fitting!$B$4)</f>
        <v>11.677150726318359</v>
      </c>
      <c r="D106" s="1">
        <f t="shared" si="6"/>
        <v>32731</v>
      </c>
      <c r="E106">
        <f t="shared" si="8"/>
        <v>1989</v>
      </c>
      <c r="F106" s="6">
        <f t="shared" si="9"/>
        <v>223</v>
      </c>
      <c r="G106">
        <v>13</v>
      </c>
      <c r="H106">
        <v>3</v>
      </c>
      <c r="I106">
        <f>MAX(0,1-Fitting!$B$7*(Fitting!$B$6-Herm8889!C106)^2)</f>
        <v>0.49371179705012214</v>
      </c>
      <c r="J106">
        <f>tt(G106,H106,Fitting!$B$1:$E$1,Fitting!$B$2:$E$2)*I106</f>
        <v>3.949694140980847</v>
      </c>
    </row>
    <row r="107" spans="1:10">
      <c r="A107" s="1">
        <f t="shared" si="7"/>
        <v>32732</v>
      </c>
      <c r="B107">
        <f t="shared" si="5"/>
        <v>484.34473430626133</v>
      </c>
      <c r="C107">
        <f>day_length(F107,$B$1,Fitting!$B$4)</f>
        <v>11.702221870422363</v>
      </c>
      <c r="D107" s="1">
        <f t="shared" si="6"/>
        <v>32732</v>
      </c>
      <c r="E107">
        <f t="shared" si="8"/>
        <v>1989</v>
      </c>
      <c r="F107" s="6">
        <f t="shared" si="9"/>
        <v>224</v>
      </c>
      <c r="G107">
        <v>14</v>
      </c>
      <c r="H107">
        <v>0</v>
      </c>
      <c r="I107">
        <f>MAX(0,1-Fitting!$B$7*(Fitting!$B$6-Herm8889!C107)^2)</f>
        <v>0.49618298823896656</v>
      </c>
      <c r="J107">
        <f>tt(G107,H107,Fitting!$B$1:$E$1,Fitting!$B$2:$E$2)*I107</f>
        <v>3.4732809176727661</v>
      </c>
    </row>
    <row r="108" spans="1:10">
      <c r="A108" s="1">
        <f t="shared" si="7"/>
        <v>32733</v>
      </c>
      <c r="B108">
        <f t="shared" si="5"/>
        <v>487.96015601274382</v>
      </c>
      <c r="C108">
        <f>day_length(F108,$B$1,Fitting!$B$4)</f>
        <v>11.727612495422363</v>
      </c>
      <c r="D108" s="1">
        <f t="shared" si="6"/>
        <v>32733</v>
      </c>
      <c r="E108">
        <f t="shared" si="8"/>
        <v>1989</v>
      </c>
      <c r="F108" s="6">
        <f t="shared" si="9"/>
        <v>225</v>
      </c>
      <c r="G108">
        <v>13</v>
      </c>
      <c r="H108">
        <v>1.5</v>
      </c>
      <c r="I108">
        <f>MAX(0,1-Fitting!$B$7*(Fitting!$B$6-Herm8889!C108)^2)</f>
        <v>0.49867888886498435</v>
      </c>
      <c r="J108">
        <f>tt(G108,H108,Fitting!$B$1:$E$1,Fitting!$B$2:$E$2)*I108</f>
        <v>3.6154217064825125</v>
      </c>
    </row>
    <row r="109" spans="1:10">
      <c r="A109" s="1">
        <f t="shared" si="7"/>
        <v>32734</v>
      </c>
      <c r="B109">
        <f t="shared" si="5"/>
        <v>491.66902269464464</v>
      </c>
      <c r="C109">
        <f>day_length(F109,$B$1,Fitting!$B$4)</f>
        <v>11.753313064575195</v>
      </c>
      <c r="D109" s="1">
        <f t="shared" si="6"/>
        <v>32734</v>
      </c>
      <c r="E109">
        <f t="shared" si="8"/>
        <v>1989</v>
      </c>
      <c r="F109" s="6">
        <f t="shared" si="9"/>
        <v>226</v>
      </c>
      <c r="G109">
        <v>14</v>
      </c>
      <c r="H109">
        <v>0.8</v>
      </c>
      <c r="I109">
        <f>MAX(0,1-Fitting!$B$7*(Fitting!$B$6-Herm8889!C109)^2)</f>
        <v>0.50119822609361475</v>
      </c>
      <c r="J109">
        <f>tt(G109,H109,Fitting!$B$1:$E$1,Fitting!$B$2:$E$2)*I109</f>
        <v>3.7088666819007989</v>
      </c>
    </row>
    <row r="110" spans="1:10">
      <c r="A110" s="1">
        <f t="shared" si="7"/>
        <v>32735</v>
      </c>
      <c r="B110">
        <f t="shared" si="5"/>
        <v>496.70642316613043</v>
      </c>
      <c r="C110">
        <f>day_length(F110,$B$1,Fitting!$B$4)</f>
        <v>11.779317855834961</v>
      </c>
      <c r="D110" s="1">
        <f t="shared" si="6"/>
        <v>32735</v>
      </c>
      <c r="E110">
        <f t="shared" si="8"/>
        <v>1989</v>
      </c>
      <c r="F110" s="6">
        <f t="shared" si="9"/>
        <v>227</v>
      </c>
      <c r="G110">
        <v>16</v>
      </c>
      <c r="H110">
        <v>4</v>
      </c>
      <c r="I110">
        <f>MAX(0,1-Fitting!$B$7*(Fitting!$B$6-Herm8889!C110)^2)</f>
        <v>0.50374004714858156</v>
      </c>
      <c r="J110">
        <f>tt(G110,H110,Fitting!$B$1:$E$1,Fitting!$B$2:$E$2)*I110</f>
        <v>5.0374004714858156</v>
      </c>
    </row>
    <row r="111" spans="1:10">
      <c r="A111" s="1">
        <f t="shared" si="7"/>
        <v>32736</v>
      </c>
      <c r="B111">
        <f t="shared" si="5"/>
        <v>501.13658110293352</v>
      </c>
      <c r="C111">
        <f>day_length(F111,$B$1,Fitting!$B$4)</f>
        <v>11.805618286132812</v>
      </c>
      <c r="D111" s="1">
        <f t="shared" si="6"/>
        <v>32736</v>
      </c>
      <c r="E111">
        <f t="shared" si="8"/>
        <v>1989</v>
      </c>
      <c r="F111" s="6">
        <f t="shared" si="9"/>
        <v>228</v>
      </c>
      <c r="G111">
        <v>15.5</v>
      </c>
      <c r="H111">
        <v>2</v>
      </c>
      <c r="I111">
        <f>MAX(0,1-Fitting!$B$7*(Fitting!$B$6-Herm8889!C111)^2)</f>
        <v>0.50630381938880054</v>
      </c>
      <c r="J111">
        <f>tt(G111,H111,Fitting!$B$1:$E$1,Fitting!$B$2:$E$2)*I111</f>
        <v>4.4301579368030559</v>
      </c>
    </row>
    <row r="112" spans="1:10">
      <c r="A112" s="1">
        <f t="shared" si="7"/>
        <v>32737</v>
      </c>
      <c r="B112">
        <f t="shared" si="5"/>
        <v>506.22546444992855</v>
      </c>
      <c r="C112">
        <f>day_length(F112,$B$1,Fitting!$B$4)</f>
        <v>11.832207679748535</v>
      </c>
      <c r="D112" s="1">
        <f t="shared" si="6"/>
        <v>32737</v>
      </c>
      <c r="E112">
        <f t="shared" si="8"/>
        <v>1989</v>
      </c>
      <c r="F112" s="6">
        <f t="shared" si="9"/>
        <v>229</v>
      </c>
      <c r="G112">
        <v>15.6</v>
      </c>
      <c r="H112">
        <v>4.4000000000000004</v>
      </c>
      <c r="I112">
        <f>MAX(0,1-Fitting!$B$7*(Fitting!$B$6-Herm8889!C112)^2)</f>
        <v>0.50888828616813409</v>
      </c>
      <c r="J112">
        <f>tt(G112,H112,Fitting!$B$1:$E$1,Fitting!$B$2:$E$2)*I112</f>
        <v>5.0888833469950292</v>
      </c>
    </row>
    <row r="113" spans="1:10">
      <c r="A113" s="1">
        <f t="shared" si="7"/>
        <v>32738</v>
      </c>
      <c r="B113">
        <f t="shared" si="5"/>
        <v>511.62171269805617</v>
      </c>
      <c r="C113">
        <f>day_length(F113,$B$1,Fitting!$B$4)</f>
        <v>11.859078407287598</v>
      </c>
      <c r="D113" s="1">
        <f t="shared" si="6"/>
        <v>32738</v>
      </c>
      <c r="E113">
        <f t="shared" si="8"/>
        <v>1989</v>
      </c>
      <c r="F113" s="6">
        <f t="shared" si="9"/>
        <v>230</v>
      </c>
      <c r="G113">
        <v>16.100000000000001</v>
      </c>
      <c r="H113">
        <v>5</v>
      </c>
      <c r="I113">
        <f>MAX(0,1-Fitting!$B$7*(Fitting!$B$6-Herm8889!C113)^2)</f>
        <v>0.51149271569366106</v>
      </c>
      <c r="J113">
        <f>tt(G113,H113,Fitting!$B$1:$E$1,Fitting!$B$2:$E$2)*I113</f>
        <v>5.3962482481276171</v>
      </c>
    </row>
    <row r="114" spans="1:10">
      <c r="A114" s="1">
        <f t="shared" si="7"/>
        <v>32739</v>
      </c>
      <c r="B114">
        <f t="shared" si="5"/>
        <v>517.14846045584568</v>
      </c>
      <c r="C114">
        <f>day_length(F114,$B$1,Fitting!$B$4)</f>
        <v>11.886222839355469</v>
      </c>
      <c r="D114" s="1">
        <f t="shared" si="6"/>
        <v>32739</v>
      </c>
      <c r="E114">
        <f t="shared" si="8"/>
        <v>1989</v>
      </c>
      <c r="F114" s="6">
        <f t="shared" si="9"/>
        <v>231</v>
      </c>
      <c r="G114">
        <v>16.5</v>
      </c>
      <c r="H114">
        <v>5</v>
      </c>
      <c r="I114">
        <f>MAX(0,1-Fitting!$B$7*(Fitting!$B$6-Herm8889!C114)^2)</f>
        <v>0.51411607049204211</v>
      </c>
      <c r="J114">
        <f>tt(G114,H114,Fitting!$B$1:$E$1,Fitting!$B$2:$E$2)*I114</f>
        <v>5.5267477577894528</v>
      </c>
    </row>
    <row r="115" spans="1:10">
      <c r="A115" s="1">
        <f t="shared" si="7"/>
        <v>32740</v>
      </c>
      <c r="B115">
        <f t="shared" si="5"/>
        <v>523.86630961958258</v>
      </c>
      <c r="C115">
        <f>day_length(F115,$B$1,Fitting!$B$4)</f>
        <v>11.91363525390625</v>
      </c>
      <c r="D115" s="1">
        <f t="shared" si="6"/>
        <v>32740</v>
      </c>
      <c r="E115">
        <f t="shared" si="8"/>
        <v>1989</v>
      </c>
      <c r="F115" s="6">
        <f t="shared" si="9"/>
        <v>232</v>
      </c>
      <c r="G115">
        <v>19</v>
      </c>
      <c r="H115">
        <v>7</v>
      </c>
      <c r="I115">
        <f>MAX(0,1-Fitting!$B$7*(Fitting!$B$6-Herm8889!C115)^2)</f>
        <v>0.51675762797976499</v>
      </c>
      <c r="J115">
        <f>tt(G115,H115,Fitting!$B$1:$E$1,Fitting!$B$2:$E$2)*I115</f>
        <v>6.7178491637369451</v>
      </c>
    </row>
    <row r="116" spans="1:10">
      <c r="A116" s="1">
        <f t="shared" si="7"/>
        <v>32741</v>
      </c>
      <c r="B116">
        <f t="shared" si="5"/>
        <v>531.00828459581055</v>
      </c>
      <c r="C116">
        <f>day_length(F116,$B$1,Fitting!$B$4)</f>
        <v>11.941307067871094</v>
      </c>
      <c r="D116" s="1">
        <f t="shared" si="6"/>
        <v>32741</v>
      </c>
      <c r="E116">
        <f t="shared" si="8"/>
        <v>1989</v>
      </c>
      <c r="F116" s="6">
        <f t="shared" si="9"/>
        <v>233</v>
      </c>
      <c r="G116">
        <v>19.5</v>
      </c>
      <c r="H116">
        <v>8</v>
      </c>
      <c r="I116">
        <f>MAX(0,1-Fitting!$B$7*(Fitting!$B$6-Herm8889!C116)^2)</f>
        <v>0.51941636190749163</v>
      </c>
      <c r="J116">
        <f>tt(G116,H116,Fitting!$B$1:$E$1,Fitting!$B$2:$E$2)*I116</f>
        <v>7.1419749762280098</v>
      </c>
    </row>
    <row r="117" spans="1:10">
      <c r="A117" s="1">
        <f t="shared" si="7"/>
        <v>32742</v>
      </c>
      <c r="B117">
        <f t="shared" si="5"/>
        <v>536.62077045726835</v>
      </c>
      <c r="C117">
        <f>day_length(F117,$B$1,Fitting!$B$4)</f>
        <v>11.969231605529785</v>
      </c>
      <c r="D117" s="1">
        <f t="shared" si="6"/>
        <v>32742</v>
      </c>
      <c r="E117">
        <f t="shared" si="8"/>
        <v>1989</v>
      </c>
      <c r="F117" s="6">
        <f t="shared" si="9"/>
        <v>234</v>
      </c>
      <c r="G117">
        <v>19</v>
      </c>
      <c r="H117">
        <v>2.5</v>
      </c>
      <c r="I117">
        <f>MAX(0,1-Fitting!$B$7*(Fitting!$B$6-Herm8889!C117)^2)</f>
        <v>0.52209166172580446</v>
      </c>
      <c r="J117">
        <f>tt(G117,H117,Fitting!$B$1:$E$1,Fitting!$B$2:$E$2)*I117</f>
        <v>5.6124858614578068</v>
      </c>
    </row>
    <row r="118" spans="1:10">
      <c r="A118" s="1">
        <f t="shared" si="7"/>
        <v>32743</v>
      </c>
      <c r="B118">
        <f t="shared" si="5"/>
        <v>541.29133421011352</v>
      </c>
      <c r="C118">
        <f>day_length(F118,$B$1,Fitting!$B$4)</f>
        <v>11.997402191162109</v>
      </c>
      <c r="D118" s="1">
        <f t="shared" si="6"/>
        <v>32743</v>
      </c>
      <c r="E118">
        <f t="shared" si="8"/>
        <v>1989</v>
      </c>
      <c r="F118" s="6">
        <f t="shared" si="9"/>
        <v>235</v>
      </c>
      <c r="G118">
        <v>15</v>
      </c>
      <c r="H118">
        <v>2.8</v>
      </c>
      <c r="I118">
        <f>MAX(0,1-Fitting!$B$7*(Fitting!$B$6-Herm8889!C118)^2)</f>
        <v>0.52478241040025742</v>
      </c>
      <c r="J118">
        <f>tt(G118,H118,Fitting!$B$1:$E$1,Fitting!$B$2:$E$2)*I118</f>
        <v>4.6705637528451946</v>
      </c>
    </row>
    <row r="119" spans="1:10">
      <c r="A119" s="1">
        <f t="shared" si="7"/>
        <v>32744</v>
      </c>
      <c r="B119">
        <f t="shared" si="5"/>
        <v>545.24749375506099</v>
      </c>
      <c r="C119">
        <f>day_length(F119,$B$1,Fitting!$B$4)</f>
        <v>12.025812149047852</v>
      </c>
      <c r="D119" s="1">
        <f t="shared" si="6"/>
        <v>32744</v>
      </c>
      <c r="E119">
        <f t="shared" si="8"/>
        <v>1989</v>
      </c>
      <c r="F119" s="6">
        <f t="shared" si="9"/>
        <v>236</v>
      </c>
      <c r="G119">
        <v>13.5</v>
      </c>
      <c r="H119">
        <v>1.5</v>
      </c>
      <c r="I119">
        <f>MAX(0,1-Fitting!$B$7*(Fitting!$B$6-Herm8889!C119)^2)</f>
        <v>0.52748790578954496</v>
      </c>
      <c r="J119">
        <f>tt(G119,H119,Fitting!$B$1:$E$1,Fitting!$B$2:$E$2)*I119</f>
        <v>3.9561595449474214</v>
      </c>
    </row>
    <row r="120" spans="1:10">
      <c r="A120" s="1">
        <f t="shared" si="7"/>
        <v>32745</v>
      </c>
      <c r="B120">
        <f t="shared" si="5"/>
        <v>548.6938417743371</v>
      </c>
      <c r="C120">
        <f>day_length(F120,$B$1,Fitting!$B$4)</f>
        <v>12.05445384979248</v>
      </c>
      <c r="D120" s="1">
        <f t="shared" si="6"/>
        <v>32745</v>
      </c>
      <c r="E120">
        <f t="shared" si="8"/>
        <v>1989</v>
      </c>
      <c r="F120" s="6">
        <f t="shared" si="9"/>
        <v>237</v>
      </c>
      <c r="G120">
        <v>13</v>
      </c>
      <c r="H120">
        <v>0</v>
      </c>
      <c r="I120">
        <f>MAX(0,1-Fitting!$B$7*(Fitting!$B$6-Herm8889!C120)^2)</f>
        <v>0.53020734868515862</v>
      </c>
      <c r="J120">
        <f>tt(G120,H120,Fitting!$B$1:$E$1,Fitting!$B$2:$E$2)*I120</f>
        <v>3.4463480192760962</v>
      </c>
    </row>
    <row r="121" spans="1:10">
      <c r="A121" s="1">
        <f t="shared" si="7"/>
        <v>32746</v>
      </c>
      <c r="B121">
        <f t="shared" si="5"/>
        <v>552.02471643292938</v>
      </c>
      <c r="C121">
        <f>day_length(F121,$B$1,Fitting!$B$4)</f>
        <v>12.083322525024414</v>
      </c>
      <c r="D121" s="1">
        <f t="shared" si="6"/>
        <v>32746</v>
      </c>
      <c r="E121">
        <f t="shared" si="8"/>
        <v>1989</v>
      </c>
      <c r="F121" s="6">
        <f t="shared" si="9"/>
        <v>238</v>
      </c>
      <c r="G121">
        <v>13</v>
      </c>
      <c r="H121">
        <v>-0.5</v>
      </c>
      <c r="I121">
        <f>MAX(0,1-Fitting!$B$7*(Fitting!$B$6-Herm8889!C121)^2)</f>
        <v>0.53293994537476097</v>
      </c>
      <c r="J121">
        <f>tt(G121,H121,Fitting!$B$1:$E$1,Fitting!$B$2:$E$2)*I121</f>
        <v>3.330874658592256</v>
      </c>
    </row>
    <row r="122" spans="1:10">
      <c r="A122" s="1">
        <f t="shared" si="7"/>
        <v>32747</v>
      </c>
      <c r="B122">
        <f t="shared" si="5"/>
        <v>557.32799632981551</v>
      </c>
      <c r="C122">
        <f>day_length(F122,$B$1,Fitting!$B$4)</f>
        <v>12.112409591674805</v>
      </c>
      <c r="D122" s="1">
        <f t="shared" si="6"/>
        <v>32747</v>
      </c>
      <c r="E122">
        <f t="shared" si="8"/>
        <v>1989</v>
      </c>
      <c r="F122" s="6">
        <f t="shared" si="9"/>
        <v>239</v>
      </c>
      <c r="G122">
        <v>17.600000000000001</v>
      </c>
      <c r="H122">
        <v>2.2000000000000002</v>
      </c>
      <c r="I122">
        <f>MAX(0,1-Fitting!$B$7*(Fitting!$B$6-Herm8889!C122)^2)</f>
        <v>0.53568480710756017</v>
      </c>
      <c r="J122">
        <f>tt(G122,H122,Fitting!$B$1:$E$1,Fitting!$B$2:$E$2)*I122</f>
        <v>5.303279896886151</v>
      </c>
    </row>
    <row r="123" spans="1:10">
      <c r="A123" s="1">
        <f t="shared" si="7"/>
        <v>32748</v>
      </c>
      <c r="B123">
        <f t="shared" si="5"/>
        <v>560.80094295537867</v>
      </c>
      <c r="C123">
        <f>day_length(F123,$B$1,Fitting!$B$4)</f>
        <v>12.14171028137207</v>
      </c>
      <c r="D123" s="1">
        <f t="shared" si="6"/>
        <v>32748</v>
      </c>
      <c r="E123">
        <f t="shared" si="8"/>
        <v>1989</v>
      </c>
      <c r="F123" s="6">
        <f t="shared" si="9"/>
        <v>240</v>
      </c>
      <c r="G123">
        <v>13.4</v>
      </c>
      <c r="H123">
        <v>-0.5</v>
      </c>
      <c r="I123">
        <f>MAX(0,1-Fitting!$B$7*(Fitting!$B$6-Herm8889!C123)^2)</f>
        <v>0.53844135321901732</v>
      </c>
      <c r="J123">
        <f>tt(G123,H123,Fitting!$B$1:$E$1,Fitting!$B$2:$E$2)*I123</f>
        <v>3.4729466255631238</v>
      </c>
    </row>
    <row r="124" spans="1:10">
      <c r="A124" s="1">
        <f t="shared" si="7"/>
        <v>32749</v>
      </c>
      <c r="B124">
        <f t="shared" si="5"/>
        <v>565.26591478258968</v>
      </c>
      <c r="C124">
        <f>day_length(F124,$B$1,Fitting!$B$4)</f>
        <v>12.171217918395996</v>
      </c>
      <c r="D124" s="1">
        <f t="shared" si="6"/>
        <v>32749</v>
      </c>
      <c r="E124">
        <f t="shared" si="8"/>
        <v>1989</v>
      </c>
      <c r="F124" s="6">
        <f t="shared" si="9"/>
        <v>241</v>
      </c>
      <c r="G124">
        <v>14</v>
      </c>
      <c r="H124">
        <v>2.5</v>
      </c>
      <c r="I124">
        <f>MAX(0,1-Fitting!$B$7*(Fitting!$B$6-Herm8889!C124)^2)</f>
        <v>0.54120870632861084</v>
      </c>
      <c r="J124">
        <f>tt(G124,H124,Fitting!$B$1:$E$1,Fitting!$B$2:$E$2)*I124</f>
        <v>4.4649718272110395</v>
      </c>
    </row>
    <row r="125" spans="1:10">
      <c r="A125" s="1">
        <f t="shared" si="7"/>
        <v>32750</v>
      </c>
      <c r="B125">
        <f t="shared" si="5"/>
        <v>570.46098166962759</v>
      </c>
      <c r="C125">
        <f>day_length(F125,$B$1,Fitting!$B$4)</f>
        <v>12.200924873352051</v>
      </c>
      <c r="D125" s="1">
        <f t="shared" si="6"/>
        <v>32750</v>
      </c>
      <c r="E125">
        <f t="shared" si="8"/>
        <v>1989</v>
      </c>
      <c r="F125" s="6">
        <f t="shared" si="9"/>
        <v>242</v>
      </c>
      <c r="G125">
        <v>18</v>
      </c>
      <c r="H125">
        <v>1.1000000000000001</v>
      </c>
      <c r="I125">
        <f>MAX(0,1-Fitting!$B$7*(Fitting!$B$6-Herm8889!C125)^2)</f>
        <v>0.54398599628223021</v>
      </c>
      <c r="J125">
        <f>tt(G125,H125,Fitting!$B$1:$E$1,Fitting!$B$2:$E$2)*I125</f>
        <v>5.195066887037866</v>
      </c>
    </row>
    <row r="126" spans="1:10">
      <c r="A126" s="1">
        <f t="shared" si="7"/>
        <v>32751</v>
      </c>
      <c r="B126">
        <f t="shared" si="5"/>
        <v>575.81935382903134</v>
      </c>
      <c r="C126">
        <f>day_length(F126,$B$1,Fitting!$B$4)</f>
        <v>12.230826377868652</v>
      </c>
      <c r="D126" s="1">
        <f t="shared" si="6"/>
        <v>32751</v>
      </c>
      <c r="E126">
        <f t="shared" si="8"/>
        <v>1989</v>
      </c>
      <c r="F126" s="6">
        <f t="shared" si="9"/>
        <v>243</v>
      </c>
      <c r="G126">
        <v>16.3</v>
      </c>
      <c r="H126">
        <v>3.3</v>
      </c>
      <c r="I126">
        <f>MAX(0,1-Fitting!$B$7*(Fitting!$B$6-Herm8889!C126)^2)</f>
        <v>0.54677265868522218</v>
      </c>
      <c r="J126">
        <f>tt(G126,H126,Fitting!$B$1:$E$1,Fitting!$B$2:$E$2)*I126</f>
        <v>5.3583721594037854</v>
      </c>
    </row>
    <row r="127" spans="1:10">
      <c r="A127" s="1">
        <f t="shared" si="7"/>
        <v>32752</v>
      </c>
      <c r="B127">
        <f t="shared" si="5"/>
        <v>583.56826191724485</v>
      </c>
      <c r="C127">
        <f>day_length(F127,$B$1,Fitting!$B$4)</f>
        <v>12.26091480255127</v>
      </c>
      <c r="D127" s="1">
        <f t="shared" si="6"/>
        <v>32752</v>
      </c>
      <c r="E127">
        <f t="shared" si="8"/>
        <v>1989</v>
      </c>
      <c r="F127" s="6">
        <f t="shared" si="9"/>
        <v>244</v>
      </c>
      <c r="G127">
        <v>20.7</v>
      </c>
      <c r="H127">
        <v>7.5</v>
      </c>
      <c r="I127">
        <f>MAX(0,1-Fitting!$B$7*(Fitting!$B$6-Herm8889!C127)^2)</f>
        <v>0.54956793465035481</v>
      </c>
      <c r="J127">
        <f>tt(G127,H127,Fitting!$B$1:$E$1,Fitting!$B$2:$E$2)*I127</f>
        <v>7.7489080882135326</v>
      </c>
    </row>
    <row r="128" spans="1:10">
      <c r="A128" s="1">
        <f t="shared" si="7"/>
        <v>32753</v>
      </c>
      <c r="B128">
        <f t="shared" si="5"/>
        <v>589.92052924133588</v>
      </c>
      <c r="C128">
        <f>day_length(F128,$B$1,Fitting!$B$4)</f>
        <v>12.291186332702637</v>
      </c>
      <c r="D128" s="1">
        <f t="shared" si="6"/>
        <v>32753</v>
      </c>
      <c r="E128">
        <f t="shared" si="8"/>
        <v>1989</v>
      </c>
      <c r="F128" s="6">
        <f t="shared" si="9"/>
        <v>245</v>
      </c>
      <c r="G128">
        <v>17.5</v>
      </c>
      <c r="H128">
        <v>5.5</v>
      </c>
      <c r="I128">
        <f>MAX(0,1-Fitting!$B$7*(Fitting!$B$6-Herm8889!C128)^2)</f>
        <v>0.55237107166008537</v>
      </c>
      <c r="J128">
        <f>tt(G128,H128,Fitting!$B$1:$E$1,Fitting!$B$2:$E$2)*I128</f>
        <v>6.3522673240909819</v>
      </c>
    </row>
    <row r="129" spans="1:10">
      <c r="A129" s="1">
        <f t="shared" si="7"/>
        <v>32754</v>
      </c>
      <c r="B129">
        <f t="shared" si="5"/>
        <v>596.30511559680144</v>
      </c>
      <c r="C129">
        <f>day_length(F129,$B$1,Fitting!$B$4)</f>
        <v>12.321632385253906</v>
      </c>
      <c r="D129" s="1">
        <f t="shared" si="6"/>
        <v>32754</v>
      </c>
      <c r="E129">
        <f t="shared" si="8"/>
        <v>1989</v>
      </c>
      <c r="F129" s="6">
        <f t="shared" si="9"/>
        <v>246</v>
      </c>
      <c r="G129">
        <v>17.5</v>
      </c>
      <c r="H129">
        <v>5.5</v>
      </c>
      <c r="I129">
        <f>MAX(0,1-Fitting!$B$7*(Fitting!$B$6-Herm8889!C129)^2)</f>
        <v>0.5551814222143967</v>
      </c>
      <c r="J129">
        <f>tt(G129,H129,Fitting!$B$1:$E$1,Fitting!$B$2:$E$2)*I129</f>
        <v>6.3845863554655624</v>
      </c>
    </row>
    <row r="130" spans="1:10">
      <c r="A130" s="1">
        <f t="shared" si="7"/>
        <v>32755</v>
      </c>
      <c r="B130">
        <f t="shared" si="5"/>
        <v>602.72209429539407</v>
      </c>
      <c r="C130">
        <f>day_length(F130,$B$1,Fitting!$B$4)</f>
        <v>12.352249145507813</v>
      </c>
      <c r="D130" s="1">
        <f t="shared" si="6"/>
        <v>32755</v>
      </c>
      <c r="E130">
        <f t="shared" si="8"/>
        <v>1989</v>
      </c>
      <c r="F130" s="6">
        <f t="shared" si="9"/>
        <v>247</v>
      </c>
      <c r="G130">
        <v>19</v>
      </c>
      <c r="H130">
        <v>4</v>
      </c>
      <c r="I130">
        <f>MAX(0,1-Fitting!$B$7*(Fitting!$B$6-Herm8889!C130)^2)</f>
        <v>0.55799814770370726</v>
      </c>
      <c r="J130">
        <f>tt(G130,H130,Fitting!$B$1:$E$1,Fitting!$B$2:$E$2)*I130</f>
        <v>6.4169786985926338</v>
      </c>
    </row>
    <row r="131" spans="1:10">
      <c r="A131" s="1">
        <f t="shared" si="7"/>
        <v>32756</v>
      </c>
      <c r="B131">
        <f t="shared" si="5"/>
        <v>608.61071332574897</v>
      </c>
      <c r="C131">
        <f>day_length(F131,$B$1,Fitting!$B$4)</f>
        <v>12.383028030395508</v>
      </c>
      <c r="D131" s="1">
        <f t="shared" si="6"/>
        <v>32756</v>
      </c>
      <c r="E131">
        <f t="shared" si="8"/>
        <v>1989</v>
      </c>
      <c r="F131" s="6">
        <f t="shared" si="9"/>
        <v>248</v>
      </c>
      <c r="G131">
        <v>18.600000000000001</v>
      </c>
      <c r="H131">
        <v>2.4</v>
      </c>
      <c r="I131">
        <f>MAX(0,1-Fitting!$B$7*(Fitting!$B$6-Herm8889!C131)^2)</f>
        <v>0.56082080909661636</v>
      </c>
      <c r="J131">
        <f>tt(G131,H131,Fitting!$B$1:$E$1,Fitting!$B$2:$E$2)*I131</f>
        <v>5.8886190303548736</v>
      </c>
    </row>
    <row r="132" spans="1:10">
      <c r="A132" s="1">
        <f t="shared" si="7"/>
        <v>32757</v>
      </c>
      <c r="B132">
        <f t="shared" si="5"/>
        <v>614.52902239088633</v>
      </c>
      <c r="C132">
        <f>day_length(F132,$B$1,Fitting!$B$4)</f>
        <v>12.413966178894043</v>
      </c>
      <c r="D132" s="1">
        <f t="shared" si="6"/>
        <v>32757</v>
      </c>
      <c r="E132">
        <f t="shared" si="8"/>
        <v>1989</v>
      </c>
      <c r="F132" s="6">
        <f t="shared" si="9"/>
        <v>249</v>
      </c>
      <c r="G132">
        <v>18</v>
      </c>
      <c r="H132">
        <v>3</v>
      </c>
      <c r="I132">
        <f>MAX(0,1-Fitting!$B$7*(Fitting!$B$6-Herm8889!C132)^2)</f>
        <v>0.56364848239403365</v>
      </c>
      <c r="J132">
        <f>tt(G132,H132,Fitting!$B$1:$E$1,Fitting!$B$2:$E$2)*I132</f>
        <v>5.9183090651373531</v>
      </c>
    </row>
    <row r="133" spans="1:10">
      <c r="A133" s="1">
        <f t="shared" si="7"/>
        <v>32758</v>
      </c>
      <c r="B133">
        <f t="shared" ref="B133:B196" si="10">B132+J133</f>
        <v>621.21349353550681</v>
      </c>
      <c r="C133">
        <f>day_length(F133,$B$1,Fitting!$B$4)</f>
        <v>12.445055961608887</v>
      </c>
      <c r="D133" s="1">
        <f t="shared" ref="D133:D196" si="11">A133</f>
        <v>32758</v>
      </c>
      <c r="E133">
        <f t="shared" si="8"/>
        <v>1989</v>
      </c>
      <c r="F133" s="6">
        <f t="shared" si="9"/>
        <v>250</v>
      </c>
      <c r="G133">
        <v>19.5</v>
      </c>
      <c r="H133">
        <v>4.0999999999999996</v>
      </c>
      <c r="I133">
        <f>MAX(0,1-Fitting!$B$7*(Fitting!$B$6-Herm8889!C133)^2)</f>
        <v>0.56648064210262417</v>
      </c>
      <c r="J133">
        <f>tt(G133,H133,Fitting!$B$1:$E$1,Fitting!$B$2:$E$2)*I133</f>
        <v>6.6844711446205336</v>
      </c>
    </row>
    <row r="134" spans="1:10">
      <c r="A134" s="1">
        <f t="shared" ref="A134:A197" si="12">A133+1</f>
        <v>32759</v>
      </c>
      <c r="B134">
        <f t="shared" si="10"/>
        <v>627.61830498439156</v>
      </c>
      <c r="C134">
        <f>day_length(F134,$B$1,Fitting!$B$4)</f>
        <v>12.476293563842773</v>
      </c>
      <c r="D134" s="1">
        <f t="shared" si="11"/>
        <v>32759</v>
      </c>
      <c r="E134">
        <f t="shared" ref="E134:E197" si="13">YEAR(A134)</f>
        <v>1989</v>
      </c>
      <c r="F134" s="6">
        <f t="shared" ref="F134:F197" si="14">A134-DATE(E134,1,1)+1</f>
        <v>251</v>
      </c>
      <c r="G134">
        <v>20.5</v>
      </c>
      <c r="H134">
        <v>2</v>
      </c>
      <c r="I134">
        <f>MAX(0,1-Fitting!$B$7*(Fitting!$B$6-Herm8889!C134)^2)</f>
        <v>0.56931657323419493</v>
      </c>
      <c r="J134">
        <f>tt(G134,H134,Fitting!$B$1:$E$1,Fitting!$B$2:$E$2)*I134</f>
        <v>6.4048114488846934</v>
      </c>
    </row>
    <row r="135" spans="1:10">
      <c r="A135" s="1">
        <f t="shared" si="12"/>
        <v>32760</v>
      </c>
      <c r="B135">
        <f t="shared" si="10"/>
        <v>634.62721241994132</v>
      </c>
      <c r="C135">
        <f>day_length(F135,$B$1,Fitting!$B$4)</f>
        <v>12.507671356201172</v>
      </c>
      <c r="D135" s="1">
        <f t="shared" si="11"/>
        <v>32760</v>
      </c>
      <c r="E135">
        <f t="shared" si="13"/>
        <v>1989</v>
      </c>
      <c r="F135" s="6">
        <f t="shared" si="14"/>
        <v>252</v>
      </c>
      <c r="G135">
        <v>20.5</v>
      </c>
      <c r="H135">
        <v>4</v>
      </c>
      <c r="I135">
        <f>MAX(0,1-Fitting!$B$7*(Fitting!$B$6-Herm8889!C135)^2)</f>
        <v>0.57215566448160105</v>
      </c>
      <c r="J135">
        <f>tt(G135,H135,Fitting!$B$1:$E$1,Fitting!$B$2:$E$2)*I135</f>
        <v>7.0089074355497747</v>
      </c>
    </row>
    <row r="136" spans="1:10">
      <c r="A136" s="1">
        <f t="shared" si="12"/>
        <v>32761</v>
      </c>
      <c r="B136">
        <f t="shared" si="10"/>
        <v>643.82717048275128</v>
      </c>
      <c r="C136">
        <f>day_length(F136,$B$1,Fitting!$B$4)</f>
        <v>12.539183616638184</v>
      </c>
      <c r="D136" s="1">
        <f t="shared" si="11"/>
        <v>32761</v>
      </c>
      <c r="E136">
        <f t="shared" si="13"/>
        <v>1989</v>
      </c>
      <c r="F136" s="6">
        <f t="shared" si="14"/>
        <v>253</v>
      </c>
      <c r="G136">
        <v>24.5</v>
      </c>
      <c r="H136">
        <v>7.5</v>
      </c>
      <c r="I136">
        <f>MAX(0,1-Fitting!$B$7*(Fitting!$B$6-Herm8889!C136)^2)</f>
        <v>0.57499731038060409</v>
      </c>
      <c r="J136">
        <f>tt(G136,H136,Fitting!$B$1:$E$1,Fitting!$B$2:$E$2)*I136</f>
        <v>9.1999580628099995</v>
      </c>
    </row>
    <row r="137" spans="1:10">
      <c r="A137" s="1">
        <f t="shared" si="12"/>
        <v>32762</v>
      </c>
      <c r="B137">
        <f t="shared" si="10"/>
        <v>655.38398871032939</v>
      </c>
      <c r="C137">
        <f>day_length(F137,$B$1,Fitting!$B$4)</f>
        <v>12.570826530456543</v>
      </c>
      <c r="D137" s="1">
        <f t="shared" si="11"/>
        <v>32762</v>
      </c>
      <c r="E137">
        <f t="shared" si="13"/>
        <v>1989</v>
      </c>
      <c r="F137" s="6">
        <f t="shared" si="14"/>
        <v>254</v>
      </c>
      <c r="G137">
        <v>26</v>
      </c>
      <c r="H137">
        <v>14</v>
      </c>
      <c r="I137">
        <f>MAX(0,1-Fitting!$B$7*(Fitting!$B$6-Herm8889!C137)^2)</f>
        <v>0.57784091137890392</v>
      </c>
      <c r="J137">
        <f>tt(G137,H137,Fitting!$B$1:$E$1,Fitting!$B$2:$E$2)*I137</f>
        <v>11.556818227578079</v>
      </c>
    </row>
    <row r="138" spans="1:10">
      <c r="A138" s="1">
        <f t="shared" si="12"/>
        <v>32763</v>
      </c>
      <c r="B138">
        <f t="shared" si="10"/>
        <v>663.92006813324201</v>
      </c>
      <c r="C138">
        <f>day_length(F138,$B$1,Fitting!$B$4)</f>
        <v>12.602592468261719</v>
      </c>
      <c r="D138" s="1">
        <f t="shared" si="11"/>
        <v>32763</v>
      </c>
      <c r="E138">
        <f t="shared" si="13"/>
        <v>1989</v>
      </c>
      <c r="F138" s="6">
        <f t="shared" si="14"/>
        <v>255</v>
      </c>
      <c r="G138">
        <v>25.5</v>
      </c>
      <c r="H138">
        <v>3.9</v>
      </c>
      <c r="I138">
        <f>MAX(0,1-Fitting!$B$7*(Fitting!$B$6-Herm8889!C138)^2)</f>
        <v>0.58068568256255815</v>
      </c>
      <c r="J138">
        <f>tt(G138,H138,Fitting!$B$1:$E$1,Fitting!$B$2:$E$2)*I138</f>
        <v>8.5360794229126</v>
      </c>
    </row>
    <row r="139" spans="1:10">
      <c r="A139" s="1">
        <f t="shared" si="12"/>
        <v>32764</v>
      </c>
      <c r="B139">
        <f t="shared" si="10"/>
        <v>670.30973497992943</v>
      </c>
      <c r="C139">
        <f>day_length(F139,$B$1,Fitting!$B$4)</f>
        <v>12.634476661682129</v>
      </c>
      <c r="D139" s="1">
        <f t="shared" si="11"/>
        <v>32764</v>
      </c>
      <c r="E139">
        <f t="shared" si="13"/>
        <v>1989</v>
      </c>
      <c r="F139" s="6">
        <f t="shared" si="14"/>
        <v>256</v>
      </c>
      <c r="G139">
        <v>15</v>
      </c>
      <c r="H139">
        <v>6.9</v>
      </c>
      <c r="I139">
        <f>MAX(0,1-Fitting!$B$7*(Fitting!$B$6-Herm8889!C139)^2)</f>
        <v>0.58353122903992327</v>
      </c>
      <c r="J139">
        <f>tt(G139,H139,Fitting!$B$1:$E$1,Fitting!$B$2:$E$2)*I139</f>
        <v>6.3896668466874109</v>
      </c>
    </row>
    <row r="140" spans="1:10">
      <c r="A140" s="1">
        <f t="shared" si="12"/>
        <v>32765</v>
      </c>
      <c r="B140">
        <f t="shared" si="10"/>
        <v>676.17350182325686</v>
      </c>
      <c r="C140">
        <f>day_length(F140,$B$1,Fitting!$B$4)</f>
        <v>12.666473388671875</v>
      </c>
      <c r="D140" s="1">
        <f t="shared" si="11"/>
        <v>32765</v>
      </c>
      <c r="E140">
        <f t="shared" si="13"/>
        <v>1989</v>
      </c>
      <c r="F140" s="6">
        <f t="shared" si="14"/>
        <v>257</v>
      </c>
      <c r="G140">
        <v>16</v>
      </c>
      <c r="H140">
        <v>4</v>
      </c>
      <c r="I140">
        <f>MAX(0,1-Fitting!$B$7*(Fitting!$B$6-Herm8889!C140)^2)</f>
        <v>0.58637668433274115</v>
      </c>
      <c r="J140">
        <f>tt(G140,H140,Fitting!$B$1:$E$1,Fitting!$B$2:$E$2)*I140</f>
        <v>5.8637668433274115</v>
      </c>
    </row>
    <row r="141" spans="1:10">
      <c r="A141" s="1">
        <f t="shared" si="12"/>
        <v>32766</v>
      </c>
      <c r="B141">
        <f t="shared" si="10"/>
        <v>680.62212522925779</v>
      </c>
      <c r="C141">
        <f>day_length(F141,$B$1,Fitting!$B$4)</f>
        <v>12.698578834533691</v>
      </c>
      <c r="D141" s="1">
        <f t="shared" si="11"/>
        <v>32766</v>
      </c>
      <c r="E141">
        <f t="shared" si="13"/>
        <v>1989</v>
      </c>
      <c r="F141" s="6">
        <f t="shared" si="14"/>
        <v>258</v>
      </c>
      <c r="G141">
        <v>15.5</v>
      </c>
      <c r="H141">
        <v>-0.4</v>
      </c>
      <c r="I141">
        <f>MAX(0,1-Fitting!$B$7*(Fitting!$B$6-Herm8889!C141)^2)</f>
        <v>0.58922166550710242</v>
      </c>
      <c r="J141">
        <f>tt(G141,H141,Fitting!$B$1:$E$1,Fitting!$B$2:$E$2)*I141</f>
        <v>4.4486234060009524</v>
      </c>
    </row>
    <row r="142" spans="1:10">
      <c r="A142" s="1">
        <f t="shared" si="12"/>
        <v>32767</v>
      </c>
      <c r="B142">
        <f t="shared" si="10"/>
        <v>686.27635152873461</v>
      </c>
      <c r="C142">
        <f>day_length(F142,$B$1,Fitting!$B$4)</f>
        <v>12.73078441619873</v>
      </c>
      <c r="D142" s="1">
        <f t="shared" si="11"/>
        <v>32767</v>
      </c>
      <c r="E142">
        <f t="shared" si="13"/>
        <v>1989</v>
      </c>
      <c r="F142" s="6">
        <f t="shared" si="14"/>
        <v>259</v>
      </c>
      <c r="G142">
        <v>16.600000000000001</v>
      </c>
      <c r="H142">
        <v>2.5</v>
      </c>
      <c r="I142">
        <f>MAX(0,1-Fitting!$B$7*(Fitting!$B$6-Herm8889!C142)^2)</f>
        <v>0.59206551014781317</v>
      </c>
      <c r="J142">
        <f>tt(G142,H142,Fitting!$B$1:$E$1,Fitting!$B$2:$E$2)*I142</f>
        <v>5.6542262994768206</v>
      </c>
    </row>
    <row r="143" spans="1:10">
      <c r="A143" s="1">
        <f t="shared" si="12"/>
        <v>32768</v>
      </c>
      <c r="B143">
        <f t="shared" si="10"/>
        <v>692.40389994673467</v>
      </c>
      <c r="C143">
        <f>day_length(F143,$B$1,Fitting!$B$4)</f>
        <v>12.763086318969727</v>
      </c>
      <c r="D143" s="1">
        <f t="shared" si="11"/>
        <v>32768</v>
      </c>
      <c r="E143">
        <f t="shared" si="13"/>
        <v>1989</v>
      </c>
      <c r="F143" s="6">
        <f t="shared" si="14"/>
        <v>260</v>
      </c>
      <c r="G143">
        <v>17.600000000000001</v>
      </c>
      <c r="H143">
        <v>3</v>
      </c>
      <c r="I143">
        <f>MAX(0,1-Fitting!$B$7*(Fitting!$B$6-Herm8889!C143)^2)</f>
        <v>0.59490765746394203</v>
      </c>
      <c r="J143">
        <f>tt(G143,H143,Fitting!$B$1:$E$1,Fitting!$B$2:$E$2)*I143</f>
        <v>6.1275484180000799</v>
      </c>
    </row>
    <row r="144" spans="1:10">
      <c r="A144" s="1">
        <f t="shared" si="12"/>
        <v>32769</v>
      </c>
      <c r="B144">
        <f t="shared" si="10"/>
        <v>699.4274325933867</v>
      </c>
      <c r="C144">
        <f>day_length(F144,$B$1,Fitting!$B$4)</f>
        <v>12.795478820800781</v>
      </c>
      <c r="D144" s="1">
        <f t="shared" si="11"/>
        <v>32769</v>
      </c>
      <c r="E144">
        <f t="shared" si="13"/>
        <v>1989</v>
      </c>
      <c r="F144" s="6">
        <f t="shared" si="14"/>
        <v>261</v>
      </c>
      <c r="G144">
        <v>21</v>
      </c>
      <c r="H144">
        <v>2.5</v>
      </c>
      <c r="I144">
        <f>MAX(0,1-Fitting!$B$7*(Fitting!$B$6-Herm8889!C144)^2)</f>
        <v>0.59774745928953044</v>
      </c>
      <c r="J144">
        <f>tt(G144,H144,Fitting!$B$1:$E$1,Fitting!$B$2:$E$2)*I144</f>
        <v>7.023532646651983</v>
      </c>
    </row>
    <row r="145" spans="1:10">
      <c r="A145" s="1">
        <f t="shared" si="12"/>
        <v>32770</v>
      </c>
      <c r="B145">
        <f t="shared" si="10"/>
        <v>707.56535090151306</v>
      </c>
      <c r="C145">
        <f>day_length(F145,$B$1,Fitting!$B$4)</f>
        <v>12.827956199645996</v>
      </c>
      <c r="D145" s="1">
        <f t="shared" si="11"/>
        <v>32770</v>
      </c>
      <c r="E145">
        <f t="shared" si="13"/>
        <v>1989</v>
      </c>
      <c r="F145" s="6">
        <f t="shared" si="14"/>
        <v>262</v>
      </c>
      <c r="G145">
        <v>21</v>
      </c>
      <c r="H145">
        <v>6.1</v>
      </c>
      <c r="I145">
        <f>MAX(0,1-Fitting!$B$7*(Fitting!$B$6-Herm8889!C145)^2)</f>
        <v>0.60058436852944763</v>
      </c>
      <c r="J145">
        <f>tt(G145,H145,Fitting!$B$1:$E$1,Fitting!$B$2:$E$2)*I145</f>
        <v>8.1379183081263928</v>
      </c>
    </row>
    <row r="146" spans="1:10">
      <c r="A146" s="1">
        <f t="shared" si="12"/>
        <v>32771</v>
      </c>
      <c r="B146">
        <f t="shared" si="10"/>
        <v>715.74166097356704</v>
      </c>
      <c r="C146">
        <f>day_length(F146,$B$1,Fitting!$B$4)</f>
        <v>12.860511779785156</v>
      </c>
      <c r="D146" s="1">
        <f t="shared" si="11"/>
        <v>32771</v>
      </c>
      <c r="E146">
        <f t="shared" si="13"/>
        <v>1989</v>
      </c>
      <c r="F146" s="6">
        <f t="shared" si="14"/>
        <v>263</v>
      </c>
      <c r="G146">
        <v>22</v>
      </c>
      <c r="H146">
        <v>5.0999999999999996</v>
      </c>
      <c r="I146">
        <f>MAX(0,1-Fitting!$B$7*(Fitting!$B$6-Herm8889!C146)^2)</f>
        <v>0.60341775147049337</v>
      </c>
      <c r="J146">
        <f>tt(G146,H146,Fitting!$B$1:$E$1,Fitting!$B$2:$E$2)*I146</f>
        <v>8.1763100720539761</v>
      </c>
    </row>
    <row r="147" spans="1:10">
      <c r="A147" s="1">
        <f t="shared" si="12"/>
        <v>32772</v>
      </c>
      <c r="B147">
        <f t="shared" si="10"/>
        <v>723.47131236057146</v>
      </c>
      <c r="C147">
        <f>day_length(F147,$B$1,Fitting!$B$4)</f>
        <v>12.893142700195313</v>
      </c>
      <c r="D147" s="1">
        <f t="shared" si="11"/>
        <v>32772</v>
      </c>
      <c r="E147">
        <f t="shared" si="13"/>
        <v>1989</v>
      </c>
      <c r="F147" s="6">
        <f t="shared" si="14"/>
        <v>264</v>
      </c>
      <c r="G147">
        <v>20</v>
      </c>
      <c r="H147">
        <v>5.5</v>
      </c>
      <c r="I147">
        <f>MAX(0,1-Fitting!$B$7*(Fitting!$B$6-Herm8889!C147)^2)</f>
        <v>0.60624716760818598</v>
      </c>
      <c r="J147">
        <f>tt(G147,H147,Fitting!$B$1:$E$1,Fitting!$B$2:$E$2)*I147</f>
        <v>7.7296513870043713</v>
      </c>
    </row>
    <row r="148" spans="1:10">
      <c r="A148" s="1">
        <f t="shared" si="12"/>
        <v>32773</v>
      </c>
      <c r="B148">
        <f t="shared" si="10"/>
        <v>731.90696033027496</v>
      </c>
      <c r="C148">
        <f>day_length(F148,$B$1,Fitting!$B$4)</f>
        <v>12.925840377807617</v>
      </c>
      <c r="D148" s="1">
        <f t="shared" si="11"/>
        <v>32773</v>
      </c>
      <c r="E148">
        <f t="shared" si="13"/>
        <v>1989</v>
      </c>
      <c r="F148" s="6">
        <f t="shared" si="14"/>
        <v>265</v>
      </c>
      <c r="G148">
        <v>21.2</v>
      </c>
      <c r="H148">
        <v>6.5</v>
      </c>
      <c r="I148">
        <f>MAX(0,1-Fitting!$B$7*(Fitting!$B$6-Herm8889!C148)^2)</f>
        <v>0.60907199685954394</v>
      </c>
      <c r="J148">
        <f>tt(G148,H148,Fitting!$B$1:$E$1,Fitting!$B$2:$E$2)*I148</f>
        <v>8.4356479697035311</v>
      </c>
    </row>
    <row r="149" spans="1:10">
      <c r="A149" s="1">
        <f t="shared" si="12"/>
        <v>32774</v>
      </c>
      <c r="B149">
        <f t="shared" si="10"/>
        <v>742.46208930850435</v>
      </c>
      <c r="C149">
        <f>day_length(F149,$B$1,Fitting!$B$4)</f>
        <v>12.958600997924805</v>
      </c>
      <c r="D149" s="1">
        <f t="shared" si="11"/>
        <v>32774</v>
      </c>
      <c r="E149">
        <f t="shared" si="13"/>
        <v>1989</v>
      </c>
      <c r="F149" s="6">
        <f t="shared" si="14"/>
        <v>266</v>
      </c>
      <c r="G149">
        <v>24</v>
      </c>
      <c r="H149">
        <v>10.5</v>
      </c>
      <c r="I149">
        <f>MAX(0,1-Fitting!$B$7*(Fitting!$B$6-Herm8889!C149)^2)</f>
        <v>0.61189153496982174</v>
      </c>
      <c r="J149">
        <f>tt(G149,H149,Fitting!$B$1:$E$1,Fitting!$B$2:$E$2)*I149</f>
        <v>10.555128978229424</v>
      </c>
    </row>
    <row r="150" spans="1:10">
      <c r="A150" s="1">
        <f t="shared" si="12"/>
        <v>32775</v>
      </c>
      <c r="B150">
        <f t="shared" si="10"/>
        <v>749.68487839013494</v>
      </c>
      <c r="C150">
        <f>day_length(F150,$B$1,Fitting!$B$4)</f>
        <v>12.99141788482666</v>
      </c>
      <c r="D150" s="1">
        <f t="shared" si="11"/>
        <v>32775</v>
      </c>
      <c r="E150">
        <f t="shared" si="13"/>
        <v>1989</v>
      </c>
      <c r="F150" s="6">
        <f t="shared" si="14"/>
        <v>267</v>
      </c>
      <c r="G150">
        <v>21</v>
      </c>
      <c r="H150">
        <v>2.5</v>
      </c>
      <c r="I150">
        <f>MAX(0,1-Fitting!$B$7*(Fitting!$B$6-Herm8889!C150)^2)</f>
        <v>0.61470545375579966</v>
      </c>
      <c r="J150">
        <f>tt(G150,H150,Fitting!$B$1:$E$1,Fitting!$B$2:$E$2)*I150</f>
        <v>7.2227890816306459</v>
      </c>
    </row>
    <row r="151" spans="1:10">
      <c r="A151" s="1">
        <f t="shared" si="12"/>
        <v>32776</v>
      </c>
      <c r="B151">
        <f t="shared" si="10"/>
        <v>757.40378995247181</v>
      </c>
      <c r="C151">
        <f>day_length(F151,$B$1,Fitting!$B$4)</f>
        <v>13.024284362792969</v>
      </c>
      <c r="D151" s="1">
        <f t="shared" si="11"/>
        <v>32776</v>
      </c>
      <c r="E151">
        <f t="shared" si="13"/>
        <v>1989</v>
      </c>
      <c r="F151" s="6">
        <f t="shared" si="14"/>
        <v>268</v>
      </c>
      <c r="G151">
        <v>22</v>
      </c>
      <c r="H151">
        <v>3</v>
      </c>
      <c r="I151">
        <f>MAX(0,1-Fitting!$B$7*(Fitting!$B$6-Herm8889!C151)^2)</f>
        <v>0.61751297209945188</v>
      </c>
      <c r="J151">
        <f>tt(G151,H151,Fitting!$B$1:$E$1,Fitting!$B$2:$E$2)*I151</f>
        <v>7.7189115623368867</v>
      </c>
    </row>
    <row r="152" spans="1:10">
      <c r="A152" s="1">
        <f t="shared" si="12"/>
        <v>32777</v>
      </c>
      <c r="B152">
        <f t="shared" si="10"/>
        <v>769.18974994232769</v>
      </c>
      <c r="C152">
        <f>day_length(F152,$B$1,Fitting!$B$4)</f>
        <v>13.057195663452148</v>
      </c>
      <c r="D152" s="1">
        <f t="shared" si="11"/>
        <v>32777</v>
      </c>
      <c r="E152">
        <f t="shared" si="13"/>
        <v>1989</v>
      </c>
      <c r="F152" s="6">
        <f t="shared" si="14"/>
        <v>269</v>
      </c>
      <c r="G152">
        <v>29</v>
      </c>
      <c r="H152">
        <v>9</v>
      </c>
      <c r="I152">
        <f>MAX(0,1-Fitting!$B$7*(Fitting!$B$6-Herm8889!C152)^2)</f>
        <v>0.62031368367662798</v>
      </c>
      <c r="J152">
        <f>tt(G152,H152,Fitting!$B$1:$E$1,Fitting!$B$2:$E$2)*I152</f>
        <v>11.785959989855932</v>
      </c>
    </row>
    <row r="153" spans="1:10">
      <c r="A153" s="1">
        <f t="shared" si="12"/>
        <v>32778</v>
      </c>
      <c r="B153">
        <f t="shared" si="10"/>
        <v>773.6761202671953</v>
      </c>
      <c r="C153">
        <f>day_length(F153,$B$1,Fitting!$B$4)</f>
        <v>13.090147972106934</v>
      </c>
      <c r="D153" s="1">
        <f t="shared" si="11"/>
        <v>32778</v>
      </c>
      <c r="E153">
        <f t="shared" si="13"/>
        <v>1989</v>
      </c>
      <c r="F153" s="6">
        <f t="shared" si="14"/>
        <v>270</v>
      </c>
      <c r="G153">
        <v>13</v>
      </c>
      <c r="H153">
        <v>1.4</v>
      </c>
      <c r="I153">
        <f>MAX(0,1-Fitting!$B$7*(Fitting!$B$6-Herm8889!C153)^2)</f>
        <v>0.62310700607163749</v>
      </c>
      <c r="J153">
        <f>tt(G153,H153,Fitting!$B$1:$E$1,Fitting!$B$2:$E$2)*I153</f>
        <v>4.4863703248675604</v>
      </c>
    </row>
    <row r="154" spans="1:10">
      <c r="A154" s="1">
        <f t="shared" si="12"/>
        <v>32779</v>
      </c>
      <c r="B154">
        <f t="shared" si="10"/>
        <v>780.46705108756373</v>
      </c>
      <c r="C154">
        <f>day_length(F154,$B$1,Fitting!$B$4)</f>
        <v>13.123129844665527</v>
      </c>
      <c r="D154" s="1">
        <f t="shared" si="11"/>
        <v>32779</v>
      </c>
      <c r="E154">
        <f t="shared" si="13"/>
        <v>1989</v>
      </c>
      <c r="F154" s="6">
        <f t="shared" si="14"/>
        <v>271</v>
      </c>
      <c r="G154">
        <v>18</v>
      </c>
      <c r="H154">
        <v>3.7</v>
      </c>
      <c r="I154">
        <f>MAX(0,1-Fitting!$B$7*(Fitting!$B$6-Herm8889!C154)^2)</f>
        <v>0.62589227451676011</v>
      </c>
      <c r="J154">
        <f>tt(G154,H154,Fitting!$B$1:$E$1,Fitting!$B$2:$E$2)*I154</f>
        <v>6.7909308203684153</v>
      </c>
    </row>
    <row r="155" spans="1:10">
      <c r="A155" s="1">
        <f t="shared" si="12"/>
        <v>32780</v>
      </c>
      <c r="B155">
        <f t="shared" si="10"/>
        <v>789.58275178593203</v>
      </c>
      <c r="C155">
        <f>day_length(F155,$B$1,Fitting!$B$4)</f>
        <v>13.156140327453613</v>
      </c>
      <c r="D155" s="1">
        <f t="shared" si="11"/>
        <v>32780</v>
      </c>
      <c r="E155">
        <f t="shared" si="13"/>
        <v>1989</v>
      </c>
      <c r="F155" s="6">
        <f t="shared" si="14"/>
        <v>272</v>
      </c>
      <c r="G155">
        <v>22</v>
      </c>
      <c r="H155">
        <v>7</v>
      </c>
      <c r="I155">
        <f>MAX(0,1-Fitting!$B$7*(Fitting!$B$6-Herm8889!C155)^2)</f>
        <v>0.62866901368057004</v>
      </c>
      <c r="J155">
        <f>tt(G155,H155,Fitting!$B$1:$E$1,Fitting!$B$2:$E$2)*I155</f>
        <v>9.1157006983682649</v>
      </c>
    </row>
    <row r="156" spans="1:10">
      <c r="A156" s="1">
        <f t="shared" si="12"/>
        <v>32781</v>
      </c>
      <c r="B156">
        <f t="shared" si="10"/>
        <v>799.68573842980629</v>
      </c>
      <c r="C156">
        <f>day_length(F156,$B$1,Fitting!$B$4)</f>
        <v>13.189170837402344</v>
      </c>
      <c r="D156" s="1">
        <f t="shared" si="11"/>
        <v>32781</v>
      </c>
      <c r="E156">
        <f t="shared" si="13"/>
        <v>1989</v>
      </c>
      <c r="F156" s="6">
        <f t="shared" si="14"/>
        <v>273</v>
      </c>
      <c r="G156">
        <v>25</v>
      </c>
      <c r="H156">
        <v>7</v>
      </c>
      <c r="I156">
        <f>MAX(0,1-Fitting!$B$7*(Fitting!$B$6-Herm8889!C156)^2)</f>
        <v>0.63143666524213948</v>
      </c>
      <c r="J156">
        <f>tt(G156,H156,Fitting!$B$1:$E$1,Fitting!$B$2:$E$2)*I156</f>
        <v>10.102986643874232</v>
      </c>
    </row>
    <row r="157" spans="1:10">
      <c r="A157" s="1">
        <f t="shared" si="12"/>
        <v>32782</v>
      </c>
      <c r="B157">
        <f t="shared" si="10"/>
        <v>810.65730555534901</v>
      </c>
      <c r="C157">
        <f>day_length(F157,$B$1,Fitting!$B$4)</f>
        <v>13.22221565246582</v>
      </c>
      <c r="D157" s="1">
        <f t="shared" si="11"/>
        <v>32782</v>
      </c>
      <c r="E157">
        <f t="shared" si="13"/>
        <v>1989</v>
      </c>
      <c r="F157" s="6">
        <f t="shared" si="14"/>
        <v>274</v>
      </c>
      <c r="G157">
        <v>25.6</v>
      </c>
      <c r="H157">
        <v>9</v>
      </c>
      <c r="I157">
        <f>MAX(0,1-Fitting!$B$7*(Fitting!$B$6-Herm8889!C157)^2)</f>
        <v>0.63419458958177166</v>
      </c>
      <c r="J157">
        <f>tt(G157,H157,Fitting!$B$1:$E$1,Fitting!$B$2:$E$2)*I157</f>
        <v>10.97156712554276</v>
      </c>
    </row>
    <row r="158" spans="1:10">
      <c r="A158" s="1">
        <f t="shared" si="12"/>
        <v>32783</v>
      </c>
      <c r="B158">
        <f t="shared" si="10"/>
        <v>822.69551543504895</v>
      </c>
      <c r="C158">
        <f>day_length(F158,$B$1,Fitting!$B$4)</f>
        <v>13.255267143249512</v>
      </c>
      <c r="D158" s="1">
        <f t="shared" si="11"/>
        <v>32783</v>
      </c>
      <c r="E158">
        <f t="shared" si="13"/>
        <v>1989</v>
      </c>
      <c r="F158" s="6">
        <f t="shared" si="14"/>
        <v>275</v>
      </c>
      <c r="G158">
        <v>28.3</v>
      </c>
      <c r="H158">
        <v>9.5</v>
      </c>
      <c r="I158">
        <f>MAX(0,1-Fitting!$B$7*(Fitting!$B$6-Herm8889!C158)^2)</f>
        <v>0.63694233453302329</v>
      </c>
      <c r="J158">
        <f>tt(G158,H158,Fitting!$B$1:$E$1,Fitting!$B$2:$E$2)*I158</f>
        <v>12.038209879699922</v>
      </c>
    </row>
    <row r="159" spans="1:10">
      <c r="A159" s="1">
        <f t="shared" si="12"/>
        <v>32784</v>
      </c>
      <c r="B159">
        <f t="shared" si="10"/>
        <v>831.33118567837641</v>
      </c>
      <c r="C159">
        <f>day_length(F159,$B$1,Fitting!$B$4)</f>
        <v>13.288320541381836</v>
      </c>
      <c r="D159" s="1">
        <f t="shared" si="11"/>
        <v>32784</v>
      </c>
      <c r="E159">
        <f t="shared" si="13"/>
        <v>1989</v>
      </c>
      <c r="F159" s="6">
        <f t="shared" si="14"/>
        <v>276</v>
      </c>
      <c r="G159">
        <v>21.5</v>
      </c>
      <c r="H159">
        <v>5.5</v>
      </c>
      <c r="I159">
        <f>MAX(0,1-Fitting!$B$7*(Fitting!$B$6-Herm8889!C159)^2)</f>
        <v>0.63967927728351781</v>
      </c>
      <c r="J159">
        <f>tt(G159,H159,Fitting!$B$1:$E$1,Fitting!$B$2:$E$2)*I159</f>
        <v>8.6356702433274908</v>
      </c>
    </row>
    <row r="160" spans="1:10">
      <c r="A160" s="1">
        <f t="shared" si="12"/>
        <v>32785</v>
      </c>
      <c r="B160">
        <f t="shared" si="10"/>
        <v>839.71456734580681</v>
      </c>
      <c r="C160">
        <f>day_length(F160,$B$1,Fitting!$B$4)</f>
        <v>13.321368217468262</v>
      </c>
      <c r="D160" s="1">
        <f t="shared" si="11"/>
        <v>32785</v>
      </c>
      <c r="E160">
        <f t="shared" si="13"/>
        <v>1989</v>
      </c>
      <c r="F160" s="6">
        <f t="shared" si="14"/>
        <v>277</v>
      </c>
      <c r="G160">
        <v>21</v>
      </c>
      <c r="H160">
        <v>5.0999999999999996</v>
      </c>
      <c r="I160">
        <f>MAX(0,1-Fitting!$B$7*(Fitting!$B$6-Herm8889!C160)^2)</f>
        <v>0.64240471608439842</v>
      </c>
      <c r="J160">
        <f>tt(G160,H160,Fitting!$B$1:$E$1,Fitting!$B$2:$E$2)*I160</f>
        <v>8.3833816674303758</v>
      </c>
    </row>
    <row r="161" spans="1:10">
      <c r="A161" s="1">
        <f t="shared" si="12"/>
        <v>32786</v>
      </c>
      <c r="B161">
        <f t="shared" si="10"/>
        <v>851.16542050807345</v>
      </c>
      <c r="C161">
        <f>day_length(F161,$B$1,Fitting!$B$4)</f>
        <v>13.354403495788574</v>
      </c>
      <c r="D161" s="1">
        <f t="shared" si="11"/>
        <v>32786</v>
      </c>
      <c r="E161">
        <f t="shared" si="13"/>
        <v>1989</v>
      </c>
      <c r="F161" s="6">
        <f t="shared" si="14"/>
        <v>278</v>
      </c>
      <c r="G161">
        <v>24.5</v>
      </c>
      <c r="H161">
        <v>11</v>
      </c>
      <c r="I161">
        <f>MAX(0,1-Fitting!$B$7*(Fitting!$B$6-Herm8889!C161)^2)</f>
        <v>0.64511848801501948</v>
      </c>
      <c r="J161">
        <f>tt(G161,H161,Fitting!$B$1:$E$1,Fitting!$B$2:$E$2)*I161</f>
        <v>11.450853162266595</v>
      </c>
    </row>
    <row r="162" spans="1:10">
      <c r="A162" s="1">
        <f t="shared" si="12"/>
        <v>32787</v>
      </c>
      <c r="B162">
        <f t="shared" si="10"/>
        <v>863.02051949422673</v>
      </c>
      <c r="C162">
        <f>day_length(F162,$B$1,Fitting!$B$4)</f>
        <v>13.387419700622559</v>
      </c>
      <c r="D162" s="1">
        <f t="shared" si="11"/>
        <v>32787</v>
      </c>
      <c r="E162">
        <f t="shared" si="13"/>
        <v>1989</v>
      </c>
      <c r="F162" s="6">
        <f t="shared" si="14"/>
        <v>279</v>
      </c>
      <c r="G162">
        <v>28</v>
      </c>
      <c r="H162">
        <v>8.6</v>
      </c>
      <c r="I162">
        <f>MAX(0,1-Fitting!$B$7*(Fitting!$B$6-Herm8889!C162)^2)</f>
        <v>0.64781964373772638</v>
      </c>
      <c r="J162">
        <f>tt(G162,H162,Fitting!$B$1:$E$1,Fitting!$B$2:$E$2)*I162</f>
        <v>11.855098986153228</v>
      </c>
    </row>
    <row r="163" spans="1:10">
      <c r="A163" s="1">
        <f t="shared" si="12"/>
        <v>32788</v>
      </c>
      <c r="B163">
        <f t="shared" si="10"/>
        <v>873.10338923791574</v>
      </c>
      <c r="C163">
        <f>day_length(F163,$B$1,Fitting!$B$4)</f>
        <v>13.42041015625</v>
      </c>
      <c r="D163" s="1">
        <f t="shared" si="11"/>
        <v>32788</v>
      </c>
      <c r="E163">
        <f t="shared" si="13"/>
        <v>1989</v>
      </c>
      <c r="F163" s="6">
        <f t="shared" si="14"/>
        <v>280</v>
      </c>
      <c r="G163">
        <v>24</v>
      </c>
      <c r="H163">
        <v>7</v>
      </c>
      <c r="I163">
        <f>MAX(0,1-Fitting!$B$7*(Fitting!$B$6-Herm8889!C163)^2)</f>
        <v>0.65050768537526338</v>
      </c>
      <c r="J163">
        <f>tt(G163,H163,Fitting!$B$1:$E$1,Fitting!$B$2:$E$2)*I163</f>
        <v>10.082869743689054</v>
      </c>
    </row>
    <row r="164" spans="1:10">
      <c r="A164" s="1">
        <f t="shared" si="12"/>
        <v>32789</v>
      </c>
      <c r="B164">
        <f t="shared" si="10"/>
        <v>886.00373788687591</v>
      </c>
      <c r="C164">
        <f>day_length(F164,$B$1,Fitting!$B$4)</f>
        <v>13.453367233276367</v>
      </c>
      <c r="D164" s="1">
        <f t="shared" si="11"/>
        <v>32789</v>
      </c>
      <c r="E164">
        <f t="shared" si="13"/>
        <v>1989</v>
      </c>
      <c r="F164" s="6">
        <f t="shared" si="14"/>
        <v>281</v>
      </c>
      <c r="G164">
        <v>26</v>
      </c>
      <c r="H164">
        <v>13.5</v>
      </c>
      <c r="I164">
        <f>MAX(0,1-Fitting!$B$7*(Fitting!$B$6-Herm8889!C164)^2)</f>
        <v>0.65318221007393185</v>
      </c>
      <c r="J164">
        <f>tt(G164,H164,Fitting!$B$1:$E$1,Fitting!$B$2:$E$2)*I164</f>
        <v>12.900348648960154</v>
      </c>
    </row>
    <row r="165" spans="1:10">
      <c r="A165" s="1">
        <f t="shared" si="12"/>
        <v>32790</v>
      </c>
      <c r="B165">
        <f t="shared" si="10"/>
        <v>895.71020535836885</v>
      </c>
      <c r="C165">
        <f>day_length(F165,$B$1,Fitting!$B$4)</f>
        <v>13.486283302307129</v>
      </c>
      <c r="D165" s="1">
        <f t="shared" si="11"/>
        <v>32790</v>
      </c>
      <c r="E165">
        <f t="shared" si="13"/>
        <v>1989</v>
      </c>
      <c r="F165" s="6">
        <f t="shared" si="14"/>
        <v>282</v>
      </c>
      <c r="G165">
        <v>25</v>
      </c>
      <c r="H165">
        <v>4.5999999999999996</v>
      </c>
      <c r="I165">
        <f>MAX(0,1-Fitting!$B$7*(Fitting!$B$6-Herm8889!C165)^2)</f>
        <v>0.65584238827033547</v>
      </c>
      <c r="J165">
        <f>tt(G165,H165,Fitting!$B$1:$E$1,Fitting!$B$2:$E$2)*I165</f>
        <v>9.7064674714929726</v>
      </c>
    </row>
    <row r="166" spans="1:10">
      <c r="A166" s="1">
        <f t="shared" si="12"/>
        <v>32791</v>
      </c>
      <c r="B166">
        <f t="shared" si="10"/>
        <v>904.69856523902547</v>
      </c>
      <c r="C166">
        <f>day_length(F166,$B$1,Fitting!$B$4)</f>
        <v>13.51915168762207</v>
      </c>
      <c r="D166" s="1">
        <f t="shared" si="11"/>
        <v>32791</v>
      </c>
      <c r="E166">
        <f t="shared" si="13"/>
        <v>1989</v>
      </c>
      <c r="F166" s="6">
        <f t="shared" si="14"/>
        <v>283</v>
      </c>
      <c r="G166">
        <v>21.8</v>
      </c>
      <c r="H166">
        <v>5.5</v>
      </c>
      <c r="I166">
        <f>MAX(0,1-Fitting!$B$7*(Fitting!$B$6-Herm8889!C166)^2)</f>
        <v>0.6584879217472408</v>
      </c>
      <c r="J166">
        <f>tt(G166,H166,Fitting!$B$1:$E$1,Fitting!$B$2:$E$2)*I166</f>
        <v>8.9883598806566294</v>
      </c>
    </row>
    <row r="167" spans="1:10">
      <c r="A167" s="1">
        <f t="shared" si="12"/>
        <v>32792</v>
      </c>
      <c r="B167">
        <f t="shared" si="10"/>
        <v>913.12781866169337</v>
      </c>
      <c r="C167">
        <f>day_length(F167,$B$1,Fitting!$B$4)</f>
        <v>13.551963806152344</v>
      </c>
      <c r="D167" s="1">
        <f t="shared" si="11"/>
        <v>32792</v>
      </c>
      <c r="E167">
        <f t="shared" si="13"/>
        <v>1989</v>
      </c>
      <c r="F167" s="6">
        <f t="shared" si="14"/>
        <v>284</v>
      </c>
      <c r="G167">
        <v>20.399999999999999</v>
      </c>
      <c r="H167">
        <v>5.0999999999999996</v>
      </c>
      <c r="I167">
        <f>MAX(0,1-Fitting!$B$7*(Fitting!$B$6-Herm8889!C167)^2)</f>
        <v>0.66111791550336785</v>
      </c>
      <c r="J167">
        <f>tt(G167,H167,Fitting!$B$1:$E$1,Fitting!$B$2:$E$2)*I167</f>
        <v>8.4292534226679408</v>
      </c>
    </row>
    <row r="168" spans="1:10">
      <c r="A168" s="1">
        <f t="shared" si="12"/>
        <v>32793</v>
      </c>
      <c r="B168">
        <f t="shared" si="10"/>
        <v>922.95105370251031</v>
      </c>
      <c r="C168">
        <f>day_length(F168,$B$1,Fitting!$B$4)</f>
        <v>13.584713935852051</v>
      </c>
      <c r="D168" s="1">
        <f t="shared" si="11"/>
        <v>32793</v>
      </c>
      <c r="E168">
        <f t="shared" si="13"/>
        <v>1989</v>
      </c>
      <c r="F168" s="6">
        <f t="shared" si="14"/>
        <v>285</v>
      </c>
      <c r="G168">
        <v>23</v>
      </c>
      <c r="H168">
        <v>6.6</v>
      </c>
      <c r="I168">
        <f>MAX(0,1-Fitting!$B$7*(Fitting!$B$6-Herm8889!C168)^2)</f>
        <v>0.66373208879865708</v>
      </c>
      <c r="J168">
        <f>tt(G168,H168,Fitting!$B$1:$E$1,Fitting!$B$2:$E$2)*I168</f>
        <v>9.8232350408169733</v>
      </c>
    </row>
    <row r="169" spans="1:10">
      <c r="A169" s="1">
        <f t="shared" si="12"/>
        <v>32794</v>
      </c>
      <c r="B169">
        <f t="shared" si="10"/>
        <v>934.27865782085337</v>
      </c>
      <c r="C169">
        <f>day_length(F169,$B$1,Fitting!$B$4)</f>
        <v>13.617391586303711</v>
      </c>
      <c r="D169" s="1">
        <f t="shared" si="11"/>
        <v>32794</v>
      </c>
      <c r="E169">
        <f t="shared" si="13"/>
        <v>1989</v>
      </c>
      <c r="F169" s="6">
        <f t="shared" si="14"/>
        <v>286</v>
      </c>
      <c r="G169">
        <v>24.8</v>
      </c>
      <c r="H169">
        <v>9.1999999999999993</v>
      </c>
      <c r="I169">
        <f>MAX(0,1-Fitting!$B$7*(Fitting!$B$6-Herm8889!C169)^2)</f>
        <v>0.6663296540201773</v>
      </c>
      <c r="J169">
        <f>tt(G169,H169,Fitting!$B$1:$E$1,Fitting!$B$2:$E$2)*I169</f>
        <v>11.327604118343015</v>
      </c>
    </row>
    <row r="170" spans="1:10">
      <c r="A170" s="1">
        <f t="shared" si="12"/>
        <v>32795</v>
      </c>
      <c r="B170">
        <f t="shared" si="10"/>
        <v>947.55652339583571</v>
      </c>
      <c r="C170">
        <f>day_length(F170,$B$1,Fitting!$B$4)</f>
        <v>13.649990081787109</v>
      </c>
      <c r="D170" s="1">
        <f t="shared" si="11"/>
        <v>32795</v>
      </c>
      <c r="E170">
        <f t="shared" si="13"/>
        <v>1989</v>
      </c>
      <c r="F170" s="6">
        <f t="shared" si="14"/>
        <v>287</v>
      </c>
      <c r="G170">
        <v>29.2</v>
      </c>
      <c r="H170">
        <v>10.5</v>
      </c>
      <c r="I170">
        <f>MAX(0,1-Fitting!$B$7*(Fitting!$B$6-Herm8889!C170)^2)</f>
        <v>0.66891009167825721</v>
      </c>
      <c r="J170">
        <f>tt(G170,H170,Fitting!$B$1:$E$1,Fitting!$B$2:$E$2)*I170</f>
        <v>13.277865574982355</v>
      </c>
    </row>
    <row r="171" spans="1:10">
      <c r="A171" s="1">
        <f t="shared" si="12"/>
        <v>32796</v>
      </c>
      <c r="B171">
        <f t="shared" si="10"/>
        <v>958.70297096156685</v>
      </c>
      <c r="C171">
        <f>day_length(F171,$B$1,Fitting!$B$4)</f>
        <v>13.682500839233398</v>
      </c>
      <c r="D171" s="1">
        <f t="shared" si="11"/>
        <v>32796</v>
      </c>
      <c r="E171">
        <f t="shared" si="13"/>
        <v>1989</v>
      </c>
      <c r="F171" s="6">
        <f t="shared" si="14"/>
        <v>288</v>
      </c>
      <c r="G171">
        <v>27</v>
      </c>
      <c r="H171">
        <v>6.2</v>
      </c>
      <c r="I171">
        <f>MAX(0,1-Fitting!$B$7*(Fitting!$B$6-Herm8889!C171)^2)</f>
        <v>0.67147280664562459</v>
      </c>
      <c r="J171">
        <f>tt(G171,H171,Fitting!$B$1:$E$1,Fitting!$B$2:$E$2)*I171</f>
        <v>11.146447565731176</v>
      </c>
    </row>
    <row r="172" spans="1:10">
      <c r="A172" s="1">
        <f t="shared" si="12"/>
        <v>32797</v>
      </c>
      <c r="B172">
        <f t="shared" si="10"/>
        <v>972.52032212111783</v>
      </c>
      <c r="C172">
        <f>day_length(F172,$B$1,Fitting!$B$4)</f>
        <v>13.71491527557373</v>
      </c>
      <c r="D172" s="1">
        <f t="shared" si="11"/>
        <v>32797</v>
      </c>
      <c r="E172">
        <f t="shared" si="13"/>
        <v>1989</v>
      </c>
      <c r="F172" s="6">
        <f t="shared" si="14"/>
        <v>289</v>
      </c>
      <c r="G172">
        <v>29.5</v>
      </c>
      <c r="H172">
        <v>11.5</v>
      </c>
      <c r="I172">
        <f>MAX(0,1-Fitting!$B$7*(Fitting!$B$6-Herm8889!C172)^2)</f>
        <v>0.6740171297341967</v>
      </c>
      <c r="J172">
        <f>tt(G172,H172,Fitting!$B$1:$E$1,Fitting!$B$2:$E$2)*I172</f>
        <v>13.817351159551032</v>
      </c>
    </row>
    <row r="173" spans="1:10">
      <c r="A173" s="1">
        <f t="shared" si="12"/>
        <v>32798</v>
      </c>
      <c r="B173">
        <f t="shared" si="10"/>
        <v>988.16713886243883</v>
      </c>
      <c r="C173">
        <f>day_length(F173,$B$1,Fitting!$B$4)</f>
        <v>13.747224807739258</v>
      </c>
      <c r="D173" s="1">
        <f t="shared" si="11"/>
        <v>32798</v>
      </c>
      <c r="E173">
        <f t="shared" si="13"/>
        <v>1989</v>
      </c>
      <c r="F173" s="6">
        <f t="shared" si="14"/>
        <v>290</v>
      </c>
      <c r="G173">
        <v>31</v>
      </c>
      <c r="H173">
        <v>15.8</v>
      </c>
      <c r="I173">
        <f>MAX(0,1-Fitting!$B$7*(Fitting!$B$6-Herm8889!C173)^2)</f>
        <v>0.6765424873012762</v>
      </c>
      <c r="J173">
        <f>tt(G173,H173,Fitting!$B$1:$E$1,Fitting!$B$2:$E$2)*I173</f>
        <v>15.646816741321002</v>
      </c>
    </row>
    <row r="174" spans="1:10">
      <c r="A174" s="1">
        <f t="shared" si="12"/>
        <v>32799</v>
      </c>
      <c r="B174">
        <f t="shared" si="10"/>
        <v>1001.8499634622849</v>
      </c>
      <c r="C174">
        <f>day_length(F174,$B$1,Fitting!$B$4)</f>
        <v>13.779419898986816</v>
      </c>
      <c r="D174" s="1">
        <f t="shared" si="11"/>
        <v>32799</v>
      </c>
      <c r="E174">
        <f t="shared" si="13"/>
        <v>1989</v>
      </c>
      <c r="F174" s="6">
        <f t="shared" si="14"/>
        <v>291</v>
      </c>
      <c r="G174">
        <v>27.5</v>
      </c>
      <c r="H174">
        <v>12.8</v>
      </c>
      <c r="I174">
        <f>MAX(0,1-Fitting!$B$7*(Fitting!$B$6-Herm8889!C174)^2)</f>
        <v>0.6790483158164079</v>
      </c>
      <c r="J174">
        <f>tt(G174,H174,Fitting!$B$1:$E$1,Fitting!$B$2:$E$2)*I174</f>
        <v>13.682824599846121</v>
      </c>
    </row>
    <row r="175" spans="1:10">
      <c r="A175" s="1">
        <f t="shared" si="12"/>
        <v>32800</v>
      </c>
      <c r="B175">
        <f t="shared" si="10"/>
        <v>1018.9293639767924</v>
      </c>
      <c r="C175">
        <f>day_length(F175,$B$1,Fitting!$B$4)</f>
        <v>13.811493873596191</v>
      </c>
      <c r="D175" s="1">
        <f t="shared" si="11"/>
        <v>32800</v>
      </c>
      <c r="E175">
        <f t="shared" si="13"/>
        <v>1989</v>
      </c>
      <c r="F175" s="6">
        <f t="shared" si="14"/>
        <v>292</v>
      </c>
      <c r="G175">
        <v>30.5</v>
      </c>
      <c r="H175">
        <v>19.8</v>
      </c>
      <c r="I175">
        <f>MAX(0,1-Fitting!$B$7*(Fitting!$B$6-Herm8889!C175)^2)</f>
        <v>0.68153406176359022</v>
      </c>
      <c r="J175">
        <f>tt(G175,H175,Fitting!$B$1:$E$1,Fitting!$B$2:$E$2)*I175</f>
        <v>17.079400514507483</v>
      </c>
    </row>
    <row r="176" spans="1:10">
      <c r="A176" s="1">
        <f t="shared" si="12"/>
        <v>32801</v>
      </c>
      <c r="B176">
        <f t="shared" si="10"/>
        <v>1035.1892563315005</v>
      </c>
      <c r="C176">
        <f>day_length(F176,$B$1,Fitting!$B$4)</f>
        <v>13.843435287475586</v>
      </c>
      <c r="D176" s="1">
        <f t="shared" si="11"/>
        <v>32801</v>
      </c>
      <c r="E176">
        <f t="shared" si="13"/>
        <v>1989</v>
      </c>
      <c r="F176" s="6">
        <f t="shared" si="14"/>
        <v>293</v>
      </c>
      <c r="G176">
        <v>33.5</v>
      </c>
      <c r="H176">
        <v>19.8</v>
      </c>
      <c r="I176">
        <f>MAX(0,1-Fitting!$B$7*(Fitting!$B$6-Herm8889!C176)^2)</f>
        <v>0.68399884932863098</v>
      </c>
      <c r="J176">
        <f>tt(G176,H176,Fitting!$B$1:$E$1,Fitting!$B$2:$E$2)*I176</f>
        <v>16.25989235470799</v>
      </c>
    </row>
    <row r="177" spans="1:10">
      <c r="A177" s="1">
        <f t="shared" si="12"/>
        <v>32802</v>
      </c>
      <c r="B177">
        <f t="shared" si="10"/>
        <v>1045.3142811180057</v>
      </c>
      <c r="C177">
        <f>day_length(F177,$B$1,Fitting!$B$4)</f>
        <v>13.875235557556152</v>
      </c>
      <c r="D177" s="1">
        <f t="shared" si="11"/>
        <v>32802</v>
      </c>
      <c r="E177">
        <f t="shared" si="13"/>
        <v>1989</v>
      </c>
      <c r="F177" s="6">
        <f t="shared" si="14"/>
        <v>294</v>
      </c>
      <c r="G177">
        <v>23</v>
      </c>
      <c r="H177">
        <v>6.5</v>
      </c>
      <c r="I177">
        <f>MAX(0,1-Fitting!$B$7*(Fitting!$B$6-Herm8889!C177)^2)</f>
        <v>0.68644231402460165</v>
      </c>
      <c r="J177">
        <f>tt(G177,H177,Fitting!$B$1:$E$1,Fitting!$B$2:$E$2)*I177</f>
        <v>10.125024786505278</v>
      </c>
    </row>
    <row r="178" spans="1:10">
      <c r="A178" s="1">
        <f t="shared" si="12"/>
        <v>32803</v>
      </c>
      <c r="B178">
        <f t="shared" si="10"/>
        <v>1055.302806422603</v>
      </c>
      <c r="C178">
        <f>day_length(F178,$B$1,Fitting!$B$4)</f>
        <v>13.906883239746094</v>
      </c>
      <c r="D178" s="1">
        <f t="shared" si="11"/>
        <v>32803</v>
      </c>
      <c r="E178">
        <f t="shared" si="13"/>
        <v>1989</v>
      </c>
      <c r="F178" s="6">
        <f t="shared" si="14"/>
        <v>295</v>
      </c>
      <c r="G178">
        <v>23</v>
      </c>
      <c r="H178">
        <v>6</v>
      </c>
      <c r="I178">
        <f>MAX(0,1-Fitting!$B$7*(Fitting!$B$6-Herm8889!C178)^2)</f>
        <v>0.68886376880313938</v>
      </c>
      <c r="J178">
        <f>tt(G178,H178,Fitting!$B$1:$E$1,Fitting!$B$2:$E$2)*I178</f>
        <v>9.9885253045972053</v>
      </c>
    </row>
    <row r="179" spans="1:10">
      <c r="A179" s="1">
        <f t="shared" si="12"/>
        <v>32804</v>
      </c>
      <c r="B179">
        <f t="shared" si="10"/>
        <v>1068.7824275279279</v>
      </c>
      <c r="C179">
        <f>day_length(F179,$B$1,Fitting!$B$4)</f>
        <v>13.938371658325195</v>
      </c>
      <c r="D179" s="1">
        <f t="shared" si="11"/>
        <v>32804</v>
      </c>
      <c r="E179">
        <f t="shared" si="13"/>
        <v>1989</v>
      </c>
      <c r="F179" s="6">
        <f t="shared" si="14"/>
        <v>296</v>
      </c>
      <c r="G179">
        <v>26</v>
      </c>
      <c r="H179">
        <v>13</v>
      </c>
      <c r="I179">
        <f>MAX(0,1-Fitting!$B$7*(Fitting!$B$6-Herm8889!C179)^2)</f>
        <v>0.69126262078589207</v>
      </c>
      <c r="J179">
        <f>tt(G179,H179,Fitting!$B$1:$E$1,Fitting!$B$2:$E$2)*I179</f>
        <v>13.479621105324895</v>
      </c>
    </row>
    <row r="180" spans="1:10">
      <c r="A180" s="1">
        <f t="shared" si="12"/>
        <v>32805</v>
      </c>
      <c r="B180">
        <f t="shared" si="10"/>
        <v>1082.1349598443035</v>
      </c>
      <c r="C180">
        <f>day_length(F180,$B$1,Fitting!$B$4)</f>
        <v>13.96968936920166</v>
      </c>
      <c r="D180" s="1">
        <f t="shared" si="11"/>
        <v>32805</v>
      </c>
      <c r="E180">
        <f t="shared" si="13"/>
        <v>1989</v>
      </c>
      <c r="F180" s="6">
        <f t="shared" si="14"/>
        <v>297</v>
      </c>
      <c r="G180">
        <v>26</v>
      </c>
      <c r="H180">
        <v>12.5</v>
      </c>
      <c r="I180">
        <f>MAX(0,1-Fitting!$B$7*(Fitting!$B$6-Herm8889!C180)^2)</f>
        <v>0.69363804240912574</v>
      </c>
      <c r="J180">
        <f>tt(G180,H180,Fitting!$B$1:$E$1,Fitting!$B$2:$E$2)*I180</f>
        <v>13.352532316375671</v>
      </c>
    </row>
    <row r="181" spans="1:10">
      <c r="A181" s="1">
        <f t="shared" si="12"/>
        <v>32806</v>
      </c>
      <c r="B181">
        <f t="shared" si="10"/>
        <v>1098.0035241515902</v>
      </c>
      <c r="C181">
        <f>day_length(F181,$B$1,Fitting!$B$4)</f>
        <v>14.000824928283691</v>
      </c>
      <c r="D181" s="1">
        <f t="shared" si="11"/>
        <v>32806</v>
      </c>
      <c r="E181">
        <f t="shared" si="13"/>
        <v>1989</v>
      </c>
      <c r="F181" s="6">
        <f t="shared" si="14"/>
        <v>298</v>
      </c>
      <c r="G181">
        <v>28.7</v>
      </c>
      <c r="H181">
        <v>16.899999999999999</v>
      </c>
      <c r="I181">
        <f>MAX(0,1-Fitting!$B$7*(Fitting!$B$6-Herm8889!C181)^2)</f>
        <v>0.69598962766622563</v>
      </c>
      <c r="J181">
        <f>tt(G181,H181,Fitting!$B$1:$E$1,Fitting!$B$2:$E$2)*I181</f>
        <v>15.868564307286864</v>
      </c>
    </row>
    <row r="182" spans="1:10">
      <c r="A182" s="1">
        <f t="shared" si="12"/>
        <v>32807</v>
      </c>
      <c r="B182">
        <f t="shared" si="10"/>
        <v>1110.5383072868265</v>
      </c>
      <c r="C182">
        <f>day_length(F182,$B$1,Fitting!$B$4)</f>
        <v>14.031770706176758</v>
      </c>
      <c r="D182" s="1">
        <f t="shared" si="11"/>
        <v>32807</v>
      </c>
      <c r="E182">
        <f t="shared" si="13"/>
        <v>1989</v>
      </c>
      <c r="F182" s="6">
        <f t="shared" si="14"/>
        <v>299</v>
      </c>
      <c r="G182">
        <v>22.9</v>
      </c>
      <c r="H182">
        <v>13</v>
      </c>
      <c r="I182">
        <f>MAX(0,1-Fitting!$B$7*(Fitting!$B$6-Herm8889!C182)^2)</f>
        <v>0.69831665372680618</v>
      </c>
      <c r="J182">
        <f>tt(G182,H182,Fitting!$B$1:$E$1,Fitting!$B$2:$E$2)*I182</f>
        <v>12.534783135236182</v>
      </c>
    </row>
    <row r="183" spans="1:10">
      <c r="A183" s="1">
        <f t="shared" si="12"/>
        <v>32808</v>
      </c>
      <c r="B183">
        <f t="shared" si="10"/>
        <v>1123.1844690592002</v>
      </c>
      <c r="C183">
        <f>day_length(F183,$B$1,Fitting!$B$4)</f>
        <v>14.062512397766113</v>
      </c>
      <c r="D183" s="1">
        <f t="shared" si="11"/>
        <v>32808</v>
      </c>
      <c r="E183">
        <f t="shared" si="13"/>
        <v>1989</v>
      </c>
      <c r="F183" s="6">
        <f t="shared" si="14"/>
        <v>300</v>
      </c>
      <c r="G183">
        <v>22.1</v>
      </c>
      <c r="H183">
        <v>14</v>
      </c>
      <c r="I183">
        <f>MAX(0,1-Fitting!$B$7*(Fitting!$B$6-Herm8889!C183)^2)</f>
        <v>0.70061841035474937</v>
      </c>
      <c r="J183">
        <f>tt(G183,H183,Fitting!$B$1:$E$1,Fitting!$B$2:$E$2)*I183</f>
        <v>12.6461617723738</v>
      </c>
    </row>
    <row r="184" spans="1:10">
      <c r="A184" s="1">
        <f t="shared" si="12"/>
        <v>32809</v>
      </c>
      <c r="B184">
        <f t="shared" si="10"/>
        <v>1131.4786226499232</v>
      </c>
      <c r="C184">
        <f>day_length(F184,$B$1,Fitting!$B$4)</f>
        <v>14.093042373657227</v>
      </c>
      <c r="D184" s="1">
        <f t="shared" si="11"/>
        <v>32809</v>
      </c>
      <c r="E184">
        <f t="shared" si="13"/>
        <v>1989</v>
      </c>
      <c r="F184" s="6">
        <f t="shared" si="14"/>
        <v>301</v>
      </c>
      <c r="G184">
        <v>17.2</v>
      </c>
      <c r="H184">
        <v>6.4</v>
      </c>
      <c r="I184">
        <f>MAX(0,1-Fitting!$B$7*(Fitting!$B$6-Herm8889!C184)^2)</f>
        <v>0.70289436073360412</v>
      </c>
      <c r="J184">
        <f>tt(G184,H184,Fitting!$B$1:$E$1,Fitting!$B$2:$E$2)*I184</f>
        <v>8.2941535907229884</v>
      </c>
    </row>
    <row r="185" spans="1:10">
      <c r="A185" s="1">
        <f t="shared" si="12"/>
        <v>32810</v>
      </c>
      <c r="B185">
        <f t="shared" si="10"/>
        <v>1140.6454936192893</v>
      </c>
      <c r="C185">
        <f>day_length(F185,$B$1,Fitting!$B$4)</f>
        <v>14.123348236083984</v>
      </c>
      <c r="D185" s="1">
        <f t="shared" si="11"/>
        <v>32810</v>
      </c>
      <c r="E185">
        <f t="shared" si="13"/>
        <v>1989</v>
      </c>
      <c r="F185" s="6">
        <f t="shared" si="14"/>
        <v>302</v>
      </c>
      <c r="G185">
        <v>20.2</v>
      </c>
      <c r="H185">
        <v>5.8</v>
      </c>
      <c r="I185">
        <f>MAX(0,1-Fitting!$B$7*(Fitting!$B$6-Herm8889!C185)^2)</f>
        <v>0.70514381726237474</v>
      </c>
      <c r="J185">
        <f>tt(G185,H185,Fitting!$B$1:$E$1,Fitting!$B$2:$E$2)*I185</f>
        <v>9.1668709693659682</v>
      </c>
    </row>
    <row r="186" spans="1:10">
      <c r="A186" s="1">
        <f t="shared" si="12"/>
        <v>32811</v>
      </c>
      <c r="B186">
        <f t="shared" si="10"/>
        <v>1152.2462974586199</v>
      </c>
      <c r="C186">
        <f>day_length(F186,$B$1,Fitting!$B$4)</f>
        <v>14.153419494628906</v>
      </c>
      <c r="D186" s="1">
        <f t="shared" si="11"/>
        <v>32811</v>
      </c>
      <c r="E186">
        <f t="shared" si="13"/>
        <v>1989</v>
      </c>
      <c r="F186" s="6">
        <f t="shared" si="14"/>
        <v>303</v>
      </c>
      <c r="G186">
        <v>23.2</v>
      </c>
      <c r="H186">
        <v>9.6</v>
      </c>
      <c r="I186">
        <f>MAX(0,1-Fitting!$B$7*(Fitting!$B$6-Herm8889!C186)^2)</f>
        <v>0.70736610421764823</v>
      </c>
      <c r="J186">
        <f>tt(G186,H186,Fitting!$B$1:$E$1,Fitting!$B$2:$E$2)*I186</f>
        <v>11.600803839330677</v>
      </c>
    </row>
    <row r="187" spans="1:10">
      <c r="A187" s="1">
        <f t="shared" si="12"/>
        <v>32812</v>
      </c>
      <c r="B187">
        <f t="shared" si="10"/>
        <v>1164.9119551694503</v>
      </c>
      <c r="C187">
        <f>day_length(F187,$B$1,Fitting!$B$4)</f>
        <v>14.183243751525879</v>
      </c>
      <c r="D187" s="1">
        <f t="shared" si="11"/>
        <v>32812</v>
      </c>
      <c r="E187">
        <f t="shared" si="13"/>
        <v>1989</v>
      </c>
      <c r="F187" s="6">
        <f t="shared" si="14"/>
        <v>304</v>
      </c>
      <c r="G187">
        <v>26.4</v>
      </c>
      <c r="H187">
        <v>9.3000000000000007</v>
      </c>
      <c r="I187">
        <f>MAX(0,1-Fitting!$B$7*(Fitting!$B$6-Herm8889!C187)^2)</f>
        <v>0.7095607167246053</v>
      </c>
      <c r="J187">
        <f>tt(G187,H187,Fitting!$B$1:$E$1,Fitting!$B$2:$E$2)*I187</f>
        <v>12.665657710830475</v>
      </c>
    </row>
    <row r="188" spans="1:10">
      <c r="A188" s="1">
        <f t="shared" si="12"/>
        <v>32813</v>
      </c>
      <c r="B188">
        <f t="shared" si="10"/>
        <v>1178.5059350843285</v>
      </c>
      <c r="C188">
        <f>day_length(F188,$B$1,Fitting!$B$4)</f>
        <v>14.212810516357422</v>
      </c>
      <c r="D188" s="1">
        <f t="shared" si="11"/>
        <v>32813</v>
      </c>
      <c r="E188">
        <f t="shared" si="13"/>
        <v>1989</v>
      </c>
      <c r="F188" s="6">
        <f t="shared" si="14"/>
        <v>305</v>
      </c>
      <c r="G188">
        <v>28.2</v>
      </c>
      <c r="H188">
        <v>10</v>
      </c>
      <c r="I188">
        <f>MAX(0,1-Fitting!$B$7*(Fitting!$B$6-Herm8889!C188)^2)</f>
        <v>0.71172668289926522</v>
      </c>
      <c r="J188">
        <f>tt(G188,H188,Fitting!$B$1:$E$1,Fitting!$B$2:$E$2)*I188</f>
        <v>13.593979914878149</v>
      </c>
    </row>
    <row r="189" spans="1:10">
      <c r="A189" s="1">
        <f t="shared" si="12"/>
        <v>32814</v>
      </c>
      <c r="B189">
        <f t="shared" si="10"/>
        <v>1189.5708227875193</v>
      </c>
      <c r="C189">
        <f>day_length(F189,$B$1,Fitting!$B$4)</f>
        <v>14.242106437683105</v>
      </c>
      <c r="D189" s="1">
        <f t="shared" si="11"/>
        <v>32814</v>
      </c>
      <c r="E189">
        <f t="shared" si="13"/>
        <v>1989</v>
      </c>
      <c r="F189" s="6">
        <f t="shared" si="14"/>
        <v>306</v>
      </c>
      <c r="G189">
        <v>20.2</v>
      </c>
      <c r="H189">
        <v>10.8</v>
      </c>
      <c r="I189">
        <f>MAX(0,1-Fitting!$B$7*(Fitting!$B$6-Herm8889!C189)^2)</f>
        <v>0.71386367886434887</v>
      </c>
      <c r="J189">
        <f>tt(G189,H189,Fitting!$B$1:$E$1,Fitting!$B$2:$E$2)*I189</f>
        <v>11.064887703190864</v>
      </c>
    </row>
    <row r="190" spans="1:10">
      <c r="A190" s="1">
        <f t="shared" si="12"/>
        <v>32815</v>
      </c>
      <c r="B190">
        <f t="shared" si="10"/>
        <v>1202.7446873378403</v>
      </c>
      <c r="C190">
        <f>day_length(F190,$B$1,Fitting!$B$4)</f>
        <v>14.271121025085449</v>
      </c>
      <c r="D190" s="1">
        <f t="shared" si="11"/>
        <v>32815</v>
      </c>
      <c r="E190">
        <f t="shared" si="13"/>
        <v>1989</v>
      </c>
      <c r="F190" s="6">
        <f t="shared" si="14"/>
        <v>307</v>
      </c>
      <c r="G190">
        <v>25.2</v>
      </c>
      <c r="H190">
        <v>11.6</v>
      </c>
      <c r="I190">
        <f>MAX(0,1-Fitting!$B$7*(Fitting!$B$6-Herm8889!C190)^2)</f>
        <v>0.7159709143175077</v>
      </c>
      <c r="J190">
        <f>tt(G190,H190,Fitting!$B$1:$E$1,Fitting!$B$2:$E$2)*I190</f>
        <v>13.173864550320912</v>
      </c>
    </row>
    <row r="191" spans="1:10">
      <c r="A191" s="1">
        <f t="shared" si="12"/>
        <v>32816</v>
      </c>
      <c r="B191">
        <f t="shared" si="10"/>
        <v>1215.0233044544959</v>
      </c>
      <c r="C191">
        <f>day_length(F191,$B$1,Fitting!$B$4)</f>
        <v>14.29984188079834</v>
      </c>
      <c r="D191" s="1">
        <f t="shared" si="11"/>
        <v>32816</v>
      </c>
      <c r="E191">
        <f t="shared" si="13"/>
        <v>1989</v>
      </c>
      <c r="F191" s="6">
        <f t="shared" si="14"/>
        <v>308</v>
      </c>
      <c r="G191">
        <v>23.2</v>
      </c>
      <c r="H191">
        <v>11</v>
      </c>
      <c r="I191">
        <f>MAX(0,1-Fitting!$B$7*(Fitting!$B$6-Herm8889!C191)^2)</f>
        <v>0.71804776858140396</v>
      </c>
      <c r="J191">
        <f>tt(G191,H191,Fitting!$B$1:$E$1,Fitting!$B$2:$E$2)*I191</f>
        <v>12.278617116655493</v>
      </c>
    </row>
    <row r="192" spans="1:10">
      <c r="A192" s="1">
        <f t="shared" si="12"/>
        <v>32817</v>
      </c>
      <c r="B192">
        <f t="shared" si="10"/>
        <v>1229.1011313353072</v>
      </c>
      <c r="C192">
        <f>day_length(F192,$B$1,Fitting!$B$4)</f>
        <v>14.328255653381348</v>
      </c>
      <c r="D192" s="1">
        <f t="shared" si="11"/>
        <v>32817</v>
      </c>
      <c r="E192">
        <f t="shared" si="13"/>
        <v>1989</v>
      </c>
      <c r="F192" s="6">
        <f t="shared" si="14"/>
        <v>309</v>
      </c>
      <c r="G192">
        <v>25.5</v>
      </c>
      <c r="H192">
        <v>13.6</v>
      </c>
      <c r="I192">
        <f>MAX(0,1-Fitting!$B$7*(Fitting!$B$6-Herm8889!C192)^2)</f>
        <v>0.72009347469048945</v>
      </c>
      <c r="J192">
        <f>tt(G192,H192,Fitting!$B$1:$E$1,Fitting!$B$2:$E$2)*I192</f>
        <v>14.077826880811347</v>
      </c>
    </row>
    <row r="193" spans="1:10">
      <c r="A193" s="1">
        <f t="shared" si="12"/>
        <v>32818</v>
      </c>
      <c r="B193">
        <f t="shared" si="10"/>
        <v>1244.806971399438</v>
      </c>
      <c r="C193">
        <f>day_length(F193,$B$1,Fitting!$B$4)</f>
        <v>14.356352806091309</v>
      </c>
      <c r="D193" s="1">
        <f t="shared" si="11"/>
        <v>32818</v>
      </c>
      <c r="E193">
        <f t="shared" si="13"/>
        <v>1989</v>
      </c>
      <c r="F193" s="6">
        <f t="shared" si="14"/>
        <v>310</v>
      </c>
      <c r="G193">
        <v>29.2</v>
      </c>
      <c r="H193">
        <v>14.3</v>
      </c>
      <c r="I193">
        <f>MAX(0,1-Fitting!$B$7*(Fitting!$B$6-Herm8889!C193)^2)</f>
        <v>0.7221075891554356</v>
      </c>
      <c r="J193">
        <f>tt(G193,H193,Fitting!$B$1:$E$1,Fitting!$B$2:$E$2)*I193</f>
        <v>15.705840064130724</v>
      </c>
    </row>
    <row r="194" spans="1:10">
      <c r="A194" s="1">
        <f t="shared" si="12"/>
        <v>32819</v>
      </c>
      <c r="B194">
        <f t="shared" si="10"/>
        <v>1258.6008717742136</v>
      </c>
      <c r="C194">
        <f>day_length(F194,$B$1,Fitting!$B$4)</f>
        <v>14.38411808013916</v>
      </c>
      <c r="D194" s="1">
        <f t="shared" si="11"/>
        <v>32819</v>
      </c>
      <c r="E194">
        <f t="shared" si="13"/>
        <v>1989</v>
      </c>
      <c r="F194" s="6">
        <f t="shared" si="14"/>
        <v>311</v>
      </c>
      <c r="G194">
        <v>26.5</v>
      </c>
      <c r="H194">
        <v>11.6</v>
      </c>
      <c r="I194">
        <f>MAX(0,1-Fitting!$B$7*(Fitting!$B$6-Herm8889!C194)^2)</f>
        <v>0.72408928751768697</v>
      </c>
      <c r="J194">
        <f>tt(G194,H194,Fitting!$B$1:$E$1,Fitting!$B$2:$E$2)*I194</f>
        <v>13.793900374775651</v>
      </c>
    </row>
    <row r="195" spans="1:10">
      <c r="A195" s="1">
        <f t="shared" si="12"/>
        <v>32820</v>
      </c>
      <c r="B195">
        <f t="shared" si="10"/>
        <v>1269.2010271352124</v>
      </c>
      <c r="C195">
        <f>day_length(F195,$B$1,Fitting!$B$4)</f>
        <v>14.411539077758789</v>
      </c>
      <c r="D195" s="1">
        <f t="shared" si="11"/>
        <v>32820</v>
      </c>
      <c r="E195">
        <f t="shared" si="13"/>
        <v>1989</v>
      </c>
      <c r="F195" s="6">
        <f t="shared" si="14"/>
        <v>312</v>
      </c>
      <c r="G195">
        <v>17.5</v>
      </c>
      <c r="H195">
        <v>11.7</v>
      </c>
      <c r="I195">
        <f>MAX(0,1-Fitting!$B$7*(Fitting!$B$6-Herm8889!C195)^2)</f>
        <v>0.72603806687953321</v>
      </c>
      <c r="J195">
        <f>tt(G195,H195,Fitting!$B$1:$E$1,Fitting!$B$2:$E$2)*I195</f>
        <v>10.600155360998871</v>
      </c>
    </row>
    <row r="196" spans="1:10">
      <c r="A196" s="1">
        <f t="shared" si="12"/>
        <v>32821</v>
      </c>
      <c r="B196">
        <f t="shared" si="10"/>
        <v>1281.4306377601197</v>
      </c>
      <c r="C196">
        <f>day_length(F196,$B$1,Fitting!$B$4)</f>
        <v>14.438602447509766</v>
      </c>
      <c r="D196" s="1">
        <f t="shared" si="11"/>
        <v>32821</v>
      </c>
      <c r="E196">
        <f t="shared" si="13"/>
        <v>1989</v>
      </c>
      <c r="F196" s="6">
        <f t="shared" si="14"/>
        <v>313</v>
      </c>
      <c r="G196">
        <v>23.5</v>
      </c>
      <c r="H196">
        <v>10.1</v>
      </c>
      <c r="I196">
        <f>MAX(0,1-Fitting!$B$7*(Fitting!$B$6-Herm8889!C196)^2)</f>
        <v>0.72795304644591852</v>
      </c>
      <c r="J196">
        <f>tt(G196,H196,Fitting!$B$1:$E$1,Fitting!$B$2:$E$2)*I196</f>
        <v>12.229610624907332</v>
      </c>
    </row>
    <row r="197" spans="1:10">
      <c r="A197" s="1">
        <f t="shared" si="12"/>
        <v>32822</v>
      </c>
      <c r="B197">
        <f t="shared" ref="B197:B217" si="15">B196+J197</f>
        <v>1296.6111806290965</v>
      </c>
      <c r="C197">
        <f>day_length(F197,$B$1,Fitting!$B$4)</f>
        <v>14.465297698974609</v>
      </c>
      <c r="D197" s="1">
        <f t="shared" ref="D197:D217" si="16">A197</f>
        <v>32822</v>
      </c>
      <c r="E197">
        <f t="shared" si="13"/>
        <v>1989</v>
      </c>
      <c r="F197" s="6">
        <f t="shared" si="14"/>
        <v>314</v>
      </c>
      <c r="G197">
        <v>26.5</v>
      </c>
      <c r="H197">
        <v>15.1</v>
      </c>
      <c r="I197">
        <f>MAX(0,1-Fitting!$B$7*(Fitting!$B$6-Herm8889!C197)^2)</f>
        <v>0.72983381854787144</v>
      </c>
      <c r="J197">
        <f>tt(G197,H197,Fitting!$B$1:$E$1,Fitting!$B$2:$E$2)*I197</f>
        <v>15.180542868976712</v>
      </c>
    </row>
    <row r="198" spans="1:10">
      <c r="A198" s="1">
        <f t="shared" ref="A198:A217" si="17">A197+1</f>
        <v>32823</v>
      </c>
      <c r="B198">
        <f t="shared" si="15"/>
        <v>1310.3667579585217</v>
      </c>
      <c r="C198">
        <f>day_length(F198,$B$1,Fitting!$B$4)</f>
        <v>14.491610527038574</v>
      </c>
      <c r="D198" s="1">
        <f t="shared" si="16"/>
        <v>32823</v>
      </c>
      <c r="E198">
        <f t="shared" ref="E198:E217" si="18">YEAR(A198)</f>
        <v>1989</v>
      </c>
      <c r="F198" s="6">
        <f t="shared" ref="F198:F217" si="19">A198-DATE(E198,1,1)+1</f>
        <v>315</v>
      </c>
      <c r="G198">
        <v>24.3</v>
      </c>
      <c r="H198">
        <v>13.3</v>
      </c>
      <c r="I198">
        <f>MAX(0,1-Fitting!$B$7*(Fitting!$B$6-Herm8889!C198)^2)</f>
        <v>0.73167967487513663</v>
      </c>
      <c r="J198">
        <f>tt(G198,H198,Fitting!$B$1:$E$1,Fitting!$B$2:$E$2)*I198</f>
        <v>13.755577329425277</v>
      </c>
    </row>
    <row r="199" spans="1:10">
      <c r="A199" s="1">
        <f t="shared" si="17"/>
        <v>32824</v>
      </c>
      <c r="B199">
        <f t="shared" si="15"/>
        <v>1323.7162736080882</v>
      </c>
      <c r="C199">
        <f>day_length(F199,$B$1,Fitting!$B$4)</f>
        <v>14.517526626586914</v>
      </c>
      <c r="D199" s="1">
        <f t="shared" si="16"/>
        <v>32824</v>
      </c>
      <c r="E199">
        <f t="shared" si="18"/>
        <v>1989</v>
      </c>
      <c r="F199" s="6">
        <f t="shared" si="19"/>
        <v>316</v>
      </c>
      <c r="G199">
        <v>25.9</v>
      </c>
      <c r="H199">
        <v>10.5</v>
      </c>
      <c r="I199">
        <f>MAX(0,1-Fitting!$B$7*(Fitting!$B$6-Herm8889!C199)^2)</f>
        <v>0.73348984010758611</v>
      </c>
      <c r="J199">
        <f>tt(G199,H199,Fitting!$B$1:$E$1,Fitting!$B$2:$E$2)*I199</f>
        <v>13.349515649566404</v>
      </c>
    </row>
    <row r="200" spans="1:10">
      <c r="A200" s="1">
        <f t="shared" si="17"/>
        <v>32825</v>
      </c>
      <c r="B200">
        <f t="shared" si="15"/>
        <v>1336.5833910309918</v>
      </c>
      <c r="C200">
        <f>day_length(F200,$B$1,Fitting!$B$4)</f>
        <v>14.543034553527832</v>
      </c>
      <c r="D200" s="1">
        <f t="shared" si="16"/>
        <v>32825</v>
      </c>
      <c r="E200">
        <f t="shared" si="18"/>
        <v>1989</v>
      </c>
      <c r="F200" s="6">
        <f t="shared" si="19"/>
        <v>317</v>
      </c>
      <c r="G200">
        <v>25.3</v>
      </c>
      <c r="H200">
        <v>9.6999999999999993</v>
      </c>
      <c r="I200">
        <f>MAX(0,1-Fitting!$B$7*(Fitting!$B$6-Herm8889!C200)^2)</f>
        <v>0.73526385273735828</v>
      </c>
      <c r="J200">
        <f>tt(G200,H200,Fitting!$B$1:$E$1,Fitting!$B$2:$E$2)*I200</f>
        <v>12.867117422903769</v>
      </c>
    </row>
    <row r="201" spans="1:10">
      <c r="A201" s="1">
        <f t="shared" si="17"/>
        <v>32826</v>
      </c>
      <c r="B201">
        <f t="shared" si="15"/>
        <v>1350.2547595587737</v>
      </c>
      <c r="C201">
        <f>day_length(F201,$B$1,Fitting!$B$4)</f>
        <v>14.568119049072266</v>
      </c>
      <c r="D201" s="1">
        <f t="shared" si="16"/>
        <v>32826</v>
      </c>
      <c r="E201">
        <f t="shared" si="18"/>
        <v>1989</v>
      </c>
      <c r="F201" s="6">
        <f t="shared" si="19"/>
        <v>318</v>
      </c>
      <c r="G201">
        <v>25.7</v>
      </c>
      <c r="H201">
        <v>11.4</v>
      </c>
      <c r="I201">
        <f>MAX(0,1-Fitting!$B$7*(Fitting!$B$6-Herm8889!C201)^2)</f>
        <v>0.73700095333429627</v>
      </c>
      <c r="J201">
        <f>tt(G201,H201,Fitting!$B$1:$E$1,Fitting!$B$2:$E$2)*I201</f>
        <v>13.671368527781853</v>
      </c>
    </row>
    <row r="202" spans="1:10">
      <c r="A202" s="1">
        <f t="shared" si="17"/>
        <v>32827</v>
      </c>
      <c r="B202">
        <f t="shared" si="15"/>
        <v>1366.9124610356369</v>
      </c>
      <c r="C202">
        <f>day_length(F202,$B$1,Fitting!$B$4)</f>
        <v>14.592768669128418</v>
      </c>
      <c r="D202" s="1">
        <f t="shared" si="16"/>
        <v>32827</v>
      </c>
      <c r="E202">
        <f t="shared" si="18"/>
        <v>1989</v>
      </c>
      <c r="F202" s="6">
        <f t="shared" si="19"/>
        <v>319</v>
      </c>
      <c r="G202">
        <v>29.1</v>
      </c>
      <c r="H202">
        <v>16</v>
      </c>
      <c r="I202">
        <f>MAX(0,1-Fitting!$B$7*(Fitting!$B$6-Herm8889!C202)^2)</f>
        <v>0.7387006931923461</v>
      </c>
      <c r="J202">
        <f>tt(G202,H202,Fitting!$B$1:$E$1,Fitting!$B$2:$E$2)*I202</f>
        <v>16.657701476863259</v>
      </c>
    </row>
    <row r="203" spans="1:10">
      <c r="A203" s="1">
        <f t="shared" si="17"/>
        <v>32828</v>
      </c>
      <c r="B203">
        <f t="shared" si="15"/>
        <v>1382.3860333797836</v>
      </c>
      <c r="C203">
        <f>day_length(F203,$B$1,Fitting!$B$4)</f>
        <v>14.616969108581543</v>
      </c>
      <c r="D203" s="1">
        <f t="shared" si="16"/>
        <v>32828</v>
      </c>
      <c r="E203">
        <f t="shared" si="18"/>
        <v>1989</v>
      </c>
      <c r="F203" s="6">
        <f t="shared" si="19"/>
        <v>320</v>
      </c>
      <c r="G203">
        <v>25.8</v>
      </c>
      <c r="H203">
        <v>16</v>
      </c>
      <c r="I203">
        <f>MAX(0,1-Fitting!$B$7*(Fitting!$B$6-Herm8889!C203)^2)</f>
        <v>0.74036232663026924</v>
      </c>
      <c r="J203">
        <f>tt(G203,H203,Fitting!$B$1:$E$1,Fitting!$B$2:$E$2)*I203</f>
        <v>15.473572344146813</v>
      </c>
    </row>
    <row r="204" spans="1:10">
      <c r="A204" s="1">
        <f t="shared" si="17"/>
        <v>32829</v>
      </c>
      <c r="B204">
        <f t="shared" si="15"/>
        <v>1399.0807018539617</v>
      </c>
      <c r="C204">
        <f>day_length(F204,$B$1,Fitting!$B$4)</f>
        <v>14.640707015991211</v>
      </c>
      <c r="D204" s="1">
        <f t="shared" si="16"/>
        <v>32829</v>
      </c>
      <c r="E204">
        <f t="shared" si="18"/>
        <v>1989</v>
      </c>
      <c r="F204" s="6">
        <f t="shared" si="19"/>
        <v>321</v>
      </c>
      <c r="G204">
        <v>28.6</v>
      </c>
      <c r="H204">
        <v>16.399999999999999</v>
      </c>
      <c r="I204">
        <f>MAX(0,1-Fitting!$B$7*(Fitting!$B$6-Herm8889!C204)^2)</f>
        <v>0.74198526551902799</v>
      </c>
      <c r="J204">
        <f>tt(G204,H204,Fitting!$B$1:$E$1,Fitting!$B$2:$E$2)*I204</f>
        <v>16.69466847417813</v>
      </c>
    </row>
    <row r="205" spans="1:10">
      <c r="A205" s="1">
        <f t="shared" si="17"/>
        <v>32830</v>
      </c>
      <c r="B205">
        <f t="shared" si="15"/>
        <v>1417.2981387244545</v>
      </c>
      <c r="C205">
        <f>day_length(F205,$B$1,Fitting!$B$4)</f>
        <v>14.663969993591309</v>
      </c>
      <c r="D205" s="1">
        <f t="shared" si="16"/>
        <v>32830</v>
      </c>
      <c r="E205">
        <f t="shared" si="18"/>
        <v>1989</v>
      </c>
      <c r="F205" s="6">
        <f t="shared" si="19"/>
        <v>322</v>
      </c>
      <c r="G205">
        <v>29.7</v>
      </c>
      <c r="H205">
        <v>19.3</v>
      </c>
      <c r="I205">
        <f>MAX(0,1-Fitting!$B$7*(Fitting!$B$6-Herm8889!C205)^2)</f>
        <v>0.74356885185684407</v>
      </c>
      <c r="J205">
        <f>tt(G205,H205,Fitting!$B$1:$E$1,Fitting!$B$2:$E$2)*I205</f>
        <v>18.21743687049268</v>
      </c>
    </row>
    <row r="206" spans="1:10">
      <c r="A206" s="1">
        <f t="shared" si="17"/>
        <v>32831</v>
      </c>
      <c r="B206">
        <f t="shared" si="15"/>
        <v>1432.4239265074825</v>
      </c>
      <c r="C206">
        <f>day_length(F206,$B$1,Fitting!$B$4)</f>
        <v>14.686742782592773</v>
      </c>
      <c r="D206" s="1">
        <f t="shared" si="16"/>
        <v>32831</v>
      </c>
      <c r="E206">
        <f t="shared" si="18"/>
        <v>1989</v>
      </c>
      <c r="F206" s="6">
        <f t="shared" si="19"/>
        <v>323</v>
      </c>
      <c r="G206">
        <v>26.8</v>
      </c>
      <c r="H206">
        <v>13.8</v>
      </c>
      <c r="I206">
        <f>MAX(0,1-Fitting!$B$7*(Fitting!$B$6-Herm8889!C206)^2)</f>
        <v>0.74511265666572757</v>
      </c>
      <c r="J206">
        <f>tt(G206,H206,Fitting!$B$1:$E$1,Fitting!$B$2:$E$2)*I206</f>
        <v>15.125787783028034</v>
      </c>
    </row>
    <row r="207" spans="1:10">
      <c r="A207" s="1">
        <f t="shared" si="17"/>
        <v>32832</v>
      </c>
      <c r="B207">
        <f t="shared" si="15"/>
        <v>1446.7216203451919</v>
      </c>
      <c r="C207">
        <f>day_length(F207,$B$1,Fitting!$B$4)</f>
        <v>14.709013938903809</v>
      </c>
      <c r="D207" s="1">
        <f t="shared" si="16"/>
        <v>32832</v>
      </c>
      <c r="E207">
        <f t="shared" si="18"/>
        <v>1989</v>
      </c>
      <c r="F207" s="6">
        <f t="shared" si="19"/>
        <v>324</v>
      </c>
      <c r="G207">
        <v>24.7</v>
      </c>
      <c r="H207">
        <v>13.6</v>
      </c>
      <c r="I207">
        <f>MAX(0,1-Fitting!$B$7*(Fitting!$B$6-Herm8889!C207)^2)</f>
        <v>0.74661588107157884</v>
      </c>
      <c r="J207">
        <f>tt(G207,H207,Fitting!$B$1:$E$1,Fitting!$B$2:$E$2)*I207</f>
        <v>14.297693837709378</v>
      </c>
    </row>
    <row r="208" spans="1:10">
      <c r="A208" s="1">
        <f t="shared" si="17"/>
        <v>32833</v>
      </c>
      <c r="B208">
        <f t="shared" si="15"/>
        <v>1457.718369402387</v>
      </c>
      <c r="C208">
        <f>day_length(F208,$B$1,Fitting!$B$4)</f>
        <v>14.730769157409668</v>
      </c>
      <c r="D208" s="1">
        <f t="shared" si="16"/>
        <v>32833</v>
      </c>
      <c r="E208">
        <f t="shared" si="18"/>
        <v>1989</v>
      </c>
      <c r="F208" s="6">
        <f t="shared" si="19"/>
        <v>325</v>
      </c>
      <c r="G208">
        <v>22.1</v>
      </c>
      <c r="H208">
        <v>7.3</v>
      </c>
      <c r="I208">
        <f>MAX(0,1-Fitting!$B$7*(Fitting!$B$6-Herm8889!C208)^2)</f>
        <v>0.74807817686255473</v>
      </c>
      <c r="J208">
        <f>tt(G208,H208,Fitting!$B$1:$E$1,Fitting!$B$2:$E$2)*I208</f>
        <v>10.996749057194966</v>
      </c>
    </row>
    <row r="209" spans="1:10">
      <c r="A209" s="1">
        <f t="shared" si="17"/>
        <v>32834</v>
      </c>
      <c r="B209">
        <f t="shared" si="15"/>
        <v>1471.6965208424306</v>
      </c>
      <c r="C209">
        <f>day_length(F209,$B$1,Fitting!$B$4)</f>
        <v>14.751996040344238</v>
      </c>
      <c r="D209" s="1">
        <f t="shared" si="16"/>
        <v>32834</v>
      </c>
      <c r="E209">
        <f t="shared" si="18"/>
        <v>1989</v>
      </c>
      <c r="F209" s="6">
        <f t="shared" si="19"/>
        <v>326</v>
      </c>
      <c r="G209">
        <v>25.9</v>
      </c>
      <c r="H209">
        <v>11.4</v>
      </c>
      <c r="I209">
        <f>MAX(0,1-Fitting!$B$7*(Fitting!$B$6-Herm8889!C209)^2)</f>
        <v>0.74949875206191252</v>
      </c>
      <c r="J209">
        <f>tt(G209,H209,Fitting!$B$1:$E$1,Fitting!$B$2:$E$2)*I209</f>
        <v>13.978151440043584</v>
      </c>
    </row>
    <row r="210" spans="1:10">
      <c r="A210" s="1">
        <f t="shared" si="17"/>
        <v>32835</v>
      </c>
      <c r="B210">
        <f t="shared" si="15"/>
        <v>1487.5400283573772</v>
      </c>
      <c r="C210">
        <f>day_length(F210,$B$1,Fitting!$B$4)</f>
        <v>14.772680282592773</v>
      </c>
      <c r="D210" s="1">
        <f t="shared" si="16"/>
        <v>32835</v>
      </c>
      <c r="E210">
        <f t="shared" si="18"/>
        <v>1989</v>
      </c>
      <c r="F210" s="6">
        <f t="shared" si="19"/>
        <v>327</v>
      </c>
      <c r="G210">
        <v>28.1</v>
      </c>
      <c r="H210">
        <v>14.1</v>
      </c>
      <c r="I210">
        <f>MAX(0,1-Fitting!$B$7*(Fitting!$B$6-Herm8889!C210)^2)</f>
        <v>0.75087718771063372</v>
      </c>
      <c r="J210">
        <f>tt(G210,H210,Fitting!$B$1:$E$1,Fitting!$B$2:$E$2)*I210</f>
        <v>15.84350751494671</v>
      </c>
    </row>
    <row r="211" spans="1:10">
      <c r="A211" s="1">
        <f t="shared" si="17"/>
        <v>32836</v>
      </c>
      <c r="B211">
        <f t="shared" si="15"/>
        <v>1504.5776523124027</v>
      </c>
      <c r="C211">
        <f>day_length(F211,$B$1,Fitting!$B$4)</f>
        <v>14.79280948638916</v>
      </c>
      <c r="D211" s="1">
        <f t="shared" si="16"/>
        <v>32836</v>
      </c>
      <c r="E211">
        <f t="shared" si="18"/>
        <v>1989</v>
      </c>
      <c r="F211" s="6">
        <f t="shared" si="19"/>
        <v>328</v>
      </c>
      <c r="G211">
        <v>29.3</v>
      </c>
      <c r="H211">
        <v>16</v>
      </c>
      <c r="I211">
        <f>MAX(0,1-Fitting!$B$7*(Fitting!$B$6-Herm8889!C211)^2)</f>
        <v>0.75221299081554205</v>
      </c>
      <c r="J211">
        <f>tt(G211,H211,Fitting!$B$1:$E$1,Fitting!$B$2:$E$2)*I211</f>
        <v>17.037623955025545</v>
      </c>
    </row>
    <row r="212" spans="1:10">
      <c r="A212" s="1">
        <f t="shared" si="17"/>
        <v>32837</v>
      </c>
      <c r="B212">
        <f t="shared" si="15"/>
        <v>1520.8533704246368</v>
      </c>
      <c r="C212">
        <f>day_length(F212,$B$1,Fitting!$B$4)</f>
        <v>14.812371253967285</v>
      </c>
      <c r="D212" s="1">
        <f t="shared" si="16"/>
        <v>32837</v>
      </c>
      <c r="E212">
        <f t="shared" si="18"/>
        <v>1989</v>
      </c>
      <c r="F212" s="6">
        <f t="shared" si="19"/>
        <v>329</v>
      </c>
      <c r="G212">
        <v>27.4</v>
      </c>
      <c r="H212">
        <v>15.8</v>
      </c>
      <c r="I212">
        <f>MAX(0,1-Fitting!$B$7*(Fitting!$B$6-Herm8889!C212)^2)</f>
        <v>0.75350552138852978</v>
      </c>
      <c r="J212">
        <f>tt(G212,H212,Fitting!$B$1:$E$1,Fitting!$B$2:$E$2)*I212</f>
        <v>16.275718112234063</v>
      </c>
    </row>
    <row r="213" spans="1:10">
      <c r="A213" s="1">
        <f t="shared" si="17"/>
        <v>32838</v>
      </c>
      <c r="B213">
        <f t="shared" si="15"/>
        <v>1537.4579631142246</v>
      </c>
      <c r="C213">
        <f>day_length(F213,$B$1,Fitting!$B$4)</f>
        <v>14.831353187561035</v>
      </c>
      <c r="D213" s="1">
        <f t="shared" si="16"/>
        <v>32838</v>
      </c>
      <c r="E213">
        <f t="shared" si="18"/>
        <v>1989</v>
      </c>
      <c r="F213" s="6">
        <f t="shared" si="19"/>
        <v>330</v>
      </c>
      <c r="G213">
        <v>29.2</v>
      </c>
      <c r="H213">
        <v>14.8</v>
      </c>
      <c r="I213">
        <f>MAX(0,1-Fitting!$B$7*(Fitting!$B$6-Herm8889!C213)^2)</f>
        <v>0.75475421316308344</v>
      </c>
      <c r="J213">
        <f>tt(G213,H213,Fitting!$B$1:$E$1,Fitting!$B$2:$E$2)*I213</f>
        <v>16.604592689587836</v>
      </c>
    </row>
    <row r="214" spans="1:10">
      <c r="A214" s="1">
        <f t="shared" si="17"/>
        <v>32839</v>
      </c>
      <c r="B214">
        <f t="shared" si="15"/>
        <v>1550.9896225696286</v>
      </c>
      <c r="C214">
        <f>day_length(F214,$B$1,Fitting!$B$4)</f>
        <v>14.849742889404297</v>
      </c>
      <c r="D214" s="1">
        <f t="shared" si="16"/>
        <v>32839</v>
      </c>
      <c r="E214">
        <f t="shared" si="18"/>
        <v>1989</v>
      </c>
      <c r="F214" s="6">
        <f t="shared" si="19"/>
        <v>331</v>
      </c>
      <c r="G214">
        <v>26.4</v>
      </c>
      <c r="H214">
        <v>9.4</v>
      </c>
      <c r="I214">
        <f>MAX(0,1-Fitting!$B$7*(Fitting!$B$6-Herm8889!C214)^2)</f>
        <v>0.7559586449038761</v>
      </c>
      <c r="J214">
        <f>tt(G214,H214,Fitting!$B$1:$E$1,Fitting!$B$2:$E$2)*I214</f>
        <v>13.531659455404045</v>
      </c>
    </row>
    <row r="215" spans="1:10">
      <c r="A215" s="1">
        <f t="shared" si="17"/>
        <v>32840</v>
      </c>
      <c r="B215">
        <f t="shared" si="15"/>
        <v>1565.0341696135174</v>
      </c>
      <c r="C215">
        <f>day_length(F215,$B$1,Fitting!$B$4)</f>
        <v>14.867527008056641</v>
      </c>
      <c r="D215" s="1">
        <f t="shared" si="16"/>
        <v>32840</v>
      </c>
      <c r="E215">
        <f t="shared" si="18"/>
        <v>1989</v>
      </c>
      <c r="F215" s="6">
        <f t="shared" si="19"/>
        <v>332</v>
      </c>
      <c r="G215">
        <v>27.1</v>
      </c>
      <c r="H215">
        <v>10</v>
      </c>
      <c r="I215">
        <f>MAX(0,1-Fitting!$B$7*(Fitting!$B$6-Herm8889!C215)^2)</f>
        <v>0.75711839231458178</v>
      </c>
      <c r="J215">
        <f>tt(G215,H215,Fitting!$B$1:$E$1,Fitting!$B$2:$E$2)*I215</f>
        <v>14.044547043888731</v>
      </c>
    </row>
    <row r="216" spans="1:10">
      <c r="A216" s="1">
        <f t="shared" si="17"/>
        <v>32841</v>
      </c>
      <c r="B216">
        <f t="shared" si="15"/>
        <v>1580.6916783402271</v>
      </c>
      <c r="C216">
        <f>day_length(F216,$B$1,Fitting!$B$4)</f>
        <v>14.88469409942627</v>
      </c>
      <c r="D216" s="1">
        <f t="shared" si="16"/>
        <v>32841</v>
      </c>
      <c r="E216">
        <f t="shared" si="18"/>
        <v>1989</v>
      </c>
      <c r="F216" s="6">
        <f t="shared" si="19"/>
        <v>333</v>
      </c>
      <c r="G216">
        <v>28.4</v>
      </c>
      <c r="H216">
        <v>12.9</v>
      </c>
      <c r="I216">
        <f>MAX(0,1-Fitting!$B$7*(Fitting!$B$6-Herm8889!C216)^2)</f>
        <v>0.75823288212845541</v>
      </c>
      <c r="J216">
        <f>tt(G216,H216,Fitting!$B$1:$E$1,Fitting!$B$2:$E$2)*I216</f>
        <v>15.657508726709715</v>
      </c>
    </row>
    <row r="217" spans="1:10">
      <c r="A217" s="1">
        <f t="shared" si="17"/>
        <v>32842</v>
      </c>
      <c r="B217">
        <f t="shared" si="15"/>
        <v>1597.1305625055165</v>
      </c>
      <c r="C217">
        <f>day_length(F217,$B$1,Fitting!$B$4)</f>
        <v>14.901232719421387</v>
      </c>
      <c r="D217" s="1">
        <f t="shared" si="16"/>
        <v>32842</v>
      </c>
      <c r="E217">
        <f t="shared" si="18"/>
        <v>1989</v>
      </c>
      <c r="F217" s="6">
        <f t="shared" si="19"/>
        <v>334</v>
      </c>
      <c r="G217">
        <v>29.5</v>
      </c>
      <c r="H217">
        <v>13.8</v>
      </c>
      <c r="I217">
        <f>MAX(0,1-Fitting!$B$7*(Fitting!$B$6-Herm8889!C217)^2)</f>
        <v>0.75930175550517198</v>
      </c>
      <c r="J217">
        <f>tt(G217,H217,Fitting!$B$1:$E$1,Fitting!$B$2:$E$2)*I217</f>
        <v>16.438884165289505</v>
      </c>
    </row>
    <row r="218" spans="1:10">
      <c r="A218" s="1"/>
      <c r="D218" s="1"/>
      <c r="F218" s="6"/>
    </row>
    <row r="219" spans="1:10">
      <c r="A219" s="1"/>
      <c r="D219" s="1"/>
      <c r="F219" s="6"/>
    </row>
    <row r="220" spans="1:10">
      <c r="A220" s="1"/>
      <c r="D220" s="1"/>
      <c r="F220" s="6"/>
    </row>
    <row r="221" spans="1:10">
      <c r="A221" s="1"/>
      <c r="D221" s="1"/>
      <c r="F221" s="6"/>
    </row>
    <row r="222" spans="1:10">
      <c r="A222" s="1"/>
      <c r="D222" s="1"/>
      <c r="F222" s="6"/>
    </row>
    <row r="223" spans="1:10">
      <c r="A223" s="1"/>
      <c r="D223" s="1"/>
      <c r="F223" s="6"/>
    </row>
    <row r="224" spans="1:10">
      <c r="A224" s="1"/>
      <c r="D224" s="1"/>
      <c r="F224" s="6"/>
    </row>
    <row r="225" spans="1:6">
      <c r="A225" s="1"/>
      <c r="D225" s="1"/>
      <c r="F225" s="6"/>
    </row>
    <row r="226" spans="1:6">
      <c r="A226" s="1"/>
      <c r="D226" s="1"/>
      <c r="F226" s="6"/>
    </row>
    <row r="227" spans="1:6">
      <c r="A227" s="1"/>
      <c r="D227" s="1"/>
      <c r="F227" s="6"/>
    </row>
    <row r="228" spans="1:6">
      <c r="A228" s="1"/>
      <c r="D228" s="1"/>
      <c r="F228" s="6"/>
    </row>
    <row r="229" spans="1:6">
      <c r="A229" s="1"/>
      <c r="D229" s="1"/>
      <c r="F229" s="6"/>
    </row>
    <row r="230" spans="1:6">
      <c r="A230" s="1"/>
      <c r="D230" s="1"/>
      <c r="F230" s="6"/>
    </row>
    <row r="231" spans="1:6">
      <c r="A231" s="1"/>
      <c r="D231" s="1"/>
      <c r="F231" s="6"/>
    </row>
    <row r="232" spans="1:6">
      <c r="A232" s="1"/>
      <c r="D232" s="1"/>
      <c r="F232" s="6"/>
    </row>
    <row r="233" spans="1:6">
      <c r="A233" s="1"/>
      <c r="D233" s="1"/>
      <c r="F233" s="6"/>
    </row>
    <row r="234" spans="1:6">
      <c r="A234" s="1"/>
      <c r="D234" s="1"/>
      <c r="F234" s="6"/>
    </row>
    <row r="235" spans="1:6">
      <c r="A235" s="1"/>
      <c r="D235" s="1"/>
      <c r="F235" s="6"/>
    </row>
    <row r="236" spans="1:6">
      <c r="A236" s="1"/>
      <c r="D236" s="1"/>
      <c r="F236" s="6"/>
    </row>
    <row r="237" spans="1:6">
      <c r="A237" s="1"/>
      <c r="D237" s="1"/>
      <c r="F237" s="6"/>
    </row>
    <row r="238" spans="1:6">
      <c r="A238" s="1"/>
      <c r="D238" s="1"/>
      <c r="F238" s="6"/>
    </row>
    <row r="239" spans="1:6">
      <c r="A239" s="1"/>
      <c r="D239" s="1"/>
      <c r="F239" s="6"/>
    </row>
    <row r="240" spans="1:6">
      <c r="A240" s="1"/>
      <c r="D240" s="1"/>
      <c r="F240" s="6"/>
    </row>
    <row r="241" spans="1:6">
      <c r="A241" s="1"/>
      <c r="D241" s="1"/>
      <c r="F241" s="6"/>
    </row>
    <row r="242" spans="1:6">
      <c r="A242" s="1"/>
      <c r="D242" s="1"/>
      <c r="F242" s="6"/>
    </row>
    <row r="243" spans="1:6">
      <c r="A243" s="1"/>
      <c r="D243" s="1"/>
      <c r="F243" s="6"/>
    </row>
    <row r="244" spans="1:6">
      <c r="A244" s="1"/>
      <c r="D244" s="1"/>
      <c r="F244" s="6"/>
    </row>
    <row r="245" spans="1:6">
      <c r="A245" s="1"/>
      <c r="D245" s="1"/>
      <c r="F245" s="6"/>
    </row>
    <row r="246" spans="1:6">
      <c r="A246" s="1"/>
      <c r="D246" s="1"/>
      <c r="F246" s="6"/>
    </row>
    <row r="247" spans="1:6">
      <c r="A247" s="1"/>
      <c r="D247" s="1"/>
      <c r="F247" s="6"/>
    </row>
    <row r="248" spans="1:6">
      <c r="A248" s="1"/>
      <c r="D248" s="1"/>
      <c r="F248" s="6"/>
    </row>
    <row r="249" spans="1:6">
      <c r="A249" s="1"/>
      <c r="D249" s="1"/>
      <c r="F249" s="6"/>
    </row>
    <row r="250" spans="1:6">
      <c r="A250" s="1"/>
      <c r="D250" s="1"/>
      <c r="F250" s="6"/>
    </row>
    <row r="251" spans="1:6">
      <c r="A251" s="1"/>
      <c r="D251" s="1"/>
      <c r="F251" s="6"/>
    </row>
    <row r="252" spans="1:6">
      <c r="A252" s="1"/>
      <c r="D252" s="1"/>
      <c r="F252" s="6"/>
    </row>
    <row r="253" spans="1:6">
      <c r="A253" s="1"/>
      <c r="D253" s="1"/>
      <c r="F253" s="6"/>
    </row>
    <row r="254" spans="1:6">
      <c r="A254" s="1"/>
      <c r="D254" s="1"/>
      <c r="F254" s="6"/>
    </row>
    <row r="255" spans="1:6">
      <c r="A255" s="1"/>
      <c r="D255" s="1"/>
      <c r="F255" s="6"/>
    </row>
    <row r="256" spans="1:6">
      <c r="A256" s="1"/>
      <c r="D256" s="1"/>
      <c r="F256" s="6"/>
    </row>
    <row r="257" spans="1:6">
      <c r="A257" s="1"/>
      <c r="D257" s="1"/>
      <c r="F257" s="6"/>
    </row>
    <row r="258" spans="1:6">
      <c r="A258" s="1"/>
      <c r="D258" s="1"/>
      <c r="F258" s="6"/>
    </row>
    <row r="259" spans="1:6">
      <c r="A259" s="1"/>
      <c r="D259" s="1"/>
      <c r="F259" s="6"/>
    </row>
    <row r="260" spans="1:6">
      <c r="A260" s="1"/>
      <c r="D260" s="1"/>
      <c r="F260" s="6"/>
    </row>
    <row r="261" spans="1:6">
      <c r="A261" s="1"/>
      <c r="D261" s="1"/>
      <c r="F261" s="6"/>
    </row>
    <row r="262" spans="1:6">
      <c r="A262" s="1"/>
      <c r="D262" s="1"/>
      <c r="F262" s="6"/>
    </row>
    <row r="263" spans="1:6">
      <c r="A263" s="1"/>
      <c r="D263" s="1"/>
      <c r="F263" s="6"/>
    </row>
    <row r="264" spans="1:6">
      <c r="A264" s="1"/>
      <c r="D264" s="1"/>
      <c r="F264" s="6"/>
    </row>
    <row r="265" spans="1:6">
      <c r="A265" s="1"/>
      <c r="D265" s="1"/>
      <c r="F265" s="6"/>
    </row>
    <row r="266" spans="1:6">
      <c r="A266" s="1"/>
      <c r="D266" s="1"/>
      <c r="F266" s="6"/>
    </row>
    <row r="267" spans="1:6">
      <c r="A267" s="1"/>
      <c r="D267" s="1"/>
      <c r="F267" s="6"/>
    </row>
    <row r="268" spans="1:6">
      <c r="A268" s="1"/>
      <c r="D268" s="1"/>
      <c r="F268" s="6"/>
    </row>
    <row r="269" spans="1:6">
      <c r="A269" s="1"/>
      <c r="D269" s="1"/>
      <c r="F269" s="6"/>
    </row>
    <row r="270" spans="1:6">
      <c r="A270" s="1"/>
      <c r="D270" s="1"/>
      <c r="F270" s="6"/>
    </row>
    <row r="271" spans="1:6">
      <c r="A271" s="1"/>
      <c r="D271" s="1"/>
      <c r="F271" s="6"/>
    </row>
    <row r="272" spans="1:6">
      <c r="A272" s="1"/>
      <c r="D272" s="1"/>
      <c r="F272" s="6"/>
    </row>
    <row r="273" spans="1:6">
      <c r="A273" s="1"/>
      <c r="D273" s="1"/>
      <c r="F273" s="6"/>
    </row>
    <row r="274" spans="1:6">
      <c r="A274" s="1"/>
      <c r="D274" s="1"/>
      <c r="F274" s="6"/>
    </row>
    <row r="275" spans="1:6">
      <c r="A275" s="1"/>
      <c r="D275" s="1"/>
      <c r="F275" s="6"/>
    </row>
    <row r="276" spans="1:6">
      <c r="A276" s="1"/>
      <c r="D276" s="1"/>
      <c r="F276" s="6"/>
    </row>
    <row r="277" spans="1:6">
      <c r="A277" s="1"/>
      <c r="D277" s="1"/>
      <c r="F277" s="6"/>
    </row>
    <row r="278" spans="1:6">
      <c r="A278" s="1"/>
      <c r="D278" s="1"/>
      <c r="F278" s="6"/>
    </row>
    <row r="279" spans="1:6">
      <c r="A279" s="1"/>
      <c r="D279" s="1"/>
      <c r="F279" s="6"/>
    </row>
    <row r="280" spans="1:6">
      <c r="A280" s="1"/>
      <c r="D280" s="1"/>
      <c r="F280" s="6"/>
    </row>
    <row r="281" spans="1:6">
      <c r="A281" s="1"/>
      <c r="D281" s="1"/>
      <c r="F281" s="6"/>
    </row>
    <row r="282" spans="1:6">
      <c r="A282" s="1"/>
      <c r="D282" s="1"/>
      <c r="F282" s="6"/>
    </row>
    <row r="283" spans="1:6">
      <c r="A283" s="1"/>
      <c r="D283" s="1"/>
      <c r="F283" s="6"/>
    </row>
    <row r="284" spans="1:6">
      <c r="A284" s="1"/>
      <c r="D284" s="1"/>
      <c r="F284" s="6"/>
    </row>
    <row r="285" spans="1:6">
      <c r="A285" s="1"/>
      <c r="D285" s="1"/>
      <c r="F285" s="6"/>
    </row>
    <row r="286" spans="1:6">
      <c r="A286" s="1"/>
      <c r="D286" s="1"/>
      <c r="F286" s="6"/>
    </row>
    <row r="287" spans="1:6">
      <c r="A287" s="1"/>
      <c r="D287" s="1"/>
      <c r="F287" s="6"/>
    </row>
    <row r="288" spans="1:6">
      <c r="A288" s="1"/>
      <c r="D288" s="1"/>
      <c r="F288" s="6"/>
    </row>
    <row r="289" spans="1:6">
      <c r="A289" s="1"/>
      <c r="D289" s="1"/>
      <c r="F289" s="6"/>
    </row>
    <row r="290" spans="1:6">
      <c r="A290" s="1"/>
      <c r="D290" s="1"/>
      <c r="F290" s="6"/>
    </row>
    <row r="291" spans="1:6">
      <c r="A291" s="1"/>
      <c r="D291" s="1"/>
      <c r="F291" s="6"/>
    </row>
    <row r="292" spans="1:6">
      <c r="A292" s="1"/>
      <c r="D292" s="1"/>
      <c r="F292" s="6"/>
    </row>
    <row r="293" spans="1:6">
      <c r="A293" s="1"/>
      <c r="D293" s="1"/>
      <c r="F293" s="6"/>
    </row>
    <row r="294" spans="1:6">
      <c r="A294" s="1"/>
      <c r="D294" s="1"/>
      <c r="F294" s="6"/>
    </row>
    <row r="295" spans="1:6">
      <c r="A295" s="1"/>
      <c r="D295" s="1"/>
      <c r="F295" s="6"/>
    </row>
    <row r="296" spans="1:6">
      <c r="A296" s="1"/>
      <c r="D296" s="1"/>
      <c r="F296" s="6"/>
    </row>
    <row r="297" spans="1:6">
      <c r="A297" s="1"/>
      <c r="D297" s="1"/>
      <c r="F297" s="6"/>
    </row>
    <row r="298" spans="1:6">
      <c r="A298" s="1"/>
      <c r="D298" s="1"/>
      <c r="F298" s="6"/>
    </row>
    <row r="299" spans="1:6">
      <c r="A299" s="1"/>
      <c r="D299" s="1"/>
      <c r="F299" s="6"/>
    </row>
    <row r="300" spans="1:6">
      <c r="A300" s="1"/>
      <c r="D300" s="1"/>
      <c r="F300" s="6"/>
    </row>
    <row r="301" spans="1:6">
      <c r="A301" s="1"/>
      <c r="D301" s="1"/>
      <c r="F301" s="6"/>
    </row>
    <row r="302" spans="1:6">
      <c r="A302" s="1"/>
      <c r="D302" s="1"/>
      <c r="F302" s="6"/>
    </row>
    <row r="303" spans="1:6">
      <c r="A303" s="1"/>
      <c r="D303" s="1"/>
      <c r="F303" s="6"/>
    </row>
    <row r="304" spans="1:6">
      <c r="A304" s="1"/>
      <c r="D304" s="1"/>
      <c r="F304" s="6"/>
    </row>
    <row r="305" spans="1:6">
      <c r="A305" s="1"/>
      <c r="D305" s="1"/>
      <c r="F305" s="6"/>
    </row>
    <row r="306" spans="1:6">
      <c r="A306" s="1"/>
      <c r="D306" s="1"/>
      <c r="F306" s="6"/>
    </row>
    <row r="307" spans="1:6">
      <c r="A307" s="1"/>
      <c r="D307" s="1"/>
      <c r="F307" s="6"/>
    </row>
    <row r="308" spans="1:6">
      <c r="A308" s="1"/>
      <c r="D308" s="1"/>
      <c r="F308" s="6"/>
    </row>
    <row r="309" spans="1:6">
      <c r="A309" s="1"/>
      <c r="D309" s="1"/>
      <c r="F309" s="6"/>
    </row>
    <row r="310" spans="1:6">
      <c r="A310" s="1"/>
      <c r="D310" s="1"/>
      <c r="F310" s="6"/>
    </row>
    <row r="311" spans="1:6">
      <c r="A311" s="1"/>
      <c r="D311" s="1"/>
      <c r="F311" s="6"/>
    </row>
    <row r="312" spans="1:6">
      <c r="A312" s="1"/>
      <c r="D312" s="1"/>
      <c r="F312" s="6"/>
    </row>
    <row r="313" spans="1:6">
      <c r="A313" s="1"/>
      <c r="D313" s="1"/>
      <c r="F313" s="6"/>
    </row>
    <row r="314" spans="1:6">
      <c r="A314" s="1"/>
      <c r="D314" s="1"/>
      <c r="F314" s="6"/>
    </row>
    <row r="315" spans="1:6">
      <c r="A315" s="1"/>
      <c r="D315" s="1"/>
      <c r="F315" s="6"/>
    </row>
    <row r="316" spans="1:6">
      <c r="A316" s="1"/>
      <c r="D316" s="1"/>
      <c r="F316" s="6"/>
    </row>
    <row r="317" spans="1:6">
      <c r="A317" s="1"/>
      <c r="D317" s="1"/>
      <c r="F317" s="6"/>
    </row>
    <row r="318" spans="1:6">
      <c r="A318" s="1"/>
      <c r="D318" s="1"/>
      <c r="F318" s="6"/>
    </row>
    <row r="319" spans="1:6">
      <c r="A319" s="1"/>
      <c r="D319" s="1"/>
      <c r="F319" s="6"/>
    </row>
    <row r="320" spans="1:6">
      <c r="A320" s="1"/>
      <c r="D320" s="1"/>
      <c r="F320" s="6"/>
    </row>
    <row r="321" spans="1:6">
      <c r="A321" s="1"/>
      <c r="D321" s="1"/>
      <c r="F321" s="6"/>
    </row>
    <row r="322" spans="1:6">
      <c r="A322" s="1"/>
      <c r="D322" s="1"/>
      <c r="F322" s="6"/>
    </row>
    <row r="323" spans="1:6">
      <c r="A323" s="1"/>
      <c r="D323" s="1"/>
      <c r="F323" s="6"/>
    </row>
    <row r="324" spans="1:6">
      <c r="A324" s="1"/>
      <c r="D324" s="1"/>
      <c r="F324" s="6"/>
    </row>
    <row r="325" spans="1:6">
      <c r="A325" s="1"/>
      <c r="D325" s="1"/>
      <c r="F325" s="6"/>
    </row>
    <row r="326" spans="1:6">
      <c r="A326" s="1"/>
      <c r="D326" s="1"/>
      <c r="F326" s="6"/>
    </row>
    <row r="327" spans="1:6">
      <c r="A327" s="1"/>
      <c r="D327" s="1"/>
      <c r="F327" s="6"/>
    </row>
    <row r="328" spans="1:6">
      <c r="A328" s="1"/>
      <c r="D328" s="1"/>
      <c r="F328" s="6"/>
    </row>
    <row r="329" spans="1:6">
      <c r="A329" s="1"/>
      <c r="D329" s="1"/>
      <c r="F329" s="6"/>
    </row>
    <row r="330" spans="1:6">
      <c r="A330" s="1"/>
      <c r="D330" s="1"/>
      <c r="F330" s="6"/>
    </row>
    <row r="331" spans="1:6">
      <c r="A331" s="1"/>
      <c r="D331" s="1"/>
      <c r="F331" s="6"/>
    </row>
    <row r="332" spans="1:6">
      <c r="A332" s="1"/>
      <c r="D332" s="1"/>
      <c r="F332" s="6"/>
    </row>
    <row r="333" spans="1:6">
      <c r="A333" s="1"/>
      <c r="D333" s="1"/>
      <c r="F333" s="6"/>
    </row>
    <row r="334" spans="1:6">
      <c r="A334" s="1"/>
      <c r="D334" s="1"/>
      <c r="F334" s="6"/>
    </row>
    <row r="335" spans="1:6">
      <c r="A335" s="1"/>
      <c r="D335" s="1"/>
      <c r="F335" s="6"/>
    </row>
    <row r="336" spans="1:6">
      <c r="A336" s="1"/>
      <c r="D336" s="1"/>
      <c r="F336" s="6"/>
    </row>
    <row r="337" spans="1:6">
      <c r="A337" s="1"/>
      <c r="D337" s="1"/>
      <c r="F337" s="6"/>
    </row>
    <row r="338" spans="1:6">
      <c r="A338" s="1"/>
      <c r="D338" s="1"/>
      <c r="F338" s="6"/>
    </row>
    <row r="339" spans="1:6">
      <c r="A339" s="1"/>
      <c r="D339" s="1"/>
      <c r="F339" s="6"/>
    </row>
    <row r="340" spans="1:6">
      <c r="A340" s="1"/>
      <c r="D340" s="1"/>
      <c r="F340" s="6"/>
    </row>
    <row r="341" spans="1:6">
      <c r="A341" s="1"/>
      <c r="D341" s="1"/>
      <c r="F341" s="6"/>
    </row>
    <row r="342" spans="1:6">
      <c r="A342" s="1"/>
      <c r="D342" s="1"/>
      <c r="F342" s="6"/>
    </row>
    <row r="343" spans="1:6">
      <c r="A343" s="1"/>
      <c r="D343" s="1"/>
      <c r="F343" s="6"/>
    </row>
    <row r="344" spans="1:6">
      <c r="A344" s="1"/>
      <c r="D344" s="1"/>
      <c r="F344" s="6"/>
    </row>
    <row r="345" spans="1:6">
      <c r="A345" s="1"/>
      <c r="D345" s="1"/>
      <c r="F345" s="6"/>
    </row>
    <row r="346" spans="1:6">
      <c r="A346" s="1"/>
      <c r="D346" s="1"/>
      <c r="F346" s="6"/>
    </row>
    <row r="347" spans="1:6">
      <c r="A347" s="1"/>
      <c r="D347" s="1"/>
      <c r="F347" s="6"/>
    </row>
    <row r="348" spans="1:6">
      <c r="A348" s="1"/>
      <c r="D348" s="1"/>
      <c r="F348" s="6"/>
    </row>
    <row r="349" spans="1:6">
      <c r="A349" s="1"/>
      <c r="D349" s="1"/>
      <c r="F349" s="6"/>
    </row>
    <row r="350" spans="1:6">
      <c r="A350" s="1"/>
      <c r="D350" s="1"/>
      <c r="F350" s="6"/>
    </row>
    <row r="351" spans="1:6">
      <c r="A351" s="1"/>
      <c r="D351" s="1"/>
      <c r="F351" s="6"/>
    </row>
    <row r="352" spans="1:6">
      <c r="A352" s="1"/>
      <c r="D352" s="1"/>
      <c r="F352" s="6"/>
    </row>
    <row r="353" spans="1:6">
      <c r="A353" s="1"/>
      <c r="D353" s="1"/>
      <c r="F353" s="6"/>
    </row>
    <row r="354" spans="1:6">
      <c r="A354" s="1"/>
      <c r="D354" s="1"/>
      <c r="F354" s="6"/>
    </row>
    <row r="355" spans="1:6">
      <c r="A355" s="1"/>
      <c r="D355" s="1"/>
      <c r="F355" s="6"/>
    </row>
    <row r="356" spans="1:6">
      <c r="A356" s="1"/>
      <c r="D356" s="1"/>
      <c r="F356" s="6"/>
    </row>
    <row r="357" spans="1:6">
      <c r="A357" s="1"/>
      <c r="D357" s="1"/>
      <c r="F357" s="6"/>
    </row>
    <row r="358" spans="1:6">
      <c r="A358" s="1"/>
      <c r="D358" s="1"/>
      <c r="F358" s="6"/>
    </row>
    <row r="359" spans="1:6">
      <c r="A359" s="1"/>
      <c r="D359" s="1"/>
      <c r="F359" s="6"/>
    </row>
    <row r="360" spans="1:6">
      <c r="A360" s="1"/>
      <c r="D360" s="1"/>
      <c r="F360" s="6"/>
    </row>
    <row r="361" spans="1:6">
      <c r="A361" s="1"/>
      <c r="D361" s="1"/>
      <c r="F361" s="6"/>
    </row>
    <row r="362" spans="1:6">
      <c r="A362" s="1"/>
      <c r="D362" s="1"/>
      <c r="F362" s="6"/>
    </row>
    <row r="363" spans="1:6">
      <c r="A363" s="1"/>
      <c r="D363" s="1"/>
      <c r="F363" s="6"/>
    </row>
    <row r="364" spans="1:6">
      <c r="A364" s="1"/>
      <c r="D364" s="1"/>
      <c r="F364" s="6"/>
    </row>
    <row r="365" spans="1:6">
      <c r="A365" s="1"/>
      <c r="D365" s="1"/>
      <c r="F365" s="6"/>
    </row>
    <row r="366" spans="1:6">
      <c r="A366" s="1"/>
      <c r="D366" s="1"/>
      <c r="F366" s="6"/>
    </row>
    <row r="367" spans="1:6">
      <c r="A367" s="1"/>
      <c r="D367" s="1"/>
      <c r="F367" s="6"/>
    </row>
    <row r="368" spans="1:6">
      <c r="A368" s="1"/>
      <c r="D368" s="1"/>
      <c r="F368" s="6"/>
    </row>
    <row r="369" spans="1:6">
      <c r="A369" s="1"/>
      <c r="D369" s="1"/>
      <c r="F369" s="6"/>
    </row>
    <row r="370" spans="1:6">
      <c r="A370" s="1"/>
      <c r="D370" s="1"/>
      <c r="F370" s="6"/>
    </row>
    <row r="371" spans="1:6">
      <c r="A371" s="1"/>
      <c r="D371" s="1"/>
      <c r="F371" s="6"/>
    </row>
    <row r="372" spans="1:6">
      <c r="A372" s="1"/>
      <c r="D372" s="1"/>
      <c r="F372" s="6"/>
    </row>
    <row r="373" spans="1:6">
      <c r="A373" s="1"/>
      <c r="D373" s="1"/>
      <c r="F373" s="6"/>
    </row>
    <row r="374" spans="1:6">
      <c r="A374" s="1"/>
      <c r="D374" s="1"/>
      <c r="F374" s="6"/>
    </row>
    <row r="375" spans="1:6">
      <c r="A375" s="1"/>
      <c r="D375" s="1"/>
      <c r="F375" s="6"/>
    </row>
    <row r="376" spans="1:6">
      <c r="A376" s="1"/>
      <c r="D376" s="1"/>
      <c r="F376" s="6"/>
    </row>
    <row r="377" spans="1:6">
      <c r="A377" s="1"/>
      <c r="D377" s="1"/>
      <c r="F377" s="6"/>
    </row>
    <row r="378" spans="1:6">
      <c r="A378" s="1"/>
      <c r="D378" s="1"/>
      <c r="F378" s="6"/>
    </row>
    <row r="379" spans="1:6">
      <c r="A379" s="1"/>
      <c r="D379" s="1"/>
      <c r="F379" s="6"/>
    </row>
    <row r="380" spans="1:6">
      <c r="A380" s="1"/>
      <c r="D380" s="1"/>
      <c r="F380" s="6"/>
    </row>
    <row r="381" spans="1:6">
      <c r="A381" s="1"/>
      <c r="D381" s="1"/>
      <c r="F381" s="6"/>
    </row>
    <row r="382" spans="1:6">
      <c r="A382" s="1"/>
      <c r="D382" s="1"/>
      <c r="F382" s="6"/>
    </row>
    <row r="383" spans="1:6">
      <c r="A383" s="1"/>
      <c r="D383" s="1"/>
      <c r="F383" s="6"/>
    </row>
    <row r="384" spans="1:6">
      <c r="A384" s="1"/>
      <c r="D384" s="1"/>
      <c r="F384" s="6"/>
    </row>
    <row r="385" spans="1:6">
      <c r="A385" s="1"/>
      <c r="D385" s="1"/>
      <c r="F385" s="6"/>
    </row>
    <row r="386" spans="1:6">
      <c r="A386" s="1"/>
      <c r="D386" s="1"/>
      <c r="F386" s="6"/>
    </row>
    <row r="387" spans="1:6">
      <c r="A387" s="1"/>
      <c r="D387" s="1"/>
      <c r="F387" s="6"/>
    </row>
    <row r="388" spans="1:6">
      <c r="A388" s="1"/>
      <c r="D388" s="1"/>
      <c r="F388" s="6"/>
    </row>
    <row r="389" spans="1:6">
      <c r="A389" s="1"/>
      <c r="D389" s="1"/>
      <c r="F389" s="6"/>
    </row>
    <row r="390" spans="1:6">
      <c r="A390" s="1"/>
      <c r="D390" s="1"/>
      <c r="F390" s="6"/>
    </row>
    <row r="391" spans="1:6">
      <c r="A391" s="1"/>
      <c r="D391" s="1"/>
      <c r="F391" s="6"/>
    </row>
    <row r="392" spans="1:6">
      <c r="A392" s="1"/>
      <c r="D392" s="1"/>
      <c r="F392" s="6"/>
    </row>
    <row r="393" spans="1:6">
      <c r="A393" s="1"/>
      <c r="D393" s="1"/>
      <c r="F393" s="6"/>
    </row>
    <row r="394" spans="1:6">
      <c r="A394" s="1"/>
      <c r="D394" s="1"/>
      <c r="F394" s="6"/>
    </row>
    <row r="395" spans="1:6">
      <c r="A395" s="1"/>
      <c r="D395" s="1"/>
      <c r="F395" s="6"/>
    </row>
    <row r="396" spans="1:6">
      <c r="A396" s="1"/>
      <c r="D396" s="1"/>
      <c r="F396" s="6"/>
    </row>
    <row r="397" spans="1:6">
      <c r="A397" s="1"/>
      <c r="D397" s="1"/>
      <c r="F397" s="6"/>
    </row>
    <row r="398" spans="1:6">
      <c r="A398" s="1"/>
      <c r="D398" s="1"/>
      <c r="F398" s="6"/>
    </row>
    <row r="399" spans="1:6">
      <c r="A399" s="1"/>
      <c r="D399" s="1"/>
      <c r="F399" s="6"/>
    </row>
    <row r="400" spans="1:6">
      <c r="A400" s="1"/>
      <c r="D400" s="1"/>
      <c r="F400" s="6"/>
    </row>
    <row r="401" spans="1:6">
      <c r="A401" s="1"/>
      <c r="D401" s="1"/>
      <c r="F401" s="6"/>
    </row>
    <row r="402" spans="1:6">
      <c r="A402" s="1"/>
      <c r="D402" s="1"/>
      <c r="F402" s="6"/>
    </row>
    <row r="403" spans="1:6">
      <c r="A403" s="1"/>
      <c r="D403" s="1"/>
      <c r="F403" s="6"/>
    </row>
    <row r="404" spans="1:6">
      <c r="A404" s="1"/>
      <c r="D404" s="1"/>
      <c r="F404" s="6"/>
    </row>
    <row r="405" spans="1:6">
      <c r="A405" s="1"/>
      <c r="D405" s="1"/>
      <c r="F405" s="6"/>
    </row>
    <row r="406" spans="1:6">
      <c r="A406" s="1"/>
      <c r="D406" s="1"/>
      <c r="F406" s="6"/>
    </row>
    <row r="407" spans="1:6">
      <c r="A407" s="1"/>
      <c r="D407" s="1"/>
      <c r="F407" s="6"/>
    </row>
    <row r="408" spans="1:6">
      <c r="A408" s="1"/>
      <c r="D408" s="1"/>
      <c r="F408" s="6"/>
    </row>
    <row r="409" spans="1:6">
      <c r="A409" s="1"/>
      <c r="D409" s="1"/>
      <c r="F409" s="6"/>
    </row>
    <row r="410" spans="1:6">
      <c r="A410" s="1"/>
      <c r="D410" s="1"/>
      <c r="F410" s="6"/>
    </row>
    <row r="411" spans="1:6">
      <c r="A411" s="1"/>
      <c r="D411" s="1"/>
      <c r="F411" s="6"/>
    </row>
    <row r="412" spans="1:6">
      <c r="A412" s="1"/>
      <c r="D412" s="1"/>
      <c r="F412" s="6"/>
    </row>
    <row r="413" spans="1:6">
      <c r="A413" s="1"/>
      <c r="D413" s="1"/>
      <c r="F413" s="6"/>
    </row>
    <row r="414" spans="1:6">
      <c r="A414" s="1"/>
      <c r="D414" s="1"/>
      <c r="F414" s="6"/>
    </row>
    <row r="415" spans="1:6">
      <c r="A415" s="1"/>
      <c r="D415" s="1"/>
      <c r="F415" s="6"/>
    </row>
    <row r="416" spans="1:6">
      <c r="A416" s="1"/>
      <c r="D416" s="1"/>
      <c r="F416" s="6"/>
    </row>
    <row r="417" spans="1:6">
      <c r="A417" s="1"/>
      <c r="D417" s="1"/>
      <c r="F417" s="6"/>
    </row>
    <row r="418" spans="1:6">
      <c r="A418" s="1"/>
      <c r="D418" s="1"/>
      <c r="F418" s="6"/>
    </row>
    <row r="419" spans="1:6">
      <c r="A419" s="1"/>
      <c r="D419" s="1"/>
      <c r="F419" s="6"/>
    </row>
    <row r="420" spans="1:6">
      <c r="A420" s="1"/>
      <c r="D420" s="1"/>
      <c r="F420" s="6"/>
    </row>
    <row r="421" spans="1:6">
      <c r="A421" s="1"/>
      <c r="D421" s="1"/>
      <c r="F421" s="6"/>
    </row>
    <row r="422" spans="1:6">
      <c r="A422" s="1"/>
      <c r="D422" s="1"/>
      <c r="F422" s="6"/>
    </row>
    <row r="423" spans="1:6">
      <c r="A423" s="1"/>
      <c r="D423" s="1"/>
      <c r="F423" s="6"/>
    </row>
    <row r="424" spans="1:6">
      <c r="A424" s="1"/>
      <c r="D424" s="1"/>
      <c r="F424" s="6"/>
    </row>
    <row r="425" spans="1:6">
      <c r="A425" s="1"/>
      <c r="D425" s="1"/>
      <c r="F425" s="6"/>
    </row>
    <row r="426" spans="1:6">
      <c r="A426" s="1"/>
      <c r="D426" s="1"/>
      <c r="F426" s="6"/>
    </row>
    <row r="427" spans="1:6">
      <c r="A427" s="1"/>
      <c r="D427" s="1"/>
      <c r="F427" s="6"/>
    </row>
    <row r="428" spans="1:6">
      <c r="A428" s="1"/>
      <c r="D428" s="1"/>
      <c r="F428" s="6"/>
    </row>
    <row r="429" spans="1:6">
      <c r="A429" s="1"/>
      <c r="D429" s="1"/>
      <c r="F429" s="6"/>
    </row>
    <row r="430" spans="1:6">
      <c r="A430" s="1"/>
      <c r="D430" s="1"/>
      <c r="F430" s="6"/>
    </row>
    <row r="431" spans="1:6">
      <c r="A431" s="1"/>
      <c r="D431" s="1"/>
      <c r="F431" s="6"/>
    </row>
    <row r="432" spans="1:6">
      <c r="A432" s="1"/>
      <c r="D432" s="1"/>
      <c r="F432" s="6"/>
    </row>
    <row r="433" spans="1:6">
      <c r="A433" s="1"/>
      <c r="D433" s="1"/>
      <c r="F433" s="6"/>
    </row>
    <row r="434" spans="1:6">
      <c r="A434" s="1"/>
      <c r="D434" s="1"/>
      <c r="F434" s="6"/>
    </row>
    <row r="435" spans="1:6">
      <c r="A435" s="1"/>
      <c r="D435" s="1"/>
      <c r="F435" s="6"/>
    </row>
    <row r="436" spans="1:6">
      <c r="A436" s="1"/>
      <c r="D436" s="1"/>
      <c r="F436" s="6"/>
    </row>
    <row r="437" spans="1:6">
      <c r="A437" s="1"/>
      <c r="D437" s="1"/>
      <c r="F437" s="6"/>
    </row>
    <row r="438" spans="1:6">
      <c r="A438" s="1"/>
      <c r="D438" s="1"/>
      <c r="F438" s="6"/>
    </row>
    <row r="439" spans="1:6">
      <c r="A439" s="1"/>
      <c r="D439" s="1"/>
      <c r="F439" s="6"/>
    </row>
    <row r="440" spans="1:6">
      <c r="A440" s="1"/>
      <c r="D440" s="1"/>
      <c r="F440" s="6"/>
    </row>
    <row r="441" spans="1:6">
      <c r="A441" s="1"/>
      <c r="D441" s="1"/>
      <c r="F441" s="6"/>
    </row>
    <row r="442" spans="1:6">
      <c r="A442" s="1"/>
      <c r="D442" s="1"/>
      <c r="F442" s="6"/>
    </row>
    <row r="443" spans="1:6">
      <c r="A443" s="1"/>
      <c r="D443" s="1"/>
      <c r="F443" s="6"/>
    </row>
    <row r="444" spans="1:6">
      <c r="A444" s="1"/>
      <c r="D444" s="1"/>
      <c r="F444" s="6"/>
    </row>
    <row r="445" spans="1:6">
      <c r="A445" s="1"/>
      <c r="D445" s="1"/>
      <c r="F445" s="6"/>
    </row>
    <row r="446" spans="1:6">
      <c r="A446" s="1"/>
      <c r="D446" s="1"/>
      <c r="F446" s="6"/>
    </row>
    <row r="447" spans="1:6">
      <c r="A447" s="1"/>
      <c r="D447" s="1"/>
      <c r="F447" s="6"/>
    </row>
    <row r="448" spans="1:6">
      <c r="A448" s="1"/>
      <c r="D448" s="1"/>
      <c r="F448" s="6"/>
    </row>
    <row r="449" spans="1:6">
      <c r="A449" s="1"/>
      <c r="D449" s="1"/>
      <c r="F449" s="6"/>
    </row>
    <row r="450" spans="1:6">
      <c r="A450" s="1"/>
      <c r="D450" s="1"/>
      <c r="F450" s="6"/>
    </row>
    <row r="451" spans="1:6">
      <c r="A451" s="1"/>
      <c r="D451" s="1"/>
      <c r="F451" s="6"/>
    </row>
    <row r="452" spans="1:6">
      <c r="A452" s="1"/>
      <c r="D452" s="1"/>
      <c r="F452" s="6"/>
    </row>
    <row r="453" spans="1:6">
      <c r="A453" s="1"/>
      <c r="D453" s="1"/>
      <c r="F453" s="6"/>
    </row>
    <row r="454" spans="1:6">
      <c r="A454" s="1"/>
      <c r="D454" s="1"/>
      <c r="F454" s="6"/>
    </row>
    <row r="455" spans="1:6">
      <c r="A455" s="1"/>
      <c r="D455" s="1"/>
      <c r="F455" s="6"/>
    </row>
    <row r="456" spans="1:6">
      <c r="A456" s="1"/>
      <c r="D456" s="1"/>
      <c r="F456" s="6"/>
    </row>
    <row r="457" spans="1:6">
      <c r="A457" s="1"/>
      <c r="D457" s="1"/>
      <c r="F457" s="6"/>
    </row>
    <row r="458" spans="1:6">
      <c r="A458" s="1"/>
      <c r="D458" s="1"/>
      <c r="F458" s="6"/>
    </row>
    <row r="459" spans="1:6">
      <c r="A459" s="1"/>
      <c r="D459" s="1"/>
      <c r="F459" s="6"/>
    </row>
    <row r="460" spans="1:6">
      <c r="A460" s="1"/>
      <c r="D460" s="1"/>
      <c r="F460" s="6"/>
    </row>
    <row r="461" spans="1:6">
      <c r="A461" s="1"/>
      <c r="D461" s="1"/>
      <c r="F461" s="6"/>
    </row>
    <row r="462" spans="1:6">
      <c r="A462" s="1"/>
      <c r="D462" s="1"/>
      <c r="F462" s="6"/>
    </row>
    <row r="463" spans="1:6">
      <c r="A463" s="1"/>
      <c r="D463" s="1"/>
      <c r="F463" s="6"/>
    </row>
    <row r="464" spans="1:6">
      <c r="A464" s="1"/>
      <c r="D464" s="1"/>
      <c r="F464" s="6"/>
    </row>
    <row r="465" spans="1:6">
      <c r="A465" s="1"/>
      <c r="D465" s="1"/>
      <c r="F465" s="6"/>
    </row>
    <row r="466" spans="1:6">
      <c r="A466" s="1"/>
      <c r="D466" s="1"/>
      <c r="F466" s="6"/>
    </row>
    <row r="467" spans="1:6">
      <c r="A467" s="1"/>
      <c r="D467" s="1"/>
      <c r="F467" s="6"/>
    </row>
    <row r="468" spans="1:6">
      <c r="A468" s="1"/>
      <c r="D468" s="1"/>
      <c r="F468" s="6"/>
    </row>
    <row r="469" spans="1:6">
      <c r="A469" s="1"/>
      <c r="D469" s="1"/>
      <c r="F469" s="6"/>
    </row>
    <row r="470" spans="1:6">
      <c r="A470" s="1"/>
      <c r="D470" s="1"/>
      <c r="F470" s="6"/>
    </row>
    <row r="471" spans="1:6">
      <c r="A471" s="1"/>
      <c r="D471" s="1"/>
      <c r="F471" s="6"/>
    </row>
    <row r="472" spans="1:6">
      <c r="A472" s="1"/>
      <c r="D472" s="1"/>
      <c r="F472" s="6"/>
    </row>
    <row r="473" spans="1:6">
      <c r="A473" s="1"/>
      <c r="D473" s="1"/>
      <c r="F473" s="6"/>
    </row>
    <row r="474" spans="1:6">
      <c r="A474" s="1"/>
      <c r="D474" s="1"/>
      <c r="F474" s="6"/>
    </row>
    <row r="475" spans="1:6">
      <c r="A475" s="1"/>
      <c r="D475" s="1"/>
      <c r="F475" s="6"/>
    </row>
    <row r="476" spans="1:6">
      <c r="A476" s="1"/>
      <c r="D476" s="1"/>
      <c r="F476" s="6"/>
    </row>
    <row r="477" spans="1:6">
      <c r="A477" s="1"/>
      <c r="D477" s="1"/>
      <c r="F477" s="6"/>
    </row>
    <row r="478" spans="1:6">
      <c r="A478" s="1"/>
      <c r="D478" s="1"/>
      <c r="F478" s="6"/>
    </row>
    <row r="479" spans="1:6">
      <c r="A479" s="1"/>
      <c r="D479" s="1"/>
      <c r="F479" s="6"/>
    </row>
    <row r="480" spans="1:6">
      <c r="A480" s="1"/>
      <c r="D480" s="1"/>
      <c r="F480" s="6"/>
    </row>
    <row r="481" spans="1:6">
      <c r="A481" s="1"/>
      <c r="D481" s="1"/>
      <c r="F481" s="6"/>
    </row>
    <row r="482" spans="1:6">
      <c r="A482" s="1"/>
      <c r="D482" s="1"/>
      <c r="F482" s="6"/>
    </row>
    <row r="483" spans="1:6">
      <c r="A483" s="1"/>
      <c r="D483" s="1"/>
      <c r="F483" s="6"/>
    </row>
    <row r="484" spans="1:6">
      <c r="A484" s="1"/>
      <c r="D484" s="1"/>
      <c r="F484" s="6"/>
    </row>
    <row r="485" spans="1:6">
      <c r="A485" s="1"/>
      <c r="D485" s="1"/>
      <c r="F485" s="6"/>
    </row>
    <row r="486" spans="1:6">
      <c r="A486" s="1"/>
      <c r="D486" s="1"/>
      <c r="F486" s="6"/>
    </row>
    <row r="487" spans="1:6">
      <c r="A487" s="1"/>
      <c r="D487" s="1"/>
      <c r="F487" s="6"/>
    </row>
    <row r="488" spans="1:6">
      <c r="A488" s="1"/>
      <c r="D488" s="1"/>
      <c r="F488" s="6"/>
    </row>
    <row r="489" spans="1:6">
      <c r="A489" s="1"/>
      <c r="D489" s="1"/>
      <c r="F489" s="6"/>
    </row>
    <row r="490" spans="1:6">
      <c r="A490" s="1"/>
      <c r="D490" s="1"/>
      <c r="F490" s="6"/>
    </row>
    <row r="491" spans="1:6">
      <c r="A491" s="1"/>
      <c r="D491" s="1"/>
      <c r="F491" s="6"/>
    </row>
    <row r="492" spans="1:6">
      <c r="A492" s="1"/>
      <c r="D492" s="1"/>
      <c r="F492" s="6"/>
    </row>
    <row r="493" spans="1:6">
      <c r="A493" s="1"/>
      <c r="D493" s="1"/>
      <c r="F493" s="6"/>
    </row>
    <row r="494" spans="1:6">
      <c r="A494" s="1"/>
      <c r="D494" s="1"/>
      <c r="F494" s="6"/>
    </row>
    <row r="495" spans="1:6">
      <c r="A495" s="1"/>
      <c r="D495" s="1"/>
      <c r="F495" s="6"/>
    </row>
    <row r="496" spans="1:6">
      <c r="A496" s="1"/>
      <c r="D496" s="1"/>
      <c r="F496" s="6"/>
    </row>
    <row r="497" spans="1:6">
      <c r="A497" s="1"/>
      <c r="D497" s="1"/>
      <c r="F497" s="6"/>
    </row>
    <row r="498" spans="1:6">
      <c r="A498" s="1"/>
      <c r="D498" s="1"/>
      <c r="F498" s="6"/>
    </row>
    <row r="499" spans="1:6">
      <c r="A499" s="1"/>
      <c r="D499" s="1"/>
      <c r="F499" s="6"/>
    </row>
    <row r="500" spans="1:6">
      <c r="A500" s="1"/>
      <c r="D500" s="1"/>
      <c r="F500" s="6"/>
    </row>
    <row r="501" spans="1:6">
      <c r="A501" s="1"/>
      <c r="D501" s="1"/>
      <c r="F501" s="6"/>
    </row>
    <row r="502" spans="1:6">
      <c r="A502" s="1"/>
      <c r="D502" s="1"/>
      <c r="F502" s="6"/>
    </row>
    <row r="503" spans="1:6">
      <c r="A503" s="1"/>
      <c r="D503" s="1"/>
      <c r="F503" s="6"/>
    </row>
    <row r="504" spans="1:6">
      <c r="A504" s="1"/>
      <c r="D504" s="1"/>
      <c r="F504" s="6"/>
    </row>
    <row r="505" spans="1:6">
      <c r="A505" s="1"/>
      <c r="D505" s="1"/>
      <c r="F505" s="6"/>
    </row>
    <row r="506" spans="1:6">
      <c r="A506" s="1"/>
      <c r="D506" s="1"/>
      <c r="F506" s="6"/>
    </row>
    <row r="507" spans="1:6">
      <c r="A507" s="1"/>
      <c r="D507" s="1"/>
      <c r="F507" s="6"/>
    </row>
    <row r="508" spans="1:6">
      <c r="A508" s="1"/>
      <c r="D508" s="1"/>
      <c r="F508" s="6"/>
    </row>
    <row r="509" spans="1:6">
      <c r="A509" s="1"/>
      <c r="D509" s="1"/>
      <c r="F509" s="6"/>
    </row>
    <row r="510" spans="1:6">
      <c r="A510" s="1"/>
      <c r="D510" s="1"/>
      <c r="F510" s="6"/>
    </row>
    <row r="511" spans="1:6">
      <c r="A511" s="1"/>
      <c r="D511" s="1"/>
      <c r="F511" s="6"/>
    </row>
    <row r="512" spans="1:6">
      <c r="A512" s="1"/>
      <c r="D512" s="1"/>
      <c r="F512" s="6"/>
    </row>
    <row r="513" spans="1:6">
      <c r="A513" s="1"/>
      <c r="D513" s="1"/>
      <c r="F513" s="6"/>
    </row>
    <row r="514" spans="1:6">
      <c r="A514" s="1"/>
      <c r="D514" s="1"/>
      <c r="F514" s="6"/>
    </row>
    <row r="515" spans="1:6">
      <c r="A515" s="1"/>
      <c r="D515" s="1"/>
      <c r="F515" s="6"/>
    </row>
    <row r="516" spans="1:6">
      <c r="A516" s="1"/>
      <c r="D516" s="1"/>
      <c r="F516" s="6"/>
    </row>
    <row r="517" spans="1:6">
      <c r="A517" s="1"/>
      <c r="D517" s="1"/>
      <c r="F517" s="6"/>
    </row>
    <row r="518" spans="1:6">
      <c r="A518" s="1"/>
      <c r="D518" s="1"/>
      <c r="F518" s="6"/>
    </row>
    <row r="519" spans="1:6">
      <c r="A519" s="1"/>
      <c r="D519" s="1"/>
      <c r="F519" s="6"/>
    </row>
    <row r="520" spans="1:6">
      <c r="A520" s="1"/>
      <c r="D520" s="1"/>
      <c r="F520" s="6"/>
    </row>
    <row r="521" spans="1:6">
      <c r="A521" s="1"/>
      <c r="D521" s="1"/>
      <c r="F521" s="6"/>
    </row>
    <row r="522" spans="1:6">
      <c r="A522" s="1"/>
      <c r="D522" s="1"/>
      <c r="F522" s="6"/>
    </row>
    <row r="523" spans="1:6">
      <c r="A523" s="1"/>
      <c r="D523" s="1"/>
      <c r="F523" s="6"/>
    </row>
    <row r="524" spans="1:6">
      <c r="A524" s="1"/>
      <c r="D524" s="1"/>
      <c r="F524" s="6"/>
    </row>
    <row r="525" spans="1:6">
      <c r="A525" s="1"/>
      <c r="D525" s="1"/>
      <c r="F525" s="6"/>
    </row>
    <row r="526" spans="1:6">
      <c r="A526" s="1"/>
      <c r="D526" s="1"/>
      <c r="F526" s="6"/>
    </row>
    <row r="527" spans="1:6">
      <c r="A527" s="1"/>
      <c r="D527" s="1"/>
      <c r="F527" s="6"/>
    </row>
    <row r="528" spans="1:6">
      <c r="A528" s="1"/>
      <c r="D528" s="1"/>
      <c r="F528" s="6"/>
    </row>
    <row r="529" spans="1:6">
      <c r="A529" s="1"/>
      <c r="D529" s="1"/>
      <c r="F529" s="6"/>
    </row>
    <row r="530" spans="1:6">
      <c r="A530" s="1"/>
      <c r="D530" s="1"/>
      <c r="F530" s="6"/>
    </row>
    <row r="531" spans="1:6">
      <c r="A531" s="1"/>
      <c r="D531" s="1"/>
      <c r="F531" s="6"/>
    </row>
    <row r="532" spans="1:6">
      <c r="A532" s="1"/>
      <c r="D532" s="1"/>
      <c r="F532" s="6"/>
    </row>
    <row r="533" spans="1:6">
      <c r="A533" s="1"/>
      <c r="D533" s="1"/>
      <c r="F533" s="6"/>
    </row>
    <row r="534" spans="1:6">
      <c r="A534" s="1"/>
      <c r="D534" s="1"/>
      <c r="F534" s="6"/>
    </row>
    <row r="535" spans="1:6">
      <c r="A535" s="1"/>
      <c r="D535" s="1"/>
      <c r="F535" s="6"/>
    </row>
    <row r="536" spans="1:6">
      <c r="A536" s="1"/>
      <c r="D536" s="1"/>
      <c r="F536" s="6"/>
    </row>
    <row r="537" spans="1:6">
      <c r="A537" s="1"/>
      <c r="D537" s="1"/>
      <c r="F537" s="6"/>
    </row>
    <row r="538" spans="1:6">
      <c r="A538" s="1"/>
      <c r="D538" s="1"/>
      <c r="F538" s="6"/>
    </row>
    <row r="539" spans="1:6">
      <c r="A539" s="1"/>
      <c r="D539" s="1"/>
      <c r="F539" s="6"/>
    </row>
    <row r="540" spans="1:6">
      <c r="A540" s="1"/>
      <c r="D540" s="1"/>
      <c r="F540" s="6"/>
    </row>
    <row r="541" spans="1:6">
      <c r="A541" s="1"/>
      <c r="D541" s="1"/>
      <c r="F541" s="6"/>
    </row>
    <row r="542" spans="1:6">
      <c r="A542" s="1"/>
      <c r="D542" s="1"/>
      <c r="F542" s="6"/>
    </row>
    <row r="543" spans="1:6">
      <c r="A543" s="1"/>
      <c r="D543" s="1"/>
      <c r="F543" s="6"/>
    </row>
    <row r="544" spans="1:6">
      <c r="A544" s="1"/>
      <c r="D544" s="1"/>
      <c r="F544" s="6"/>
    </row>
    <row r="545" spans="1:6">
      <c r="A545" s="1"/>
      <c r="D545" s="1"/>
      <c r="F545" s="6"/>
    </row>
    <row r="546" spans="1:6">
      <c r="A546" s="1"/>
      <c r="D546" s="1"/>
      <c r="F546" s="6"/>
    </row>
    <row r="547" spans="1:6">
      <c r="A547" s="1"/>
      <c r="D547" s="1"/>
      <c r="F547" s="6"/>
    </row>
    <row r="548" spans="1:6">
      <c r="A548" s="1"/>
      <c r="D548" s="1"/>
      <c r="F548" s="6"/>
    </row>
    <row r="549" spans="1:6">
      <c r="A549" s="1"/>
      <c r="D549" s="1"/>
      <c r="F549" s="6"/>
    </row>
    <row r="550" spans="1:6">
      <c r="A550" s="1"/>
      <c r="D550" s="1"/>
      <c r="F550" s="6"/>
    </row>
    <row r="551" spans="1:6">
      <c r="A551" s="1"/>
      <c r="D551" s="1"/>
      <c r="F551" s="6"/>
    </row>
    <row r="552" spans="1:6">
      <c r="A552" s="1"/>
      <c r="D552" s="1"/>
      <c r="F552" s="6"/>
    </row>
    <row r="553" spans="1:6">
      <c r="A553" s="1"/>
      <c r="D553" s="1"/>
      <c r="F553" s="6"/>
    </row>
    <row r="554" spans="1:6">
      <c r="A554" s="1"/>
      <c r="D554" s="1"/>
      <c r="F554" s="6"/>
    </row>
    <row r="555" spans="1:6">
      <c r="A555" s="1"/>
      <c r="D555" s="1"/>
      <c r="F555" s="6"/>
    </row>
    <row r="556" spans="1:6">
      <c r="A556" s="1"/>
      <c r="D556" s="1"/>
      <c r="F556" s="6"/>
    </row>
    <row r="557" spans="1:6">
      <c r="A557" s="1"/>
      <c r="D557" s="1"/>
      <c r="F557" s="6"/>
    </row>
    <row r="558" spans="1:6">
      <c r="A558" s="1"/>
      <c r="D558" s="1"/>
      <c r="F558" s="6"/>
    </row>
    <row r="559" spans="1:6">
      <c r="A559" s="1"/>
      <c r="D559" s="1"/>
      <c r="F559" s="6"/>
    </row>
    <row r="560" spans="1:6">
      <c r="A560" s="1"/>
      <c r="D560" s="1"/>
      <c r="F560" s="6"/>
    </row>
    <row r="561" spans="1:6">
      <c r="A561" s="1"/>
      <c r="D561" s="1"/>
      <c r="F561" s="6"/>
    </row>
    <row r="562" spans="1:6">
      <c r="A562" s="1"/>
      <c r="D562" s="1"/>
      <c r="F562" s="6"/>
    </row>
    <row r="563" spans="1:6">
      <c r="A563" s="1"/>
      <c r="D563" s="1"/>
      <c r="F563" s="6"/>
    </row>
    <row r="564" spans="1:6">
      <c r="A564" s="1"/>
      <c r="D564" s="1"/>
      <c r="F564" s="6"/>
    </row>
    <row r="565" spans="1:6">
      <c r="A565" s="1"/>
      <c r="D565" s="1"/>
      <c r="F565" s="6"/>
    </row>
    <row r="566" spans="1:6">
      <c r="A566" s="1"/>
      <c r="D566" s="1"/>
      <c r="F566" s="6"/>
    </row>
    <row r="567" spans="1:6">
      <c r="A567" s="1"/>
      <c r="D567" s="1"/>
      <c r="F567" s="6"/>
    </row>
    <row r="568" spans="1:6">
      <c r="A568" s="1"/>
      <c r="D568" s="1"/>
      <c r="F568" s="6"/>
    </row>
    <row r="569" spans="1:6">
      <c r="A569" s="1"/>
      <c r="D569" s="1"/>
      <c r="F569" s="6"/>
    </row>
    <row r="570" spans="1:6">
      <c r="A570" s="1"/>
      <c r="D570" s="1"/>
      <c r="F570" s="6"/>
    </row>
    <row r="571" spans="1:6">
      <c r="A571" s="1"/>
      <c r="D571" s="1"/>
      <c r="F571" s="6"/>
    </row>
    <row r="572" spans="1:6">
      <c r="A572" s="1"/>
      <c r="D572" s="1"/>
      <c r="F572" s="6"/>
    </row>
    <row r="573" spans="1:6">
      <c r="A573" s="1"/>
      <c r="D573" s="1"/>
      <c r="F573" s="6"/>
    </row>
    <row r="574" spans="1:6">
      <c r="A574" s="1"/>
      <c r="D574" s="1"/>
      <c r="F574" s="6"/>
    </row>
    <row r="575" spans="1:6">
      <c r="A575" s="1"/>
      <c r="D575" s="1"/>
      <c r="F575" s="6"/>
    </row>
    <row r="576" spans="1:6">
      <c r="A576" s="1"/>
      <c r="D576" s="1"/>
      <c r="F576" s="6"/>
    </row>
    <row r="577" spans="1:6">
      <c r="A577" s="1"/>
      <c r="D577" s="1"/>
      <c r="F577" s="6"/>
    </row>
    <row r="578" spans="1:6">
      <c r="A578" s="1"/>
      <c r="D578" s="1"/>
      <c r="F578" s="6"/>
    </row>
    <row r="579" spans="1:6">
      <c r="A579" s="1"/>
      <c r="D579" s="1"/>
      <c r="F579" s="6"/>
    </row>
    <row r="580" spans="1:6">
      <c r="A580" s="1"/>
      <c r="D580" s="1"/>
      <c r="F580" s="6"/>
    </row>
    <row r="581" spans="1:6">
      <c r="A581" s="1"/>
      <c r="D581" s="1"/>
      <c r="F581" s="6"/>
    </row>
    <row r="582" spans="1:6">
      <c r="A582" s="1"/>
      <c r="D582" s="1"/>
      <c r="F582" s="6"/>
    </row>
    <row r="583" spans="1:6">
      <c r="A583" s="1"/>
      <c r="D583" s="1"/>
      <c r="F583" s="6"/>
    </row>
    <row r="584" spans="1:6">
      <c r="A584" s="1"/>
      <c r="D584" s="1"/>
      <c r="F584" s="6"/>
    </row>
    <row r="585" spans="1:6">
      <c r="A585" s="1"/>
      <c r="D585" s="1"/>
      <c r="F585" s="6"/>
    </row>
    <row r="586" spans="1:6">
      <c r="A586" s="1"/>
      <c r="D586" s="1"/>
      <c r="F586" s="6"/>
    </row>
    <row r="587" spans="1:6">
      <c r="A587" s="1"/>
      <c r="D587" s="1"/>
      <c r="F587" s="6"/>
    </row>
    <row r="588" spans="1:6">
      <c r="A588" s="1"/>
      <c r="D588" s="1"/>
      <c r="F588" s="6"/>
    </row>
    <row r="589" spans="1:6">
      <c r="A589" s="1"/>
      <c r="D589" s="1"/>
      <c r="F589" s="6"/>
    </row>
    <row r="590" spans="1:6">
      <c r="A590" s="1"/>
      <c r="D590" s="1"/>
      <c r="F590" s="6"/>
    </row>
    <row r="591" spans="1:6">
      <c r="A591" s="1"/>
      <c r="D591" s="1"/>
      <c r="F591" s="6"/>
    </row>
    <row r="592" spans="1:6">
      <c r="A592" s="1"/>
      <c r="D592" s="1"/>
      <c r="F592" s="6"/>
    </row>
    <row r="593" spans="1:6">
      <c r="A593" s="1"/>
      <c r="D593" s="1"/>
      <c r="F593" s="6"/>
    </row>
    <row r="594" spans="1:6">
      <c r="A594" s="1"/>
      <c r="D594" s="1"/>
      <c r="F594" s="6"/>
    </row>
    <row r="595" spans="1:6">
      <c r="A595" s="1"/>
      <c r="D595" s="1"/>
      <c r="F595" s="6"/>
    </row>
    <row r="596" spans="1:6">
      <c r="A596" s="1"/>
      <c r="D596" s="1"/>
      <c r="F596" s="6"/>
    </row>
    <row r="597" spans="1:6">
      <c r="A597" s="1"/>
      <c r="D597" s="1"/>
      <c r="F597" s="6"/>
    </row>
    <row r="598" spans="1:6">
      <c r="A598" s="1"/>
      <c r="D598" s="1"/>
      <c r="F598" s="6"/>
    </row>
    <row r="599" spans="1:6">
      <c r="A599" s="1"/>
      <c r="D599" s="1"/>
      <c r="F599" s="6"/>
    </row>
    <row r="600" spans="1:6">
      <c r="A600" s="1"/>
      <c r="D600" s="1"/>
      <c r="F600" s="6"/>
    </row>
    <row r="601" spans="1:6">
      <c r="A601" s="1"/>
      <c r="D601" s="1"/>
      <c r="F601" s="6"/>
    </row>
    <row r="602" spans="1:6">
      <c r="A602" s="1"/>
      <c r="D602" s="1"/>
      <c r="F602" s="6"/>
    </row>
    <row r="603" spans="1:6">
      <c r="A603" s="1"/>
      <c r="D603" s="1"/>
      <c r="F603" s="6"/>
    </row>
    <row r="604" spans="1:6">
      <c r="A604" s="1"/>
      <c r="D604" s="1"/>
      <c r="F604" s="6"/>
    </row>
    <row r="605" spans="1:6">
      <c r="A605" s="1"/>
      <c r="D605" s="1"/>
      <c r="F605" s="6"/>
    </row>
    <row r="606" spans="1:6">
      <c r="A606" s="1"/>
      <c r="D606" s="1"/>
      <c r="F606" s="6"/>
    </row>
    <row r="607" spans="1:6">
      <c r="A607" s="1"/>
      <c r="D607" s="1"/>
      <c r="F607" s="6"/>
    </row>
    <row r="608" spans="1:6">
      <c r="A608" s="1"/>
      <c r="D608" s="1"/>
      <c r="F608" s="6"/>
    </row>
    <row r="609" spans="1:6">
      <c r="A609" s="1"/>
      <c r="D609" s="1"/>
      <c r="F609" s="6"/>
    </row>
    <row r="610" spans="1:6">
      <c r="A610" s="1"/>
      <c r="D610" s="1"/>
      <c r="F610" s="6"/>
    </row>
    <row r="611" spans="1:6">
      <c r="A611" s="1"/>
      <c r="D611" s="1"/>
      <c r="F611" s="6"/>
    </row>
    <row r="612" spans="1:6">
      <c r="A612" s="1"/>
      <c r="D612" s="1"/>
      <c r="F612" s="6"/>
    </row>
    <row r="613" spans="1:6">
      <c r="A613" s="1"/>
      <c r="D613" s="1"/>
      <c r="F613" s="6"/>
    </row>
    <row r="614" spans="1:6">
      <c r="A614" s="1"/>
      <c r="D614" s="1"/>
      <c r="F614" s="6"/>
    </row>
    <row r="615" spans="1:6">
      <c r="A615" s="1"/>
      <c r="D615" s="1"/>
      <c r="F615" s="6"/>
    </row>
    <row r="616" spans="1:6">
      <c r="A616" s="1"/>
      <c r="D616" s="1"/>
      <c r="F616" s="6"/>
    </row>
    <row r="617" spans="1:6">
      <c r="A617" s="1"/>
      <c r="D617" s="1"/>
      <c r="F617" s="6"/>
    </row>
    <row r="618" spans="1:6">
      <c r="A618" s="1"/>
      <c r="D618" s="1"/>
      <c r="F618" s="6"/>
    </row>
    <row r="619" spans="1:6">
      <c r="A619" s="1"/>
      <c r="D619" s="1"/>
      <c r="F619" s="6"/>
    </row>
    <row r="620" spans="1:6">
      <c r="A620" s="1"/>
      <c r="D620" s="1"/>
      <c r="F620" s="6"/>
    </row>
    <row r="621" spans="1:6">
      <c r="A621" s="1"/>
      <c r="D621" s="1"/>
      <c r="F621" s="6"/>
    </row>
    <row r="622" spans="1:6">
      <c r="A622" s="1"/>
      <c r="D622" s="1"/>
      <c r="F622" s="6"/>
    </row>
    <row r="623" spans="1:6">
      <c r="A623" s="1"/>
      <c r="D623" s="1"/>
      <c r="F623" s="6"/>
    </row>
    <row r="624" spans="1:6">
      <c r="A624" s="1"/>
      <c r="D624" s="1"/>
      <c r="F624" s="6"/>
    </row>
    <row r="625" spans="1:6">
      <c r="A625" s="1"/>
      <c r="D625" s="1"/>
      <c r="F625" s="6"/>
    </row>
    <row r="626" spans="1:6">
      <c r="A626" s="1"/>
      <c r="D626" s="1"/>
      <c r="F626" s="6"/>
    </row>
    <row r="627" spans="1:6">
      <c r="A627" s="1"/>
      <c r="D627" s="1"/>
      <c r="F627" s="6"/>
    </row>
    <row r="628" spans="1:6">
      <c r="A628" s="1"/>
      <c r="D628" s="1"/>
      <c r="F628" s="6"/>
    </row>
    <row r="629" spans="1:6">
      <c r="A629" s="1"/>
      <c r="D629" s="1"/>
      <c r="F629" s="6"/>
    </row>
    <row r="630" spans="1:6">
      <c r="A630" s="1"/>
      <c r="D630" s="1"/>
      <c r="F630" s="6"/>
    </row>
    <row r="631" spans="1:6">
      <c r="A631" s="1"/>
      <c r="D631" s="1"/>
      <c r="F631" s="6"/>
    </row>
    <row r="632" spans="1:6">
      <c r="A632" s="1"/>
      <c r="D632" s="1"/>
      <c r="F632" s="6"/>
    </row>
    <row r="633" spans="1:6">
      <c r="A633" s="1"/>
      <c r="D633" s="1"/>
      <c r="F633" s="6"/>
    </row>
    <row r="634" spans="1:6">
      <c r="A634" s="1"/>
      <c r="D634" s="1"/>
      <c r="F634" s="6"/>
    </row>
    <row r="635" spans="1:6">
      <c r="A635" s="1"/>
      <c r="D635" s="1"/>
      <c r="F635" s="6"/>
    </row>
    <row r="636" spans="1:6">
      <c r="A636" s="1"/>
      <c r="D636" s="1"/>
      <c r="F636" s="6"/>
    </row>
    <row r="637" spans="1:6">
      <c r="A637" s="1"/>
      <c r="D637" s="1"/>
      <c r="F637" s="6"/>
    </row>
    <row r="638" spans="1:6">
      <c r="A638" s="1"/>
      <c r="D638" s="1"/>
      <c r="F638" s="6"/>
    </row>
    <row r="639" spans="1:6">
      <c r="A639" s="1"/>
      <c r="D639" s="1"/>
      <c r="F639" s="6"/>
    </row>
    <row r="640" spans="1:6">
      <c r="A640" s="1"/>
      <c r="D640" s="1"/>
      <c r="F640" s="6"/>
    </row>
    <row r="641" spans="1:6">
      <c r="A641" s="1"/>
      <c r="D641" s="1"/>
      <c r="F641" s="6"/>
    </row>
    <row r="642" spans="1:6">
      <c r="A642" s="1"/>
      <c r="D642" s="1"/>
      <c r="F642" s="6"/>
    </row>
    <row r="643" spans="1:6">
      <c r="A643" s="1"/>
      <c r="D643" s="1"/>
      <c r="F643" s="6"/>
    </row>
    <row r="644" spans="1:6">
      <c r="A644" s="1"/>
      <c r="D644" s="1"/>
      <c r="F644" s="6"/>
    </row>
    <row r="645" spans="1:6">
      <c r="A645" s="1"/>
      <c r="D645" s="1"/>
      <c r="F645" s="6"/>
    </row>
    <row r="646" spans="1:6">
      <c r="A646" s="1"/>
      <c r="D646" s="1"/>
      <c r="F646" s="6"/>
    </row>
    <row r="647" spans="1:6">
      <c r="A647" s="1"/>
      <c r="D647" s="1"/>
      <c r="F647" s="6"/>
    </row>
    <row r="648" spans="1:6">
      <c r="A648" s="1"/>
      <c r="D648" s="1"/>
      <c r="F648" s="6"/>
    </row>
    <row r="649" spans="1:6">
      <c r="A649" s="1"/>
      <c r="D649" s="1"/>
      <c r="F649" s="6"/>
    </row>
    <row r="650" spans="1:6">
      <c r="A650" s="1"/>
      <c r="D650" s="1"/>
      <c r="F650" s="6"/>
    </row>
    <row r="651" spans="1:6">
      <c r="A651" s="1"/>
      <c r="D651" s="1"/>
      <c r="F651" s="6"/>
    </row>
    <row r="652" spans="1:6">
      <c r="A652" s="1"/>
      <c r="D652" s="1"/>
      <c r="F652" s="6"/>
    </row>
    <row r="653" spans="1:6">
      <c r="A653" s="1"/>
      <c r="D653" s="1"/>
      <c r="F653" s="6"/>
    </row>
    <row r="654" spans="1:6">
      <c r="A654" s="1"/>
      <c r="D654" s="1"/>
      <c r="F654" s="6"/>
    </row>
    <row r="655" spans="1:6">
      <c r="A655" s="1"/>
      <c r="D655" s="1"/>
      <c r="F655" s="6"/>
    </row>
    <row r="656" spans="1:6">
      <c r="A656" s="1"/>
      <c r="D656" s="1"/>
      <c r="F656" s="6"/>
    </row>
    <row r="657" spans="1:6">
      <c r="A657" s="1"/>
      <c r="D657" s="1"/>
      <c r="F657" s="6"/>
    </row>
    <row r="658" spans="1:6">
      <c r="A658" s="1"/>
      <c r="D658" s="1"/>
      <c r="F658" s="6"/>
    </row>
    <row r="659" spans="1:6">
      <c r="A659" s="1"/>
      <c r="D659" s="1"/>
      <c r="F659" s="6"/>
    </row>
    <row r="660" spans="1:6">
      <c r="A660" s="1"/>
      <c r="D660" s="1"/>
      <c r="F660" s="6"/>
    </row>
    <row r="661" spans="1:6">
      <c r="A661" s="1"/>
      <c r="D661" s="1"/>
      <c r="F661" s="6"/>
    </row>
    <row r="662" spans="1:6">
      <c r="A662" s="1"/>
      <c r="D662" s="1"/>
      <c r="F662" s="6"/>
    </row>
    <row r="663" spans="1:6">
      <c r="A663" s="1"/>
      <c r="D663" s="1"/>
      <c r="F663" s="6"/>
    </row>
    <row r="664" spans="1:6">
      <c r="A664" s="1"/>
      <c r="D664" s="1"/>
      <c r="F664" s="6"/>
    </row>
    <row r="665" spans="1:6">
      <c r="A665" s="1"/>
      <c r="D665" s="1"/>
      <c r="F665" s="6"/>
    </row>
    <row r="666" spans="1:6">
      <c r="A666" s="1"/>
      <c r="D666" s="1"/>
      <c r="F666" s="6"/>
    </row>
    <row r="667" spans="1:6">
      <c r="A667" s="1"/>
      <c r="D667" s="1"/>
      <c r="F667" s="6"/>
    </row>
    <row r="668" spans="1:6">
      <c r="A668" s="1"/>
      <c r="D668" s="1"/>
      <c r="F668" s="6"/>
    </row>
    <row r="669" spans="1:6">
      <c r="A669" s="1"/>
      <c r="D669" s="1"/>
      <c r="F669" s="6"/>
    </row>
    <row r="670" spans="1:6">
      <c r="A670" s="1"/>
      <c r="D670" s="1"/>
      <c r="F670" s="6"/>
    </row>
    <row r="671" spans="1:6">
      <c r="A671" s="1"/>
      <c r="D671" s="1"/>
      <c r="F671" s="6"/>
    </row>
    <row r="672" spans="1:6">
      <c r="A672" s="1"/>
      <c r="D672" s="1"/>
      <c r="F672" s="6"/>
    </row>
    <row r="673" spans="1:4">
      <c r="A673" s="1"/>
      <c r="D673" s="1"/>
    </row>
    <row r="674" spans="1:4">
      <c r="A674" s="1"/>
      <c r="D674" s="1"/>
    </row>
    <row r="675" spans="1:4">
      <c r="A675" s="1"/>
      <c r="D675" s="1"/>
    </row>
    <row r="676" spans="1:4">
      <c r="A676" s="1"/>
      <c r="D676" s="1"/>
    </row>
    <row r="677" spans="1:4">
      <c r="A677" s="1"/>
      <c r="D677" s="1"/>
    </row>
    <row r="678" spans="1:4">
      <c r="A678" s="1"/>
      <c r="D678" s="1"/>
    </row>
    <row r="679" spans="1:4">
      <c r="A679" s="1"/>
      <c r="D679" s="1"/>
    </row>
    <row r="680" spans="1:4">
      <c r="A680" s="1"/>
      <c r="D680" s="1"/>
    </row>
    <row r="681" spans="1:4">
      <c r="A681" s="1"/>
      <c r="D681" s="1"/>
    </row>
    <row r="682" spans="1:4">
      <c r="A682" s="1"/>
      <c r="D682" s="1"/>
    </row>
    <row r="683" spans="1:4">
      <c r="A683" s="1"/>
      <c r="D683" s="1"/>
    </row>
    <row r="684" spans="1:4">
      <c r="A684" s="1"/>
      <c r="D684" s="1"/>
    </row>
    <row r="685" spans="1:4">
      <c r="A685" s="1"/>
      <c r="D685" s="1"/>
    </row>
    <row r="686" spans="1:4">
      <c r="A686" s="1"/>
      <c r="D686" s="1"/>
    </row>
    <row r="687" spans="1:4">
      <c r="A687" s="1"/>
      <c r="D687" s="1"/>
    </row>
    <row r="688" spans="1:4">
      <c r="A688" s="1"/>
      <c r="D688" s="1"/>
    </row>
    <row r="689" spans="1:4">
      <c r="A689" s="1"/>
      <c r="D689" s="1"/>
    </row>
    <row r="690" spans="1:4">
      <c r="A690" s="1"/>
      <c r="D690" s="1"/>
    </row>
    <row r="691" spans="1:4">
      <c r="A691" s="1"/>
      <c r="D691" s="1"/>
    </row>
    <row r="692" spans="1:4">
      <c r="A692" s="1"/>
      <c r="D692" s="1"/>
    </row>
    <row r="693" spans="1:4">
      <c r="A693" s="1"/>
      <c r="D693" s="1"/>
    </row>
    <row r="694" spans="1:4">
      <c r="A694" s="1"/>
      <c r="D694" s="1"/>
    </row>
    <row r="695" spans="1:4">
      <c r="A695" s="1"/>
      <c r="D695" s="1"/>
    </row>
    <row r="696" spans="1:4">
      <c r="A696" s="1"/>
      <c r="D696" s="1"/>
    </row>
    <row r="697" spans="1:4">
      <c r="A697" s="1"/>
      <c r="D697" s="1"/>
    </row>
    <row r="698" spans="1:4">
      <c r="A698" s="1"/>
      <c r="D698" s="1"/>
    </row>
    <row r="699" spans="1:4">
      <c r="A699" s="1"/>
      <c r="D699" s="1"/>
    </row>
    <row r="700" spans="1:4">
      <c r="A700" s="1"/>
      <c r="D700" s="1"/>
    </row>
    <row r="701" spans="1:4">
      <c r="A701" s="1"/>
      <c r="D701" s="1"/>
    </row>
    <row r="702" spans="1:4">
      <c r="A702" s="1"/>
      <c r="D702" s="1"/>
    </row>
    <row r="703" spans="1:4">
      <c r="A703" s="1"/>
      <c r="D703" s="1"/>
    </row>
    <row r="704" spans="1:4">
      <c r="A704" s="1"/>
      <c r="D704" s="1"/>
    </row>
    <row r="705" spans="1:4">
      <c r="A705" s="1"/>
      <c r="D705" s="1"/>
    </row>
    <row r="706" spans="1:4">
      <c r="A706" s="1"/>
      <c r="D706" s="1"/>
    </row>
    <row r="707" spans="1:4">
      <c r="A707" s="1"/>
      <c r="D707" s="1"/>
    </row>
    <row r="708" spans="1:4">
      <c r="A708" s="1"/>
      <c r="D708" s="1"/>
    </row>
    <row r="709" spans="1:4">
      <c r="A709" s="1"/>
      <c r="D709" s="1"/>
    </row>
    <row r="710" spans="1:4">
      <c r="A710" s="1"/>
      <c r="D710" s="1"/>
    </row>
    <row r="711" spans="1:4">
      <c r="A711" s="1"/>
      <c r="D711" s="1"/>
    </row>
    <row r="712" spans="1:4">
      <c r="A712" s="1"/>
      <c r="D712" s="1"/>
    </row>
    <row r="713" spans="1:4">
      <c r="A713" s="1"/>
      <c r="D713" s="1"/>
    </row>
    <row r="714" spans="1:4">
      <c r="A714" s="1"/>
      <c r="D714" s="1"/>
    </row>
    <row r="715" spans="1:4">
      <c r="A715" s="1"/>
      <c r="D715" s="1"/>
    </row>
    <row r="716" spans="1:4">
      <c r="A716" s="1"/>
      <c r="D716" s="1"/>
    </row>
    <row r="717" spans="1:4">
      <c r="A717" s="1"/>
      <c r="D717" s="1"/>
    </row>
    <row r="718" spans="1:4">
      <c r="A718" s="1"/>
      <c r="D718" s="1"/>
    </row>
    <row r="719" spans="1:4">
      <c r="A719" s="1"/>
      <c r="D719" s="1"/>
    </row>
    <row r="720" spans="1:4">
      <c r="A720" s="1"/>
      <c r="D720" s="1"/>
    </row>
    <row r="721" spans="1:4">
      <c r="A721" s="1"/>
      <c r="D721" s="1"/>
    </row>
    <row r="722" spans="1:4">
      <c r="A722" s="1"/>
      <c r="D722" s="1"/>
    </row>
    <row r="723" spans="1:4">
      <c r="A723" s="1"/>
      <c r="D723" s="1"/>
    </row>
    <row r="724" spans="1:4">
      <c r="A724" s="1"/>
      <c r="D724" s="1"/>
    </row>
    <row r="725" spans="1:4">
      <c r="A725" s="1"/>
      <c r="D725" s="1"/>
    </row>
    <row r="726" spans="1:4">
      <c r="A726" s="1"/>
      <c r="D726" s="1"/>
    </row>
    <row r="727" spans="1:4">
      <c r="A727" s="1"/>
      <c r="D727" s="1"/>
    </row>
    <row r="728" spans="1:4">
      <c r="A728" s="1"/>
      <c r="D728" s="1"/>
    </row>
    <row r="729" spans="1:4">
      <c r="A729" s="1"/>
      <c r="D729" s="1"/>
    </row>
    <row r="730" spans="1:4">
      <c r="A730" s="1"/>
      <c r="D730" s="1"/>
    </row>
    <row r="731" spans="1:4">
      <c r="A731" s="1"/>
      <c r="D731" s="1"/>
    </row>
    <row r="732" spans="1:4">
      <c r="A732" s="1"/>
      <c r="D732" s="1"/>
    </row>
    <row r="733" spans="1:4">
      <c r="A733" s="1"/>
      <c r="D733" s="1"/>
    </row>
    <row r="734" spans="1:4">
      <c r="A734" s="1"/>
      <c r="D734" s="1"/>
    </row>
    <row r="735" spans="1:4">
      <c r="A735" s="1"/>
      <c r="D735" s="1"/>
    </row>
    <row r="736" spans="1:4">
      <c r="A736" s="1"/>
      <c r="D736" s="1"/>
    </row>
    <row r="737" spans="1:4">
      <c r="A737" s="1"/>
      <c r="D737" s="1"/>
    </row>
    <row r="738" spans="1:4">
      <c r="A738" s="1"/>
      <c r="D738" s="1"/>
    </row>
    <row r="739" spans="1:4">
      <c r="A739" s="1"/>
      <c r="D739" s="1"/>
    </row>
    <row r="740" spans="1:4">
      <c r="A740" s="1"/>
      <c r="D740" s="1"/>
    </row>
    <row r="741" spans="1:4">
      <c r="A741" s="1"/>
      <c r="D741" s="1"/>
    </row>
    <row r="742" spans="1:4">
      <c r="A742" s="1"/>
      <c r="D742" s="1"/>
    </row>
    <row r="743" spans="1:4">
      <c r="A743" s="1"/>
      <c r="D743" s="1"/>
    </row>
    <row r="744" spans="1:4">
      <c r="A744" s="1"/>
      <c r="D744" s="1"/>
    </row>
    <row r="745" spans="1:4">
      <c r="A745" s="1"/>
      <c r="D745" s="1"/>
    </row>
    <row r="746" spans="1:4">
      <c r="A746" s="1"/>
      <c r="D746" s="1"/>
    </row>
    <row r="747" spans="1:4">
      <c r="A747" s="1"/>
      <c r="D747" s="1"/>
    </row>
    <row r="748" spans="1:4">
      <c r="A748" s="1"/>
      <c r="D748" s="1"/>
    </row>
    <row r="749" spans="1:4">
      <c r="A749" s="1"/>
      <c r="D749" s="1"/>
    </row>
    <row r="750" spans="1:4">
      <c r="A750" s="1"/>
      <c r="D750" s="1"/>
    </row>
    <row r="751" spans="1:4">
      <c r="A751" s="1"/>
      <c r="D751" s="1"/>
    </row>
    <row r="752" spans="1:4">
      <c r="A752" s="1"/>
      <c r="D752" s="1"/>
    </row>
    <row r="753" spans="1:4">
      <c r="A753" s="1"/>
      <c r="D753" s="1"/>
    </row>
    <row r="754" spans="1:4">
      <c r="A754" s="1"/>
      <c r="D754" s="1"/>
    </row>
    <row r="755" spans="1:4">
      <c r="A755" s="1"/>
      <c r="D755" s="1"/>
    </row>
    <row r="756" spans="1:4">
      <c r="A756" s="1"/>
      <c r="D756" s="1"/>
    </row>
    <row r="757" spans="1:4">
      <c r="A757" s="1"/>
      <c r="D757" s="1"/>
    </row>
    <row r="758" spans="1:4">
      <c r="A758" s="1"/>
      <c r="D758" s="1"/>
    </row>
    <row r="759" spans="1:4">
      <c r="A759" s="1"/>
      <c r="D759" s="1"/>
    </row>
    <row r="760" spans="1:4">
      <c r="A760" s="1"/>
      <c r="D760" s="1"/>
    </row>
    <row r="761" spans="1:4">
      <c r="A761" s="1"/>
      <c r="D761" s="1"/>
    </row>
    <row r="762" spans="1:4">
      <c r="A762" s="1"/>
      <c r="D762" s="1"/>
    </row>
    <row r="763" spans="1:4">
      <c r="A763" s="1"/>
      <c r="D763" s="1"/>
    </row>
    <row r="764" spans="1:4">
      <c r="A764" s="1"/>
      <c r="D764" s="1"/>
    </row>
    <row r="765" spans="1:4">
      <c r="A765" s="1"/>
      <c r="D765" s="1"/>
    </row>
    <row r="766" spans="1:4">
      <c r="A766" s="1"/>
      <c r="D766" s="1"/>
    </row>
    <row r="767" spans="1:4">
      <c r="A767" s="1"/>
      <c r="D767" s="1"/>
    </row>
    <row r="768" spans="1:4">
      <c r="A768" s="1"/>
      <c r="D768" s="1"/>
    </row>
    <row r="769" spans="1:4">
      <c r="A769" s="1"/>
      <c r="D769" s="1"/>
    </row>
    <row r="770" spans="1:4">
      <c r="A770" s="1"/>
      <c r="D770" s="1"/>
    </row>
    <row r="771" spans="1:4">
      <c r="A771" s="1"/>
      <c r="D771" s="1"/>
    </row>
    <row r="772" spans="1:4">
      <c r="A772" s="1"/>
      <c r="D772" s="1"/>
    </row>
    <row r="773" spans="1:4">
      <c r="A773" s="1"/>
      <c r="D773" s="1"/>
    </row>
    <row r="774" spans="1:4">
      <c r="A774" s="1"/>
      <c r="D774" s="1"/>
    </row>
    <row r="775" spans="1:4">
      <c r="A775" s="1"/>
      <c r="D775" s="1"/>
    </row>
    <row r="776" spans="1:4">
      <c r="A776" s="1"/>
      <c r="D776" s="1"/>
    </row>
    <row r="777" spans="1:4">
      <c r="A777" s="1"/>
      <c r="D777" s="1"/>
    </row>
    <row r="778" spans="1:4">
      <c r="A778" s="1"/>
      <c r="D778" s="1"/>
    </row>
    <row r="779" spans="1:4">
      <c r="A779" s="1"/>
      <c r="D779" s="1"/>
    </row>
    <row r="780" spans="1:4">
      <c r="A780" s="1"/>
      <c r="D780" s="1"/>
    </row>
    <row r="781" spans="1:4">
      <c r="A781" s="1"/>
      <c r="D781" s="1"/>
    </row>
    <row r="782" spans="1:4">
      <c r="A782" s="1"/>
      <c r="D782" s="1"/>
    </row>
    <row r="783" spans="1:4">
      <c r="A783" s="1"/>
      <c r="D783" s="1"/>
    </row>
    <row r="784" spans="1:4">
      <c r="A784" s="1"/>
      <c r="D784" s="1"/>
    </row>
    <row r="785" spans="1:4">
      <c r="A785" s="1"/>
      <c r="D785" s="1"/>
    </row>
    <row r="786" spans="1:4">
      <c r="A786" s="1"/>
      <c r="D786" s="1"/>
    </row>
    <row r="787" spans="1:4">
      <c r="A787" s="1"/>
      <c r="D787" s="1"/>
    </row>
    <row r="788" spans="1:4">
      <c r="A788" s="1"/>
      <c r="D788" s="1"/>
    </row>
    <row r="789" spans="1:4">
      <c r="A789" s="1"/>
      <c r="D789" s="1"/>
    </row>
    <row r="790" spans="1:4">
      <c r="A790" s="1"/>
      <c r="D790" s="1"/>
    </row>
    <row r="791" spans="1:4">
      <c r="A791" s="1"/>
      <c r="D791" s="1"/>
    </row>
    <row r="792" spans="1:4">
      <c r="A792" s="1"/>
      <c r="D792" s="1"/>
    </row>
    <row r="793" spans="1:4">
      <c r="A793" s="1"/>
      <c r="D793" s="1"/>
    </row>
    <row r="794" spans="1:4">
      <c r="A794" s="1"/>
      <c r="D794" s="1"/>
    </row>
    <row r="795" spans="1:4">
      <c r="A795" s="1"/>
      <c r="D795" s="1"/>
    </row>
    <row r="796" spans="1:4">
      <c r="A796" s="1"/>
      <c r="D796" s="1"/>
    </row>
    <row r="797" spans="1:4">
      <c r="A797" s="1"/>
      <c r="D797" s="1"/>
    </row>
    <row r="798" spans="1:4">
      <c r="A798" s="1"/>
      <c r="D798" s="1"/>
    </row>
    <row r="799" spans="1:4">
      <c r="A799" s="1"/>
      <c r="D799" s="1"/>
    </row>
    <row r="800" spans="1:4">
      <c r="A800" s="1"/>
      <c r="D800" s="1"/>
    </row>
    <row r="801" spans="1:4">
      <c r="A801" s="1"/>
      <c r="D801" s="1"/>
    </row>
    <row r="802" spans="1:4">
      <c r="A802" s="1"/>
      <c r="D802" s="1"/>
    </row>
    <row r="803" spans="1:4">
      <c r="A803" s="1"/>
      <c r="D803" s="1"/>
    </row>
    <row r="804" spans="1:4">
      <c r="A804" s="1"/>
      <c r="D804" s="1"/>
    </row>
    <row r="805" spans="1:4">
      <c r="A805" s="1"/>
      <c r="D805" s="1"/>
    </row>
    <row r="806" spans="1:4">
      <c r="A806" s="1"/>
      <c r="D806" s="1"/>
    </row>
    <row r="807" spans="1:4">
      <c r="A807" s="1"/>
      <c r="D807" s="1"/>
    </row>
    <row r="808" spans="1:4">
      <c r="A808" s="1"/>
      <c r="D808" s="1"/>
    </row>
    <row r="809" spans="1:4">
      <c r="A809" s="1"/>
      <c r="D809" s="1"/>
    </row>
    <row r="810" spans="1:4">
      <c r="A810" s="1"/>
      <c r="D810" s="1"/>
    </row>
    <row r="811" spans="1:4">
      <c r="A811" s="1"/>
      <c r="D811" s="1"/>
    </row>
    <row r="812" spans="1:4">
      <c r="A812" s="1"/>
      <c r="D812" s="1"/>
    </row>
    <row r="813" spans="1:4">
      <c r="A813" s="1"/>
      <c r="D813" s="1"/>
    </row>
    <row r="814" spans="1:4">
      <c r="A814" s="1"/>
      <c r="D814" s="1"/>
    </row>
    <row r="815" spans="1:4">
      <c r="A815" s="1"/>
      <c r="D815" s="1"/>
    </row>
    <row r="816" spans="1:4">
      <c r="A816" s="1"/>
      <c r="D816" s="1"/>
    </row>
    <row r="817" spans="1:4">
      <c r="A817" s="1"/>
      <c r="D817" s="1"/>
    </row>
    <row r="818" spans="1:4">
      <c r="A818" s="1"/>
      <c r="D818" s="1"/>
    </row>
    <row r="819" spans="1:4">
      <c r="A819" s="1"/>
      <c r="D819" s="1"/>
    </row>
    <row r="820" spans="1:4">
      <c r="A820" s="1"/>
      <c r="D820" s="1"/>
    </row>
    <row r="821" spans="1:4">
      <c r="A821" s="1"/>
      <c r="D821" s="1"/>
    </row>
    <row r="822" spans="1:4">
      <c r="A822" s="1"/>
      <c r="D822" s="1"/>
    </row>
    <row r="823" spans="1:4">
      <c r="A823" s="1"/>
      <c r="D823" s="1"/>
    </row>
    <row r="824" spans="1:4">
      <c r="A824" s="1"/>
      <c r="D824" s="1"/>
    </row>
    <row r="825" spans="1:4">
      <c r="A825" s="1"/>
      <c r="D825" s="1"/>
    </row>
    <row r="826" spans="1:4">
      <c r="A826" s="1"/>
      <c r="D826" s="1"/>
    </row>
    <row r="827" spans="1:4">
      <c r="A827" s="1"/>
      <c r="D827" s="1"/>
    </row>
    <row r="828" spans="1:4">
      <c r="A828" s="1"/>
      <c r="D828" s="1"/>
    </row>
    <row r="829" spans="1:4">
      <c r="A829" s="1"/>
      <c r="D829" s="1"/>
    </row>
    <row r="830" spans="1:4">
      <c r="A830" s="1"/>
      <c r="D830" s="1"/>
    </row>
    <row r="831" spans="1:4">
      <c r="A831" s="1"/>
      <c r="D831" s="1"/>
    </row>
    <row r="832" spans="1:4">
      <c r="A832" s="1"/>
      <c r="D832" s="1"/>
    </row>
    <row r="833" spans="1:4">
      <c r="A833" s="1"/>
      <c r="D833" s="1"/>
    </row>
    <row r="834" spans="1:4">
      <c r="A834" s="1"/>
      <c r="D834" s="1"/>
    </row>
    <row r="835" spans="1:4">
      <c r="A835" s="1"/>
      <c r="D835" s="1"/>
    </row>
    <row r="836" spans="1:4">
      <c r="A836" s="1"/>
      <c r="D836" s="1"/>
    </row>
    <row r="837" spans="1:4">
      <c r="A837" s="1"/>
      <c r="D837" s="1"/>
    </row>
    <row r="838" spans="1:4">
      <c r="A838" s="1"/>
      <c r="D838" s="1"/>
    </row>
    <row r="839" spans="1:4">
      <c r="A839" s="1"/>
      <c r="D839" s="1"/>
    </row>
    <row r="840" spans="1:4">
      <c r="A840" s="1"/>
      <c r="D840" s="1"/>
    </row>
    <row r="841" spans="1:4">
      <c r="A841" s="1"/>
      <c r="D841" s="1"/>
    </row>
    <row r="842" spans="1:4">
      <c r="A842" s="1"/>
      <c r="D842" s="1"/>
    </row>
    <row r="843" spans="1:4">
      <c r="A843" s="1"/>
      <c r="D843" s="1"/>
    </row>
    <row r="844" spans="1:4">
      <c r="A844" s="1"/>
      <c r="D844" s="1"/>
    </row>
    <row r="845" spans="1:4">
      <c r="A845" s="1"/>
      <c r="D845" s="1"/>
    </row>
    <row r="846" spans="1:4">
      <c r="A846" s="1"/>
      <c r="D846" s="1"/>
    </row>
    <row r="847" spans="1:4">
      <c r="A847" s="1"/>
      <c r="D847" s="1"/>
    </row>
    <row r="848" spans="1:4">
      <c r="A848" s="1"/>
      <c r="D848" s="1"/>
    </row>
    <row r="849" spans="1:4">
      <c r="A849" s="1"/>
      <c r="D849" s="1"/>
    </row>
    <row r="850" spans="1:4">
      <c r="A850" s="1"/>
      <c r="D850" s="1"/>
    </row>
    <row r="851" spans="1:4">
      <c r="A851" s="1"/>
      <c r="D851" s="1"/>
    </row>
    <row r="852" spans="1:4">
      <c r="A852" s="1"/>
      <c r="D852" s="1"/>
    </row>
    <row r="853" spans="1:4">
      <c r="A853" s="1"/>
      <c r="D853" s="1"/>
    </row>
    <row r="854" spans="1:4">
      <c r="A854" s="1"/>
      <c r="D854" s="1"/>
    </row>
    <row r="855" spans="1:4">
      <c r="A855" s="1"/>
      <c r="D855" s="1"/>
    </row>
    <row r="856" spans="1:4">
      <c r="A856" s="1"/>
      <c r="D856" s="1"/>
    </row>
    <row r="857" spans="1:4">
      <c r="A857" s="1"/>
      <c r="D857" s="1"/>
    </row>
    <row r="858" spans="1:4">
      <c r="A858" s="1"/>
      <c r="D858" s="1"/>
    </row>
    <row r="859" spans="1:4">
      <c r="A859" s="1"/>
      <c r="D859" s="1"/>
    </row>
    <row r="860" spans="1:4">
      <c r="A860" s="1"/>
      <c r="D860" s="1"/>
    </row>
    <row r="861" spans="1:4">
      <c r="A861" s="1"/>
      <c r="D861" s="1"/>
    </row>
    <row r="862" spans="1:4">
      <c r="A862" s="1"/>
      <c r="D862" s="1"/>
    </row>
    <row r="863" spans="1:4">
      <c r="A863" s="1"/>
      <c r="D863" s="1"/>
    </row>
    <row r="864" spans="1:4">
      <c r="A864" s="1"/>
      <c r="D864" s="1"/>
    </row>
    <row r="865" spans="1:4">
      <c r="A865" s="1"/>
      <c r="D865" s="1"/>
    </row>
    <row r="866" spans="1:4">
      <c r="A866" s="1"/>
      <c r="D866" s="1"/>
    </row>
    <row r="867" spans="1:4">
      <c r="A867" s="1"/>
      <c r="D867" s="1"/>
    </row>
    <row r="868" spans="1:4">
      <c r="A868" s="1"/>
      <c r="D868" s="1"/>
    </row>
    <row r="869" spans="1:4">
      <c r="A869" s="1"/>
      <c r="D869" s="1"/>
    </row>
    <row r="870" spans="1:4">
      <c r="A870" s="1"/>
      <c r="D870" s="1"/>
    </row>
    <row r="871" spans="1:4">
      <c r="A871" s="1"/>
      <c r="D871" s="1"/>
    </row>
    <row r="872" spans="1:4">
      <c r="A872" s="1"/>
      <c r="D872" s="1"/>
    </row>
    <row r="873" spans="1:4">
      <c r="A873" s="1"/>
      <c r="D873" s="1"/>
    </row>
    <row r="874" spans="1:4">
      <c r="A874" s="1"/>
      <c r="D874" s="1"/>
    </row>
    <row r="875" spans="1:4">
      <c r="A875" s="1"/>
      <c r="D875" s="1"/>
    </row>
    <row r="876" spans="1:4">
      <c r="A876" s="1"/>
      <c r="D876" s="1"/>
    </row>
    <row r="877" spans="1:4">
      <c r="A877" s="1"/>
      <c r="D877" s="1"/>
    </row>
    <row r="878" spans="1:4">
      <c r="A878" s="1"/>
      <c r="D878" s="1"/>
    </row>
    <row r="879" spans="1:4">
      <c r="A879" s="1"/>
      <c r="D879" s="1"/>
    </row>
    <row r="880" spans="1:4">
      <c r="A880" s="1"/>
      <c r="D880" s="1"/>
    </row>
    <row r="881" spans="1:4">
      <c r="A881" s="1"/>
      <c r="D881" s="1"/>
    </row>
    <row r="882" spans="1:4">
      <c r="A882" s="1"/>
      <c r="D882" s="1"/>
    </row>
    <row r="883" spans="1:4">
      <c r="A883" s="1"/>
      <c r="D883" s="1"/>
    </row>
    <row r="884" spans="1:4">
      <c r="A884" s="1"/>
      <c r="D884" s="1"/>
    </row>
    <row r="885" spans="1:4">
      <c r="A885" s="1"/>
      <c r="D885" s="1"/>
    </row>
    <row r="886" spans="1:4">
      <c r="A886" s="1"/>
      <c r="D886" s="1"/>
    </row>
    <row r="887" spans="1:4">
      <c r="A887" s="1"/>
      <c r="D887" s="1"/>
    </row>
    <row r="888" spans="1:4">
      <c r="A888" s="1"/>
      <c r="D888" s="1"/>
    </row>
    <row r="889" spans="1:4">
      <c r="A889" s="1"/>
      <c r="D889" s="1"/>
    </row>
    <row r="890" spans="1:4">
      <c r="A890" s="1"/>
      <c r="D890" s="1"/>
    </row>
    <row r="891" spans="1:4">
      <c r="A891" s="1"/>
      <c r="D891" s="1"/>
    </row>
    <row r="892" spans="1:4">
      <c r="A892" s="1"/>
      <c r="D892" s="1"/>
    </row>
    <row r="893" spans="1:4">
      <c r="A893" s="1"/>
      <c r="D893" s="1"/>
    </row>
    <row r="894" spans="1:4">
      <c r="A894" s="1"/>
      <c r="D894" s="1"/>
    </row>
    <row r="895" spans="1:4">
      <c r="A895" s="1"/>
      <c r="D895" s="1"/>
    </row>
    <row r="896" spans="1:4">
      <c r="A896" s="1"/>
      <c r="D896" s="1"/>
    </row>
    <row r="897" spans="1:4">
      <c r="A897" s="1"/>
      <c r="D897" s="1"/>
    </row>
    <row r="898" spans="1:4">
      <c r="A898" s="1"/>
      <c r="D898" s="1"/>
    </row>
    <row r="899" spans="1:4">
      <c r="A899" s="1"/>
      <c r="D899" s="1"/>
    </row>
    <row r="900" spans="1:4">
      <c r="A900" s="1"/>
      <c r="D900" s="1"/>
    </row>
    <row r="901" spans="1:4">
      <c r="A901" s="1"/>
      <c r="D901" s="1"/>
    </row>
    <row r="902" spans="1:4">
      <c r="A902" s="1"/>
      <c r="D902" s="1"/>
    </row>
    <row r="903" spans="1:4">
      <c r="A903" s="1"/>
      <c r="D903" s="1"/>
    </row>
    <row r="904" spans="1:4">
      <c r="A904" s="1"/>
      <c r="D904" s="1"/>
    </row>
    <row r="905" spans="1:4">
      <c r="A905" s="1"/>
      <c r="D905" s="1"/>
    </row>
    <row r="906" spans="1:4">
      <c r="A906" s="1"/>
      <c r="D906" s="1"/>
    </row>
    <row r="907" spans="1:4">
      <c r="A907" s="1"/>
      <c r="D907" s="1"/>
    </row>
    <row r="908" spans="1:4">
      <c r="A908" s="1"/>
      <c r="D908" s="1"/>
    </row>
    <row r="909" spans="1:4">
      <c r="A909" s="1"/>
      <c r="D909" s="1"/>
    </row>
    <row r="910" spans="1:4">
      <c r="A910" s="1"/>
      <c r="D910" s="1"/>
    </row>
    <row r="911" spans="1:4">
      <c r="A911" s="1"/>
      <c r="D911" s="1"/>
    </row>
    <row r="912" spans="1:4">
      <c r="A912" s="1"/>
      <c r="D912" s="1"/>
    </row>
    <row r="913" spans="1:4">
      <c r="A913" s="1"/>
      <c r="D913" s="1"/>
    </row>
    <row r="914" spans="1:4">
      <c r="A914" s="1"/>
      <c r="D914" s="1"/>
    </row>
    <row r="915" spans="1:4">
      <c r="A915" s="1"/>
      <c r="D915" s="1"/>
    </row>
    <row r="916" spans="1:4">
      <c r="A916" s="1"/>
      <c r="D916" s="1"/>
    </row>
    <row r="917" spans="1:4">
      <c r="A917" s="1"/>
      <c r="D917" s="1"/>
    </row>
    <row r="918" spans="1:4">
      <c r="A918" s="1"/>
      <c r="D918" s="1"/>
    </row>
    <row r="919" spans="1:4">
      <c r="A919" s="1"/>
      <c r="D919" s="1"/>
    </row>
    <row r="920" spans="1:4">
      <c r="A920" s="1"/>
      <c r="D920" s="1"/>
    </row>
    <row r="921" spans="1:4">
      <c r="A921" s="1"/>
      <c r="D921" s="1"/>
    </row>
    <row r="922" spans="1:4">
      <c r="A922" s="1"/>
      <c r="D922" s="1"/>
    </row>
    <row r="923" spans="1:4">
      <c r="A923" s="1"/>
      <c r="D923" s="1"/>
    </row>
    <row r="924" spans="1:4">
      <c r="A924" s="1"/>
      <c r="D924" s="1"/>
    </row>
    <row r="925" spans="1:4">
      <c r="A925" s="1"/>
      <c r="D925" s="1"/>
    </row>
    <row r="926" spans="1:4">
      <c r="A926" s="1"/>
      <c r="D926" s="1"/>
    </row>
    <row r="927" spans="1:4">
      <c r="A927" s="1"/>
      <c r="D927" s="1"/>
    </row>
    <row r="928" spans="1:4">
      <c r="A928" s="1"/>
      <c r="D928" s="1"/>
    </row>
    <row r="929" spans="1:4">
      <c r="A929" s="1"/>
      <c r="D929" s="1"/>
    </row>
    <row r="930" spans="1:4">
      <c r="A930" s="1"/>
      <c r="D930" s="1"/>
    </row>
    <row r="931" spans="1:4">
      <c r="A931" s="1"/>
      <c r="D931" s="1"/>
    </row>
    <row r="932" spans="1:4">
      <c r="A932" s="1"/>
      <c r="D932" s="1"/>
    </row>
    <row r="933" spans="1:4">
      <c r="A933" s="1"/>
      <c r="D933" s="1"/>
    </row>
    <row r="934" spans="1:4">
      <c r="A934" s="1"/>
      <c r="D934" s="1"/>
    </row>
    <row r="935" spans="1:4">
      <c r="A935" s="1"/>
      <c r="D935" s="1"/>
    </row>
    <row r="936" spans="1:4">
      <c r="A936" s="1"/>
      <c r="D936" s="1"/>
    </row>
    <row r="937" spans="1:4">
      <c r="A937" s="1"/>
      <c r="D937" s="1"/>
    </row>
    <row r="938" spans="1:4">
      <c r="A938" s="1"/>
      <c r="D938" s="1"/>
    </row>
    <row r="939" spans="1:4">
      <c r="A939" s="1"/>
      <c r="D939" s="1"/>
    </row>
    <row r="940" spans="1:4">
      <c r="A940" s="1"/>
      <c r="D940" s="1"/>
    </row>
    <row r="941" spans="1:4">
      <c r="A941" s="1"/>
      <c r="D941" s="1"/>
    </row>
    <row r="942" spans="1:4">
      <c r="A942" s="1"/>
      <c r="D942" s="1"/>
    </row>
    <row r="943" spans="1:4">
      <c r="A943" s="1"/>
      <c r="D943" s="1"/>
    </row>
    <row r="944" spans="1:4">
      <c r="A944" s="1"/>
      <c r="D944" s="1"/>
    </row>
    <row r="945" spans="1:4">
      <c r="A945" s="1"/>
      <c r="D945" s="1"/>
    </row>
    <row r="946" spans="1:4">
      <c r="A946" s="1"/>
      <c r="D946" s="1"/>
    </row>
    <row r="947" spans="1:4">
      <c r="A947" s="1"/>
      <c r="D947" s="1"/>
    </row>
    <row r="948" spans="1:4">
      <c r="A948" s="1"/>
      <c r="D948" s="1"/>
    </row>
    <row r="949" spans="1:4">
      <c r="A949" s="1"/>
      <c r="D949" s="1"/>
    </row>
    <row r="950" spans="1:4">
      <c r="A950" s="1"/>
      <c r="D950" s="1"/>
    </row>
    <row r="951" spans="1:4">
      <c r="A951" s="1"/>
      <c r="D951" s="1"/>
    </row>
    <row r="952" spans="1:4">
      <c r="A952" s="1"/>
      <c r="D952" s="1"/>
    </row>
    <row r="953" spans="1:4">
      <c r="A953" s="1"/>
      <c r="D953" s="1"/>
    </row>
    <row r="954" spans="1:4">
      <c r="A954" s="1"/>
      <c r="D954" s="1"/>
    </row>
    <row r="955" spans="1:4">
      <c r="A955" s="1"/>
      <c r="D955" s="1"/>
    </row>
    <row r="956" spans="1:4">
      <c r="A956" s="1"/>
      <c r="D956" s="1"/>
    </row>
    <row r="957" spans="1:4">
      <c r="A957" s="1"/>
      <c r="D957" s="1"/>
    </row>
    <row r="958" spans="1:4">
      <c r="A958" s="1"/>
      <c r="D958" s="1"/>
    </row>
    <row r="959" spans="1:4">
      <c r="A959" s="1"/>
      <c r="D959" s="1"/>
    </row>
    <row r="960" spans="1:4">
      <c r="A960" s="1"/>
      <c r="D960" s="1"/>
    </row>
    <row r="961" spans="1:4">
      <c r="A961" s="1"/>
      <c r="D961" s="1"/>
    </row>
    <row r="962" spans="1:4">
      <c r="A962" s="1"/>
      <c r="D962" s="1"/>
    </row>
    <row r="963" spans="1:4">
      <c r="A963" s="1"/>
      <c r="D963" s="1"/>
    </row>
    <row r="964" spans="1:4">
      <c r="A964" s="1"/>
      <c r="D964" s="1"/>
    </row>
    <row r="965" spans="1:4">
      <c r="A965" s="1"/>
      <c r="D965" s="1"/>
    </row>
    <row r="966" spans="1:4">
      <c r="A966" s="1"/>
      <c r="D966" s="1"/>
    </row>
    <row r="967" spans="1:4">
      <c r="A967" s="1"/>
      <c r="D967" s="1"/>
    </row>
    <row r="968" spans="1:4">
      <c r="A968" s="1"/>
      <c r="D968" s="1"/>
    </row>
    <row r="969" spans="1:4">
      <c r="A969" s="1"/>
      <c r="D969" s="1"/>
    </row>
    <row r="970" spans="1:4">
      <c r="A970" s="1"/>
      <c r="D970" s="1"/>
    </row>
    <row r="971" spans="1:4">
      <c r="A971" s="1"/>
      <c r="D971" s="1"/>
    </row>
    <row r="972" spans="1:4">
      <c r="A972" s="1"/>
      <c r="D972" s="1"/>
    </row>
    <row r="973" spans="1:4">
      <c r="A973" s="1"/>
      <c r="D973" s="1"/>
    </row>
    <row r="974" spans="1:4">
      <c r="A974" s="1"/>
      <c r="D974" s="1"/>
    </row>
    <row r="975" spans="1:4">
      <c r="A975" s="1"/>
      <c r="D975" s="1"/>
    </row>
    <row r="976" spans="1:4">
      <c r="A976" s="1"/>
      <c r="D976" s="1"/>
    </row>
    <row r="977" spans="1:4">
      <c r="A977" s="1"/>
      <c r="D977" s="1"/>
    </row>
    <row r="978" spans="1:4">
      <c r="A978" s="1"/>
      <c r="D978" s="1"/>
    </row>
    <row r="979" spans="1:4">
      <c r="A979" s="1"/>
      <c r="D979" s="1"/>
    </row>
    <row r="980" spans="1:4">
      <c r="A980" s="1"/>
      <c r="D980" s="1"/>
    </row>
    <row r="981" spans="1:4">
      <c r="A981" s="1"/>
      <c r="D981" s="1"/>
    </row>
    <row r="982" spans="1:4">
      <c r="A982" s="1"/>
      <c r="D982" s="1"/>
    </row>
    <row r="983" spans="1:4">
      <c r="A983" s="1"/>
      <c r="D983" s="1"/>
    </row>
    <row r="984" spans="1:4">
      <c r="A984" s="1"/>
      <c r="D984" s="1"/>
    </row>
    <row r="985" spans="1:4">
      <c r="A985" s="1"/>
      <c r="D985" s="1"/>
    </row>
    <row r="986" spans="1:4">
      <c r="A986" s="1"/>
      <c r="D986" s="1"/>
    </row>
    <row r="987" spans="1:4">
      <c r="A987" s="1"/>
      <c r="D987" s="1"/>
    </row>
    <row r="988" spans="1:4">
      <c r="A988" s="1"/>
      <c r="D988" s="1"/>
    </row>
    <row r="989" spans="1:4">
      <c r="A989" s="1"/>
      <c r="D989" s="1"/>
    </row>
    <row r="990" spans="1:4">
      <c r="A990" s="1"/>
      <c r="D990" s="1"/>
    </row>
    <row r="991" spans="1:4">
      <c r="A991" s="1"/>
      <c r="D991" s="1"/>
    </row>
    <row r="992" spans="1:4">
      <c r="A992" s="1"/>
      <c r="D992" s="1"/>
    </row>
    <row r="993" spans="1:4">
      <c r="A993" s="1"/>
      <c r="D993" s="1"/>
    </row>
    <row r="994" spans="1:4">
      <c r="A994" s="1"/>
      <c r="D994" s="1"/>
    </row>
    <row r="995" spans="1:4">
      <c r="A995" s="1"/>
      <c r="D995" s="1"/>
    </row>
    <row r="996" spans="1:4">
      <c r="A996" s="1"/>
      <c r="D996" s="1"/>
    </row>
    <row r="997" spans="1:4">
      <c r="A997" s="1"/>
      <c r="D997" s="1"/>
    </row>
    <row r="998" spans="1:4">
      <c r="A998" s="1"/>
      <c r="D998" s="1"/>
    </row>
    <row r="999" spans="1:4">
      <c r="A999" s="1"/>
      <c r="D999" s="1"/>
    </row>
    <row r="1000" spans="1:4">
      <c r="A1000" s="1"/>
      <c r="D1000" s="1"/>
    </row>
    <row r="1001" spans="1:4">
      <c r="A1001" s="1"/>
      <c r="D1001" s="1"/>
    </row>
    <row r="1002" spans="1:4">
      <c r="A1002" s="1"/>
      <c r="D1002" s="1"/>
    </row>
    <row r="1003" spans="1:4">
      <c r="A1003" s="1"/>
      <c r="D1003" s="1"/>
    </row>
    <row r="1004" spans="1:4">
      <c r="A1004" s="1"/>
      <c r="D1004" s="1"/>
    </row>
    <row r="1005" spans="1:4">
      <c r="A1005" s="1"/>
      <c r="D1005" s="1"/>
    </row>
    <row r="1006" spans="1:4">
      <c r="A1006" s="1"/>
      <c r="D1006" s="1"/>
    </row>
    <row r="1007" spans="1:4">
      <c r="A1007" s="1"/>
      <c r="D1007" s="1"/>
    </row>
    <row r="1008" spans="1:4">
      <c r="A1008" s="1"/>
      <c r="D1008" s="1"/>
    </row>
    <row r="1009" spans="1:4">
      <c r="A1009" s="1"/>
      <c r="D1009" s="1"/>
    </row>
    <row r="1010" spans="1:4">
      <c r="A1010" s="1"/>
      <c r="D1010" s="1"/>
    </row>
    <row r="1011" spans="1:4">
      <c r="A1011" s="1"/>
      <c r="D1011" s="1"/>
    </row>
    <row r="1012" spans="1:4">
      <c r="A1012" s="1"/>
      <c r="D1012" s="1"/>
    </row>
    <row r="1013" spans="1:4">
      <c r="A1013" s="1"/>
      <c r="D1013" s="1"/>
    </row>
    <row r="1014" spans="1:4">
      <c r="A1014" s="1"/>
      <c r="D1014" s="1"/>
    </row>
    <row r="1015" spans="1:4">
      <c r="A1015" s="1"/>
      <c r="D1015" s="1"/>
    </row>
    <row r="1016" spans="1:4">
      <c r="A1016" s="1"/>
      <c r="D1016" s="1"/>
    </row>
    <row r="1017" spans="1:4">
      <c r="A1017" s="1"/>
      <c r="D1017" s="1"/>
    </row>
    <row r="1018" spans="1:4">
      <c r="A1018" s="1"/>
      <c r="D1018" s="1"/>
    </row>
    <row r="1019" spans="1:4">
      <c r="A1019" s="1"/>
      <c r="D1019" s="1"/>
    </row>
    <row r="1020" spans="1:4">
      <c r="A1020" s="1"/>
      <c r="D1020" s="1"/>
    </row>
    <row r="1021" spans="1:4">
      <c r="A1021" s="1"/>
      <c r="D1021" s="1"/>
    </row>
    <row r="1022" spans="1:4">
      <c r="A1022" s="1"/>
      <c r="D1022" s="1"/>
    </row>
    <row r="1023" spans="1:4">
      <c r="A1023" s="1"/>
      <c r="D1023" s="1"/>
    </row>
    <row r="1024" spans="1:4">
      <c r="A1024" s="1"/>
      <c r="D1024" s="1"/>
    </row>
    <row r="1025" spans="1:4">
      <c r="A1025" s="1"/>
      <c r="D1025" s="1"/>
    </row>
    <row r="1026" spans="1:4">
      <c r="A1026" s="1"/>
      <c r="D1026" s="1"/>
    </row>
    <row r="1027" spans="1:4">
      <c r="A1027" s="1"/>
      <c r="D1027" s="1"/>
    </row>
    <row r="1028" spans="1:4">
      <c r="A1028" s="1"/>
      <c r="D1028" s="1"/>
    </row>
    <row r="1029" spans="1:4">
      <c r="A1029" s="1"/>
      <c r="D1029" s="1"/>
    </row>
    <row r="1030" spans="1:4">
      <c r="A1030" s="1"/>
      <c r="D1030" s="1"/>
    </row>
    <row r="1031" spans="1:4">
      <c r="A1031" s="1"/>
      <c r="D1031" s="1"/>
    </row>
    <row r="1032" spans="1:4">
      <c r="A1032" s="1"/>
      <c r="D1032" s="1"/>
    </row>
    <row r="1033" spans="1:4">
      <c r="A1033" s="1"/>
      <c r="D1033" s="1"/>
    </row>
    <row r="1034" spans="1:4">
      <c r="A1034" s="1"/>
      <c r="D1034" s="1"/>
    </row>
    <row r="1035" spans="1:4">
      <c r="A1035" s="1"/>
      <c r="D1035" s="1"/>
    </row>
    <row r="1036" spans="1:4">
      <c r="A1036" s="1"/>
      <c r="D1036" s="1"/>
    </row>
    <row r="1037" spans="1:4">
      <c r="A1037" s="1"/>
      <c r="D1037" s="1"/>
    </row>
    <row r="1038" spans="1:4">
      <c r="A1038" s="1"/>
      <c r="D1038" s="1"/>
    </row>
    <row r="1039" spans="1:4">
      <c r="A1039" s="1"/>
      <c r="D1039" s="1"/>
    </row>
    <row r="1040" spans="1:4">
      <c r="A1040" s="1"/>
      <c r="D1040" s="1"/>
    </row>
    <row r="1041" spans="1:4">
      <c r="A1041" s="1"/>
      <c r="D1041" s="1"/>
    </row>
    <row r="1042" spans="1:4">
      <c r="A1042" s="1"/>
      <c r="D1042" s="1"/>
    </row>
    <row r="1043" spans="1:4">
      <c r="A1043" s="1"/>
      <c r="D1043" s="1"/>
    </row>
    <row r="1044" spans="1:4">
      <c r="A1044" s="1"/>
      <c r="D1044" s="1"/>
    </row>
    <row r="1045" spans="1:4">
      <c r="A1045" s="1"/>
      <c r="D1045" s="1"/>
    </row>
    <row r="1046" spans="1:4">
      <c r="A1046" s="1"/>
      <c r="D1046" s="1"/>
    </row>
    <row r="1047" spans="1:4">
      <c r="A1047" s="1"/>
      <c r="D1047" s="1"/>
    </row>
    <row r="1048" spans="1:4">
      <c r="A1048" s="1"/>
      <c r="D1048" s="1"/>
    </row>
    <row r="1049" spans="1:4">
      <c r="A1049" s="1"/>
      <c r="D1049" s="1"/>
    </row>
    <row r="1050" spans="1:4">
      <c r="A1050" s="1"/>
      <c r="D1050" s="1"/>
    </row>
    <row r="1051" spans="1:4">
      <c r="A1051" s="1"/>
      <c r="D1051" s="1"/>
    </row>
    <row r="1052" spans="1:4">
      <c r="A1052" s="1"/>
      <c r="D1052" s="1"/>
    </row>
    <row r="1053" spans="1:4">
      <c r="A1053" s="1"/>
      <c r="D1053" s="1"/>
    </row>
    <row r="1054" spans="1:4">
      <c r="A1054" s="1"/>
      <c r="D1054" s="1"/>
    </row>
    <row r="1055" spans="1:4">
      <c r="A1055" s="1"/>
      <c r="D1055" s="1"/>
    </row>
    <row r="1056" spans="1:4">
      <c r="A1056" s="1"/>
      <c r="D1056" s="1"/>
    </row>
    <row r="1057" spans="1:4">
      <c r="A1057" s="1"/>
      <c r="D1057" s="1"/>
    </row>
    <row r="1058" spans="1:4">
      <c r="A1058" s="1"/>
      <c r="D1058" s="1"/>
    </row>
    <row r="1059" spans="1:4">
      <c r="A1059" s="1"/>
      <c r="D1059" s="1"/>
    </row>
    <row r="1060" spans="1:4">
      <c r="A1060" s="1"/>
      <c r="D1060" s="1"/>
    </row>
    <row r="1061" spans="1:4">
      <c r="A1061" s="1"/>
      <c r="D1061" s="1"/>
    </row>
    <row r="1062" spans="1:4">
      <c r="A1062" s="1"/>
      <c r="D1062" s="1"/>
    </row>
    <row r="1063" spans="1:4">
      <c r="A1063" s="1"/>
      <c r="D1063" s="1"/>
    </row>
    <row r="1064" spans="1:4">
      <c r="A1064" s="1"/>
      <c r="D1064" s="1"/>
    </row>
    <row r="1065" spans="1:4">
      <c r="A1065" s="1"/>
      <c r="D1065" s="1"/>
    </row>
    <row r="1066" spans="1:4">
      <c r="A1066" s="1"/>
      <c r="D1066" s="1"/>
    </row>
    <row r="1067" spans="1:4">
      <c r="A1067" s="1"/>
      <c r="D1067" s="1"/>
    </row>
    <row r="1068" spans="1:4">
      <c r="A1068" s="1"/>
      <c r="D1068" s="1"/>
    </row>
    <row r="1069" spans="1:4">
      <c r="A1069" s="1"/>
      <c r="D1069" s="1"/>
    </row>
    <row r="1070" spans="1:4">
      <c r="A1070" s="1"/>
      <c r="D1070" s="1"/>
    </row>
    <row r="1071" spans="1:4">
      <c r="A1071" s="1"/>
      <c r="D1071" s="1"/>
    </row>
    <row r="1072" spans="1:4">
      <c r="A1072" s="1"/>
      <c r="D1072" s="1"/>
    </row>
    <row r="1073" spans="1:4">
      <c r="A1073" s="1"/>
      <c r="D1073" s="1"/>
    </row>
    <row r="1074" spans="1:4">
      <c r="A1074" s="1"/>
      <c r="D1074" s="1"/>
    </row>
    <row r="1075" spans="1:4">
      <c r="A1075" s="1"/>
      <c r="D1075" s="1"/>
    </row>
    <row r="1076" spans="1:4">
      <c r="A1076" s="1"/>
      <c r="D1076" s="1"/>
    </row>
    <row r="1077" spans="1:4">
      <c r="A1077" s="1"/>
      <c r="D1077" s="1"/>
    </row>
    <row r="1078" spans="1:4">
      <c r="A1078" s="1"/>
      <c r="D1078" s="1"/>
    </row>
    <row r="1079" spans="1:4">
      <c r="A1079" s="1"/>
      <c r="D1079" s="1"/>
    </row>
    <row r="1080" spans="1:4">
      <c r="A1080" s="1"/>
      <c r="D1080" s="1"/>
    </row>
    <row r="1081" spans="1:4">
      <c r="A1081" s="1"/>
      <c r="D1081" s="1"/>
    </row>
    <row r="1082" spans="1:4">
      <c r="A1082" s="1"/>
      <c r="D1082" s="1"/>
    </row>
    <row r="1083" spans="1:4">
      <c r="A1083" s="1"/>
      <c r="D1083" s="1"/>
    </row>
    <row r="1084" spans="1:4">
      <c r="A1084" s="1"/>
      <c r="D1084" s="1"/>
    </row>
    <row r="1085" spans="1:4">
      <c r="A1085" s="1"/>
      <c r="D1085" s="1"/>
    </row>
    <row r="1086" spans="1:4">
      <c r="A1086" s="1"/>
      <c r="D1086" s="1"/>
    </row>
    <row r="1087" spans="1:4">
      <c r="A1087" s="1"/>
      <c r="D1087" s="1"/>
    </row>
    <row r="1088" spans="1:4">
      <c r="A1088" s="1"/>
      <c r="D1088" s="1"/>
    </row>
    <row r="1089" spans="1:4">
      <c r="A1089" s="1"/>
      <c r="D1089" s="1"/>
    </row>
    <row r="1090" spans="1:4">
      <c r="A1090" s="1"/>
      <c r="D1090" s="1"/>
    </row>
    <row r="1091" spans="1:4">
      <c r="A1091" s="1"/>
      <c r="D1091" s="1"/>
    </row>
    <row r="1092" spans="1:4">
      <c r="A1092" s="1"/>
      <c r="D1092" s="1"/>
    </row>
    <row r="1093" spans="1:4">
      <c r="A1093" s="1"/>
      <c r="D1093" s="1"/>
    </row>
    <row r="1094" spans="1:4">
      <c r="A1094" s="1"/>
      <c r="D1094" s="1"/>
    </row>
    <row r="1095" spans="1:4">
      <c r="A1095" s="1"/>
      <c r="D1095" s="1"/>
    </row>
    <row r="1096" spans="1:4">
      <c r="A1096" s="1"/>
      <c r="D1096" s="1"/>
    </row>
    <row r="1097" spans="1:4">
      <c r="A1097" s="1"/>
      <c r="D1097" s="1"/>
    </row>
    <row r="1098" spans="1:4">
      <c r="A1098" s="1"/>
      <c r="D1098" s="1"/>
    </row>
    <row r="1099" spans="1:4">
      <c r="A1099" s="1"/>
      <c r="D1099" s="1"/>
    </row>
    <row r="1100" spans="1:4">
      <c r="A1100" s="1"/>
      <c r="D1100" s="1"/>
    </row>
    <row r="1101" spans="1:4">
      <c r="A1101" s="1"/>
      <c r="D1101" s="1"/>
    </row>
    <row r="1102" spans="1:4">
      <c r="A1102" s="1"/>
      <c r="D1102" s="1"/>
    </row>
    <row r="1103" spans="1:4">
      <c r="A1103" s="1"/>
      <c r="D1103" s="1"/>
    </row>
    <row r="1104" spans="1:4">
      <c r="A1104" s="1"/>
      <c r="D1104" s="1"/>
    </row>
    <row r="1105" spans="1:4">
      <c r="A1105" s="1"/>
      <c r="D1105" s="1"/>
    </row>
    <row r="1106" spans="1:4">
      <c r="A1106" s="1"/>
      <c r="D1106" s="1"/>
    </row>
    <row r="1107" spans="1:4">
      <c r="A1107" s="1"/>
      <c r="D1107" s="1"/>
    </row>
    <row r="1108" spans="1:4">
      <c r="A1108" s="1"/>
      <c r="D1108" s="1"/>
    </row>
    <row r="1109" spans="1:4">
      <c r="A1109" s="1"/>
      <c r="D1109" s="1"/>
    </row>
    <row r="1110" spans="1:4">
      <c r="A1110" s="1"/>
      <c r="D1110" s="1"/>
    </row>
    <row r="1111" spans="1:4">
      <c r="A1111" s="1"/>
      <c r="D1111" s="1"/>
    </row>
    <row r="1112" spans="1:4">
      <c r="A1112" s="1"/>
      <c r="D1112" s="1"/>
    </row>
    <row r="1113" spans="1:4">
      <c r="A1113" s="1"/>
      <c r="D1113" s="1"/>
    </row>
    <row r="1114" spans="1:4">
      <c r="A1114" s="1"/>
      <c r="D1114" s="1"/>
    </row>
    <row r="1115" spans="1:4">
      <c r="A1115" s="1"/>
      <c r="D1115" s="1"/>
    </row>
    <row r="1116" spans="1:4">
      <c r="A1116" s="1"/>
      <c r="D1116" s="1"/>
    </row>
    <row r="1117" spans="1:4">
      <c r="A1117" s="1"/>
      <c r="D1117" s="1"/>
    </row>
    <row r="1118" spans="1:4">
      <c r="A1118" s="1"/>
      <c r="D1118" s="1"/>
    </row>
    <row r="1119" spans="1:4">
      <c r="A1119" s="1"/>
      <c r="D1119" s="1"/>
    </row>
    <row r="1120" spans="1:4">
      <c r="A1120" s="1"/>
      <c r="D1120" s="1"/>
    </row>
    <row r="1121" spans="1:4">
      <c r="A1121" s="1"/>
      <c r="D1121" s="1"/>
    </row>
    <row r="1122" spans="1:4">
      <c r="A1122" s="1"/>
      <c r="D1122" s="1"/>
    </row>
    <row r="1123" spans="1:4">
      <c r="A1123" s="1"/>
      <c r="D1123" s="1"/>
    </row>
    <row r="1124" spans="1:4">
      <c r="A1124" s="1"/>
      <c r="D1124" s="1"/>
    </row>
    <row r="1125" spans="1:4">
      <c r="A1125" s="1"/>
      <c r="D1125" s="1"/>
    </row>
    <row r="1126" spans="1:4">
      <c r="A1126" s="1"/>
      <c r="D1126" s="1"/>
    </row>
    <row r="1127" spans="1:4">
      <c r="A1127" s="1"/>
      <c r="D1127" s="1"/>
    </row>
    <row r="1128" spans="1:4">
      <c r="A1128" s="1"/>
      <c r="D1128" s="1"/>
    </row>
    <row r="1129" spans="1:4">
      <c r="A1129" s="1"/>
      <c r="D1129" s="1"/>
    </row>
    <row r="1130" spans="1:4">
      <c r="A1130" s="1"/>
      <c r="D1130" s="1"/>
    </row>
    <row r="1131" spans="1:4">
      <c r="A1131" s="1"/>
      <c r="D1131" s="1"/>
    </row>
    <row r="1132" spans="1:4">
      <c r="A1132" s="1"/>
      <c r="D1132" s="1"/>
    </row>
    <row r="1133" spans="1:4">
      <c r="A1133" s="1"/>
      <c r="D1133" s="1"/>
    </row>
    <row r="1134" spans="1:4">
      <c r="A1134" s="1"/>
      <c r="D1134" s="1"/>
    </row>
    <row r="1135" spans="1:4">
      <c r="A1135" s="1"/>
      <c r="D1135" s="1"/>
    </row>
    <row r="1136" spans="1:4">
      <c r="A1136" s="1"/>
      <c r="D1136" s="1"/>
    </row>
    <row r="1137" spans="1:4">
      <c r="A1137" s="1"/>
      <c r="D1137" s="1"/>
    </row>
    <row r="1138" spans="1:4">
      <c r="A1138" s="1"/>
      <c r="D1138" s="1"/>
    </row>
    <row r="1139" spans="1:4">
      <c r="A1139" s="1"/>
      <c r="D1139" s="1"/>
    </row>
    <row r="1140" spans="1:4">
      <c r="A1140" s="1"/>
      <c r="D1140" s="1"/>
    </row>
    <row r="1141" spans="1:4">
      <c r="A1141" s="1"/>
      <c r="D1141" s="1"/>
    </row>
    <row r="1142" spans="1:4">
      <c r="A1142" s="1"/>
      <c r="D1142" s="1"/>
    </row>
    <row r="1143" spans="1:4">
      <c r="A1143" s="1"/>
      <c r="D1143" s="1"/>
    </row>
    <row r="1144" spans="1:4">
      <c r="A1144" s="1"/>
      <c r="D1144" s="1"/>
    </row>
    <row r="1145" spans="1:4">
      <c r="A1145" s="1"/>
      <c r="D1145" s="1"/>
    </row>
    <row r="1146" spans="1:4">
      <c r="A1146" s="1"/>
      <c r="D1146" s="1"/>
    </row>
    <row r="1147" spans="1:4">
      <c r="A1147" s="1"/>
      <c r="D1147" s="1"/>
    </row>
    <row r="1148" spans="1:4">
      <c r="A1148" s="1"/>
      <c r="D1148" s="1"/>
    </row>
    <row r="1149" spans="1:4">
      <c r="A1149" s="1"/>
      <c r="D1149" s="1"/>
    </row>
    <row r="1150" spans="1:4">
      <c r="A1150" s="1"/>
      <c r="D1150" s="1"/>
    </row>
    <row r="1151" spans="1:4">
      <c r="A1151" s="1"/>
      <c r="D1151" s="1"/>
    </row>
    <row r="1152" spans="1:4">
      <c r="A1152" s="1"/>
      <c r="D1152" s="1"/>
    </row>
    <row r="1153" spans="1:4">
      <c r="A1153" s="1"/>
      <c r="D1153" s="1"/>
    </row>
    <row r="1154" spans="1:4">
      <c r="A1154" s="1"/>
      <c r="D1154" s="1"/>
    </row>
    <row r="1155" spans="1:4">
      <c r="A1155" s="1"/>
      <c r="D1155" s="1"/>
    </row>
    <row r="1156" spans="1:4">
      <c r="A1156" s="1"/>
      <c r="D1156" s="1"/>
    </row>
    <row r="1157" spans="1:4">
      <c r="A1157" s="1"/>
      <c r="D1157" s="1"/>
    </row>
    <row r="1158" spans="1:4">
      <c r="A1158" s="1"/>
      <c r="D1158" s="1"/>
    </row>
    <row r="1159" spans="1:4">
      <c r="A1159" s="1"/>
      <c r="D1159" s="1"/>
    </row>
    <row r="1160" spans="1:4">
      <c r="A1160" s="1"/>
      <c r="D1160" s="1"/>
    </row>
    <row r="1161" spans="1:4">
      <c r="A1161" s="1"/>
      <c r="D1161" s="1"/>
    </row>
    <row r="1162" spans="1:4">
      <c r="A1162" s="1"/>
      <c r="D1162" s="1"/>
    </row>
    <row r="1163" spans="1:4">
      <c r="A1163" s="1"/>
      <c r="D1163" s="1"/>
    </row>
    <row r="1164" spans="1:4">
      <c r="A1164" s="1"/>
      <c r="D1164" s="1"/>
    </row>
    <row r="1165" spans="1:4">
      <c r="A1165" s="1"/>
      <c r="D1165" s="1"/>
    </row>
    <row r="1166" spans="1:4">
      <c r="A1166" s="1"/>
      <c r="D1166" s="1"/>
    </row>
    <row r="1167" spans="1:4">
      <c r="A1167" s="1"/>
      <c r="D1167" s="1"/>
    </row>
    <row r="1168" spans="1:4">
      <c r="A1168" s="1"/>
      <c r="D1168" s="1"/>
    </row>
    <row r="1169" spans="1:4">
      <c r="A1169" s="1"/>
      <c r="D1169" s="1"/>
    </row>
    <row r="1170" spans="1:4">
      <c r="A1170" s="1"/>
      <c r="D1170" s="1"/>
    </row>
    <row r="1171" spans="1:4">
      <c r="A1171" s="1"/>
      <c r="D1171" s="1"/>
    </row>
    <row r="1172" spans="1:4">
      <c r="A1172" s="1"/>
      <c r="D1172" s="1"/>
    </row>
    <row r="1173" spans="1:4">
      <c r="A1173" s="1"/>
      <c r="D1173" s="1"/>
    </row>
    <row r="1174" spans="1:4">
      <c r="A1174" s="1"/>
      <c r="D1174" s="1"/>
    </row>
    <row r="1175" spans="1:4">
      <c r="A1175" s="1"/>
      <c r="D1175" s="1"/>
    </row>
    <row r="1176" spans="1:4">
      <c r="A1176" s="1"/>
      <c r="D1176" s="1"/>
    </row>
    <row r="1177" spans="1:4">
      <c r="A1177" s="1"/>
      <c r="D1177" s="1"/>
    </row>
    <row r="1178" spans="1:4">
      <c r="A1178" s="1"/>
      <c r="D1178" s="1"/>
    </row>
    <row r="1179" spans="1:4">
      <c r="A1179" s="1"/>
      <c r="D1179" s="1"/>
    </row>
    <row r="1180" spans="1:4">
      <c r="A1180" s="1"/>
      <c r="D1180" s="1"/>
    </row>
    <row r="1181" spans="1:4">
      <c r="A1181" s="1"/>
      <c r="D1181" s="1"/>
    </row>
    <row r="1182" spans="1:4">
      <c r="A1182" s="1"/>
      <c r="D1182" s="1"/>
    </row>
    <row r="1183" spans="1:4">
      <c r="A1183" s="1"/>
      <c r="D1183" s="1"/>
    </row>
    <row r="1184" spans="1:4">
      <c r="A1184" s="1"/>
      <c r="D1184" s="1"/>
    </row>
    <row r="1185" spans="1:4">
      <c r="A1185" s="1"/>
      <c r="D1185" s="1"/>
    </row>
    <row r="1186" spans="1:4">
      <c r="A1186" s="1"/>
      <c r="D1186" s="1"/>
    </row>
    <row r="1187" spans="1:4">
      <c r="A1187" s="1"/>
      <c r="D1187" s="1"/>
    </row>
    <row r="1188" spans="1:4">
      <c r="A1188" s="1"/>
      <c r="D1188" s="1"/>
    </row>
    <row r="1189" spans="1:4">
      <c r="A1189" s="1"/>
      <c r="D1189" s="1"/>
    </row>
    <row r="1190" spans="1:4">
      <c r="A1190" s="1"/>
      <c r="D1190" s="1"/>
    </row>
    <row r="1191" spans="1:4">
      <c r="A1191" s="1"/>
      <c r="D1191" s="1"/>
    </row>
    <row r="1192" spans="1:4">
      <c r="A1192" s="1"/>
      <c r="D1192" s="1"/>
    </row>
    <row r="1193" spans="1:4">
      <c r="A1193" s="1"/>
      <c r="D1193" s="1"/>
    </row>
    <row r="1194" spans="1:4">
      <c r="A1194" s="1"/>
      <c r="D1194" s="1"/>
    </row>
    <row r="1195" spans="1:4">
      <c r="A1195" s="1"/>
      <c r="D1195" s="1"/>
    </row>
    <row r="1196" spans="1:4">
      <c r="A1196" s="1"/>
      <c r="D1196" s="1"/>
    </row>
    <row r="1197" spans="1:4">
      <c r="A1197" s="1"/>
      <c r="D1197" s="1"/>
    </row>
    <row r="1198" spans="1:4">
      <c r="A1198" s="1"/>
      <c r="D1198" s="1"/>
    </row>
    <row r="1199" spans="1:4">
      <c r="A1199" s="1"/>
      <c r="D1199" s="1"/>
    </row>
    <row r="1200" spans="1:4">
      <c r="A1200" s="1"/>
      <c r="D1200" s="1"/>
    </row>
    <row r="1201" spans="1:4">
      <c r="A1201" s="1"/>
      <c r="D1201" s="1"/>
    </row>
    <row r="1202" spans="1:4">
      <c r="A1202" s="1"/>
      <c r="D1202" s="1"/>
    </row>
    <row r="1203" spans="1:4">
      <c r="A1203" s="1"/>
      <c r="D1203" s="1"/>
    </row>
    <row r="1204" spans="1:4">
      <c r="A1204" s="1"/>
      <c r="D1204" s="1"/>
    </row>
    <row r="1205" spans="1:4">
      <c r="A1205" s="1"/>
      <c r="D1205" s="1"/>
    </row>
    <row r="1206" spans="1:4">
      <c r="A1206" s="1"/>
      <c r="D1206" s="1"/>
    </row>
    <row r="1207" spans="1:4">
      <c r="A1207" s="1"/>
      <c r="D1207" s="1"/>
    </row>
    <row r="1208" spans="1:4">
      <c r="A1208" s="1"/>
      <c r="D1208" s="1"/>
    </row>
    <row r="1209" spans="1:4">
      <c r="A1209" s="1"/>
      <c r="D1209" s="1"/>
    </row>
    <row r="1210" spans="1:4">
      <c r="A1210" s="1"/>
      <c r="D1210" s="1"/>
    </row>
    <row r="1211" spans="1:4">
      <c r="A1211" s="1"/>
      <c r="D1211" s="1"/>
    </row>
    <row r="1212" spans="1:4">
      <c r="A1212" s="1"/>
      <c r="D1212" s="1"/>
    </row>
    <row r="1213" spans="1:4">
      <c r="A1213" s="1"/>
      <c r="D1213" s="1"/>
    </row>
    <row r="1214" spans="1:4">
      <c r="A1214" s="1"/>
      <c r="D1214" s="1"/>
    </row>
    <row r="1215" spans="1:4">
      <c r="A1215" s="1"/>
      <c r="D1215" s="1"/>
    </row>
    <row r="1216" spans="1:4">
      <c r="A1216" s="1"/>
      <c r="D1216" s="1"/>
    </row>
    <row r="1217" spans="1:4">
      <c r="A1217" s="1"/>
      <c r="D1217" s="1"/>
    </row>
    <row r="1218" spans="1:4">
      <c r="A1218" s="1"/>
      <c r="D1218" s="1"/>
    </row>
    <row r="1219" spans="1:4">
      <c r="A1219" s="1"/>
      <c r="D1219" s="1"/>
    </row>
    <row r="1220" spans="1:4">
      <c r="A1220" s="1"/>
      <c r="D1220" s="1"/>
    </row>
    <row r="1221" spans="1:4">
      <c r="A1221" s="1"/>
      <c r="D1221" s="1"/>
    </row>
    <row r="1222" spans="1:4">
      <c r="A1222" s="1"/>
      <c r="D1222" s="1"/>
    </row>
    <row r="1223" spans="1:4">
      <c r="A1223" s="1"/>
      <c r="D1223" s="1"/>
    </row>
    <row r="1224" spans="1:4">
      <c r="A1224" s="1"/>
      <c r="D1224" s="1"/>
    </row>
    <row r="1225" spans="1:4">
      <c r="A1225" s="1"/>
      <c r="D1225" s="1"/>
    </row>
    <row r="1226" spans="1:4">
      <c r="A1226" s="1"/>
      <c r="D1226" s="1"/>
    </row>
    <row r="1227" spans="1:4">
      <c r="A1227" s="1"/>
      <c r="D1227" s="1"/>
    </row>
    <row r="1228" spans="1:4">
      <c r="A1228" s="1"/>
      <c r="D1228" s="1"/>
    </row>
    <row r="1229" spans="1:4">
      <c r="A1229" s="1"/>
      <c r="D1229" s="1"/>
    </row>
    <row r="1230" spans="1:4">
      <c r="A1230" s="1"/>
      <c r="D1230" s="1"/>
    </row>
    <row r="1231" spans="1:4">
      <c r="A1231" s="1"/>
      <c r="D1231" s="1"/>
    </row>
    <row r="1232" spans="1:4">
      <c r="A1232" s="1"/>
      <c r="D1232" s="1"/>
    </row>
    <row r="1233" spans="1:4">
      <c r="A1233" s="1"/>
      <c r="D1233" s="1"/>
    </row>
    <row r="1234" spans="1:4">
      <c r="A1234" s="1"/>
      <c r="D1234" s="1"/>
    </row>
    <row r="1235" spans="1:4">
      <c r="A1235" s="1"/>
      <c r="D1235" s="1"/>
    </row>
    <row r="1236" spans="1:4">
      <c r="A1236" s="1"/>
      <c r="D1236" s="1"/>
    </row>
    <row r="1237" spans="1:4">
      <c r="A1237" s="1"/>
      <c r="D1237" s="1"/>
    </row>
    <row r="1238" spans="1:4">
      <c r="A1238" s="1"/>
      <c r="D1238" s="1"/>
    </row>
    <row r="1239" spans="1:4">
      <c r="A1239" s="1"/>
      <c r="D1239" s="1"/>
    </row>
    <row r="1240" spans="1:4">
      <c r="A1240" s="1"/>
      <c r="D1240" s="1"/>
    </row>
    <row r="1241" spans="1:4">
      <c r="A1241" s="1"/>
      <c r="D1241" s="1"/>
    </row>
    <row r="1242" spans="1:4">
      <c r="A1242" s="1"/>
      <c r="D1242" s="1"/>
    </row>
    <row r="1243" spans="1:4">
      <c r="A1243" s="1"/>
      <c r="D1243" s="1"/>
    </row>
    <row r="1244" spans="1:4">
      <c r="A1244" s="1"/>
      <c r="D1244" s="1"/>
    </row>
    <row r="1245" spans="1:4">
      <c r="A1245" s="1"/>
      <c r="D1245" s="1"/>
    </row>
    <row r="1246" spans="1:4">
      <c r="A1246" s="1"/>
      <c r="D1246" s="1"/>
    </row>
    <row r="1247" spans="1:4">
      <c r="A1247" s="1"/>
      <c r="D1247" s="1"/>
    </row>
    <row r="1248" spans="1:4">
      <c r="A1248" s="1"/>
      <c r="D1248" s="1"/>
    </row>
    <row r="1249" spans="1:4">
      <c r="A1249" s="1"/>
      <c r="D1249" s="1"/>
    </row>
    <row r="1250" spans="1:4">
      <c r="A1250" s="1"/>
      <c r="D1250" s="1"/>
    </row>
    <row r="1251" spans="1:4">
      <c r="A1251" s="1"/>
      <c r="D1251" s="1"/>
    </row>
    <row r="1252" spans="1:4">
      <c r="A1252" s="1"/>
      <c r="D1252" s="1"/>
    </row>
    <row r="1253" spans="1:4">
      <c r="A1253" s="1"/>
      <c r="D1253" s="1"/>
    </row>
    <row r="1254" spans="1:4">
      <c r="A1254" s="1"/>
      <c r="D1254" s="1"/>
    </row>
    <row r="1255" spans="1:4">
      <c r="A1255" s="1"/>
      <c r="D1255" s="1"/>
    </row>
    <row r="1256" spans="1:4">
      <c r="A1256" s="1"/>
      <c r="D1256" s="1"/>
    </row>
    <row r="1257" spans="1:4">
      <c r="A1257" s="1"/>
      <c r="D1257" s="1"/>
    </row>
    <row r="1258" spans="1:4">
      <c r="A1258" s="1"/>
      <c r="D1258" s="1"/>
    </row>
    <row r="1259" spans="1:4">
      <c r="A1259" s="1"/>
      <c r="D1259" s="1"/>
    </row>
    <row r="1260" spans="1:4">
      <c r="A1260" s="1"/>
      <c r="D1260" s="1"/>
    </row>
    <row r="1261" spans="1:4">
      <c r="A1261" s="1"/>
      <c r="D1261" s="1"/>
    </row>
    <row r="1262" spans="1:4">
      <c r="A1262" s="1"/>
      <c r="D1262" s="1"/>
    </row>
    <row r="1263" spans="1:4">
      <c r="A1263" s="1"/>
      <c r="D1263" s="1"/>
    </row>
    <row r="1264" spans="1:4">
      <c r="A1264" s="1"/>
      <c r="D1264" s="1"/>
    </row>
    <row r="1265" spans="1:4">
      <c r="A1265" s="1"/>
      <c r="D1265" s="1"/>
    </row>
    <row r="1266" spans="1:4">
      <c r="A1266" s="1"/>
      <c r="D1266" s="1"/>
    </row>
    <row r="1267" spans="1:4">
      <c r="A1267" s="1"/>
      <c r="D1267" s="1"/>
    </row>
    <row r="1268" spans="1:4">
      <c r="A1268" s="1"/>
      <c r="D1268" s="1"/>
    </row>
    <row r="1269" spans="1:4">
      <c r="A1269" s="1"/>
      <c r="D1269" s="1"/>
    </row>
    <row r="1270" spans="1:4">
      <c r="A1270" s="1"/>
      <c r="D1270" s="1"/>
    </row>
    <row r="1271" spans="1:4">
      <c r="A1271" s="1"/>
      <c r="D1271" s="1"/>
    </row>
    <row r="1272" spans="1:4">
      <c r="A1272" s="1"/>
      <c r="D1272" s="1"/>
    </row>
    <row r="1273" spans="1:4">
      <c r="A1273" s="1"/>
      <c r="D1273" s="1"/>
    </row>
    <row r="1274" spans="1:4">
      <c r="A1274" s="1"/>
      <c r="D1274" s="1"/>
    </row>
    <row r="1275" spans="1:4">
      <c r="A1275" s="1"/>
      <c r="D1275" s="1"/>
    </row>
    <row r="1276" spans="1:4">
      <c r="A1276" s="1"/>
      <c r="D1276" s="1"/>
    </row>
    <row r="1277" spans="1:4">
      <c r="A1277" s="1"/>
      <c r="D1277" s="1"/>
    </row>
    <row r="1278" spans="1:4">
      <c r="A1278" s="1"/>
      <c r="D1278" s="1"/>
    </row>
    <row r="1279" spans="1:4">
      <c r="A1279" s="1"/>
      <c r="D1279" s="1"/>
    </row>
    <row r="1280" spans="1:4">
      <c r="A1280" s="1"/>
      <c r="D1280" s="1"/>
    </row>
    <row r="1281" spans="1:4">
      <c r="A1281" s="1"/>
      <c r="D1281" s="1"/>
    </row>
    <row r="1282" spans="1:4">
      <c r="A1282" s="1"/>
      <c r="D1282" s="1"/>
    </row>
    <row r="1283" spans="1:4">
      <c r="A1283" s="1"/>
      <c r="D1283" s="1"/>
    </row>
    <row r="1284" spans="1:4">
      <c r="A1284" s="1"/>
      <c r="D1284" s="1"/>
    </row>
    <row r="1285" spans="1:4">
      <c r="A1285" s="1"/>
      <c r="D1285" s="1"/>
    </row>
    <row r="1286" spans="1:4">
      <c r="A1286" s="1"/>
      <c r="D1286" s="1"/>
    </row>
    <row r="1287" spans="1:4">
      <c r="A1287" s="1"/>
      <c r="D1287" s="1"/>
    </row>
    <row r="1288" spans="1:4">
      <c r="A1288" s="1"/>
      <c r="D1288" s="1"/>
    </row>
    <row r="1289" spans="1:4">
      <c r="A1289" s="1"/>
      <c r="D1289" s="1"/>
    </row>
    <row r="1290" spans="1:4">
      <c r="A1290" s="1"/>
      <c r="D1290" s="1"/>
    </row>
    <row r="1291" spans="1:4">
      <c r="A1291" s="1"/>
      <c r="D1291" s="1"/>
    </row>
    <row r="1292" spans="1:4">
      <c r="A1292" s="1"/>
      <c r="D1292" s="1"/>
    </row>
    <row r="1293" spans="1:4">
      <c r="A1293" s="1"/>
      <c r="D1293" s="1"/>
    </row>
    <row r="1294" spans="1:4">
      <c r="A1294" s="1"/>
      <c r="D1294" s="1"/>
    </row>
    <row r="1295" spans="1:4">
      <c r="A1295" s="1"/>
      <c r="D1295" s="1"/>
    </row>
    <row r="1296" spans="1:4">
      <c r="A1296" s="1"/>
      <c r="D1296" s="1"/>
    </row>
    <row r="1297" spans="1:4">
      <c r="A1297" s="1"/>
      <c r="D1297" s="1"/>
    </row>
    <row r="1298" spans="1:4">
      <c r="A1298" s="1"/>
      <c r="D1298" s="1"/>
    </row>
    <row r="1299" spans="1:4">
      <c r="A1299" s="1"/>
      <c r="D1299" s="1"/>
    </row>
    <row r="1300" spans="1:4">
      <c r="A1300" s="1"/>
      <c r="D1300" s="1"/>
    </row>
    <row r="1301" spans="1:4">
      <c r="A1301" s="1"/>
      <c r="D1301" s="1"/>
    </row>
    <row r="1302" spans="1:4">
      <c r="A1302" s="1"/>
      <c r="D1302" s="1"/>
    </row>
    <row r="1303" spans="1:4">
      <c r="A1303" s="1"/>
      <c r="D1303" s="1"/>
    </row>
    <row r="1304" spans="1:4">
      <c r="A1304" s="1"/>
      <c r="D1304" s="1"/>
    </row>
    <row r="1305" spans="1:4">
      <c r="A1305" s="1"/>
      <c r="D1305" s="1"/>
    </row>
    <row r="1306" spans="1:4">
      <c r="A1306" s="1"/>
      <c r="D1306" s="1"/>
    </row>
    <row r="1307" spans="1:4">
      <c r="A1307" s="1"/>
      <c r="D1307" s="1"/>
    </row>
    <row r="1308" spans="1:4">
      <c r="A1308" s="1"/>
      <c r="D1308" s="1"/>
    </row>
    <row r="1309" spans="1:4">
      <c r="A1309" s="1"/>
      <c r="D1309" s="1"/>
    </row>
    <row r="1310" spans="1:4">
      <c r="A1310" s="1"/>
      <c r="D1310" s="1"/>
    </row>
    <row r="1311" spans="1:4">
      <c r="A1311" s="1"/>
      <c r="D1311" s="1"/>
    </row>
    <row r="1312" spans="1:4">
      <c r="A1312" s="1"/>
      <c r="D1312" s="1"/>
    </row>
    <row r="1313" spans="1:4">
      <c r="A1313" s="1"/>
      <c r="D1313" s="1"/>
    </row>
    <row r="1314" spans="1:4">
      <c r="A1314" s="1"/>
      <c r="D1314" s="1"/>
    </row>
    <row r="1315" spans="1:4">
      <c r="A1315" s="1"/>
      <c r="D1315" s="1"/>
    </row>
    <row r="1316" spans="1:4">
      <c r="A1316" s="1"/>
      <c r="D1316" s="1"/>
    </row>
    <row r="1317" spans="1:4">
      <c r="A1317" s="1"/>
      <c r="D1317" s="1"/>
    </row>
    <row r="1318" spans="1:4">
      <c r="A1318" s="1"/>
      <c r="D1318" s="1"/>
    </row>
    <row r="1319" spans="1:4">
      <c r="A1319" s="1"/>
      <c r="D1319" s="1"/>
    </row>
    <row r="1320" spans="1:4">
      <c r="A1320" s="1"/>
      <c r="D1320" s="1"/>
    </row>
    <row r="1321" spans="1:4">
      <c r="A1321" s="1"/>
      <c r="D1321" s="1"/>
    </row>
    <row r="1322" spans="1:4">
      <c r="A1322" s="1"/>
      <c r="D1322" s="1"/>
    </row>
    <row r="1323" spans="1:4">
      <c r="A1323" s="1"/>
      <c r="D1323" s="1"/>
    </row>
    <row r="1324" spans="1:4">
      <c r="A1324" s="1"/>
      <c r="D1324" s="1"/>
    </row>
    <row r="1325" spans="1:4">
      <c r="A1325" s="1"/>
      <c r="D1325" s="1"/>
    </row>
    <row r="1326" spans="1:4">
      <c r="A1326" s="1"/>
      <c r="D1326" s="1"/>
    </row>
    <row r="1327" spans="1:4">
      <c r="A1327" s="1"/>
      <c r="D1327" s="1"/>
    </row>
    <row r="1328" spans="1:4">
      <c r="A1328" s="1"/>
      <c r="D1328" s="1"/>
    </row>
    <row r="1329" spans="1:4">
      <c r="A1329" s="1"/>
      <c r="D1329" s="1"/>
    </row>
    <row r="1330" spans="1:4">
      <c r="A1330" s="1"/>
      <c r="D1330" s="1"/>
    </row>
    <row r="1331" spans="1:4">
      <c r="A1331" s="1"/>
      <c r="D1331" s="1"/>
    </row>
    <row r="1332" spans="1:4">
      <c r="A1332" s="1"/>
      <c r="D1332" s="1"/>
    </row>
    <row r="1333" spans="1:4">
      <c r="A1333" s="1"/>
      <c r="D1333" s="1"/>
    </row>
    <row r="1334" spans="1:4">
      <c r="A1334" s="1"/>
      <c r="D1334" s="1"/>
    </row>
    <row r="1335" spans="1:4">
      <c r="A1335" s="1"/>
      <c r="D1335" s="1"/>
    </row>
    <row r="1336" spans="1:4">
      <c r="A1336" s="1"/>
      <c r="D1336" s="1"/>
    </row>
    <row r="1337" spans="1:4">
      <c r="A1337" s="1"/>
      <c r="D1337" s="1"/>
    </row>
    <row r="1338" spans="1:4">
      <c r="A1338" s="1"/>
      <c r="D1338" s="1"/>
    </row>
    <row r="1339" spans="1:4">
      <c r="A1339" s="1"/>
      <c r="D1339" s="1"/>
    </row>
    <row r="1340" spans="1:4">
      <c r="A1340" s="1"/>
      <c r="D1340" s="1"/>
    </row>
    <row r="1341" spans="1:4">
      <c r="A1341" s="1"/>
      <c r="D1341" s="1"/>
    </row>
    <row r="1342" spans="1:4">
      <c r="A1342" s="1"/>
      <c r="D1342" s="1"/>
    </row>
    <row r="1343" spans="1:4">
      <c r="A1343" s="1"/>
      <c r="D1343" s="1"/>
    </row>
    <row r="1344" spans="1:4">
      <c r="A1344" s="1"/>
      <c r="D1344" s="1"/>
    </row>
    <row r="1345" spans="1:4">
      <c r="A1345" s="1"/>
      <c r="D1345" s="1"/>
    </row>
    <row r="1346" spans="1:4">
      <c r="A1346" s="1"/>
      <c r="D1346" s="1"/>
    </row>
    <row r="1347" spans="1:4">
      <c r="A1347" s="1"/>
      <c r="D1347" s="1"/>
    </row>
    <row r="1348" spans="1:4">
      <c r="A1348" s="1"/>
      <c r="D1348" s="1"/>
    </row>
    <row r="1349" spans="1:4">
      <c r="A1349" s="1"/>
      <c r="D1349" s="1"/>
    </row>
    <row r="1350" spans="1:4">
      <c r="A1350" s="1"/>
      <c r="D1350" s="1"/>
    </row>
    <row r="1351" spans="1:4">
      <c r="A1351" s="1"/>
      <c r="D1351" s="1"/>
    </row>
    <row r="1352" spans="1:4">
      <c r="A1352" s="1"/>
      <c r="D1352" s="1"/>
    </row>
    <row r="1353" spans="1:4">
      <c r="A1353" s="1"/>
      <c r="D1353" s="1"/>
    </row>
    <row r="1354" spans="1:4">
      <c r="A1354" s="1"/>
      <c r="D1354" s="1"/>
    </row>
    <row r="1355" spans="1:4">
      <c r="A1355" s="1"/>
      <c r="D1355" s="1"/>
    </row>
    <row r="1356" spans="1:4">
      <c r="A1356" s="1"/>
      <c r="D1356" s="1"/>
    </row>
    <row r="1357" spans="1:4">
      <c r="A1357" s="1"/>
      <c r="D1357" s="1"/>
    </row>
    <row r="1358" spans="1:4">
      <c r="A1358" s="1"/>
      <c r="D1358" s="1"/>
    </row>
    <row r="1359" spans="1:4">
      <c r="A1359" s="1"/>
      <c r="D1359" s="1"/>
    </row>
    <row r="1360" spans="1:4">
      <c r="A1360" s="1"/>
      <c r="D1360" s="1"/>
    </row>
    <row r="1361" spans="1:4">
      <c r="A1361" s="1"/>
      <c r="D1361" s="1"/>
    </row>
    <row r="1362" spans="1:4">
      <c r="A1362" s="1"/>
      <c r="D1362" s="1"/>
    </row>
    <row r="1363" spans="1:4">
      <c r="A1363" s="1"/>
      <c r="D1363" s="1"/>
    </row>
    <row r="1364" spans="1:4">
      <c r="A1364" s="1"/>
      <c r="D1364" s="1"/>
    </row>
    <row r="1365" spans="1:4">
      <c r="A1365" s="1"/>
      <c r="D1365" s="1"/>
    </row>
    <row r="1366" spans="1:4">
      <c r="A1366" s="1"/>
      <c r="D1366" s="1"/>
    </row>
    <row r="1367" spans="1:4">
      <c r="A1367" s="1"/>
      <c r="D1367" s="1"/>
    </row>
    <row r="1368" spans="1:4">
      <c r="A1368" s="1"/>
      <c r="D1368" s="1"/>
    </row>
    <row r="1369" spans="1:4">
      <c r="A1369" s="1"/>
      <c r="D1369" s="1"/>
    </row>
    <row r="1370" spans="1:4">
      <c r="A1370" s="1"/>
      <c r="D1370" s="1"/>
    </row>
    <row r="1371" spans="1:4">
      <c r="A1371" s="1"/>
      <c r="D1371" s="1"/>
    </row>
    <row r="1372" spans="1:4">
      <c r="A1372" s="1"/>
      <c r="D1372" s="1"/>
    </row>
    <row r="1373" spans="1:4">
      <c r="A1373" s="1"/>
      <c r="D1373" s="1"/>
    </row>
    <row r="1374" spans="1:4">
      <c r="A1374" s="1"/>
      <c r="D1374" s="1"/>
    </row>
    <row r="1375" spans="1:4">
      <c r="A1375" s="1"/>
      <c r="D1375" s="1"/>
    </row>
    <row r="1376" spans="1:4">
      <c r="A1376" s="1"/>
      <c r="D1376" s="1"/>
    </row>
    <row r="1377" spans="1:4">
      <c r="A1377" s="1"/>
      <c r="D1377" s="1"/>
    </row>
    <row r="1378" spans="1:4">
      <c r="A1378" s="1"/>
      <c r="D1378" s="1"/>
    </row>
    <row r="1379" spans="1:4">
      <c r="A1379" s="1"/>
      <c r="D1379" s="1"/>
    </row>
    <row r="1380" spans="1:4">
      <c r="A1380" s="1"/>
      <c r="D1380" s="1"/>
    </row>
    <row r="1381" spans="1:4">
      <c r="A1381" s="1"/>
      <c r="D1381" s="1"/>
    </row>
    <row r="1382" spans="1:4">
      <c r="A1382" s="1"/>
      <c r="D1382" s="1"/>
    </row>
    <row r="1383" spans="1:4">
      <c r="A1383" s="1"/>
      <c r="D1383" s="1"/>
    </row>
    <row r="1384" spans="1:4">
      <c r="A1384" s="1"/>
      <c r="D1384" s="1"/>
    </row>
    <row r="1385" spans="1:4">
      <c r="A1385" s="1"/>
      <c r="D1385" s="1"/>
    </row>
    <row r="1386" spans="1:4">
      <c r="A1386" s="1"/>
      <c r="D1386" s="1"/>
    </row>
    <row r="1387" spans="1:4">
      <c r="A1387" s="1"/>
      <c r="D1387" s="1"/>
    </row>
    <row r="1388" spans="1:4">
      <c r="A1388" s="1"/>
      <c r="D1388" s="1"/>
    </row>
    <row r="1389" spans="1:4">
      <c r="A1389" s="1"/>
      <c r="D1389" s="1"/>
    </row>
    <row r="1390" spans="1:4">
      <c r="A1390" s="1"/>
      <c r="D1390" s="1"/>
    </row>
    <row r="1391" spans="1:4">
      <c r="A1391" s="1"/>
      <c r="D1391" s="1"/>
    </row>
    <row r="1392" spans="1:4">
      <c r="A1392" s="1"/>
      <c r="D1392" s="1"/>
    </row>
    <row r="1393" spans="1:4">
      <c r="A1393" s="1"/>
      <c r="D1393" s="1"/>
    </row>
    <row r="1394" spans="1:4">
      <c r="A1394" s="1"/>
      <c r="D1394" s="1"/>
    </row>
    <row r="1395" spans="1:4">
      <c r="A1395" s="1"/>
      <c r="D1395" s="1"/>
    </row>
    <row r="1396" spans="1:4">
      <c r="A1396" s="1"/>
      <c r="D1396" s="1"/>
    </row>
    <row r="1397" spans="1:4">
      <c r="A1397" s="1"/>
      <c r="D1397" s="1"/>
    </row>
    <row r="1398" spans="1:4">
      <c r="A1398" s="1"/>
      <c r="D1398" s="1"/>
    </row>
    <row r="1399" spans="1:4">
      <c r="A1399" s="1"/>
      <c r="D1399" s="1"/>
    </row>
    <row r="1400" spans="1:4">
      <c r="A1400" s="1"/>
      <c r="D1400" s="1"/>
    </row>
    <row r="1401" spans="1:4">
      <c r="A1401" s="1"/>
      <c r="D1401" s="1"/>
    </row>
    <row r="1402" spans="1:4">
      <c r="A1402" s="1"/>
      <c r="D1402" s="1"/>
    </row>
    <row r="1403" spans="1:4">
      <c r="A1403" s="1"/>
      <c r="D1403" s="1"/>
    </row>
    <row r="1404" spans="1:4">
      <c r="A1404" s="1"/>
      <c r="D1404" s="1"/>
    </row>
    <row r="1405" spans="1:4">
      <c r="A1405" s="1"/>
      <c r="D1405" s="1"/>
    </row>
    <row r="1406" spans="1:4">
      <c r="A1406" s="1"/>
      <c r="D1406" s="1"/>
    </row>
    <row r="1407" spans="1:4">
      <c r="A1407" s="1"/>
      <c r="D1407" s="1"/>
    </row>
    <row r="1408" spans="1:4">
      <c r="A1408" s="1"/>
      <c r="D1408" s="1"/>
    </row>
    <row r="1409" spans="1:4">
      <c r="A1409" s="1"/>
      <c r="D1409" s="1"/>
    </row>
    <row r="1410" spans="1:4">
      <c r="A1410" s="1"/>
      <c r="D1410" s="1"/>
    </row>
    <row r="1411" spans="1:4">
      <c r="A1411" s="1"/>
      <c r="D1411" s="1"/>
    </row>
    <row r="1412" spans="1:4">
      <c r="A1412" s="1"/>
      <c r="D1412" s="1"/>
    </row>
    <row r="1413" spans="1:4">
      <c r="A1413" s="1"/>
      <c r="D1413" s="1"/>
    </row>
    <row r="1414" spans="1:4">
      <c r="A1414" s="1"/>
      <c r="D1414" s="1"/>
    </row>
    <row r="1415" spans="1:4">
      <c r="A1415" s="1"/>
      <c r="D1415" s="1"/>
    </row>
    <row r="1416" spans="1:4">
      <c r="A1416" s="1"/>
      <c r="D1416" s="1"/>
    </row>
    <row r="1417" spans="1:4">
      <c r="A1417" s="1"/>
      <c r="D1417" s="1"/>
    </row>
    <row r="1418" spans="1:4">
      <c r="A1418" s="1"/>
      <c r="D1418" s="1"/>
    </row>
    <row r="1419" spans="1:4">
      <c r="A1419" s="1"/>
      <c r="D1419" s="1"/>
    </row>
    <row r="1420" spans="1:4">
      <c r="A1420" s="1"/>
      <c r="D1420" s="1"/>
    </row>
    <row r="1421" spans="1:4">
      <c r="A1421" s="1"/>
      <c r="D1421" s="1"/>
    </row>
    <row r="1422" spans="1:4">
      <c r="A1422" s="1"/>
      <c r="D1422" s="1"/>
    </row>
    <row r="1423" spans="1:4">
      <c r="A1423" s="1"/>
      <c r="D1423" s="1"/>
    </row>
    <row r="1424" spans="1:4">
      <c r="A1424" s="1"/>
      <c r="D1424" s="1"/>
    </row>
    <row r="1425" spans="1:4">
      <c r="A1425" s="1"/>
      <c r="D1425" s="1"/>
    </row>
    <row r="1426" spans="1:4">
      <c r="A1426" s="1"/>
      <c r="D1426" s="1"/>
    </row>
    <row r="1427" spans="1:4">
      <c r="A1427" s="1"/>
      <c r="D1427" s="1"/>
    </row>
    <row r="1428" spans="1:4">
      <c r="A1428" s="1"/>
      <c r="D1428" s="1"/>
    </row>
    <row r="1429" spans="1:4">
      <c r="A1429" s="1"/>
      <c r="D1429" s="1"/>
    </row>
    <row r="1430" spans="1:4">
      <c r="A1430" s="1"/>
      <c r="D1430" s="1"/>
    </row>
    <row r="1431" spans="1:4">
      <c r="A1431" s="1"/>
      <c r="D1431" s="1"/>
    </row>
    <row r="1432" spans="1:4">
      <c r="A1432" s="1"/>
      <c r="D1432" s="1"/>
    </row>
    <row r="1433" spans="1:4">
      <c r="A1433" s="1"/>
      <c r="D1433" s="1"/>
    </row>
    <row r="1434" spans="1:4">
      <c r="A1434" s="1"/>
      <c r="D1434" s="1"/>
    </row>
    <row r="1435" spans="1:4">
      <c r="A1435" s="1"/>
      <c r="D1435" s="1"/>
    </row>
    <row r="1436" spans="1:4">
      <c r="A1436" s="1"/>
      <c r="D1436" s="1"/>
    </row>
    <row r="1437" spans="1:4">
      <c r="A1437" s="1"/>
      <c r="D1437" s="1"/>
    </row>
    <row r="1438" spans="1:4">
      <c r="A1438" s="1"/>
      <c r="D1438" s="1"/>
    </row>
    <row r="1439" spans="1:4">
      <c r="A1439" s="1"/>
      <c r="D1439" s="1"/>
    </row>
    <row r="1440" spans="1:4">
      <c r="A1440" s="1"/>
      <c r="D1440" s="1"/>
    </row>
    <row r="1441" spans="1:4">
      <c r="A1441" s="1"/>
      <c r="D1441" s="1"/>
    </row>
    <row r="1442" spans="1:4">
      <c r="A1442" s="1"/>
      <c r="D1442" s="1"/>
    </row>
    <row r="1443" spans="1:4">
      <c r="A1443" s="1"/>
      <c r="D1443" s="1"/>
    </row>
    <row r="1444" spans="1:4">
      <c r="A1444" s="1"/>
      <c r="D1444" s="1"/>
    </row>
    <row r="1445" spans="1:4">
      <c r="A1445" s="1"/>
      <c r="D1445" s="1"/>
    </row>
    <row r="1446" spans="1:4">
      <c r="A1446" s="1"/>
      <c r="D1446" s="1"/>
    </row>
    <row r="1447" spans="1:4">
      <c r="A1447" s="1"/>
      <c r="D1447" s="1"/>
    </row>
    <row r="1448" spans="1:4">
      <c r="A1448" s="1"/>
      <c r="D1448" s="1"/>
    </row>
    <row r="1449" spans="1:4">
      <c r="A1449" s="1"/>
      <c r="D1449" s="1"/>
    </row>
    <row r="1450" spans="1:4">
      <c r="A1450" s="1"/>
      <c r="D1450" s="1"/>
    </row>
    <row r="1451" spans="1:4">
      <c r="A1451" s="1"/>
      <c r="D1451" s="1"/>
    </row>
    <row r="1452" spans="1:4">
      <c r="A1452" s="1"/>
      <c r="D1452" s="1"/>
    </row>
    <row r="1453" spans="1:4">
      <c r="A1453" s="1"/>
      <c r="D1453" s="1"/>
    </row>
    <row r="1454" spans="1:4">
      <c r="A1454" s="1"/>
      <c r="D1454" s="1"/>
    </row>
    <row r="1455" spans="1:4">
      <c r="A1455" s="1"/>
      <c r="D1455" s="1"/>
    </row>
    <row r="1456" spans="1:4">
      <c r="A1456" s="1"/>
      <c r="D1456" s="1"/>
    </row>
    <row r="1457" spans="1:4">
      <c r="A1457" s="1"/>
      <c r="D1457" s="1"/>
    </row>
    <row r="1458" spans="1:4">
      <c r="A1458" s="1"/>
      <c r="D1458" s="1"/>
    </row>
    <row r="1459" spans="1:4">
      <c r="A1459" s="1"/>
      <c r="D1459" s="1"/>
    </row>
    <row r="1460" spans="1:4">
      <c r="A1460" s="1"/>
      <c r="D1460" s="1"/>
    </row>
    <row r="1461" spans="1:4">
      <c r="A1461" s="1"/>
      <c r="D1461" s="1"/>
    </row>
    <row r="1462" spans="1:4">
      <c r="A1462" s="1"/>
      <c r="D1462" s="1"/>
    </row>
    <row r="1463" spans="1:4">
      <c r="A1463" s="1"/>
      <c r="D1463" s="1"/>
    </row>
    <row r="1464" spans="1:4">
      <c r="A1464" s="1"/>
      <c r="D1464" s="1"/>
    </row>
    <row r="1465" spans="1:4">
      <c r="A1465" s="1"/>
      <c r="D1465" s="1"/>
    </row>
    <row r="1466" spans="1:4">
      <c r="A1466" s="1"/>
      <c r="D1466" s="1"/>
    </row>
    <row r="1467" spans="1:4">
      <c r="A1467" s="1"/>
      <c r="D1467" s="1"/>
    </row>
    <row r="1468" spans="1:4">
      <c r="A1468" s="1"/>
      <c r="D1468" s="1"/>
    </row>
    <row r="1469" spans="1:4">
      <c r="A1469" s="1"/>
      <c r="D1469" s="1"/>
    </row>
    <row r="1470" spans="1:4">
      <c r="A1470" s="1"/>
      <c r="D1470" s="1"/>
    </row>
    <row r="1471" spans="1:4">
      <c r="A1471" s="1"/>
      <c r="D1471" s="1"/>
    </row>
    <row r="1472" spans="1:4">
      <c r="A1472" s="1"/>
      <c r="D1472" s="1"/>
    </row>
    <row r="1473" spans="1:4">
      <c r="A1473" s="1"/>
      <c r="D1473" s="1"/>
    </row>
    <row r="1474" spans="1:4">
      <c r="A1474" s="1"/>
      <c r="D1474" s="1"/>
    </row>
    <row r="1475" spans="1:4">
      <c r="A1475" s="1"/>
      <c r="D1475" s="1"/>
    </row>
    <row r="1476" spans="1:4">
      <c r="A1476" s="1"/>
      <c r="D1476" s="1"/>
    </row>
    <row r="1477" spans="1:4">
      <c r="A1477" s="1"/>
      <c r="D1477" s="1"/>
    </row>
    <row r="1478" spans="1:4">
      <c r="A1478" s="1"/>
      <c r="D1478" s="1"/>
    </row>
    <row r="1479" spans="1:4">
      <c r="A1479" s="1"/>
      <c r="D1479" s="1"/>
    </row>
    <row r="1480" spans="1:4">
      <c r="A1480" s="1"/>
      <c r="D1480" s="1"/>
    </row>
    <row r="1481" spans="1:4">
      <c r="A1481" s="1"/>
      <c r="D1481" s="1"/>
    </row>
    <row r="1482" spans="1:4">
      <c r="A1482" s="1"/>
      <c r="D1482" s="1"/>
    </row>
    <row r="1483" spans="1:4">
      <c r="A1483" s="1"/>
      <c r="D1483" s="1"/>
    </row>
    <row r="1484" spans="1:4">
      <c r="A1484" s="1"/>
      <c r="D1484" s="1"/>
    </row>
    <row r="1485" spans="1:4">
      <c r="A1485" s="1"/>
      <c r="D1485" s="1"/>
    </row>
    <row r="1486" spans="1:4">
      <c r="A1486" s="1"/>
      <c r="D1486" s="1"/>
    </row>
    <row r="1487" spans="1:4">
      <c r="A1487" s="1"/>
      <c r="D1487" s="1"/>
    </row>
    <row r="1488" spans="1:4">
      <c r="A1488" s="1"/>
      <c r="D1488" s="1"/>
    </row>
    <row r="1489" spans="1:4">
      <c r="A1489" s="1"/>
      <c r="D1489" s="1"/>
    </row>
    <row r="1490" spans="1:4">
      <c r="A1490" s="1"/>
      <c r="D1490" s="1"/>
    </row>
    <row r="1491" spans="1:4">
      <c r="A1491" s="1"/>
      <c r="D1491" s="1"/>
    </row>
    <row r="1492" spans="1:4">
      <c r="A1492" s="1"/>
      <c r="D1492" s="1"/>
    </row>
    <row r="1493" spans="1:4">
      <c r="A1493" s="1"/>
      <c r="D1493" s="1"/>
    </row>
    <row r="1494" spans="1:4">
      <c r="A1494" s="1"/>
      <c r="D1494" s="1"/>
    </row>
    <row r="1495" spans="1:4">
      <c r="A1495" s="1"/>
      <c r="D1495" s="1"/>
    </row>
    <row r="1496" spans="1:4">
      <c r="A1496" s="1"/>
      <c r="D1496" s="1"/>
    </row>
    <row r="1497" spans="1:4">
      <c r="A1497" s="1"/>
      <c r="D1497" s="1"/>
    </row>
    <row r="1498" spans="1:4">
      <c r="A1498" s="1"/>
      <c r="D1498" s="1"/>
    </row>
    <row r="1499" spans="1:4">
      <c r="A1499" s="1"/>
      <c r="D1499" s="1"/>
    </row>
    <row r="1500" spans="1:4">
      <c r="A1500" s="1"/>
      <c r="D1500" s="1"/>
    </row>
    <row r="1501" spans="1:4">
      <c r="A1501" s="1"/>
      <c r="D1501" s="1"/>
    </row>
    <row r="1502" spans="1:4">
      <c r="A1502" s="1"/>
      <c r="D1502" s="1"/>
    </row>
    <row r="1503" spans="1:4">
      <c r="A1503" s="1"/>
      <c r="D1503" s="1"/>
    </row>
    <row r="1504" spans="1:4">
      <c r="A1504" s="1"/>
      <c r="D1504" s="1"/>
    </row>
    <row r="1505" spans="1:4">
      <c r="A1505" s="1"/>
      <c r="D1505" s="1"/>
    </row>
    <row r="1506" spans="1:4">
      <c r="A1506" s="1"/>
      <c r="D1506" s="1"/>
    </row>
    <row r="1507" spans="1:4">
      <c r="A1507" s="1"/>
      <c r="D1507" s="1"/>
    </row>
    <row r="1508" spans="1:4">
      <c r="A1508" s="1"/>
      <c r="D1508" s="1"/>
    </row>
    <row r="1509" spans="1:4">
      <c r="A1509" s="1"/>
      <c r="D1509" s="1"/>
    </row>
    <row r="1510" spans="1:4">
      <c r="A1510" s="1"/>
      <c r="D1510" s="1"/>
    </row>
    <row r="1511" spans="1:4">
      <c r="A1511" s="1"/>
      <c r="D1511" s="1"/>
    </row>
    <row r="1512" spans="1:4">
      <c r="A1512" s="1"/>
      <c r="D1512" s="1"/>
    </row>
    <row r="1513" spans="1:4">
      <c r="A1513" s="1"/>
      <c r="D1513" s="1"/>
    </row>
    <row r="1514" spans="1:4">
      <c r="A1514" s="1"/>
      <c r="D1514" s="1"/>
    </row>
    <row r="1515" spans="1:4">
      <c r="A1515" s="1"/>
      <c r="D1515" s="1"/>
    </row>
    <row r="1516" spans="1:4">
      <c r="A1516" s="1"/>
      <c r="D1516" s="1"/>
    </row>
    <row r="1517" spans="1:4">
      <c r="A1517" s="1"/>
      <c r="D1517" s="1"/>
    </row>
    <row r="1518" spans="1:4">
      <c r="A1518" s="1"/>
      <c r="D1518" s="1"/>
    </row>
    <row r="1519" spans="1:4">
      <c r="A1519" s="1"/>
      <c r="D1519" s="1"/>
    </row>
    <row r="1520" spans="1:4">
      <c r="A1520" s="1"/>
      <c r="D1520" s="1"/>
    </row>
    <row r="1521" spans="1:4">
      <c r="A1521" s="1"/>
      <c r="D1521" s="1"/>
    </row>
    <row r="1522" spans="1:4">
      <c r="A1522" s="1"/>
      <c r="D1522" s="1"/>
    </row>
    <row r="1523" spans="1:4">
      <c r="A1523" s="1"/>
      <c r="D1523" s="1"/>
    </row>
    <row r="1524" spans="1:4">
      <c r="A1524" s="1"/>
      <c r="D1524" s="1"/>
    </row>
    <row r="1525" spans="1:4">
      <c r="A1525" s="1"/>
      <c r="D1525" s="1"/>
    </row>
    <row r="1526" spans="1:4">
      <c r="A1526" s="1"/>
      <c r="D1526" s="1"/>
    </row>
    <row r="1527" spans="1:4">
      <c r="A1527" s="1"/>
      <c r="D1527" s="1"/>
    </row>
    <row r="1528" spans="1:4">
      <c r="A1528" s="1"/>
      <c r="D1528" s="1"/>
    </row>
    <row r="1529" spans="1:4">
      <c r="A1529" s="1"/>
      <c r="D1529" s="1"/>
    </row>
    <row r="1530" spans="1:4">
      <c r="A1530" s="1"/>
      <c r="D1530" s="1"/>
    </row>
    <row r="1531" spans="1:4">
      <c r="A1531" s="1"/>
      <c r="D1531" s="1"/>
    </row>
    <row r="1532" spans="1:4">
      <c r="A1532" s="1"/>
      <c r="D1532" s="1"/>
    </row>
    <row r="1533" spans="1:4">
      <c r="A1533" s="1"/>
      <c r="D1533" s="1"/>
    </row>
    <row r="1534" spans="1:4">
      <c r="A1534" s="1"/>
      <c r="D1534" s="1"/>
    </row>
    <row r="1535" spans="1:4">
      <c r="A1535" s="1"/>
      <c r="D1535" s="1"/>
    </row>
    <row r="1536" spans="1:4">
      <c r="A1536" s="1"/>
      <c r="D1536" s="1"/>
    </row>
    <row r="1537" spans="1:4">
      <c r="A1537" s="1"/>
      <c r="D1537" s="1"/>
    </row>
    <row r="1538" spans="1:4">
      <c r="A1538" s="1"/>
      <c r="D1538" s="1"/>
    </row>
    <row r="1539" spans="1:4">
      <c r="A1539" s="1"/>
      <c r="D1539" s="1"/>
    </row>
    <row r="1540" spans="1:4">
      <c r="A1540" s="1"/>
      <c r="D1540" s="1"/>
    </row>
    <row r="1541" spans="1:4">
      <c r="A1541" s="1"/>
      <c r="D1541" s="1"/>
    </row>
    <row r="1542" spans="1:4">
      <c r="A1542" s="1"/>
      <c r="D1542" s="1"/>
    </row>
    <row r="1543" spans="1:4">
      <c r="A1543" s="1"/>
      <c r="D1543" s="1"/>
    </row>
    <row r="1544" spans="1:4">
      <c r="A1544" s="1"/>
      <c r="D1544" s="1"/>
    </row>
    <row r="1545" spans="1:4">
      <c r="A1545" s="1"/>
      <c r="D1545" s="1"/>
    </row>
    <row r="1546" spans="1:4">
      <c r="A1546" s="1"/>
      <c r="D1546" s="1"/>
    </row>
    <row r="1547" spans="1:4">
      <c r="A1547" s="1"/>
      <c r="D1547" s="1"/>
    </row>
    <row r="1548" spans="1:4">
      <c r="A1548" s="1"/>
      <c r="D1548" s="1"/>
    </row>
    <row r="1549" spans="1:4">
      <c r="A1549" s="1"/>
      <c r="D1549" s="1"/>
    </row>
    <row r="1550" spans="1:4">
      <c r="A1550" s="1"/>
      <c r="D1550" s="1"/>
    </row>
    <row r="1551" spans="1:4">
      <c r="A1551" s="1"/>
      <c r="D1551" s="1"/>
    </row>
    <row r="1552" spans="1:4">
      <c r="A1552" s="1"/>
      <c r="D1552" s="1"/>
    </row>
    <row r="1553" spans="1:4">
      <c r="A1553" s="1"/>
      <c r="D1553" s="1"/>
    </row>
    <row r="1554" spans="1:4">
      <c r="A1554" s="1"/>
      <c r="D1554" s="1"/>
    </row>
    <row r="1555" spans="1:4">
      <c r="A1555" s="1"/>
      <c r="D1555" s="1"/>
    </row>
    <row r="1556" spans="1:4">
      <c r="A1556" s="1"/>
      <c r="D1556" s="1"/>
    </row>
    <row r="1557" spans="1:4">
      <c r="A1557" s="1"/>
      <c r="D1557" s="1"/>
    </row>
    <row r="1558" spans="1:4">
      <c r="A1558" s="1"/>
      <c r="D1558" s="1"/>
    </row>
    <row r="1559" spans="1:4">
      <c r="A1559" s="1"/>
      <c r="D1559" s="1"/>
    </row>
    <row r="1560" spans="1:4">
      <c r="A1560" s="1"/>
      <c r="D1560" s="1"/>
    </row>
    <row r="1561" spans="1:4">
      <c r="A1561" s="1"/>
      <c r="D1561" s="1"/>
    </row>
    <row r="1562" spans="1:4">
      <c r="A1562" s="1"/>
      <c r="D1562" s="1"/>
    </row>
    <row r="1563" spans="1:4">
      <c r="A1563" s="1"/>
      <c r="D1563" s="1"/>
    </row>
    <row r="1564" spans="1:4">
      <c r="A1564" s="1"/>
      <c r="D1564" s="1"/>
    </row>
    <row r="1565" spans="1:4">
      <c r="A1565" s="1"/>
      <c r="D1565" s="1"/>
    </row>
    <row r="1566" spans="1:4">
      <c r="A1566" s="1"/>
      <c r="D1566" s="1"/>
    </row>
    <row r="1567" spans="1:4">
      <c r="A1567" s="1"/>
      <c r="D1567" s="1"/>
    </row>
    <row r="1568" spans="1:4">
      <c r="A1568" s="1"/>
      <c r="D1568" s="1"/>
    </row>
    <row r="1569" spans="1:4">
      <c r="A1569" s="1"/>
      <c r="D1569" s="1"/>
    </row>
    <row r="1570" spans="1:4">
      <c r="A1570" s="1"/>
      <c r="D1570" s="1"/>
    </row>
    <row r="1571" spans="1:4">
      <c r="A1571" s="1"/>
      <c r="D1571" s="1"/>
    </row>
    <row r="1572" spans="1:4">
      <c r="A1572" s="1"/>
      <c r="D1572" s="1"/>
    </row>
    <row r="1573" spans="1:4">
      <c r="A1573" s="1"/>
      <c r="D1573" s="1"/>
    </row>
    <row r="1574" spans="1:4">
      <c r="A1574" s="1"/>
      <c r="D1574" s="1"/>
    </row>
    <row r="1575" spans="1:4">
      <c r="A1575" s="1"/>
      <c r="D1575" s="1"/>
    </row>
    <row r="1576" spans="1:4">
      <c r="A1576" s="1"/>
      <c r="D1576" s="1"/>
    </row>
    <row r="1577" spans="1:4">
      <c r="A1577" s="1"/>
      <c r="D1577" s="1"/>
    </row>
    <row r="1578" spans="1:4">
      <c r="A1578" s="1"/>
      <c r="D1578" s="1"/>
    </row>
    <row r="1579" spans="1:4">
      <c r="A1579" s="1"/>
      <c r="D1579" s="1"/>
    </row>
    <row r="1580" spans="1:4">
      <c r="A1580" s="1"/>
      <c r="D1580" s="1"/>
    </row>
    <row r="1581" spans="1:4">
      <c r="A1581" s="1"/>
      <c r="D1581" s="1"/>
    </row>
    <row r="1582" spans="1:4">
      <c r="A1582" s="1"/>
      <c r="D1582" s="1"/>
    </row>
    <row r="1583" spans="1:4">
      <c r="A1583" s="1"/>
      <c r="D1583" s="1"/>
    </row>
    <row r="1584" spans="1:4">
      <c r="A1584" s="1"/>
      <c r="D1584" s="1"/>
    </row>
    <row r="1585" spans="1:4">
      <c r="A1585" s="1"/>
      <c r="D1585" s="1"/>
    </row>
    <row r="1586" spans="1:4">
      <c r="A1586" s="1"/>
      <c r="D1586" s="1"/>
    </row>
    <row r="1587" spans="1:4">
      <c r="A1587" s="1"/>
      <c r="D1587" s="1"/>
    </row>
    <row r="1588" spans="1:4">
      <c r="A1588" s="1"/>
      <c r="D1588" s="1"/>
    </row>
    <row r="1589" spans="1:4">
      <c r="A1589" s="1"/>
      <c r="D1589" s="1"/>
    </row>
    <row r="1590" spans="1:4">
      <c r="A1590" s="1"/>
      <c r="D1590" s="1"/>
    </row>
    <row r="1591" spans="1:4">
      <c r="A1591" s="1"/>
      <c r="D1591" s="1"/>
    </row>
    <row r="1592" spans="1:4">
      <c r="A1592" s="1"/>
      <c r="D1592" s="1"/>
    </row>
    <row r="1593" spans="1:4">
      <c r="A1593" s="1"/>
      <c r="D1593" s="1"/>
    </row>
    <row r="1594" spans="1:4">
      <c r="A1594" s="1"/>
      <c r="D1594" s="1"/>
    </row>
    <row r="1595" spans="1:4">
      <c r="A1595" s="1"/>
      <c r="D1595" s="1"/>
    </row>
    <row r="1596" spans="1:4">
      <c r="A1596" s="1"/>
      <c r="D1596" s="1"/>
    </row>
    <row r="1597" spans="1:4">
      <c r="A1597" s="1"/>
      <c r="D1597" s="1"/>
    </row>
    <row r="1598" spans="1:4">
      <c r="A1598" s="1"/>
      <c r="D1598" s="1"/>
    </row>
    <row r="1599" spans="1:4">
      <c r="A1599" s="1"/>
      <c r="D1599" s="1"/>
    </row>
    <row r="1600" spans="1:4">
      <c r="A1600" s="1"/>
      <c r="D1600" s="1"/>
    </row>
    <row r="1601" spans="1:4">
      <c r="A1601" s="1"/>
      <c r="D1601" s="1"/>
    </row>
    <row r="1602" spans="1:4">
      <c r="A1602" s="1"/>
      <c r="D1602" s="1"/>
    </row>
    <row r="1603" spans="1:4">
      <c r="A1603" s="1"/>
      <c r="D1603" s="1"/>
    </row>
    <row r="1604" spans="1:4">
      <c r="A1604" s="1"/>
      <c r="D1604" s="1"/>
    </row>
    <row r="1605" spans="1:4">
      <c r="A1605" s="1"/>
      <c r="D1605" s="1"/>
    </row>
    <row r="1606" spans="1:4">
      <c r="A1606" s="1"/>
      <c r="D1606" s="1"/>
    </row>
    <row r="1607" spans="1:4">
      <c r="A1607" s="1"/>
      <c r="D1607" s="1"/>
    </row>
    <row r="1608" spans="1:4">
      <c r="A1608" s="1"/>
      <c r="D1608" s="1"/>
    </row>
    <row r="1609" spans="1:4">
      <c r="A1609" s="1"/>
      <c r="D1609" s="1"/>
    </row>
    <row r="1610" spans="1:4">
      <c r="A1610" s="1"/>
      <c r="D1610" s="1"/>
    </row>
    <row r="1611" spans="1:4">
      <c r="A1611" s="1"/>
      <c r="D1611" s="1"/>
    </row>
    <row r="1612" spans="1:4">
      <c r="A1612" s="1"/>
      <c r="D1612" s="1"/>
    </row>
    <row r="1613" spans="1:4">
      <c r="A1613" s="1"/>
      <c r="D1613" s="1"/>
    </row>
    <row r="1614" spans="1:4">
      <c r="A1614" s="1"/>
      <c r="D1614" s="1"/>
    </row>
    <row r="1615" spans="1:4">
      <c r="A1615" s="1"/>
      <c r="D1615" s="1"/>
    </row>
    <row r="1616" spans="1:4">
      <c r="A1616" s="1"/>
      <c r="D1616" s="1"/>
    </row>
    <row r="1617" spans="1:4">
      <c r="A1617" s="1"/>
      <c r="D1617" s="1"/>
    </row>
    <row r="1618" spans="1:4">
      <c r="A1618" s="1"/>
      <c r="D1618" s="1"/>
    </row>
    <row r="1619" spans="1:4">
      <c r="A1619" s="1"/>
      <c r="D1619" s="1"/>
    </row>
    <row r="1620" spans="1:4">
      <c r="A1620" s="1"/>
      <c r="D1620" s="1"/>
    </row>
    <row r="1621" spans="1:4">
      <c r="A1621" s="1"/>
      <c r="D1621" s="1"/>
    </row>
    <row r="1622" spans="1:4">
      <c r="A1622" s="1"/>
      <c r="D1622" s="1"/>
    </row>
    <row r="1623" spans="1:4">
      <c r="A1623" s="1"/>
      <c r="D1623" s="1"/>
    </row>
    <row r="1624" spans="1:4">
      <c r="A1624" s="1"/>
      <c r="D1624" s="1"/>
    </row>
    <row r="1625" spans="1:4">
      <c r="A1625" s="1"/>
      <c r="D1625" s="1"/>
    </row>
    <row r="1626" spans="1:4">
      <c r="A1626" s="1"/>
      <c r="D1626" s="1"/>
    </row>
    <row r="1627" spans="1:4">
      <c r="A1627" s="1"/>
      <c r="D1627" s="1"/>
    </row>
    <row r="1628" spans="1:4">
      <c r="A1628" s="1"/>
      <c r="D1628" s="1"/>
    </row>
    <row r="1629" spans="1:4">
      <c r="A1629" s="1"/>
      <c r="D1629" s="1"/>
    </row>
    <row r="1630" spans="1:4">
      <c r="A1630" s="1"/>
      <c r="D1630" s="1"/>
    </row>
    <row r="1631" spans="1:4">
      <c r="A1631" s="1"/>
      <c r="D1631" s="1"/>
    </row>
    <row r="1632" spans="1:4">
      <c r="A1632" s="1"/>
      <c r="D1632" s="1"/>
    </row>
    <row r="1633" spans="1:4">
      <c r="A1633" s="1"/>
      <c r="D1633" s="1"/>
    </row>
    <row r="1634" spans="1:4">
      <c r="A1634" s="1"/>
      <c r="D1634" s="1"/>
    </row>
    <row r="1635" spans="1:4">
      <c r="A1635" s="1"/>
      <c r="D1635" s="1"/>
    </row>
    <row r="1636" spans="1:4">
      <c r="A1636" s="1"/>
      <c r="D1636" s="1"/>
    </row>
    <row r="1637" spans="1:4">
      <c r="A1637" s="1"/>
      <c r="D1637" s="1"/>
    </row>
    <row r="1638" spans="1:4">
      <c r="A1638" s="1"/>
      <c r="D1638" s="1"/>
    </row>
    <row r="1639" spans="1:4">
      <c r="A1639" s="1"/>
      <c r="D1639" s="1"/>
    </row>
    <row r="1640" spans="1:4">
      <c r="A1640" s="1"/>
      <c r="D1640" s="1"/>
    </row>
    <row r="1641" spans="1:4">
      <c r="A1641" s="1"/>
      <c r="D1641" s="1"/>
    </row>
    <row r="1642" spans="1:4">
      <c r="A1642" s="1"/>
      <c r="D1642" s="1"/>
    </row>
    <row r="1643" spans="1:4">
      <c r="A1643" s="1"/>
      <c r="D1643" s="1"/>
    </row>
    <row r="1644" spans="1:4">
      <c r="A1644" s="1"/>
      <c r="D1644" s="1"/>
    </row>
    <row r="1645" spans="1:4">
      <c r="A1645" s="1"/>
      <c r="D1645" s="1"/>
    </row>
    <row r="1646" spans="1:4">
      <c r="A1646" s="1"/>
      <c r="D1646" s="1"/>
    </row>
    <row r="1647" spans="1:4">
      <c r="A1647" s="1"/>
      <c r="D1647" s="1"/>
    </row>
    <row r="1648" spans="1:4">
      <c r="A1648" s="1"/>
      <c r="D1648" s="1"/>
    </row>
    <row r="1649" spans="1:4">
      <c r="A1649" s="1"/>
      <c r="D1649" s="1"/>
    </row>
    <row r="1650" spans="1:4">
      <c r="A1650" s="1"/>
      <c r="D1650" s="1"/>
    </row>
    <row r="1651" spans="1:4">
      <c r="A1651" s="1"/>
      <c r="D1651" s="1"/>
    </row>
    <row r="1652" spans="1:4">
      <c r="A1652" s="1"/>
      <c r="D1652" s="1"/>
    </row>
    <row r="1653" spans="1:4">
      <c r="A1653" s="1"/>
      <c r="D1653" s="1"/>
    </row>
    <row r="1654" spans="1:4">
      <c r="A1654" s="1"/>
      <c r="D1654" s="1"/>
    </row>
    <row r="1655" spans="1:4">
      <c r="A1655" s="1"/>
      <c r="D1655" s="1"/>
    </row>
    <row r="1656" spans="1:4">
      <c r="A1656" s="1"/>
      <c r="D1656" s="1"/>
    </row>
    <row r="1657" spans="1:4">
      <c r="A1657" s="1"/>
      <c r="D1657" s="1"/>
    </row>
    <row r="1658" spans="1:4">
      <c r="A1658" s="1"/>
      <c r="D1658" s="1"/>
    </row>
    <row r="1659" spans="1:4">
      <c r="A1659" s="1"/>
      <c r="D1659" s="1"/>
    </row>
    <row r="1660" spans="1:4">
      <c r="A1660" s="1"/>
      <c r="D1660" s="1"/>
    </row>
    <row r="1661" spans="1:4">
      <c r="A1661" s="1"/>
      <c r="D1661" s="1"/>
    </row>
    <row r="1662" spans="1:4">
      <c r="A1662" s="1"/>
      <c r="D1662" s="1"/>
    </row>
    <row r="1663" spans="1:4">
      <c r="A1663" s="1"/>
      <c r="D1663" s="1"/>
    </row>
    <row r="1664" spans="1:4">
      <c r="A1664" s="1"/>
      <c r="D1664" s="1"/>
    </row>
    <row r="1665" spans="1:4">
      <c r="A1665" s="1"/>
      <c r="D1665" s="1"/>
    </row>
    <row r="1666" spans="1:4">
      <c r="A1666" s="1"/>
      <c r="D1666" s="1"/>
    </row>
    <row r="1667" spans="1:4">
      <c r="A1667" s="1"/>
      <c r="D1667" s="1"/>
    </row>
    <row r="1668" spans="1:4">
      <c r="A1668" s="1"/>
      <c r="D1668" s="1"/>
    </row>
    <row r="1669" spans="1:4">
      <c r="A1669" s="1"/>
      <c r="D1669" s="1"/>
    </row>
    <row r="1670" spans="1:4">
      <c r="A1670" s="1"/>
      <c r="D1670" s="1"/>
    </row>
    <row r="1671" spans="1:4">
      <c r="A1671" s="1"/>
      <c r="D1671" s="1"/>
    </row>
    <row r="1672" spans="1:4">
      <c r="A1672" s="1"/>
      <c r="D1672" s="1"/>
    </row>
    <row r="1673" spans="1:4">
      <c r="A1673" s="1"/>
      <c r="D1673" s="1"/>
    </row>
    <row r="1674" spans="1:4">
      <c r="A1674" s="1"/>
      <c r="D1674" s="1"/>
    </row>
    <row r="1675" spans="1:4">
      <c r="A1675" s="1"/>
      <c r="D1675" s="1"/>
    </row>
    <row r="1676" spans="1:4">
      <c r="A1676" s="1"/>
      <c r="D1676" s="1"/>
    </row>
    <row r="1677" spans="1:4">
      <c r="A1677" s="1"/>
      <c r="D1677" s="1"/>
    </row>
    <row r="1678" spans="1:4">
      <c r="A1678" s="1"/>
      <c r="D1678" s="1"/>
    </row>
    <row r="1679" spans="1:4">
      <c r="A1679" s="1"/>
      <c r="D1679" s="1"/>
    </row>
    <row r="1680" spans="1:4">
      <c r="A1680" s="1"/>
      <c r="D1680" s="1"/>
    </row>
    <row r="1681" spans="1:4">
      <c r="A1681" s="1"/>
      <c r="D1681" s="1"/>
    </row>
    <row r="1682" spans="1:4">
      <c r="A1682" s="1"/>
      <c r="D1682" s="1"/>
    </row>
    <row r="1683" spans="1:4">
      <c r="A1683" s="1"/>
      <c r="D1683" s="1"/>
    </row>
    <row r="1684" spans="1:4">
      <c r="A1684" s="1"/>
      <c r="D1684" s="1"/>
    </row>
    <row r="1685" spans="1:4">
      <c r="A1685" s="1"/>
      <c r="D1685" s="1"/>
    </row>
    <row r="1686" spans="1:4">
      <c r="A1686" s="1"/>
      <c r="D1686" s="1"/>
    </row>
    <row r="1687" spans="1:4">
      <c r="A1687" s="1"/>
      <c r="D1687" s="1"/>
    </row>
    <row r="1688" spans="1:4">
      <c r="A1688" s="1"/>
      <c r="D1688" s="1"/>
    </row>
    <row r="1689" spans="1:4">
      <c r="A1689" s="1"/>
      <c r="D1689" s="1"/>
    </row>
    <row r="1690" spans="1:4">
      <c r="A1690" s="1"/>
      <c r="D1690" s="1"/>
    </row>
    <row r="1691" spans="1:4">
      <c r="A1691" s="1"/>
      <c r="D1691" s="1"/>
    </row>
    <row r="1692" spans="1:4">
      <c r="A1692" s="1"/>
      <c r="D1692" s="1"/>
    </row>
    <row r="1693" spans="1:4">
      <c r="A1693" s="1"/>
      <c r="D1693" s="1"/>
    </row>
    <row r="1694" spans="1:4">
      <c r="A1694" s="1"/>
      <c r="D1694" s="1"/>
    </row>
    <row r="1695" spans="1:4">
      <c r="A1695" s="1"/>
      <c r="D1695" s="1"/>
    </row>
    <row r="1696" spans="1:4">
      <c r="A1696" s="1"/>
      <c r="D1696" s="1"/>
    </row>
    <row r="1697" spans="1:4">
      <c r="A1697" s="1"/>
      <c r="D1697" s="1"/>
    </row>
    <row r="1698" spans="1:4">
      <c r="A1698" s="1"/>
      <c r="D1698" s="1"/>
    </row>
    <row r="1699" spans="1:4">
      <c r="A1699" s="1"/>
      <c r="D1699" s="1"/>
    </row>
    <row r="1700" spans="1:4">
      <c r="A1700" s="1"/>
      <c r="D1700" s="1"/>
    </row>
    <row r="1701" spans="1:4">
      <c r="A1701" s="1"/>
      <c r="D1701" s="1"/>
    </row>
    <row r="1702" spans="1:4">
      <c r="A1702" s="1"/>
      <c r="D1702" s="1"/>
    </row>
    <row r="1703" spans="1:4">
      <c r="A1703" s="1"/>
      <c r="D1703" s="1"/>
    </row>
    <row r="1704" spans="1:4">
      <c r="A1704" s="1"/>
      <c r="D1704" s="1"/>
    </row>
    <row r="1705" spans="1:4">
      <c r="A1705" s="1"/>
      <c r="D1705" s="1"/>
    </row>
    <row r="1706" spans="1:4">
      <c r="A1706" s="1"/>
      <c r="D1706" s="1"/>
    </row>
    <row r="1707" spans="1:4">
      <c r="A1707" s="1"/>
      <c r="D1707" s="1"/>
    </row>
    <row r="1708" spans="1:4">
      <c r="A1708" s="1"/>
      <c r="D1708" s="1"/>
    </row>
    <row r="1709" spans="1:4">
      <c r="A1709" s="1"/>
      <c r="D1709" s="1"/>
    </row>
    <row r="1710" spans="1:4">
      <c r="A1710" s="1"/>
      <c r="D1710" s="1"/>
    </row>
    <row r="1711" spans="1:4">
      <c r="A1711" s="1"/>
      <c r="D1711" s="1"/>
    </row>
    <row r="1712" spans="1:4">
      <c r="A1712" s="1"/>
      <c r="D1712" s="1"/>
    </row>
    <row r="1713" spans="1:4">
      <c r="A1713" s="1"/>
      <c r="D1713" s="1"/>
    </row>
    <row r="1714" spans="1:4">
      <c r="A1714" s="1"/>
      <c r="D1714" s="1"/>
    </row>
    <row r="1715" spans="1:4">
      <c r="A1715" s="1"/>
      <c r="D1715" s="1"/>
    </row>
    <row r="1716" spans="1:4">
      <c r="A1716" s="1"/>
      <c r="D1716" s="1"/>
    </row>
    <row r="1717" spans="1:4">
      <c r="A1717" s="1"/>
      <c r="D1717" s="1"/>
    </row>
    <row r="1718" spans="1:4">
      <c r="A1718" s="1"/>
      <c r="D1718" s="1"/>
    </row>
    <row r="1719" spans="1:4">
      <c r="A1719" s="1"/>
      <c r="D1719" s="1"/>
    </row>
    <row r="1720" spans="1:4">
      <c r="A1720" s="1"/>
      <c r="D1720" s="1"/>
    </row>
    <row r="1721" spans="1:4">
      <c r="A1721" s="1"/>
      <c r="D1721" s="1"/>
    </row>
    <row r="1722" spans="1:4">
      <c r="A1722" s="1"/>
      <c r="D1722" s="1"/>
    </row>
    <row r="1723" spans="1:4">
      <c r="A1723" s="1"/>
      <c r="D1723" s="1"/>
    </row>
    <row r="1724" spans="1:4">
      <c r="A1724" s="1"/>
      <c r="D1724" s="1"/>
    </row>
    <row r="1725" spans="1:4">
      <c r="A1725" s="1"/>
      <c r="D1725" s="1"/>
    </row>
    <row r="1726" spans="1:4">
      <c r="A1726" s="1"/>
      <c r="D1726" s="1"/>
    </row>
    <row r="1727" spans="1:4">
      <c r="A1727" s="1"/>
      <c r="D1727" s="1"/>
    </row>
    <row r="1728" spans="1:4">
      <c r="A1728" s="1"/>
      <c r="D1728" s="1"/>
    </row>
    <row r="1729" spans="1:4">
      <c r="A1729" s="1"/>
      <c r="D1729" s="1"/>
    </row>
    <row r="1730" spans="1:4">
      <c r="A1730" s="1"/>
      <c r="D1730" s="1"/>
    </row>
    <row r="1731" spans="1:4">
      <c r="A1731" s="1"/>
      <c r="D1731" s="1"/>
    </row>
    <row r="1732" spans="1:4">
      <c r="A1732" s="1"/>
      <c r="D1732" s="1"/>
    </row>
    <row r="1733" spans="1:4">
      <c r="A1733" s="1"/>
      <c r="D1733" s="1"/>
    </row>
    <row r="1734" spans="1:4">
      <c r="A1734" s="1"/>
      <c r="D1734" s="1"/>
    </row>
    <row r="1735" spans="1:4">
      <c r="A1735" s="1"/>
      <c r="D1735" s="1"/>
    </row>
    <row r="1736" spans="1:4">
      <c r="A1736" s="1"/>
      <c r="D1736" s="1"/>
    </row>
    <row r="1737" spans="1:4">
      <c r="A1737" s="1"/>
      <c r="D1737" s="1"/>
    </row>
    <row r="1738" spans="1:4">
      <c r="A1738" s="1"/>
      <c r="D1738" s="1"/>
    </row>
    <row r="1739" spans="1:4">
      <c r="A1739" s="1"/>
      <c r="D1739" s="1"/>
    </row>
    <row r="1740" spans="1:4">
      <c r="A1740" s="1"/>
      <c r="D1740" s="1"/>
    </row>
    <row r="1741" spans="1:4">
      <c r="A1741" s="1"/>
      <c r="D1741" s="1"/>
    </row>
    <row r="1742" spans="1:4">
      <c r="A1742" s="1"/>
      <c r="D1742" s="1"/>
    </row>
    <row r="1743" spans="1:4">
      <c r="A1743" s="1"/>
      <c r="D1743" s="1"/>
    </row>
    <row r="1744" spans="1:4">
      <c r="A1744" s="1"/>
      <c r="D1744" s="1"/>
    </row>
    <row r="1745" spans="1:4">
      <c r="A1745" s="1"/>
      <c r="D1745" s="1"/>
    </row>
    <row r="1746" spans="1:4">
      <c r="A1746" s="1"/>
      <c r="D1746" s="1"/>
    </row>
    <row r="1747" spans="1:4">
      <c r="A1747" s="1"/>
      <c r="D1747" s="1"/>
    </row>
    <row r="1748" spans="1:4">
      <c r="A1748" s="1"/>
      <c r="D1748" s="1"/>
    </row>
    <row r="1749" spans="1:4">
      <c r="A1749" s="1"/>
      <c r="D1749" s="1"/>
    </row>
    <row r="1750" spans="1:4">
      <c r="A1750" s="1"/>
      <c r="D1750" s="1"/>
    </row>
    <row r="1751" spans="1:4">
      <c r="A1751" s="1"/>
      <c r="D1751" s="1"/>
    </row>
    <row r="1752" spans="1:4">
      <c r="A1752" s="1"/>
      <c r="D1752" s="1"/>
    </row>
    <row r="1753" spans="1:4">
      <c r="A1753" s="1"/>
      <c r="D1753" s="1"/>
    </row>
    <row r="1754" spans="1:4">
      <c r="A1754" s="1"/>
      <c r="D1754" s="1"/>
    </row>
    <row r="1755" spans="1:4">
      <c r="A1755" s="1"/>
      <c r="D1755" s="1"/>
    </row>
    <row r="1756" spans="1:4">
      <c r="A1756" s="1"/>
      <c r="D1756" s="1"/>
    </row>
    <row r="1757" spans="1:4">
      <c r="A1757" s="1"/>
      <c r="D1757" s="1"/>
    </row>
    <row r="1758" spans="1:4">
      <c r="A1758" s="1"/>
      <c r="D1758" s="1"/>
    </row>
    <row r="1759" spans="1:4">
      <c r="A1759" s="1"/>
      <c r="D1759" s="1"/>
    </row>
    <row r="1760" spans="1:4">
      <c r="A1760" s="1"/>
      <c r="D1760" s="1"/>
    </row>
    <row r="1761" spans="1:4">
      <c r="A1761" s="1"/>
      <c r="D1761" s="1"/>
    </row>
    <row r="1762" spans="1:4">
      <c r="A1762" s="1"/>
      <c r="D1762" s="1"/>
    </row>
    <row r="1763" spans="1:4">
      <c r="A1763" s="1"/>
      <c r="D1763" s="1"/>
    </row>
    <row r="1764" spans="1:4">
      <c r="A1764" s="1"/>
      <c r="D1764" s="1"/>
    </row>
    <row r="1765" spans="1:4">
      <c r="A1765" s="1"/>
      <c r="D1765" s="1"/>
    </row>
    <row r="1766" spans="1:4">
      <c r="A1766" s="1"/>
      <c r="D1766" s="1"/>
    </row>
    <row r="1767" spans="1:4">
      <c r="A1767" s="1"/>
      <c r="D1767" s="1"/>
    </row>
    <row r="1768" spans="1:4">
      <c r="A1768" s="1"/>
      <c r="D1768" s="1"/>
    </row>
    <row r="1769" spans="1:4">
      <c r="A1769" s="1"/>
      <c r="D1769" s="1"/>
    </row>
    <row r="1770" spans="1:4">
      <c r="A1770" s="1"/>
      <c r="D1770" s="1"/>
    </row>
    <row r="1771" spans="1:4">
      <c r="A1771" s="1"/>
      <c r="D1771" s="1"/>
    </row>
    <row r="1772" spans="1:4">
      <c r="A1772" s="1"/>
      <c r="D1772" s="1"/>
    </row>
    <row r="1773" spans="1:4">
      <c r="A1773" s="1"/>
      <c r="D1773" s="1"/>
    </row>
    <row r="1774" spans="1:4">
      <c r="A1774" s="1"/>
      <c r="D1774" s="1"/>
    </row>
    <row r="1775" spans="1:4">
      <c r="A1775" s="1"/>
      <c r="D1775" s="1"/>
    </row>
    <row r="1776" spans="1:4">
      <c r="A1776" s="1"/>
      <c r="D1776" s="1"/>
    </row>
    <row r="1777" spans="1:4">
      <c r="A1777" s="1"/>
      <c r="D1777" s="1"/>
    </row>
    <row r="1778" spans="1:4">
      <c r="A1778" s="1"/>
      <c r="D1778" s="1"/>
    </row>
    <row r="1779" spans="1:4">
      <c r="A1779" s="1"/>
      <c r="D1779" s="1"/>
    </row>
    <row r="1780" spans="1:4">
      <c r="A1780" s="1"/>
      <c r="D1780" s="1"/>
    </row>
    <row r="1781" spans="1:4">
      <c r="A1781" s="1"/>
      <c r="D1781" s="1"/>
    </row>
    <row r="1782" spans="1:4">
      <c r="A1782" s="1"/>
      <c r="D1782" s="1"/>
    </row>
    <row r="1783" spans="1:4">
      <c r="A1783" s="1"/>
      <c r="D1783" s="1"/>
    </row>
    <row r="1784" spans="1:4">
      <c r="A1784" s="1"/>
      <c r="D1784" s="1"/>
    </row>
    <row r="1785" spans="1:4">
      <c r="A1785" s="1"/>
      <c r="D1785" s="1"/>
    </row>
    <row r="1786" spans="1:4">
      <c r="A1786" s="1"/>
      <c r="D1786" s="1"/>
    </row>
    <row r="1787" spans="1:4">
      <c r="A1787" s="1"/>
      <c r="D1787" s="1"/>
    </row>
    <row r="1788" spans="1:4">
      <c r="A1788" s="1"/>
      <c r="D1788" s="1"/>
    </row>
    <row r="1789" spans="1:4">
      <c r="A1789" s="1"/>
      <c r="D1789" s="1"/>
    </row>
    <row r="1790" spans="1:4">
      <c r="A1790" s="1"/>
      <c r="D1790" s="1"/>
    </row>
    <row r="1791" spans="1:4">
      <c r="A1791" s="1"/>
      <c r="D1791" s="1"/>
    </row>
    <row r="1792" spans="1:4">
      <c r="A1792" s="1"/>
      <c r="D1792" s="1"/>
    </row>
    <row r="1793" spans="1:4">
      <c r="A1793" s="1"/>
      <c r="D1793" s="1"/>
    </row>
    <row r="1794" spans="1:4">
      <c r="A1794" s="1"/>
      <c r="D1794" s="1"/>
    </row>
    <row r="1795" spans="1:4">
      <c r="A1795" s="1"/>
      <c r="D1795" s="1"/>
    </row>
    <row r="1796" spans="1:4">
      <c r="A1796" s="1"/>
      <c r="D1796" s="1"/>
    </row>
    <row r="1797" spans="1:4">
      <c r="A1797" s="1"/>
      <c r="D1797" s="1"/>
    </row>
    <row r="1798" spans="1:4">
      <c r="A1798" s="1"/>
      <c r="D1798" s="1"/>
    </row>
    <row r="1799" spans="1:4">
      <c r="A1799" s="1"/>
      <c r="D1799" s="1"/>
    </row>
    <row r="1800" spans="1:4">
      <c r="A1800" s="1"/>
      <c r="D1800" s="1"/>
    </row>
    <row r="1801" spans="1:4">
      <c r="A1801" s="1"/>
      <c r="D1801" s="1"/>
    </row>
    <row r="1802" spans="1:4">
      <c r="A1802" s="1"/>
      <c r="D1802" s="1"/>
    </row>
    <row r="1803" spans="1:4">
      <c r="A1803" s="1"/>
      <c r="D1803" s="1"/>
    </row>
    <row r="1804" spans="1:4">
      <c r="A1804" s="1"/>
      <c r="D1804" s="1"/>
    </row>
    <row r="1805" spans="1:4">
      <c r="A1805" s="1"/>
      <c r="D1805" s="1"/>
    </row>
    <row r="1806" spans="1:4">
      <c r="A1806" s="1"/>
      <c r="D1806" s="1"/>
    </row>
    <row r="1807" spans="1:4">
      <c r="A1807" s="1"/>
      <c r="D1807" s="1"/>
    </row>
    <row r="1808" spans="1:4">
      <c r="A1808" s="1"/>
      <c r="D1808" s="1"/>
    </row>
    <row r="1809" spans="1:4">
      <c r="A1809" s="1"/>
      <c r="D1809" s="1"/>
    </row>
    <row r="1810" spans="1:4">
      <c r="A1810" s="1"/>
      <c r="D1810" s="1"/>
    </row>
    <row r="1811" spans="1:4">
      <c r="A1811" s="1"/>
      <c r="D1811" s="1"/>
    </row>
    <row r="1812" spans="1:4">
      <c r="A1812" s="1"/>
      <c r="D1812" s="1"/>
    </row>
    <row r="1813" spans="1:4">
      <c r="A1813" s="1"/>
      <c r="D1813" s="1"/>
    </row>
    <row r="1814" spans="1:4">
      <c r="A1814" s="1"/>
      <c r="D1814" s="1"/>
    </row>
    <row r="1815" spans="1:4">
      <c r="A1815" s="1"/>
      <c r="D1815" s="1"/>
    </row>
    <row r="1816" spans="1:4">
      <c r="A1816" s="1"/>
      <c r="D1816" s="1"/>
    </row>
    <row r="1817" spans="1:4">
      <c r="A1817" s="1"/>
      <c r="D1817" s="1"/>
    </row>
    <row r="1818" spans="1:4">
      <c r="A1818" s="1"/>
      <c r="D1818" s="1"/>
    </row>
    <row r="1819" spans="1:4">
      <c r="A1819" s="1"/>
      <c r="D1819" s="1"/>
    </row>
    <row r="1820" spans="1:4">
      <c r="A1820" s="1"/>
      <c r="D1820" s="1"/>
    </row>
    <row r="1821" spans="1:4">
      <c r="A1821" s="1"/>
      <c r="D1821" s="1"/>
    </row>
    <row r="1822" spans="1:4">
      <c r="A1822" s="1"/>
      <c r="D1822" s="1"/>
    </row>
    <row r="1823" spans="1:4">
      <c r="A1823" s="1"/>
      <c r="D1823" s="1"/>
    </row>
    <row r="1824" spans="1:4">
      <c r="A1824" s="1"/>
      <c r="D1824" s="1"/>
    </row>
    <row r="1825" spans="1:4">
      <c r="A1825" s="1"/>
      <c r="D1825" s="1"/>
    </row>
    <row r="1826" spans="1:4">
      <c r="A1826" s="1"/>
      <c r="D1826" s="1"/>
    </row>
    <row r="1827" spans="1:4">
      <c r="A1827" s="1"/>
      <c r="D1827" s="1"/>
    </row>
    <row r="1828" spans="1:4">
      <c r="A1828" s="1"/>
      <c r="D1828" s="1"/>
    </row>
    <row r="1829" spans="1:4">
      <c r="A1829" s="1"/>
      <c r="D1829" s="1"/>
    </row>
    <row r="1830" spans="1:4">
      <c r="A1830" s="1"/>
      <c r="D1830" s="1"/>
    </row>
    <row r="1831" spans="1:4">
      <c r="A1831" s="1"/>
      <c r="D1831" s="1"/>
    </row>
    <row r="1832" spans="1:4">
      <c r="A1832" s="1"/>
      <c r="D1832" s="1"/>
    </row>
    <row r="1833" spans="1:4">
      <c r="A1833" s="1"/>
      <c r="D1833" s="1"/>
    </row>
    <row r="1834" spans="1:4">
      <c r="A1834" s="1"/>
      <c r="D1834" s="1"/>
    </row>
    <row r="1835" spans="1:4">
      <c r="A1835" s="1"/>
      <c r="D1835" s="1"/>
    </row>
    <row r="1836" spans="1:4">
      <c r="A1836" s="1"/>
      <c r="D1836" s="1"/>
    </row>
    <row r="1837" spans="1:4">
      <c r="A1837" s="1"/>
      <c r="D1837" s="1"/>
    </row>
    <row r="1838" spans="1:4">
      <c r="A1838" s="1"/>
      <c r="D1838" s="1"/>
    </row>
    <row r="1839" spans="1:4">
      <c r="A1839" s="1"/>
      <c r="D1839" s="1"/>
    </row>
    <row r="1840" spans="1:4">
      <c r="A1840" s="1"/>
      <c r="D1840" s="1"/>
    </row>
    <row r="1841" spans="1:4">
      <c r="A1841" s="1"/>
      <c r="D1841" s="1"/>
    </row>
    <row r="1842" spans="1:4">
      <c r="A1842" s="1"/>
      <c r="D1842" s="1"/>
    </row>
    <row r="1843" spans="1:4">
      <c r="A1843" s="1"/>
      <c r="D1843" s="1"/>
    </row>
    <row r="1844" spans="1:4">
      <c r="A1844" s="1"/>
      <c r="D1844" s="1"/>
    </row>
    <row r="1845" spans="1:4">
      <c r="A1845" s="1"/>
      <c r="D1845" s="1"/>
    </row>
    <row r="1846" spans="1:4">
      <c r="A1846" s="1"/>
      <c r="D1846" s="1"/>
    </row>
    <row r="1847" spans="1:4">
      <c r="A1847" s="1"/>
      <c r="D1847" s="1"/>
    </row>
    <row r="1848" spans="1:4">
      <c r="A1848" s="1"/>
      <c r="D1848" s="1"/>
    </row>
    <row r="1849" spans="1:4">
      <c r="A1849" s="1"/>
      <c r="D1849" s="1"/>
    </row>
    <row r="1850" spans="1:4">
      <c r="A1850" s="1"/>
      <c r="D1850" s="1"/>
    </row>
    <row r="1851" spans="1:4">
      <c r="A1851" s="1"/>
      <c r="D1851" s="1"/>
    </row>
    <row r="1852" spans="1:4">
      <c r="A1852" s="1"/>
      <c r="D1852" s="1"/>
    </row>
    <row r="1853" spans="1:4">
      <c r="A1853" s="1"/>
      <c r="D1853" s="1"/>
    </row>
    <row r="1854" spans="1:4">
      <c r="A1854" s="1"/>
      <c r="D1854" s="1"/>
    </row>
    <row r="1855" spans="1:4">
      <c r="A1855" s="1"/>
      <c r="D1855" s="1"/>
    </row>
    <row r="1856" spans="1:4">
      <c r="A1856" s="1"/>
      <c r="D1856" s="1"/>
    </row>
    <row r="1857" spans="1:4">
      <c r="A1857" s="1"/>
      <c r="D1857" s="1"/>
    </row>
    <row r="1858" spans="1:4">
      <c r="A1858" s="1"/>
      <c r="D1858" s="1"/>
    </row>
    <row r="1859" spans="1:4">
      <c r="A1859" s="1"/>
      <c r="D1859" s="1"/>
    </row>
    <row r="1860" spans="1:4">
      <c r="A1860" s="1"/>
      <c r="D1860" s="1"/>
    </row>
    <row r="1861" spans="1:4">
      <c r="A1861" s="1"/>
      <c r="D1861" s="1"/>
    </row>
    <row r="1862" spans="1:4">
      <c r="A1862" s="1"/>
      <c r="D1862" s="1"/>
    </row>
    <row r="1863" spans="1:4">
      <c r="A1863" s="1"/>
      <c r="D1863" s="1"/>
    </row>
    <row r="1864" spans="1:4">
      <c r="A1864" s="1"/>
      <c r="D1864" s="1"/>
    </row>
    <row r="1865" spans="1:4">
      <c r="A1865" s="1"/>
      <c r="D1865" s="1"/>
    </row>
    <row r="1866" spans="1:4">
      <c r="A1866" s="1"/>
      <c r="D1866" s="1"/>
    </row>
    <row r="1867" spans="1:4">
      <c r="A1867" s="1"/>
      <c r="D1867" s="1"/>
    </row>
    <row r="1868" spans="1:4">
      <c r="A1868" s="1"/>
      <c r="D1868" s="1"/>
    </row>
    <row r="1869" spans="1:4">
      <c r="A1869" s="1"/>
      <c r="D1869" s="1"/>
    </row>
    <row r="1870" spans="1:4">
      <c r="A1870" s="1"/>
      <c r="D1870" s="1"/>
    </row>
    <row r="1871" spans="1:4">
      <c r="A1871" s="1"/>
      <c r="D1871" s="1"/>
    </row>
    <row r="1872" spans="1:4">
      <c r="A1872" s="1"/>
      <c r="D1872" s="1"/>
    </row>
    <row r="1873" spans="1:4">
      <c r="A1873" s="1"/>
      <c r="D1873" s="1"/>
    </row>
    <row r="1874" spans="1:4">
      <c r="A1874" s="1"/>
      <c r="D1874" s="1"/>
    </row>
    <row r="1875" spans="1:4">
      <c r="A1875" s="1"/>
      <c r="D1875" s="1"/>
    </row>
    <row r="1876" spans="1:4">
      <c r="A1876" s="1"/>
      <c r="D1876" s="1"/>
    </row>
    <row r="1877" spans="1:4">
      <c r="A1877" s="1"/>
      <c r="D1877" s="1"/>
    </row>
    <row r="1878" spans="1:4">
      <c r="A1878" s="1"/>
      <c r="D1878" s="1"/>
    </row>
    <row r="1879" spans="1:4">
      <c r="A1879" s="1"/>
      <c r="D1879" s="1"/>
    </row>
    <row r="1880" spans="1:4">
      <c r="A1880" s="1"/>
      <c r="D1880" s="1"/>
    </row>
    <row r="1881" spans="1:4">
      <c r="A1881" s="1"/>
      <c r="D1881" s="1"/>
    </row>
    <row r="1882" spans="1:4">
      <c r="A1882" s="1"/>
      <c r="D1882" s="1"/>
    </row>
    <row r="1883" spans="1:4">
      <c r="A1883" s="1"/>
      <c r="D1883" s="1"/>
    </row>
    <row r="1884" spans="1:4">
      <c r="A1884" s="1"/>
      <c r="D1884" s="1"/>
    </row>
    <row r="1885" spans="1:4">
      <c r="A1885" s="1"/>
      <c r="D1885" s="1"/>
    </row>
    <row r="1886" spans="1:4">
      <c r="A1886" s="1"/>
      <c r="D1886" s="1"/>
    </row>
    <row r="1887" spans="1:4">
      <c r="A1887" s="1"/>
      <c r="D1887" s="1"/>
    </row>
    <row r="1888" spans="1:4">
      <c r="A1888" s="1"/>
      <c r="D1888" s="1"/>
    </row>
    <row r="1889" spans="1:4">
      <c r="A1889" s="1"/>
      <c r="D1889" s="1"/>
    </row>
    <row r="1890" spans="1:4">
      <c r="A1890" s="1"/>
      <c r="D1890" s="1"/>
    </row>
    <row r="1891" spans="1:4">
      <c r="A1891" s="1"/>
      <c r="D1891" s="1"/>
    </row>
    <row r="1892" spans="1:4">
      <c r="A1892" s="1"/>
      <c r="D1892" s="1"/>
    </row>
    <row r="1893" spans="1:4">
      <c r="A1893" s="1"/>
      <c r="D1893" s="1"/>
    </row>
    <row r="1894" spans="1:4">
      <c r="A1894" s="1"/>
      <c r="D1894" s="1"/>
    </row>
    <row r="1895" spans="1:4">
      <c r="A1895" s="1"/>
      <c r="D1895" s="1"/>
    </row>
    <row r="1896" spans="1:4">
      <c r="A1896" s="1"/>
      <c r="D1896" s="1"/>
    </row>
    <row r="1897" spans="1:4">
      <c r="A1897" s="1"/>
      <c r="D1897" s="1"/>
    </row>
    <row r="1898" spans="1:4">
      <c r="A1898" s="1"/>
      <c r="D1898" s="1"/>
    </row>
    <row r="1899" spans="1:4">
      <c r="A1899" s="1"/>
      <c r="D1899" s="1"/>
    </row>
    <row r="1900" spans="1:4">
      <c r="A1900" s="1"/>
      <c r="D1900" s="1"/>
    </row>
    <row r="1901" spans="1:4">
      <c r="A1901" s="1"/>
      <c r="D1901" s="1"/>
    </row>
    <row r="1902" spans="1:4">
      <c r="A1902" s="1"/>
      <c r="D1902" s="1"/>
    </row>
    <row r="1903" spans="1:4">
      <c r="A1903" s="1"/>
      <c r="D1903" s="1"/>
    </row>
    <row r="1904" spans="1:4">
      <c r="A1904" s="1"/>
      <c r="D1904" s="1"/>
    </row>
    <row r="1905" spans="1:4">
      <c r="A1905" s="1"/>
      <c r="D1905" s="1"/>
    </row>
    <row r="1906" spans="1:4">
      <c r="A1906" s="1"/>
      <c r="D1906" s="1"/>
    </row>
    <row r="1907" spans="1:4">
      <c r="A1907" s="1"/>
      <c r="D1907" s="1"/>
    </row>
    <row r="1908" spans="1:4">
      <c r="A1908" s="1"/>
      <c r="D1908" s="1"/>
    </row>
    <row r="1909" spans="1:4">
      <c r="A1909" s="1"/>
      <c r="D1909" s="1"/>
    </row>
    <row r="1910" spans="1:4">
      <c r="A1910" s="1"/>
      <c r="D1910" s="1"/>
    </row>
    <row r="1911" spans="1:4">
      <c r="A1911" s="1"/>
      <c r="D1911" s="1"/>
    </row>
    <row r="1912" spans="1:4">
      <c r="A1912" s="1"/>
      <c r="D1912" s="1"/>
    </row>
    <row r="1913" spans="1:4">
      <c r="A1913" s="1"/>
      <c r="D1913" s="1"/>
    </row>
    <row r="1914" spans="1:4">
      <c r="A1914" s="1"/>
      <c r="D1914" s="1"/>
    </row>
    <row r="1915" spans="1:4">
      <c r="A1915" s="1"/>
      <c r="D1915" s="1"/>
    </row>
    <row r="1916" spans="1:4">
      <c r="A1916" s="1"/>
      <c r="D1916" s="1"/>
    </row>
    <row r="1917" spans="1:4">
      <c r="A1917" s="1"/>
      <c r="D1917" s="1"/>
    </row>
    <row r="1918" spans="1:4">
      <c r="A1918" s="1"/>
      <c r="D1918" s="1"/>
    </row>
    <row r="1919" spans="1:4">
      <c r="A1919" s="1"/>
      <c r="D1919" s="1"/>
    </row>
    <row r="1920" spans="1:4">
      <c r="A1920" s="1"/>
      <c r="D1920" s="1"/>
    </row>
    <row r="1921" spans="1:4">
      <c r="A1921" s="1"/>
      <c r="D1921" s="1"/>
    </row>
    <row r="1922" spans="1:4">
      <c r="A1922" s="1"/>
      <c r="D1922" s="1"/>
    </row>
    <row r="1923" spans="1:4">
      <c r="A1923" s="1"/>
      <c r="D1923" s="1"/>
    </row>
    <row r="1924" spans="1:4">
      <c r="A1924" s="1"/>
      <c r="D1924" s="1"/>
    </row>
    <row r="1925" spans="1:4">
      <c r="A1925" s="1"/>
      <c r="D1925" s="1"/>
    </row>
    <row r="1926" spans="1:4">
      <c r="A1926" s="1"/>
      <c r="D1926" s="1"/>
    </row>
    <row r="1927" spans="1:4">
      <c r="A1927" s="1"/>
      <c r="D1927" s="1"/>
    </row>
    <row r="1928" spans="1:4">
      <c r="A1928" s="1"/>
      <c r="D1928" s="1"/>
    </row>
    <row r="1929" spans="1:4">
      <c r="A1929" s="1"/>
      <c r="D1929" s="1"/>
    </row>
    <row r="1930" spans="1:4">
      <c r="A1930" s="1"/>
      <c r="D1930" s="1"/>
    </row>
    <row r="1931" spans="1:4">
      <c r="A1931" s="1"/>
      <c r="D1931" s="1"/>
    </row>
    <row r="1932" spans="1:4">
      <c r="A1932" s="1"/>
      <c r="D1932" s="1"/>
    </row>
    <row r="1933" spans="1:4">
      <c r="A1933" s="1"/>
      <c r="D1933" s="1"/>
    </row>
    <row r="1934" spans="1:4">
      <c r="A1934" s="1"/>
      <c r="D1934" s="1"/>
    </row>
    <row r="1935" spans="1:4">
      <c r="A1935" s="1"/>
      <c r="D1935" s="1"/>
    </row>
    <row r="1936" spans="1:4">
      <c r="A1936" s="1"/>
      <c r="D1936" s="1"/>
    </row>
    <row r="1937" spans="1:4">
      <c r="A1937" s="1"/>
      <c r="D1937" s="1"/>
    </row>
    <row r="1938" spans="1:4">
      <c r="A1938" s="1"/>
      <c r="D1938" s="1"/>
    </row>
    <row r="1939" spans="1:4">
      <c r="A1939" s="1"/>
      <c r="D1939" s="1"/>
    </row>
    <row r="1940" spans="1:4">
      <c r="A1940" s="1"/>
      <c r="D1940" s="1"/>
    </row>
    <row r="1941" spans="1:4">
      <c r="A1941" s="1"/>
      <c r="D1941" s="1"/>
    </row>
    <row r="1942" spans="1:4">
      <c r="A1942" s="1"/>
      <c r="D1942" s="1"/>
    </row>
    <row r="1943" spans="1:4">
      <c r="A1943" s="1"/>
      <c r="D1943" s="1"/>
    </row>
    <row r="1944" spans="1:4">
      <c r="A1944" s="1"/>
      <c r="D1944" s="1"/>
    </row>
    <row r="1945" spans="1:4">
      <c r="A1945" s="1"/>
      <c r="D1945" s="1"/>
    </row>
    <row r="1946" spans="1:4">
      <c r="A1946" s="1"/>
      <c r="D1946" s="1"/>
    </row>
    <row r="1947" spans="1:4">
      <c r="A1947" s="1"/>
      <c r="D1947" s="1"/>
    </row>
    <row r="1948" spans="1:4">
      <c r="A1948" s="1"/>
      <c r="D1948" s="1"/>
    </row>
    <row r="1949" spans="1:4">
      <c r="A1949" s="1"/>
      <c r="D1949" s="1"/>
    </row>
    <row r="1950" spans="1:4">
      <c r="A1950" s="1"/>
      <c r="D1950" s="1"/>
    </row>
    <row r="1951" spans="1:4">
      <c r="A1951" s="1"/>
      <c r="D1951" s="1"/>
    </row>
    <row r="1952" spans="1:4">
      <c r="A1952" s="1"/>
      <c r="D1952" s="1"/>
    </row>
    <row r="1953" spans="1:4">
      <c r="A1953" s="1"/>
      <c r="D1953" s="1"/>
    </row>
    <row r="1954" spans="1:4">
      <c r="A1954" s="1"/>
      <c r="D1954" s="1"/>
    </row>
    <row r="1955" spans="1:4">
      <c r="A1955" s="1"/>
      <c r="D1955" s="1"/>
    </row>
    <row r="1956" spans="1:4">
      <c r="A1956" s="1"/>
      <c r="D1956" s="1"/>
    </row>
    <row r="1957" spans="1:4">
      <c r="A1957" s="1"/>
      <c r="D1957" s="1"/>
    </row>
    <row r="1958" spans="1:4">
      <c r="A1958" s="1"/>
      <c r="D1958" s="1"/>
    </row>
    <row r="1959" spans="1:4">
      <c r="A1959" s="1"/>
      <c r="D1959" s="1"/>
    </row>
    <row r="1960" spans="1:4">
      <c r="A1960" s="1"/>
      <c r="D1960" s="1"/>
    </row>
    <row r="1961" spans="1:4">
      <c r="A1961" s="1"/>
      <c r="D1961" s="1"/>
    </row>
    <row r="1962" spans="1:4">
      <c r="A1962" s="1"/>
      <c r="D1962" s="1"/>
    </row>
    <row r="1963" spans="1:4">
      <c r="A1963" s="1"/>
      <c r="D1963" s="1"/>
    </row>
    <row r="1964" spans="1:4">
      <c r="A1964" s="1"/>
      <c r="D1964" s="1"/>
    </row>
    <row r="1965" spans="1:4">
      <c r="A1965" s="1"/>
      <c r="D1965" s="1"/>
    </row>
    <row r="1966" spans="1:4">
      <c r="A1966" s="1"/>
      <c r="D1966" s="1"/>
    </row>
    <row r="1967" spans="1:4">
      <c r="A1967" s="1"/>
      <c r="D1967" s="1"/>
    </row>
    <row r="1968" spans="1:4">
      <c r="A1968" s="1"/>
      <c r="D1968" s="1"/>
    </row>
    <row r="1969" spans="1:4">
      <c r="A1969" s="1"/>
      <c r="D1969" s="1"/>
    </row>
    <row r="1970" spans="1:4">
      <c r="A1970" s="1"/>
      <c r="D1970" s="1"/>
    </row>
    <row r="1971" spans="1:4">
      <c r="A1971" s="1"/>
      <c r="D1971" s="1"/>
    </row>
    <row r="1972" spans="1:4">
      <c r="A1972" s="1"/>
      <c r="D1972" s="1"/>
    </row>
    <row r="1973" spans="1:4">
      <c r="A1973" s="1"/>
      <c r="D1973" s="1"/>
    </row>
    <row r="1974" spans="1:4">
      <c r="A1974" s="1"/>
      <c r="D1974" s="1"/>
    </row>
    <row r="1975" spans="1:4">
      <c r="A1975" s="1"/>
      <c r="D1975" s="1"/>
    </row>
    <row r="1976" spans="1:4">
      <c r="A1976" s="1"/>
      <c r="D1976" s="1"/>
    </row>
    <row r="1977" spans="1:4">
      <c r="A1977" s="1"/>
      <c r="D1977" s="1"/>
    </row>
    <row r="1978" spans="1:4">
      <c r="A1978" s="1"/>
      <c r="D1978" s="1"/>
    </row>
    <row r="1979" spans="1:4">
      <c r="A1979" s="1"/>
      <c r="D1979" s="1"/>
    </row>
    <row r="1980" spans="1:4">
      <c r="A1980" s="1"/>
      <c r="D1980" s="1"/>
    </row>
    <row r="1981" spans="1:4">
      <c r="A1981" s="1"/>
      <c r="D1981" s="1"/>
    </row>
    <row r="1982" spans="1:4">
      <c r="A1982" s="1"/>
      <c r="D1982" s="1"/>
    </row>
    <row r="1983" spans="1:4">
      <c r="A1983" s="1"/>
      <c r="D1983" s="1"/>
    </row>
    <row r="1984" spans="1:4">
      <c r="A1984" s="1"/>
      <c r="D1984" s="1"/>
    </row>
    <row r="1985" spans="1:4">
      <c r="A1985" s="1"/>
      <c r="D1985" s="1"/>
    </row>
    <row r="1986" spans="1:4">
      <c r="A1986" s="1"/>
      <c r="D1986" s="1"/>
    </row>
    <row r="1987" spans="1:4">
      <c r="A1987" s="1"/>
      <c r="D1987" s="1"/>
    </row>
    <row r="1988" spans="1:4">
      <c r="A1988" s="1"/>
      <c r="D1988" s="1"/>
    </row>
    <row r="1989" spans="1:4">
      <c r="A1989" s="1"/>
      <c r="D1989" s="1"/>
    </row>
    <row r="1990" spans="1:4">
      <c r="A1990" s="1"/>
      <c r="D1990" s="1"/>
    </row>
    <row r="1991" spans="1:4">
      <c r="A1991" s="1"/>
      <c r="D1991" s="1"/>
    </row>
    <row r="1992" spans="1:4">
      <c r="A1992" s="1"/>
      <c r="D1992" s="1"/>
    </row>
    <row r="1993" spans="1:4">
      <c r="A1993" s="1"/>
      <c r="D1993" s="1"/>
    </row>
    <row r="1994" spans="1:4">
      <c r="A1994" s="1"/>
      <c r="D1994" s="1"/>
    </row>
    <row r="1995" spans="1:4">
      <c r="A1995" s="1"/>
      <c r="D1995" s="1"/>
    </row>
    <row r="1996" spans="1:4">
      <c r="A1996" s="1"/>
      <c r="D1996" s="1"/>
    </row>
    <row r="1997" spans="1:4">
      <c r="A1997" s="1"/>
      <c r="D1997" s="1"/>
    </row>
    <row r="1998" spans="1:4">
      <c r="A1998" s="1"/>
      <c r="D1998" s="1"/>
    </row>
    <row r="1999" spans="1:4">
      <c r="A1999" s="1"/>
      <c r="D1999" s="1"/>
    </row>
    <row r="2000" spans="1:4">
      <c r="A2000" s="1"/>
      <c r="D2000" s="1"/>
    </row>
    <row r="2001" spans="1:4">
      <c r="A2001" s="1"/>
      <c r="D2001" s="1"/>
    </row>
    <row r="2002" spans="1:4">
      <c r="A2002" s="1"/>
      <c r="D2002" s="1"/>
    </row>
    <row r="2003" spans="1:4">
      <c r="A2003" s="1"/>
      <c r="D2003" s="1"/>
    </row>
    <row r="2004" spans="1:4">
      <c r="A2004" s="1"/>
      <c r="D2004" s="1"/>
    </row>
    <row r="2005" spans="1:4">
      <c r="A2005" s="1"/>
      <c r="D2005" s="1"/>
    </row>
    <row r="2006" spans="1:4">
      <c r="A2006" s="1"/>
      <c r="D2006" s="1"/>
    </row>
    <row r="2007" spans="1:4">
      <c r="A2007" s="1"/>
      <c r="D2007" s="1"/>
    </row>
    <row r="2008" spans="1:4">
      <c r="A2008" s="1"/>
      <c r="D2008" s="1"/>
    </row>
    <row r="2009" spans="1:4">
      <c r="A2009" s="1"/>
      <c r="D2009" s="1"/>
    </row>
    <row r="2010" spans="1:4">
      <c r="A2010" s="1"/>
      <c r="D2010" s="1"/>
    </row>
    <row r="2011" spans="1:4">
      <c r="A2011" s="1"/>
      <c r="D2011" s="1"/>
    </row>
    <row r="2012" spans="1:4">
      <c r="A2012" s="1"/>
      <c r="D2012" s="1"/>
    </row>
    <row r="2013" spans="1:4">
      <c r="A2013" s="1"/>
      <c r="D2013" s="1"/>
    </row>
    <row r="2014" spans="1:4">
      <c r="A2014" s="1"/>
      <c r="D2014" s="1"/>
    </row>
    <row r="2015" spans="1:4">
      <c r="A2015" s="1"/>
      <c r="D2015" s="1"/>
    </row>
    <row r="2016" spans="1:4">
      <c r="A2016" s="1"/>
      <c r="D2016" s="1"/>
    </row>
    <row r="2017" spans="1:4">
      <c r="A2017" s="1"/>
      <c r="D2017" s="1"/>
    </row>
    <row r="2018" spans="1:4">
      <c r="A2018" s="1"/>
      <c r="D2018" s="1"/>
    </row>
    <row r="2019" spans="1:4">
      <c r="A2019" s="1"/>
      <c r="D2019" s="1"/>
    </row>
    <row r="2020" spans="1:4">
      <c r="A2020" s="1"/>
      <c r="D2020" s="1"/>
    </row>
    <row r="2021" spans="1:4">
      <c r="A2021" s="1"/>
      <c r="D2021" s="1"/>
    </row>
    <row r="2022" spans="1:4">
      <c r="A2022" s="1"/>
      <c r="D2022" s="1"/>
    </row>
    <row r="2023" spans="1:4">
      <c r="A2023" s="1"/>
      <c r="D2023" s="1"/>
    </row>
    <row r="2024" spans="1:4">
      <c r="A2024" s="1"/>
      <c r="D2024" s="1"/>
    </row>
    <row r="2025" spans="1:4">
      <c r="A2025" s="1"/>
      <c r="D2025" s="1"/>
    </row>
    <row r="2026" spans="1:4">
      <c r="A2026" s="1"/>
      <c r="D2026" s="1"/>
    </row>
    <row r="2027" spans="1:4">
      <c r="A2027" s="1"/>
      <c r="D2027" s="1"/>
    </row>
    <row r="2028" spans="1:4">
      <c r="A2028" s="1"/>
      <c r="D2028" s="1"/>
    </row>
    <row r="2029" spans="1:4">
      <c r="A2029" s="1"/>
      <c r="D2029" s="1"/>
    </row>
    <row r="2030" spans="1:4">
      <c r="A2030" s="1"/>
      <c r="D2030" s="1"/>
    </row>
    <row r="2031" spans="1:4">
      <c r="A2031" s="1"/>
      <c r="D2031" s="1"/>
    </row>
    <row r="2032" spans="1:4">
      <c r="A2032" s="1"/>
      <c r="D2032" s="1"/>
    </row>
    <row r="2033" spans="1:4">
      <c r="A2033" s="1"/>
      <c r="D2033" s="1"/>
    </row>
    <row r="2034" spans="1:4">
      <c r="A2034" s="1"/>
      <c r="D2034" s="1"/>
    </row>
    <row r="2035" spans="1:4">
      <c r="A2035" s="1"/>
      <c r="D2035" s="1"/>
    </row>
    <row r="2036" spans="1:4">
      <c r="A2036" s="1"/>
      <c r="D2036" s="1"/>
    </row>
    <row r="2037" spans="1:4">
      <c r="A2037" s="1"/>
      <c r="D2037" s="1"/>
    </row>
    <row r="2038" spans="1:4">
      <c r="A2038" s="1"/>
      <c r="D2038" s="1"/>
    </row>
    <row r="2039" spans="1:4">
      <c r="A2039" s="1"/>
      <c r="D2039" s="1"/>
    </row>
    <row r="2040" spans="1:4">
      <c r="A2040" s="1"/>
      <c r="D2040" s="1"/>
    </row>
    <row r="2041" spans="1:4">
      <c r="A2041" s="1"/>
      <c r="D2041" s="1"/>
    </row>
    <row r="2042" spans="1:4">
      <c r="A2042" s="1"/>
      <c r="D2042" s="1"/>
    </row>
    <row r="2043" spans="1:4">
      <c r="A2043" s="1"/>
      <c r="D2043" s="1"/>
    </row>
    <row r="2044" spans="1:4">
      <c r="A2044" s="1"/>
      <c r="D2044" s="1"/>
    </row>
    <row r="2045" spans="1:4">
      <c r="A2045" s="1"/>
      <c r="D2045" s="1"/>
    </row>
    <row r="2046" spans="1:4">
      <c r="A2046" s="1"/>
      <c r="D2046" s="1"/>
    </row>
    <row r="2047" spans="1:4">
      <c r="A2047" s="1"/>
      <c r="D2047" s="1"/>
    </row>
    <row r="2048" spans="1:4">
      <c r="A2048" s="1"/>
      <c r="D2048" s="1"/>
    </row>
    <row r="2049" spans="1:4">
      <c r="A2049" s="1"/>
      <c r="D2049" s="1"/>
    </row>
    <row r="2050" spans="1:4">
      <c r="A2050" s="1"/>
      <c r="D2050" s="1"/>
    </row>
    <row r="2051" spans="1:4">
      <c r="A2051" s="1"/>
      <c r="D2051" s="1"/>
    </row>
    <row r="2052" spans="1:4">
      <c r="A2052" s="1"/>
      <c r="D2052" s="1"/>
    </row>
    <row r="2053" spans="1:4">
      <c r="A2053" s="1"/>
      <c r="D2053" s="1"/>
    </row>
    <row r="2054" spans="1:4">
      <c r="A2054" s="1"/>
      <c r="D2054" s="1"/>
    </row>
    <row r="2055" spans="1:4">
      <c r="A2055" s="1"/>
      <c r="D2055" s="1"/>
    </row>
    <row r="2056" spans="1:4">
      <c r="A2056" s="1"/>
      <c r="D2056" s="1"/>
    </row>
    <row r="2057" spans="1:4">
      <c r="A2057" s="1"/>
      <c r="D2057" s="1"/>
    </row>
    <row r="2058" spans="1:4">
      <c r="A2058" s="1"/>
      <c r="D2058" s="1"/>
    </row>
    <row r="2059" spans="1:4">
      <c r="A2059" s="1"/>
      <c r="D2059" s="1"/>
    </row>
    <row r="2060" spans="1:4">
      <c r="A2060" s="1"/>
      <c r="D2060" s="1"/>
    </row>
    <row r="2061" spans="1:4">
      <c r="A2061" s="1"/>
      <c r="D2061" s="1"/>
    </row>
    <row r="2062" spans="1:4">
      <c r="A2062" s="1"/>
      <c r="D2062" s="1"/>
    </row>
    <row r="2063" spans="1:4">
      <c r="A2063" s="1"/>
      <c r="D2063" s="1"/>
    </row>
    <row r="2064" spans="1:4">
      <c r="A2064" s="1"/>
      <c r="D2064" s="1"/>
    </row>
    <row r="2065" spans="1:4">
      <c r="A2065" s="1"/>
      <c r="D2065" s="1"/>
    </row>
    <row r="2066" spans="1:4">
      <c r="A2066" s="1"/>
      <c r="D2066" s="1"/>
    </row>
    <row r="2067" spans="1:4">
      <c r="A2067" s="1"/>
      <c r="D2067" s="1"/>
    </row>
    <row r="2068" spans="1:4">
      <c r="A2068" s="1"/>
      <c r="D2068" s="1"/>
    </row>
    <row r="2069" spans="1:4">
      <c r="A2069" s="1"/>
      <c r="D2069" s="1"/>
    </row>
    <row r="2070" spans="1:4">
      <c r="A2070" s="1"/>
      <c r="D2070" s="1"/>
    </row>
    <row r="2071" spans="1:4">
      <c r="A2071" s="1"/>
      <c r="D2071" s="1"/>
    </row>
    <row r="2072" spans="1:4">
      <c r="A2072" s="1"/>
      <c r="D2072" s="1"/>
    </row>
    <row r="2073" spans="1:4">
      <c r="A2073" s="1"/>
      <c r="D2073" s="1"/>
    </row>
    <row r="2074" spans="1:4">
      <c r="A2074" s="1"/>
      <c r="D2074" s="1"/>
    </row>
    <row r="2075" spans="1:4">
      <c r="A2075" s="1"/>
      <c r="D2075" s="1"/>
    </row>
    <row r="2076" spans="1:4">
      <c r="A2076" s="1"/>
      <c r="D2076" s="1"/>
    </row>
    <row r="2077" spans="1:4">
      <c r="A2077" s="1"/>
      <c r="D2077" s="1"/>
    </row>
    <row r="2078" spans="1:4">
      <c r="A2078" s="1"/>
      <c r="D2078" s="1"/>
    </row>
    <row r="2079" spans="1:4">
      <c r="A2079" s="1"/>
      <c r="D2079" s="1"/>
    </row>
    <row r="2080" spans="1:4">
      <c r="A2080" s="1"/>
      <c r="D2080" s="1"/>
    </row>
    <row r="2081" spans="1:4">
      <c r="A2081" s="1"/>
      <c r="D2081" s="1"/>
    </row>
    <row r="2082" spans="1:4">
      <c r="A2082" s="1"/>
      <c r="D2082" s="1"/>
    </row>
    <row r="2083" spans="1:4">
      <c r="A2083" s="1"/>
      <c r="D2083" s="1"/>
    </row>
    <row r="2084" spans="1:4">
      <c r="A2084" s="1"/>
      <c r="D2084" s="1"/>
    </row>
    <row r="2085" spans="1:4">
      <c r="A2085" s="1"/>
      <c r="D2085" s="1"/>
    </row>
    <row r="2086" spans="1:4">
      <c r="A2086" s="1"/>
      <c r="D2086" s="1"/>
    </row>
    <row r="2087" spans="1:4">
      <c r="A2087" s="1"/>
      <c r="D2087" s="1"/>
    </row>
    <row r="2088" spans="1:4">
      <c r="A2088" s="1"/>
      <c r="D2088" s="1"/>
    </row>
    <row r="2089" spans="1:4">
      <c r="A2089" s="1"/>
      <c r="D2089" s="1"/>
    </row>
    <row r="2090" spans="1:4">
      <c r="A2090" s="1"/>
      <c r="D2090" s="1"/>
    </row>
    <row r="2091" spans="1:4">
      <c r="A2091" s="1"/>
      <c r="D2091" s="1"/>
    </row>
    <row r="2092" spans="1:4">
      <c r="A2092" s="1"/>
      <c r="D2092" s="1"/>
    </row>
    <row r="2093" spans="1:4">
      <c r="A2093" s="1"/>
      <c r="D2093" s="1"/>
    </row>
    <row r="2094" spans="1:4">
      <c r="A2094" s="1"/>
      <c r="D2094" s="1"/>
    </row>
    <row r="2095" spans="1:4">
      <c r="A2095" s="1"/>
      <c r="D2095" s="1"/>
    </row>
    <row r="2096" spans="1:4">
      <c r="A2096" s="1"/>
      <c r="D2096" s="1"/>
    </row>
    <row r="2097" spans="1:4">
      <c r="A2097" s="1"/>
      <c r="D2097" s="1"/>
    </row>
    <row r="2098" spans="1:4">
      <c r="A2098" s="1"/>
      <c r="D2098" s="1"/>
    </row>
    <row r="2099" spans="1:4">
      <c r="A2099" s="1"/>
      <c r="D2099" s="1"/>
    </row>
    <row r="2100" spans="1:4">
      <c r="A2100" s="1"/>
      <c r="D2100" s="1"/>
    </row>
    <row r="2101" spans="1:4">
      <c r="A2101" s="1"/>
      <c r="D2101" s="1"/>
    </row>
    <row r="2102" spans="1:4">
      <c r="A2102" s="1"/>
      <c r="D2102" s="1"/>
    </row>
    <row r="2103" spans="1:4">
      <c r="A2103" s="1"/>
      <c r="D2103" s="1"/>
    </row>
    <row r="2104" spans="1:4">
      <c r="A2104" s="1"/>
      <c r="D2104" s="1"/>
    </row>
    <row r="2105" spans="1:4">
      <c r="A2105" s="1"/>
      <c r="D2105" s="1"/>
    </row>
    <row r="2106" spans="1:4">
      <c r="A2106" s="1"/>
      <c r="D2106" s="1"/>
    </row>
    <row r="2107" spans="1:4">
      <c r="A2107" s="1"/>
      <c r="D2107" s="1"/>
    </row>
    <row r="2108" spans="1:4">
      <c r="A2108" s="1"/>
      <c r="D2108" s="1"/>
    </row>
    <row r="2109" spans="1:4">
      <c r="A2109" s="1"/>
      <c r="D2109" s="1"/>
    </row>
    <row r="2110" spans="1:4">
      <c r="A2110" s="1"/>
      <c r="D2110" s="1"/>
    </row>
    <row r="2111" spans="1:4">
      <c r="A2111" s="1"/>
      <c r="D2111" s="1"/>
    </row>
    <row r="2112" spans="1:4">
      <c r="A2112" s="1"/>
      <c r="D2112" s="1"/>
    </row>
    <row r="2113" spans="1:4">
      <c r="A2113" s="1"/>
      <c r="D2113" s="1"/>
    </row>
    <row r="2114" spans="1:4">
      <c r="A2114" s="1"/>
      <c r="D2114" s="1"/>
    </row>
    <row r="2115" spans="1:4">
      <c r="A2115" s="1"/>
      <c r="D2115" s="1"/>
    </row>
    <row r="2116" spans="1:4">
      <c r="A2116" s="1"/>
      <c r="D2116" s="1"/>
    </row>
    <row r="2117" spans="1:4">
      <c r="A2117" s="1"/>
      <c r="D2117" s="1"/>
    </row>
    <row r="2118" spans="1:4">
      <c r="A2118" s="1"/>
      <c r="D2118" s="1"/>
    </row>
    <row r="2119" spans="1:4">
      <c r="A2119" s="1"/>
      <c r="D2119" s="1"/>
    </row>
    <row r="2120" spans="1:4">
      <c r="A2120" s="1"/>
      <c r="D2120" s="1"/>
    </row>
    <row r="2121" spans="1:4">
      <c r="A2121" s="1"/>
      <c r="D2121" s="1"/>
    </row>
    <row r="2122" spans="1:4">
      <c r="A2122" s="1"/>
      <c r="D2122" s="1"/>
    </row>
    <row r="2123" spans="1:4">
      <c r="A2123" s="1"/>
      <c r="D2123" s="1"/>
    </row>
    <row r="2124" spans="1:4">
      <c r="A2124" s="1"/>
      <c r="D2124" s="1"/>
    </row>
    <row r="2125" spans="1:4">
      <c r="A2125" s="1"/>
      <c r="D2125" s="1"/>
    </row>
    <row r="2126" spans="1:4">
      <c r="A2126" s="1"/>
      <c r="D2126" s="1"/>
    </row>
    <row r="2127" spans="1:4">
      <c r="A2127" s="1"/>
      <c r="D2127" s="1"/>
    </row>
    <row r="2128" spans="1:4">
      <c r="A2128" s="1"/>
      <c r="D2128" s="1"/>
    </row>
    <row r="2129" spans="1:4">
      <c r="A2129" s="1"/>
      <c r="D2129" s="1"/>
    </row>
    <row r="2130" spans="1:4">
      <c r="A2130" s="1"/>
      <c r="D2130" s="1"/>
    </row>
    <row r="2131" spans="1:4">
      <c r="A2131" s="1"/>
      <c r="D2131" s="1"/>
    </row>
    <row r="2132" spans="1:4">
      <c r="A2132" s="1"/>
      <c r="D2132" s="1"/>
    </row>
    <row r="2133" spans="1:4">
      <c r="A2133" s="1"/>
      <c r="D2133" s="1"/>
    </row>
    <row r="2134" spans="1:4">
      <c r="A2134" s="1"/>
      <c r="D2134" s="1"/>
    </row>
    <row r="2135" spans="1:4">
      <c r="A2135" s="1"/>
      <c r="D2135" s="1"/>
    </row>
    <row r="2136" spans="1:4">
      <c r="A2136" s="1"/>
      <c r="D2136" s="1"/>
    </row>
    <row r="2137" spans="1:4">
      <c r="A2137" s="1"/>
      <c r="D2137" s="1"/>
    </row>
    <row r="2138" spans="1:4">
      <c r="A2138" s="1"/>
      <c r="D2138" s="1"/>
    </row>
    <row r="2139" spans="1:4">
      <c r="A2139" s="1"/>
      <c r="D2139" s="1"/>
    </row>
    <row r="2140" spans="1:4">
      <c r="A2140" s="1"/>
      <c r="D2140" s="1"/>
    </row>
    <row r="2141" spans="1:4">
      <c r="A2141" s="1"/>
      <c r="D2141" s="1"/>
    </row>
    <row r="2142" spans="1:4">
      <c r="A2142" s="1"/>
      <c r="D2142" s="1"/>
    </row>
    <row r="2143" spans="1:4">
      <c r="A2143" s="1"/>
      <c r="D2143" s="1"/>
    </row>
    <row r="2144" spans="1:4">
      <c r="A2144" s="1"/>
      <c r="D2144" s="1"/>
    </row>
    <row r="2145" spans="1:4">
      <c r="A2145" s="1"/>
      <c r="D2145" s="1"/>
    </row>
    <row r="2146" spans="1:4">
      <c r="A2146" s="1"/>
      <c r="D2146" s="1"/>
    </row>
    <row r="2147" spans="1:4">
      <c r="A2147" s="1"/>
      <c r="D2147" s="1"/>
    </row>
    <row r="2148" spans="1:4">
      <c r="A2148" s="1"/>
      <c r="D2148" s="1"/>
    </row>
    <row r="2149" spans="1:4">
      <c r="A2149" s="1"/>
      <c r="D2149" s="1"/>
    </row>
    <row r="2150" spans="1:4">
      <c r="A2150" s="1"/>
      <c r="D2150" s="1"/>
    </row>
    <row r="2151" spans="1:4">
      <c r="A2151" s="1"/>
      <c r="D2151" s="1"/>
    </row>
    <row r="2152" spans="1:4">
      <c r="A2152" s="1"/>
      <c r="D2152" s="1"/>
    </row>
    <row r="2153" spans="1:4">
      <c r="A2153" s="1"/>
      <c r="D2153" s="1"/>
    </row>
    <row r="2154" spans="1:4">
      <c r="A2154" s="1"/>
      <c r="D2154" s="1"/>
    </row>
    <row r="2155" spans="1:4">
      <c r="A2155" s="1"/>
      <c r="D2155" s="1"/>
    </row>
    <row r="2156" spans="1:4">
      <c r="A2156" s="1"/>
      <c r="D2156" s="1"/>
    </row>
    <row r="2157" spans="1:4">
      <c r="A2157" s="1"/>
      <c r="D2157" s="1"/>
    </row>
    <row r="2158" spans="1:4">
      <c r="A2158" s="1"/>
      <c r="D2158" s="1"/>
    </row>
    <row r="2159" spans="1:4">
      <c r="A2159" s="1"/>
      <c r="D2159" s="1"/>
    </row>
    <row r="2160" spans="1:4">
      <c r="A2160" s="1"/>
      <c r="D2160" s="1"/>
    </row>
    <row r="2161" spans="1:4">
      <c r="A2161" s="1"/>
      <c r="D2161" s="1"/>
    </row>
    <row r="2162" spans="1:4">
      <c r="A2162" s="1"/>
      <c r="D2162" s="1"/>
    </row>
    <row r="2163" spans="1:4">
      <c r="A2163" s="1"/>
      <c r="D2163" s="1"/>
    </row>
    <row r="2164" spans="1:4">
      <c r="A2164" s="1"/>
      <c r="D2164" s="1"/>
    </row>
    <row r="2165" spans="1:4">
      <c r="A2165" s="1"/>
      <c r="D2165" s="1"/>
    </row>
    <row r="2166" spans="1:4">
      <c r="A2166" s="1"/>
      <c r="D2166" s="1"/>
    </row>
    <row r="2167" spans="1:4">
      <c r="A2167" s="1"/>
      <c r="D2167" s="1"/>
    </row>
    <row r="2168" spans="1:4">
      <c r="A2168" s="1"/>
      <c r="D2168" s="1"/>
    </row>
    <row r="2169" spans="1:4">
      <c r="A2169" s="1"/>
      <c r="D2169" s="1"/>
    </row>
    <row r="2170" spans="1:4">
      <c r="A2170" s="1"/>
      <c r="D2170" s="1"/>
    </row>
    <row r="2171" spans="1:4">
      <c r="A2171" s="1"/>
      <c r="D2171" s="1"/>
    </row>
    <row r="2172" spans="1:4">
      <c r="A2172" s="1"/>
      <c r="D2172" s="1"/>
    </row>
    <row r="2173" spans="1:4">
      <c r="A2173" s="1"/>
      <c r="D2173" s="1"/>
    </row>
    <row r="2174" spans="1:4">
      <c r="A2174" s="1"/>
      <c r="D2174" s="1"/>
    </row>
    <row r="2175" spans="1:4">
      <c r="A2175" s="1"/>
      <c r="D2175" s="1"/>
    </row>
    <row r="2176" spans="1:4">
      <c r="A2176" s="1"/>
      <c r="D2176" s="1"/>
    </row>
    <row r="2177" spans="1:4">
      <c r="A2177" s="1"/>
      <c r="D2177" s="1"/>
    </row>
    <row r="2178" spans="1:4">
      <c r="A2178" s="1"/>
      <c r="D2178" s="1"/>
    </row>
    <row r="2179" spans="1:4">
      <c r="A2179" s="1"/>
      <c r="D2179" s="1"/>
    </row>
    <row r="2180" spans="1:4">
      <c r="A2180" s="1"/>
      <c r="D2180" s="1"/>
    </row>
    <row r="2181" spans="1:4">
      <c r="A2181" s="1"/>
      <c r="D2181" s="1"/>
    </row>
    <row r="2182" spans="1:4">
      <c r="A2182" s="1"/>
      <c r="D2182" s="1"/>
    </row>
    <row r="2183" spans="1:4">
      <c r="A2183" s="1"/>
      <c r="D2183" s="1"/>
    </row>
    <row r="2184" spans="1:4">
      <c r="A2184" s="1"/>
      <c r="D2184" s="1"/>
    </row>
    <row r="2185" spans="1:4">
      <c r="A2185" s="1"/>
      <c r="D2185" s="1"/>
    </row>
    <row r="2186" spans="1:4">
      <c r="A2186" s="1"/>
      <c r="D2186" s="1"/>
    </row>
    <row r="2187" spans="1:4">
      <c r="A2187" s="1"/>
      <c r="D2187" s="1"/>
    </row>
    <row r="2188" spans="1:4">
      <c r="A2188" s="1"/>
      <c r="D2188" s="1"/>
    </row>
    <row r="2189" spans="1:4">
      <c r="A2189" s="1"/>
      <c r="D2189" s="1"/>
    </row>
    <row r="2190" spans="1:4">
      <c r="A2190" s="1"/>
      <c r="D2190" s="1"/>
    </row>
    <row r="2191" spans="1:4">
      <c r="A2191" s="1"/>
      <c r="D2191" s="1"/>
    </row>
    <row r="2192" spans="1:4">
      <c r="A2192" s="1"/>
      <c r="D2192" s="1"/>
    </row>
    <row r="2193" spans="1:4">
      <c r="A2193" s="1"/>
      <c r="D2193" s="1"/>
    </row>
    <row r="2194" spans="1:4">
      <c r="A2194" s="1"/>
      <c r="D2194" s="1"/>
    </row>
    <row r="2195" spans="1:4">
      <c r="A2195" s="1"/>
      <c r="D2195" s="1"/>
    </row>
    <row r="2196" spans="1:4">
      <c r="A2196" s="1"/>
      <c r="D2196" s="1"/>
    </row>
    <row r="2197" spans="1:4">
      <c r="A2197" s="1"/>
      <c r="D2197" s="1"/>
    </row>
    <row r="2198" spans="1:4">
      <c r="A2198" s="1"/>
      <c r="D2198" s="1"/>
    </row>
    <row r="2199" spans="1:4">
      <c r="A2199" s="1"/>
      <c r="D2199" s="1"/>
    </row>
    <row r="2200" spans="1:4">
      <c r="A2200" s="1"/>
      <c r="D2200" s="1"/>
    </row>
    <row r="2201" spans="1:4">
      <c r="A2201" s="1"/>
      <c r="D2201" s="1"/>
    </row>
    <row r="2202" spans="1:4">
      <c r="A2202" s="1"/>
      <c r="D2202" s="1"/>
    </row>
    <row r="2203" spans="1:4">
      <c r="A2203" s="1"/>
      <c r="D2203" s="1"/>
    </row>
    <row r="2204" spans="1:4">
      <c r="A2204" s="1"/>
      <c r="D2204" s="1"/>
    </row>
    <row r="2205" spans="1:4">
      <c r="A2205" s="1"/>
      <c r="D2205" s="1"/>
    </row>
    <row r="2206" spans="1:4">
      <c r="A2206" s="1"/>
      <c r="D2206" s="1"/>
    </row>
    <row r="2207" spans="1:4">
      <c r="A2207" s="1"/>
      <c r="D2207" s="1"/>
    </row>
    <row r="2208" spans="1:4">
      <c r="A2208" s="1"/>
      <c r="D2208" s="1"/>
    </row>
    <row r="2209" spans="1:4">
      <c r="A2209" s="1"/>
      <c r="D2209" s="1"/>
    </row>
    <row r="2210" spans="1:4">
      <c r="A2210" s="1"/>
      <c r="D2210" s="1"/>
    </row>
    <row r="2211" spans="1:4">
      <c r="A2211" s="1"/>
      <c r="D2211" s="1"/>
    </row>
    <row r="2212" spans="1:4">
      <c r="A2212" s="1"/>
      <c r="D2212" s="1"/>
    </row>
    <row r="2213" spans="1:4">
      <c r="A2213" s="1"/>
      <c r="D2213" s="1"/>
    </row>
    <row r="2214" spans="1:4">
      <c r="A2214" s="1"/>
      <c r="D2214" s="1"/>
    </row>
    <row r="2215" spans="1:4">
      <c r="A2215" s="1"/>
      <c r="D2215" s="1"/>
    </row>
    <row r="2216" spans="1:4">
      <c r="A2216" s="1"/>
      <c r="D2216" s="1"/>
    </row>
    <row r="2217" spans="1:4">
      <c r="A2217" s="1"/>
      <c r="D2217" s="1"/>
    </row>
    <row r="2218" spans="1:4">
      <c r="A2218" s="1"/>
      <c r="D2218" s="1"/>
    </row>
    <row r="2219" spans="1:4">
      <c r="A2219" s="1"/>
      <c r="D2219" s="1"/>
    </row>
    <row r="2220" spans="1:4">
      <c r="A2220" s="1"/>
      <c r="D2220" s="1"/>
    </row>
    <row r="2221" spans="1:4">
      <c r="A2221" s="1"/>
      <c r="D2221" s="1"/>
    </row>
    <row r="2222" spans="1:4">
      <c r="A2222" s="1"/>
      <c r="D2222" s="1"/>
    </row>
    <row r="2223" spans="1:4">
      <c r="A2223" s="1"/>
      <c r="D2223" s="1"/>
    </row>
    <row r="2224" spans="1:4">
      <c r="A2224" s="1"/>
      <c r="D2224" s="1"/>
    </row>
    <row r="2225" spans="1:4">
      <c r="A2225" s="1"/>
      <c r="D2225" s="1"/>
    </row>
    <row r="2226" spans="1:4">
      <c r="A2226" s="1"/>
      <c r="D2226" s="1"/>
    </row>
    <row r="2227" spans="1:4">
      <c r="A2227" s="1"/>
      <c r="D2227" s="1"/>
    </row>
    <row r="2228" spans="1:4">
      <c r="A2228" s="1"/>
      <c r="D2228" s="1"/>
    </row>
    <row r="2229" spans="1:4">
      <c r="A2229" s="1"/>
      <c r="D2229" s="1"/>
    </row>
    <row r="2230" spans="1:4">
      <c r="A2230" s="1"/>
      <c r="D2230" s="1"/>
    </row>
    <row r="2231" spans="1:4">
      <c r="A2231" s="1"/>
      <c r="D2231" s="1"/>
    </row>
    <row r="2232" spans="1:4">
      <c r="A2232" s="1"/>
      <c r="D2232" s="1"/>
    </row>
    <row r="2233" spans="1:4">
      <c r="A2233" s="1"/>
      <c r="D2233" s="1"/>
    </row>
    <row r="2234" spans="1:4">
      <c r="A2234" s="1"/>
      <c r="D2234" s="1"/>
    </row>
    <row r="2235" spans="1:4">
      <c r="A2235" s="1"/>
      <c r="D2235" s="1"/>
    </row>
    <row r="2236" spans="1:4">
      <c r="A2236" s="1"/>
      <c r="D2236" s="1"/>
    </row>
    <row r="2237" spans="1:4">
      <c r="A2237" s="1"/>
      <c r="D2237" s="1"/>
    </row>
    <row r="2238" spans="1:4">
      <c r="A2238" s="1"/>
      <c r="D2238" s="1"/>
    </row>
    <row r="2239" spans="1:4">
      <c r="A2239" s="1"/>
      <c r="D2239" s="1"/>
    </row>
    <row r="2240" spans="1:4">
      <c r="A2240" s="1"/>
      <c r="D2240" s="1"/>
    </row>
    <row r="2241" spans="1:4">
      <c r="A2241" s="1"/>
      <c r="D2241" s="1"/>
    </row>
    <row r="2242" spans="1:4">
      <c r="A2242" s="1"/>
      <c r="D2242" s="1"/>
    </row>
    <row r="2243" spans="1:4">
      <c r="A2243" s="1"/>
      <c r="D2243" s="1"/>
    </row>
    <row r="2244" spans="1:4">
      <c r="A2244" s="1"/>
      <c r="D2244" s="1"/>
    </row>
    <row r="2245" spans="1:4">
      <c r="A2245" s="1"/>
      <c r="D2245" s="1"/>
    </row>
    <row r="2246" spans="1:4">
      <c r="A2246" s="1"/>
      <c r="D2246" s="1"/>
    </row>
    <row r="2247" spans="1:4">
      <c r="A2247" s="1"/>
      <c r="D2247" s="1"/>
    </row>
    <row r="2248" spans="1:4">
      <c r="A2248" s="1"/>
      <c r="D2248" s="1"/>
    </row>
    <row r="2249" spans="1:4">
      <c r="A2249" s="1"/>
      <c r="D2249" s="1"/>
    </row>
    <row r="2250" spans="1:4">
      <c r="A2250" s="1"/>
      <c r="D2250" s="1"/>
    </row>
    <row r="2251" spans="1:4">
      <c r="A2251" s="1"/>
      <c r="D2251" s="1"/>
    </row>
    <row r="2252" spans="1:4">
      <c r="A2252" s="1"/>
      <c r="D2252" s="1"/>
    </row>
    <row r="2253" spans="1:4">
      <c r="A2253" s="1"/>
      <c r="D2253" s="1"/>
    </row>
    <row r="2254" spans="1:4">
      <c r="A2254" s="1"/>
      <c r="D2254" s="1"/>
    </row>
    <row r="2255" spans="1:4">
      <c r="A2255" s="1"/>
      <c r="D2255" s="1"/>
    </row>
    <row r="2256" spans="1:4">
      <c r="A2256" s="1"/>
      <c r="D2256" s="1"/>
    </row>
    <row r="2257" spans="1:4">
      <c r="A2257" s="1"/>
      <c r="D2257" s="1"/>
    </row>
    <row r="2258" spans="1:4">
      <c r="A2258" s="1"/>
      <c r="D2258" s="1"/>
    </row>
    <row r="2259" spans="1:4">
      <c r="A2259" s="1"/>
      <c r="D2259" s="1"/>
    </row>
    <row r="2260" spans="1:4">
      <c r="A2260" s="1"/>
      <c r="D2260" s="1"/>
    </row>
    <row r="2261" spans="1:4">
      <c r="A2261" s="1"/>
      <c r="D2261" s="1"/>
    </row>
    <row r="2262" spans="1:4">
      <c r="A2262" s="1"/>
      <c r="D2262" s="1"/>
    </row>
    <row r="2263" spans="1:4">
      <c r="A2263" s="1"/>
      <c r="D2263" s="1"/>
    </row>
    <row r="2264" spans="1:4">
      <c r="A2264" s="1"/>
      <c r="D2264" s="1"/>
    </row>
    <row r="2265" spans="1:4">
      <c r="A2265" s="1"/>
      <c r="D2265" s="1"/>
    </row>
    <row r="2266" spans="1:4">
      <c r="A2266" s="1"/>
      <c r="D2266" s="1"/>
    </row>
    <row r="2267" spans="1:4">
      <c r="A2267" s="1"/>
      <c r="D2267" s="1"/>
    </row>
    <row r="2268" spans="1:4">
      <c r="A2268" s="1"/>
      <c r="D2268" s="1"/>
    </row>
    <row r="2269" spans="1:4">
      <c r="A2269" s="1"/>
      <c r="D2269" s="1"/>
    </row>
    <row r="2270" spans="1:4">
      <c r="A2270" s="1"/>
      <c r="D2270" s="1"/>
    </row>
    <row r="2271" spans="1:4">
      <c r="A2271" s="1"/>
      <c r="D2271" s="1"/>
    </row>
    <row r="2272" spans="1:4">
      <c r="A2272" s="1"/>
      <c r="D2272" s="1"/>
    </row>
    <row r="2273" spans="1:4">
      <c r="A2273" s="1"/>
      <c r="D2273" s="1"/>
    </row>
    <row r="2274" spans="1:4">
      <c r="A2274" s="1"/>
      <c r="D2274" s="1"/>
    </row>
    <row r="2275" spans="1:4">
      <c r="A2275" s="1"/>
      <c r="D2275" s="1"/>
    </row>
    <row r="2276" spans="1:4">
      <c r="A2276" s="1"/>
      <c r="D2276" s="1"/>
    </row>
    <row r="2277" spans="1:4">
      <c r="A2277" s="1"/>
      <c r="D2277" s="1"/>
    </row>
    <row r="2278" spans="1:4">
      <c r="A2278" s="1"/>
      <c r="D2278" s="1"/>
    </row>
    <row r="2279" spans="1:4">
      <c r="A2279" s="1"/>
      <c r="D2279" s="1"/>
    </row>
    <row r="2280" spans="1:4">
      <c r="A2280" s="1"/>
      <c r="D2280" s="1"/>
    </row>
    <row r="2281" spans="1:4">
      <c r="A2281" s="1"/>
      <c r="D2281" s="1"/>
    </row>
    <row r="2282" spans="1:4">
      <c r="A2282" s="1"/>
      <c r="D2282" s="1"/>
    </row>
    <row r="2283" spans="1:4">
      <c r="A2283" s="1"/>
      <c r="D2283" s="1"/>
    </row>
    <row r="2284" spans="1:4">
      <c r="A2284" s="1"/>
      <c r="D2284" s="1"/>
    </row>
    <row r="2285" spans="1:4">
      <c r="A2285" s="1"/>
      <c r="D2285" s="1"/>
    </row>
    <row r="2286" spans="1:4">
      <c r="A2286" s="1"/>
      <c r="D2286" s="1"/>
    </row>
    <row r="2287" spans="1:4">
      <c r="A2287" s="1"/>
      <c r="D2287" s="1"/>
    </row>
    <row r="2288" spans="1:4">
      <c r="A2288" s="1"/>
      <c r="D2288" s="1"/>
    </row>
    <row r="2289" spans="1:4">
      <c r="A2289" s="1"/>
      <c r="D2289" s="1"/>
    </row>
    <row r="2290" spans="1:4">
      <c r="A2290" s="1"/>
      <c r="D2290" s="1"/>
    </row>
    <row r="2291" spans="1:4">
      <c r="A2291" s="1"/>
      <c r="D2291" s="1"/>
    </row>
    <row r="2292" spans="1:4">
      <c r="A2292" s="1"/>
      <c r="D2292" s="1"/>
    </row>
    <row r="2293" spans="1:4">
      <c r="A2293" s="1"/>
      <c r="D2293" s="1"/>
    </row>
    <row r="2294" spans="1:4">
      <c r="A2294" s="1"/>
      <c r="D2294" s="1"/>
    </row>
    <row r="2295" spans="1:4">
      <c r="A2295" s="1"/>
      <c r="D2295" s="1"/>
    </row>
    <row r="2296" spans="1:4">
      <c r="A2296" s="1"/>
      <c r="D2296" s="1"/>
    </row>
    <row r="2297" spans="1:4">
      <c r="A2297" s="1"/>
      <c r="D2297" s="1"/>
    </row>
    <row r="2298" spans="1:4">
      <c r="A2298" s="1"/>
      <c r="D2298" s="1"/>
    </row>
    <row r="2299" spans="1:4">
      <c r="A2299" s="1"/>
      <c r="D2299" s="1"/>
    </row>
    <row r="2300" spans="1:4">
      <c r="A2300" s="1"/>
      <c r="D2300" s="1"/>
    </row>
    <row r="2301" spans="1:4">
      <c r="A2301" s="1"/>
      <c r="D2301" s="1"/>
    </row>
    <row r="2302" spans="1:4">
      <c r="A2302" s="1"/>
      <c r="D2302" s="1"/>
    </row>
    <row r="2303" spans="1:4">
      <c r="A2303" s="1"/>
      <c r="D2303" s="1"/>
    </row>
    <row r="2304" spans="1:4">
      <c r="A2304" s="1"/>
      <c r="D2304" s="1"/>
    </row>
    <row r="2305" spans="1:4">
      <c r="A2305" s="1"/>
      <c r="D2305" s="1"/>
    </row>
    <row r="2306" spans="1:4">
      <c r="A2306" s="1"/>
      <c r="D2306" s="1"/>
    </row>
    <row r="2307" spans="1:4">
      <c r="A2307" s="1"/>
      <c r="D2307" s="1"/>
    </row>
    <row r="2308" spans="1:4">
      <c r="A2308" s="1"/>
      <c r="D2308" s="1"/>
    </row>
    <row r="2309" spans="1:4">
      <c r="A2309" s="1"/>
      <c r="D2309" s="1"/>
    </row>
    <row r="2310" spans="1:4">
      <c r="A2310" s="1"/>
      <c r="D2310" s="1"/>
    </row>
    <row r="2311" spans="1:4">
      <c r="A2311" s="1"/>
      <c r="D2311" s="1"/>
    </row>
    <row r="2312" spans="1:4">
      <c r="A2312" s="1"/>
      <c r="D2312" s="1"/>
    </row>
    <row r="2313" spans="1:4">
      <c r="A2313" s="1"/>
      <c r="D2313" s="1"/>
    </row>
    <row r="2314" spans="1:4">
      <c r="A2314" s="1"/>
      <c r="D2314" s="1"/>
    </row>
    <row r="2315" spans="1:4">
      <c r="A2315" s="1"/>
      <c r="D2315" s="1"/>
    </row>
    <row r="2316" spans="1:4">
      <c r="A2316" s="1"/>
      <c r="D2316" s="1"/>
    </row>
    <row r="2317" spans="1:4">
      <c r="A2317" s="1"/>
      <c r="D2317" s="1"/>
    </row>
    <row r="2318" spans="1:4">
      <c r="A2318" s="1"/>
      <c r="D2318" s="1"/>
    </row>
    <row r="2319" spans="1:4">
      <c r="A2319" s="1"/>
      <c r="D2319" s="1"/>
    </row>
    <row r="2320" spans="1:4">
      <c r="A2320" s="1"/>
      <c r="D2320" s="1"/>
    </row>
    <row r="2321" spans="1:4">
      <c r="A2321" s="1"/>
      <c r="D2321" s="1"/>
    </row>
    <row r="2322" spans="1:4">
      <c r="A2322" s="1"/>
      <c r="D2322" s="1"/>
    </row>
    <row r="2323" spans="1:4">
      <c r="A2323" s="1"/>
      <c r="D2323" s="1"/>
    </row>
    <row r="2324" spans="1:4">
      <c r="A2324" s="1"/>
      <c r="D2324" s="1"/>
    </row>
    <row r="2325" spans="1:4">
      <c r="A2325" s="1"/>
      <c r="D2325" s="1"/>
    </row>
    <row r="2326" spans="1:4">
      <c r="A2326" s="1"/>
      <c r="D2326" s="1"/>
    </row>
    <row r="2327" spans="1:4">
      <c r="A2327" s="1"/>
      <c r="D2327" s="1"/>
    </row>
    <row r="2328" spans="1:4">
      <c r="A2328" s="1"/>
      <c r="D2328" s="1"/>
    </row>
    <row r="2329" spans="1:4">
      <c r="A2329" s="1"/>
      <c r="D2329" s="1"/>
    </row>
    <row r="2330" spans="1:4">
      <c r="A2330" s="1"/>
      <c r="D2330" s="1"/>
    </row>
    <row r="2331" spans="1:4">
      <c r="A2331" s="1"/>
      <c r="D2331" s="1"/>
    </row>
    <row r="2332" spans="1:4">
      <c r="A2332" s="1"/>
      <c r="D2332" s="1"/>
    </row>
    <row r="2333" spans="1:4">
      <c r="A2333" s="1"/>
      <c r="D2333" s="1"/>
    </row>
    <row r="2334" spans="1:4">
      <c r="A2334" s="1"/>
      <c r="D2334" s="1"/>
    </row>
    <row r="2335" spans="1:4">
      <c r="A2335" s="1"/>
      <c r="D2335" s="1"/>
    </row>
    <row r="2336" spans="1:4">
      <c r="A2336" s="1"/>
      <c r="D2336" s="1"/>
    </row>
    <row r="2337" spans="1:4">
      <c r="A2337" s="1"/>
      <c r="D2337" s="1"/>
    </row>
    <row r="2338" spans="1:4">
      <c r="A2338" s="1"/>
      <c r="D2338" s="1"/>
    </row>
    <row r="2339" spans="1:4">
      <c r="A2339" s="1"/>
      <c r="D2339" s="1"/>
    </row>
    <row r="2340" spans="1:4">
      <c r="A2340" s="1"/>
      <c r="D2340" s="1"/>
    </row>
    <row r="2341" spans="1:4">
      <c r="A2341" s="1"/>
      <c r="D2341" s="1"/>
    </row>
    <row r="2342" spans="1:4">
      <c r="A2342" s="1"/>
      <c r="D2342" s="1"/>
    </row>
    <row r="2343" spans="1:4">
      <c r="A2343" s="1"/>
      <c r="D2343" s="1"/>
    </row>
    <row r="2344" spans="1:4">
      <c r="A2344" s="1"/>
      <c r="D2344" s="1"/>
    </row>
    <row r="2345" spans="1:4">
      <c r="A2345" s="1"/>
      <c r="D2345" s="1"/>
    </row>
    <row r="2346" spans="1:4">
      <c r="A2346" s="1"/>
      <c r="D2346" s="1"/>
    </row>
    <row r="2347" spans="1:4">
      <c r="A2347" s="1"/>
      <c r="D2347" s="1"/>
    </row>
    <row r="2348" spans="1:4">
      <c r="A2348" s="1"/>
      <c r="D2348" s="1"/>
    </row>
    <row r="2349" spans="1:4">
      <c r="A2349" s="1"/>
      <c r="D2349" s="1"/>
    </row>
    <row r="2350" spans="1:4">
      <c r="A2350" s="1"/>
      <c r="D2350" s="1"/>
    </row>
    <row r="2351" spans="1:4">
      <c r="A2351" s="1"/>
      <c r="D2351" s="1"/>
    </row>
    <row r="2352" spans="1:4">
      <c r="A2352" s="1"/>
      <c r="D2352" s="1"/>
    </row>
    <row r="2353" spans="1:4">
      <c r="A2353" s="1"/>
      <c r="D2353" s="1"/>
    </row>
    <row r="2354" spans="1:4">
      <c r="A2354" s="1"/>
      <c r="D2354" s="1"/>
    </row>
    <row r="2355" spans="1:4">
      <c r="A2355" s="1"/>
      <c r="D2355" s="1"/>
    </row>
    <row r="2356" spans="1:4">
      <c r="A2356" s="1"/>
      <c r="D2356" s="1"/>
    </row>
    <row r="2357" spans="1:4">
      <c r="A2357" s="1"/>
      <c r="D2357" s="1"/>
    </row>
    <row r="2358" spans="1:4">
      <c r="A2358" s="1"/>
      <c r="D2358" s="1"/>
    </row>
    <row r="2359" spans="1:4">
      <c r="A2359" s="1"/>
      <c r="D2359" s="1"/>
    </row>
    <row r="2360" spans="1:4">
      <c r="A2360" s="1"/>
      <c r="D2360" s="1"/>
    </row>
    <row r="2361" spans="1:4">
      <c r="A2361" s="1"/>
      <c r="D2361" s="1"/>
    </row>
    <row r="2362" spans="1:4">
      <c r="A2362" s="1"/>
      <c r="D2362" s="1"/>
    </row>
    <row r="2363" spans="1:4">
      <c r="A2363" s="1"/>
      <c r="D2363" s="1"/>
    </row>
    <row r="2364" spans="1:4">
      <c r="A2364" s="1"/>
      <c r="D2364" s="1"/>
    </row>
    <row r="2365" spans="1:4">
      <c r="A2365" s="1"/>
      <c r="D2365" s="1"/>
    </row>
    <row r="2366" spans="1:4">
      <c r="A2366" s="1"/>
      <c r="D2366" s="1"/>
    </row>
    <row r="2367" spans="1:4">
      <c r="A2367" s="1"/>
      <c r="D2367" s="1"/>
    </row>
    <row r="2368" spans="1:4">
      <c r="A2368" s="1"/>
      <c r="D2368" s="1"/>
    </row>
    <row r="2369" spans="1:4">
      <c r="A2369" s="1"/>
      <c r="D2369" s="1"/>
    </row>
    <row r="2370" spans="1:4">
      <c r="A2370" s="1"/>
      <c r="D2370" s="1"/>
    </row>
    <row r="2371" spans="1:4">
      <c r="A2371" s="1"/>
      <c r="D2371" s="1"/>
    </row>
    <row r="2372" spans="1:4">
      <c r="A2372" s="1"/>
      <c r="D2372" s="1"/>
    </row>
    <row r="2373" spans="1:4">
      <c r="A2373" s="1"/>
      <c r="D2373" s="1"/>
    </row>
    <row r="2374" spans="1:4">
      <c r="A2374" s="1"/>
      <c r="D2374" s="1"/>
    </row>
    <row r="2375" spans="1:4">
      <c r="A2375" s="1"/>
      <c r="D2375" s="1"/>
    </row>
    <row r="2376" spans="1:4">
      <c r="A2376" s="1"/>
      <c r="D2376" s="1"/>
    </row>
    <row r="2377" spans="1:4">
      <c r="A2377" s="1"/>
      <c r="D2377" s="1"/>
    </row>
    <row r="2378" spans="1:4">
      <c r="A2378" s="1"/>
      <c r="D2378" s="1"/>
    </row>
    <row r="2379" spans="1:4">
      <c r="A2379" s="1"/>
      <c r="D2379" s="1"/>
    </row>
    <row r="2380" spans="1:4">
      <c r="A2380" s="1"/>
      <c r="D2380" s="1"/>
    </row>
    <row r="2381" spans="1:4">
      <c r="A2381" s="1"/>
      <c r="D2381" s="1"/>
    </row>
    <row r="2382" spans="1:4">
      <c r="A2382" s="1"/>
      <c r="D2382" s="1"/>
    </row>
    <row r="2383" spans="1:4">
      <c r="A2383" s="1"/>
      <c r="D2383" s="1"/>
    </row>
    <row r="2384" spans="1:4">
      <c r="A2384" s="1"/>
      <c r="D2384" s="1"/>
    </row>
    <row r="2385" spans="1:4">
      <c r="A2385" s="1"/>
      <c r="D2385" s="1"/>
    </row>
    <row r="2386" spans="1:4">
      <c r="A2386" s="1"/>
      <c r="D2386" s="1"/>
    </row>
    <row r="2387" spans="1:4">
      <c r="A2387" s="1"/>
      <c r="D2387" s="1"/>
    </row>
    <row r="2388" spans="1:4">
      <c r="A2388" s="1"/>
      <c r="D2388" s="1"/>
    </row>
    <row r="2389" spans="1:4">
      <c r="A2389" s="1"/>
      <c r="D2389" s="1"/>
    </row>
    <row r="2390" spans="1:4">
      <c r="A2390" s="1"/>
      <c r="D2390" s="1"/>
    </row>
    <row r="2391" spans="1:4">
      <c r="A2391" s="1"/>
      <c r="D2391" s="1"/>
    </row>
    <row r="2392" spans="1:4">
      <c r="A2392" s="1"/>
      <c r="D2392" s="1"/>
    </row>
    <row r="2393" spans="1:4">
      <c r="A2393" s="1"/>
      <c r="D2393" s="1"/>
    </row>
    <row r="2394" spans="1:4">
      <c r="A2394" s="1"/>
      <c r="D2394" s="1"/>
    </row>
    <row r="2395" spans="1:4">
      <c r="A2395" s="1"/>
      <c r="D2395" s="1"/>
    </row>
    <row r="2396" spans="1:4">
      <c r="A2396" s="1"/>
      <c r="D2396" s="1"/>
    </row>
    <row r="2397" spans="1:4">
      <c r="A2397" s="1"/>
      <c r="D2397" s="1"/>
    </row>
    <row r="2398" spans="1:4">
      <c r="A2398" s="1"/>
      <c r="D2398" s="1"/>
    </row>
    <row r="2399" spans="1:4">
      <c r="A2399" s="1"/>
      <c r="D2399" s="1"/>
    </row>
    <row r="2400" spans="1:4">
      <c r="A2400" s="1"/>
      <c r="D2400" s="1"/>
    </row>
    <row r="2401" spans="1:4">
      <c r="A2401" s="1"/>
      <c r="D2401" s="1"/>
    </row>
    <row r="2402" spans="1:4">
      <c r="A2402" s="1"/>
      <c r="D2402" s="1"/>
    </row>
    <row r="2403" spans="1:4">
      <c r="A2403" s="1"/>
      <c r="D2403" s="1"/>
    </row>
    <row r="2404" spans="1:4">
      <c r="A2404" s="1"/>
      <c r="D2404" s="1"/>
    </row>
    <row r="2405" spans="1:4">
      <c r="A2405" s="1"/>
      <c r="D2405" s="1"/>
    </row>
    <row r="2406" spans="1:4">
      <c r="A2406" s="1"/>
      <c r="D2406" s="1"/>
    </row>
    <row r="2407" spans="1:4">
      <c r="A2407" s="1"/>
      <c r="D2407" s="1"/>
    </row>
    <row r="2408" spans="1:4">
      <c r="A2408" s="1"/>
      <c r="D2408" s="1"/>
    </row>
    <row r="2409" spans="1:4">
      <c r="A2409" s="1"/>
      <c r="D2409" s="1"/>
    </row>
    <row r="2410" spans="1:4">
      <c r="A2410" s="1"/>
      <c r="D2410" s="1"/>
    </row>
    <row r="2411" spans="1:4">
      <c r="A2411" s="1"/>
      <c r="D2411" s="1"/>
    </row>
    <row r="2412" spans="1:4">
      <c r="A2412" s="1"/>
      <c r="D2412" s="1"/>
    </row>
    <row r="2413" spans="1:4">
      <c r="A2413" s="1"/>
      <c r="D2413" s="1"/>
    </row>
    <row r="2414" spans="1:4">
      <c r="A2414" s="1"/>
      <c r="D2414" s="1"/>
    </row>
    <row r="2415" spans="1:4">
      <c r="A2415" s="1"/>
      <c r="D2415" s="1"/>
    </row>
    <row r="2416" spans="1:4">
      <c r="A2416" s="1"/>
      <c r="D2416" s="1"/>
    </row>
    <row r="2417" spans="1:4">
      <c r="A2417" s="1"/>
      <c r="D2417" s="1"/>
    </row>
    <row r="2418" spans="1:4">
      <c r="A2418" s="1"/>
      <c r="D2418" s="1"/>
    </row>
    <row r="2419" spans="1:4">
      <c r="A2419" s="1"/>
      <c r="D2419" s="1"/>
    </row>
    <row r="2420" spans="1:4">
      <c r="A2420" s="1"/>
      <c r="D2420" s="1"/>
    </row>
    <row r="2421" spans="1:4">
      <c r="A2421" s="1"/>
      <c r="D2421" s="1"/>
    </row>
    <row r="2422" spans="1:4">
      <c r="A2422" s="1"/>
      <c r="D2422" s="1"/>
    </row>
    <row r="2423" spans="1:4">
      <c r="A2423" s="1"/>
      <c r="D2423" s="1"/>
    </row>
    <row r="2424" spans="1:4">
      <c r="A2424" s="1"/>
      <c r="D2424" s="1"/>
    </row>
    <row r="2425" spans="1:4">
      <c r="A2425" s="1"/>
      <c r="D2425" s="1"/>
    </row>
    <row r="2426" spans="1:4">
      <c r="A2426" s="1"/>
      <c r="D2426" s="1"/>
    </row>
    <row r="2427" spans="1:4">
      <c r="A2427" s="1"/>
      <c r="D2427" s="1"/>
    </row>
    <row r="2428" spans="1:4">
      <c r="A2428" s="1"/>
      <c r="D2428" s="1"/>
    </row>
    <row r="2429" spans="1:4">
      <c r="A2429" s="1"/>
      <c r="D2429" s="1"/>
    </row>
    <row r="2430" spans="1:4">
      <c r="A2430" s="1"/>
      <c r="D2430" s="1"/>
    </row>
    <row r="2431" spans="1:4">
      <c r="A2431" s="1"/>
      <c r="D2431" s="1"/>
    </row>
    <row r="2432" spans="1:4">
      <c r="A2432" s="1"/>
      <c r="D2432" s="1"/>
    </row>
    <row r="2433" spans="1:4">
      <c r="A2433" s="1"/>
      <c r="D2433" s="1"/>
    </row>
    <row r="2434" spans="1:4">
      <c r="A2434" s="1"/>
      <c r="D2434" s="1"/>
    </row>
    <row r="2435" spans="1:4">
      <c r="A2435" s="1"/>
      <c r="D2435" s="1"/>
    </row>
    <row r="2436" spans="1:4">
      <c r="A2436" s="1"/>
      <c r="D2436" s="1"/>
    </row>
    <row r="2437" spans="1:4">
      <c r="A2437" s="1"/>
      <c r="D2437" s="1"/>
    </row>
    <row r="2438" spans="1:4">
      <c r="A2438" s="1"/>
      <c r="D2438" s="1"/>
    </row>
    <row r="2439" spans="1:4">
      <c r="A2439" s="1"/>
      <c r="D2439" s="1"/>
    </row>
    <row r="2440" spans="1:4">
      <c r="A2440" s="1"/>
      <c r="D2440" s="1"/>
    </row>
    <row r="2441" spans="1:4">
      <c r="A2441" s="1"/>
      <c r="D2441" s="1"/>
    </row>
    <row r="2442" spans="1:4">
      <c r="A2442" s="1"/>
      <c r="D2442" s="1"/>
    </row>
    <row r="2443" spans="1:4">
      <c r="A2443" s="1"/>
      <c r="D2443" s="1"/>
    </row>
    <row r="2444" spans="1:4">
      <c r="A2444" s="1"/>
      <c r="D2444" s="1"/>
    </row>
    <row r="2445" spans="1:4">
      <c r="A2445" s="1"/>
      <c r="D2445" s="1"/>
    </row>
    <row r="2446" spans="1:4">
      <c r="A2446" s="1"/>
      <c r="D2446" s="1"/>
    </row>
    <row r="2447" spans="1:4">
      <c r="A2447" s="1"/>
      <c r="D2447" s="1"/>
    </row>
    <row r="2448" spans="1:4">
      <c r="A2448" s="1"/>
      <c r="D2448" s="1"/>
    </row>
    <row r="2449" spans="1:4">
      <c r="A2449" s="1"/>
      <c r="D2449" s="1"/>
    </row>
    <row r="2450" spans="1:4">
      <c r="A2450" s="1"/>
      <c r="D2450" s="1"/>
    </row>
    <row r="2451" spans="1:4">
      <c r="A2451" s="1"/>
      <c r="D2451" s="1"/>
    </row>
    <row r="2452" spans="1:4">
      <c r="A2452" s="1"/>
      <c r="D2452" s="1"/>
    </row>
    <row r="2453" spans="1:4">
      <c r="A2453" s="1"/>
      <c r="D2453" s="1"/>
    </row>
    <row r="2454" spans="1:4">
      <c r="A2454" s="1"/>
      <c r="D2454" s="1"/>
    </row>
    <row r="2455" spans="1:4">
      <c r="A2455" s="1"/>
      <c r="D2455" s="1"/>
    </row>
    <row r="2456" spans="1:4">
      <c r="A2456" s="1"/>
      <c r="D2456" s="1"/>
    </row>
    <row r="2457" spans="1:4">
      <c r="A2457" s="1"/>
      <c r="D2457" s="1"/>
    </row>
    <row r="2458" spans="1:4">
      <c r="A2458" s="1"/>
      <c r="D2458" s="1"/>
    </row>
    <row r="2459" spans="1:4">
      <c r="A2459" s="1"/>
      <c r="D2459" s="1"/>
    </row>
    <row r="2460" spans="1:4">
      <c r="A2460" s="1"/>
      <c r="D2460" s="1"/>
    </row>
    <row r="2461" spans="1:4">
      <c r="A2461" s="1"/>
      <c r="D2461" s="1"/>
    </row>
    <row r="2462" spans="1:4">
      <c r="A2462" s="1"/>
      <c r="D2462" s="1"/>
    </row>
    <row r="2463" spans="1:4">
      <c r="A2463" s="1"/>
      <c r="D2463" s="1"/>
    </row>
    <row r="2464" spans="1:4">
      <c r="A2464" s="1"/>
      <c r="D2464" s="1"/>
    </row>
    <row r="2465" spans="1:4">
      <c r="A2465" s="1"/>
      <c r="D2465" s="1"/>
    </row>
    <row r="2466" spans="1:4">
      <c r="A2466" s="1"/>
      <c r="D2466" s="1"/>
    </row>
    <row r="2467" spans="1:4">
      <c r="A2467" s="1"/>
      <c r="D2467" s="1"/>
    </row>
    <row r="2468" spans="1:4">
      <c r="A2468" s="1"/>
      <c r="D2468" s="1"/>
    </row>
    <row r="2469" spans="1:4">
      <c r="A2469" s="1"/>
      <c r="D2469" s="1"/>
    </row>
    <row r="2470" spans="1:4">
      <c r="A2470" s="1"/>
      <c r="D2470" s="1"/>
    </row>
    <row r="2471" spans="1:4">
      <c r="A2471" s="1"/>
      <c r="D2471" s="1"/>
    </row>
    <row r="2472" spans="1:4">
      <c r="A2472" s="1"/>
      <c r="D2472" s="1"/>
    </row>
    <row r="2473" spans="1:4">
      <c r="A2473" s="1"/>
      <c r="D2473" s="1"/>
    </row>
    <row r="2474" spans="1:4">
      <c r="A2474" s="1"/>
      <c r="D2474" s="1"/>
    </row>
    <row r="2475" spans="1:4">
      <c r="A2475" s="1"/>
      <c r="D2475" s="1"/>
    </row>
    <row r="2476" spans="1:4">
      <c r="A2476" s="1"/>
      <c r="D2476" s="1"/>
    </row>
    <row r="2477" spans="1:4">
      <c r="A2477" s="1"/>
      <c r="D2477" s="1"/>
    </row>
    <row r="2478" spans="1:4">
      <c r="A2478" s="1"/>
      <c r="D2478" s="1"/>
    </row>
    <row r="2479" spans="1:4">
      <c r="A2479" s="1"/>
      <c r="D2479" s="1"/>
    </row>
    <row r="2480" spans="1:4">
      <c r="A2480" s="1"/>
      <c r="D2480" s="1"/>
    </row>
    <row r="2481" spans="1:4">
      <c r="A2481" s="1"/>
      <c r="D2481" s="1"/>
    </row>
    <row r="2482" spans="1:4">
      <c r="A2482" s="1"/>
      <c r="D2482" s="1"/>
    </row>
    <row r="2483" spans="1:4">
      <c r="A2483" s="1"/>
      <c r="D2483" s="1"/>
    </row>
    <row r="2484" spans="1:4">
      <c r="A2484" s="1"/>
      <c r="D2484" s="1"/>
    </row>
    <row r="2485" spans="1:4">
      <c r="A2485" s="1"/>
      <c r="D2485" s="1"/>
    </row>
    <row r="2486" spans="1:4">
      <c r="A2486" s="1"/>
      <c r="D2486" s="1"/>
    </row>
    <row r="2487" spans="1:4">
      <c r="A2487" s="1"/>
      <c r="D2487" s="1"/>
    </row>
    <row r="2488" spans="1:4">
      <c r="A2488" s="1"/>
      <c r="D2488" s="1"/>
    </row>
    <row r="2489" spans="1:4">
      <c r="A2489" s="1"/>
      <c r="D2489" s="1"/>
    </row>
    <row r="2490" spans="1:4">
      <c r="A2490" s="1"/>
      <c r="D2490" s="1"/>
    </row>
    <row r="2491" spans="1:4">
      <c r="A2491" s="1"/>
      <c r="D2491" s="1"/>
    </row>
    <row r="2492" spans="1:4">
      <c r="A2492" s="1"/>
      <c r="D2492" s="1"/>
    </row>
    <row r="2493" spans="1:4">
      <c r="A2493" s="1"/>
      <c r="D2493" s="1"/>
    </row>
    <row r="2494" spans="1:4">
      <c r="A2494" s="1"/>
      <c r="D2494" s="1"/>
    </row>
    <row r="2495" spans="1:4">
      <c r="A2495" s="1"/>
      <c r="D2495" s="1"/>
    </row>
    <row r="2496" spans="1:4">
      <c r="A2496" s="1"/>
      <c r="D2496" s="1"/>
    </row>
    <row r="2497" spans="1:4">
      <c r="A2497" s="1"/>
      <c r="D2497" s="1"/>
    </row>
    <row r="2498" spans="1:4">
      <c r="A2498" s="1"/>
      <c r="D2498" s="1"/>
    </row>
    <row r="2499" spans="1:4">
      <c r="A2499" s="1"/>
      <c r="D2499" s="1"/>
    </row>
    <row r="2500" spans="1:4">
      <c r="A2500" s="1"/>
      <c r="D2500" s="1"/>
    </row>
    <row r="2501" spans="1:4">
      <c r="A2501" s="1"/>
      <c r="D2501" s="1"/>
    </row>
    <row r="2502" spans="1:4">
      <c r="A2502" s="1"/>
      <c r="D2502" s="1"/>
    </row>
    <row r="2503" spans="1:4">
      <c r="A2503" s="1"/>
      <c r="D2503" s="1"/>
    </row>
    <row r="2504" spans="1:4">
      <c r="A2504" s="1"/>
      <c r="D2504" s="1"/>
    </row>
    <row r="2505" spans="1:4">
      <c r="A2505" s="1"/>
      <c r="D2505" s="1"/>
    </row>
    <row r="2506" spans="1:4">
      <c r="A2506" s="1"/>
      <c r="D2506" s="1"/>
    </row>
    <row r="2507" spans="1:4">
      <c r="A2507" s="1"/>
      <c r="D2507" s="1"/>
    </row>
    <row r="2508" spans="1:4">
      <c r="A2508" s="1"/>
      <c r="D2508" s="1"/>
    </row>
    <row r="2509" spans="1:4">
      <c r="A2509" s="1"/>
      <c r="D2509" s="1"/>
    </row>
    <row r="2510" spans="1:4">
      <c r="A2510" s="1"/>
      <c r="D2510" s="1"/>
    </row>
    <row r="2511" spans="1:4">
      <c r="A2511" s="1"/>
      <c r="D2511" s="1"/>
    </row>
    <row r="2512" spans="1:4">
      <c r="A2512" s="1"/>
      <c r="D2512" s="1"/>
    </row>
    <row r="2513" spans="1:4">
      <c r="A2513" s="1"/>
      <c r="D2513" s="1"/>
    </row>
    <row r="2514" spans="1:4">
      <c r="A2514" s="1"/>
      <c r="D2514" s="1"/>
    </row>
    <row r="2515" spans="1:4">
      <c r="A2515" s="1"/>
      <c r="D2515" s="1"/>
    </row>
    <row r="2516" spans="1:4">
      <c r="A2516" s="1"/>
      <c r="D2516" s="1"/>
    </row>
    <row r="2517" spans="1:4">
      <c r="A2517" s="1"/>
      <c r="D2517" s="1"/>
    </row>
    <row r="2518" spans="1:4">
      <c r="A2518" s="1"/>
      <c r="D2518" s="1"/>
    </row>
    <row r="2519" spans="1:4">
      <c r="A2519" s="1"/>
      <c r="D2519" s="1"/>
    </row>
    <row r="2520" spans="1:4">
      <c r="A2520" s="1"/>
      <c r="D2520" s="1"/>
    </row>
    <row r="2521" spans="1:4">
      <c r="A2521" s="1"/>
      <c r="D2521" s="1"/>
    </row>
    <row r="2522" spans="1:4">
      <c r="A2522" s="1"/>
      <c r="D2522" s="1"/>
    </row>
    <row r="2523" spans="1:4">
      <c r="A2523" s="1"/>
      <c r="D2523" s="1"/>
    </row>
    <row r="2524" spans="1:4">
      <c r="A2524" s="1"/>
      <c r="D2524" s="1"/>
    </row>
    <row r="2525" spans="1:4">
      <c r="A2525" s="1"/>
      <c r="D2525" s="1"/>
    </row>
    <row r="2526" spans="1:4">
      <c r="A2526" s="1"/>
      <c r="D2526" s="1"/>
    </row>
    <row r="2527" spans="1:4">
      <c r="A2527" s="1"/>
      <c r="D2527" s="1"/>
    </row>
    <row r="2528" spans="1:4">
      <c r="A2528" s="1"/>
      <c r="D2528" s="1"/>
    </row>
    <row r="2529" spans="1:4">
      <c r="A2529" s="1"/>
      <c r="D2529" s="1"/>
    </row>
    <row r="2530" spans="1:4">
      <c r="A2530" s="1"/>
      <c r="D2530" s="1"/>
    </row>
    <row r="2531" spans="1:4">
      <c r="A2531" s="1"/>
      <c r="D2531" s="1"/>
    </row>
    <row r="2532" spans="1:4">
      <c r="A2532" s="1"/>
      <c r="D2532" s="1"/>
    </row>
    <row r="2533" spans="1:4">
      <c r="A2533" s="1"/>
      <c r="D2533" s="1"/>
    </row>
    <row r="2534" spans="1:4">
      <c r="A2534" s="1"/>
      <c r="D2534" s="1"/>
    </row>
    <row r="2535" spans="1:4">
      <c r="A2535" s="1"/>
      <c r="D2535" s="1"/>
    </row>
    <row r="2536" spans="1:4">
      <c r="A2536" s="1"/>
      <c r="D2536" s="1"/>
    </row>
    <row r="2537" spans="1:4">
      <c r="A2537" s="1"/>
      <c r="D2537" s="1"/>
    </row>
    <row r="2538" spans="1:4">
      <c r="A2538" s="1"/>
      <c r="D2538" s="1"/>
    </row>
    <row r="2539" spans="1:4">
      <c r="A2539" s="1"/>
      <c r="D2539" s="1"/>
    </row>
    <row r="2540" spans="1:4">
      <c r="A2540" s="1"/>
      <c r="D2540" s="1"/>
    </row>
    <row r="2541" spans="1:4">
      <c r="A2541" s="1"/>
      <c r="D2541" s="1"/>
    </row>
    <row r="2542" spans="1:4">
      <c r="A2542" s="1"/>
      <c r="D2542" s="1"/>
    </row>
    <row r="2543" spans="1:4">
      <c r="A2543" s="1"/>
      <c r="D2543" s="1"/>
    </row>
    <row r="2544" spans="1:4">
      <c r="A2544" s="1"/>
      <c r="D2544" s="1"/>
    </row>
    <row r="2545" spans="1:4">
      <c r="A2545" s="1"/>
      <c r="D2545" s="1"/>
    </row>
    <row r="2546" spans="1:4">
      <c r="A2546" s="1"/>
      <c r="D2546" s="1"/>
    </row>
    <row r="2547" spans="1:4">
      <c r="A2547" s="1"/>
      <c r="D2547" s="1"/>
    </row>
    <row r="2548" spans="1:4">
      <c r="A2548" s="1"/>
      <c r="D2548" s="1"/>
    </row>
    <row r="2549" spans="1:4">
      <c r="A2549" s="1"/>
      <c r="D2549" s="1"/>
    </row>
    <row r="2550" spans="1:4">
      <c r="A2550" s="1"/>
      <c r="D2550" s="1"/>
    </row>
    <row r="2551" spans="1:4">
      <c r="A2551" s="1"/>
      <c r="D2551" s="1"/>
    </row>
    <row r="2552" spans="1:4">
      <c r="A2552" s="1"/>
      <c r="D2552" s="1"/>
    </row>
    <row r="2553" spans="1:4">
      <c r="A2553" s="1"/>
      <c r="D2553" s="1"/>
    </row>
    <row r="2554" spans="1:4">
      <c r="A2554" s="1"/>
      <c r="D2554" s="1"/>
    </row>
    <row r="2555" spans="1:4">
      <c r="A2555" s="1"/>
      <c r="D2555" s="1"/>
    </row>
    <row r="2556" spans="1:4">
      <c r="A2556" s="1"/>
      <c r="D2556" s="1"/>
    </row>
    <row r="2557" spans="1:4">
      <c r="A2557" s="1"/>
      <c r="D2557" s="1"/>
    </row>
    <row r="2558" spans="1:4">
      <c r="A2558" s="1"/>
      <c r="D2558" s="1"/>
    </row>
    <row r="2559" spans="1:4">
      <c r="A2559" s="1"/>
      <c r="D2559" s="1"/>
    </row>
    <row r="2560" spans="1:4">
      <c r="A2560" s="1"/>
      <c r="D2560" s="1"/>
    </row>
    <row r="2561" spans="1:4">
      <c r="A2561" s="1"/>
      <c r="D2561" s="1"/>
    </row>
    <row r="2562" spans="1:4">
      <c r="A2562" s="1"/>
      <c r="D2562" s="1"/>
    </row>
    <row r="2563" spans="1:4">
      <c r="A2563" s="1"/>
      <c r="D2563" s="1"/>
    </row>
    <row r="2564" spans="1:4">
      <c r="A2564" s="1"/>
      <c r="D2564" s="1"/>
    </row>
    <row r="2565" spans="1:4">
      <c r="A2565" s="1"/>
      <c r="D2565" s="1"/>
    </row>
    <row r="2566" spans="1:4">
      <c r="A2566" s="1"/>
      <c r="D2566" s="1"/>
    </row>
    <row r="2567" spans="1:4">
      <c r="A2567" s="1"/>
      <c r="D2567" s="1"/>
    </row>
    <row r="2568" spans="1:4">
      <c r="A2568" s="1"/>
      <c r="D2568" s="1"/>
    </row>
    <row r="2569" spans="1:4">
      <c r="A2569" s="1"/>
      <c r="D2569" s="1"/>
    </row>
    <row r="2570" spans="1:4">
      <c r="A2570" s="1"/>
      <c r="D2570" s="1"/>
    </row>
    <row r="2571" spans="1:4">
      <c r="A2571" s="1"/>
      <c r="D2571" s="1"/>
    </row>
    <row r="2572" spans="1:4">
      <c r="A2572" s="1"/>
      <c r="D2572" s="1"/>
    </row>
    <row r="2573" spans="1:4">
      <c r="A2573" s="1"/>
      <c r="D2573" s="1"/>
    </row>
    <row r="2574" spans="1:4">
      <c r="A2574" s="1"/>
      <c r="D2574" s="1"/>
    </row>
    <row r="2575" spans="1:4">
      <c r="A2575" s="1"/>
      <c r="D2575" s="1"/>
    </row>
    <row r="2576" spans="1:4">
      <c r="A2576" s="1"/>
      <c r="D2576" s="1"/>
    </row>
    <row r="2577" spans="1:4">
      <c r="A2577" s="1"/>
      <c r="D2577" s="1"/>
    </row>
    <row r="2578" spans="1:4">
      <c r="A2578" s="1"/>
      <c r="D2578" s="1"/>
    </row>
    <row r="2579" spans="1:4">
      <c r="A2579" s="1"/>
      <c r="D2579" s="1"/>
    </row>
    <row r="2580" spans="1:4">
      <c r="A2580" s="1"/>
      <c r="D2580" s="1"/>
    </row>
    <row r="2581" spans="1:4">
      <c r="A2581" s="1"/>
      <c r="D2581" s="1"/>
    </row>
    <row r="2582" spans="1:4">
      <c r="A2582" s="1"/>
      <c r="D2582" s="1"/>
    </row>
    <row r="2583" spans="1:4">
      <c r="A2583" s="1"/>
      <c r="D2583" s="1"/>
    </row>
    <row r="2584" spans="1:4">
      <c r="A2584" s="1"/>
      <c r="D2584" s="1"/>
    </row>
    <row r="2585" spans="1:4">
      <c r="A2585" s="1"/>
      <c r="D2585" s="1"/>
    </row>
    <row r="2586" spans="1:4">
      <c r="A2586" s="1"/>
      <c r="D2586" s="1"/>
    </row>
    <row r="2587" spans="1:4">
      <c r="A2587" s="1"/>
      <c r="D2587" s="1"/>
    </row>
    <row r="2588" spans="1:4">
      <c r="A2588" s="1"/>
      <c r="D2588" s="1"/>
    </row>
    <row r="2589" spans="1:4">
      <c r="A2589" s="1"/>
      <c r="D2589" s="1"/>
    </row>
    <row r="2590" spans="1:4">
      <c r="A2590" s="1"/>
      <c r="D2590" s="1"/>
    </row>
    <row r="2591" spans="1:4">
      <c r="A2591" s="1"/>
      <c r="D2591" s="1"/>
    </row>
    <row r="2592" spans="1:4">
      <c r="A2592" s="1"/>
      <c r="D2592" s="1"/>
    </row>
    <row r="2593" spans="1:4">
      <c r="A2593" s="1"/>
      <c r="D2593" s="1"/>
    </row>
    <row r="2594" spans="1:4">
      <c r="A2594" s="1"/>
      <c r="D2594" s="1"/>
    </row>
    <row r="2595" spans="1:4">
      <c r="A2595" s="1"/>
      <c r="D2595" s="1"/>
    </row>
    <row r="2596" spans="1:4">
      <c r="A2596" s="1"/>
      <c r="D2596" s="1"/>
    </row>
    <row r="2597" spans="1:4">
      <c r="A2597" s="1"/>
      <c r="D2597" s="1"/>
    </row>
    <row r="2598" spans="1:4">
      <c r="A2598" s="1"/>
      <c r="D2598" s="1"/>
    </row>
    <row r="2599" spans="1:4">
      <c r="A2599" s="1"/>
      <c r="D2599" s="1"/>
    </row>
    <row r="2600" spans="1:4">
      <c r="A2600" s="1"/>
      <c r="D2600" s="1"/>
    </row>
    <row r="2601" spans="1:4">
      <c r="A2601" s="1"/>
      <c r="D2601" s="1"/>
    </row>
    <row r="2602" spans="1:4">
      <c r="A2602" s="1"/>
      <c r="D2602" s="1"/>
    </row>
    <row r="2603" spans="1:4">
      <c r="A2603" s="1"/>
      <c r="D2603" s="1"/>
    </row>
    <row r="2604" spans="1:4">
      <c r="A2604" s="1"/>
      <c r="D2604" s="1"/>
    </row>
    <row r="2605" spans="1:4">
      <c r="A2605" s="1"/>
      <c r="D2605" s="1"/>
    </row>
    <row r="2606" spans="1:4">
      <c r="A2606" s="1"/>
      <c r="D2606" s="1"/>
    </row>
    <row r="2607" spans="1:4">
      <c r="A2607" s="1"/>
      <c r="D2607" s="1"/>
    </row>
    <row r="2608" spans="1:4">
      <c r="A2608" s="1"/>
      <c r="D2608" s="1"/>
    </row>
    <row r="2609" spans="1:4">
      <c r="A2609" s="1"/>
      <c r="D2609" s="1"/>
    </row>
    <row r="2610" spans="1:4">
      <c r="A2610" s="1"/>
      <c r="D2610" s="1"/>
    </row>
    <row r="2611" spans="1:4">
      <c r="A2611" s="1"/>
      <c r="D2611" s="1"/>
    </row>
    <row r="2612" spans="1:4">
      <c r="A2612" s="1"/>
      <c r="D2612" s="1"/>
    </row>
    <row r="2613" spans="1:4">
      <c r="A2613" s="1"/>
      <c r="D2613" s="1"/>
    </row>
    <row r="2614" spans="1:4">
      <c r="A2614" s="1"/>
      <c r="D2614" s="1"/>
    </row>
    <row r="2615" spans="1:4">
      <c r="A2615" s="1"/>
      <c r="D2615" s="1"/>
    </row>
    <row r="2616" spans="1:4">
      <c r="A2616" s="1"/>
      <c r="D2616" s="1"/>
    </row>
    <row r="2617" spans="1:4">
      <c r="A2617" s="1"/>
      <c r="D2617" s="1"/>
    </row>
    <row r="2618" spans="1:4">
      <c r="A2618" s="1"/>
      <c r="D2618" s="1"/>
    </row>
    <row r="2619" spans="1:4">
      <c r="A2619" s="1"/>
      <c r="D2619" s="1"/>
    </row>
    <row r="2620" spans="1:4">
      <c r="A2620" s="1"/>
      <c r="D2620" s="1"/>
    </row>
    <row r="2621" spans="1:4">
      <c r="A2621" s="1"/>
      <c r="D2621" s="1"/>
    </row>
    <row r="2622" spans="1:4">
      <c r="A2622" s="1"/>
      <c r="D2622" s="1"/>
    </row>
    <row r="2623" spans="1:4">
      <c r="A2623" s="1"/>
      <c r="D2623" s="1"/>
    </row>
    <row r="2624" spans="1:4">
      <c r="A2624" s="1"/>
      <c r="D2624" s="1"/>
    </row>
    <row r="2625" spans="1:4">
      <c r="A2625" s="1"/>
      <c r="D2625" s="1"/>
    </row>
    <row r="2626" spans="1:4">
      <c r="A2626" s="1"/>
      <c r="D2626" s="1"/>
    </row>
    <row r="2627" spans="1:4">
      <c r="A2627" s="1"/>
      <c r="D2627" s="1"/>
    </row>
    <row r="2628" spans="1:4">
      <c r="A2628" s="1"/>
      <c r="D2628" s="1"/>
    </row>
    <row r="2629" spans="1:4">
      <c r="A2629" s="1"/>
      <c r="D2629" s="1"/>
    </row>
    <row r="2630" spans="1:4">
      <c r="A2630" s="1"/>
      <c r="D2630" s="1"/>
    </row>
    <row r="2631" spans="1:4">
      <c r="A2631" s="1"/>
      <c r="D2631" s="1"/>
    </row>
    <row r="2632" spans="1:4">
      <c r="A2632" s="1"/>
      <c r="D2632" s="1"/>
    </row>
    <row r="2633" spans="1:4">
      <c r="A2633" s="1"/>
      <c r="D2633" s="1"/>
    </row>
    <row r="2634" spans="1:4">
      <c r="A2634" s="1"/>
      <c r="D2634" s="1"/>
    </row>
    <row r="2635" spans="1:4">
      <c r="A2635" s="1"/>
      <c r="D2635" s="1"/>
    </row>
    <row r="2636" spans="1:4">
      <c r="A2636" s="1"/>
      <c r="D2636" s="1"/>
    </row>
    <row r="2637" spans="1:4">
      <c r="A2637" s="1"/>
      <c r="D2637" s="1"/>
    </row>
    <row r="2638" spans="1:4">
      <c r="A2638" s="1"/>
      <c r="D2638" s="1"/>
    </row>
    <row r="2639" spans="1:4">
      <c r="A2639" s="1"/>
      <c r="D2639" s="1"/>
    </row>
    <row r="2640" spans="1:4">
      <c r="A2640" s="1"/>
      <c r="D2640" s="1"/>
    </row>
    <row r="2641" spans="1:4">
      <c r="A2641" s="1"/>
      <c r="D2641" s="1"/>
    </row>
    <row r="2642" spans="1:4">
      <c r="A2642" s="1"/>
      <c r="D2642" s="1"/>
    </row>
    <row r="2643" spans="1:4">
      <c r="A2643" s="1"/>
      <c r="D2643" s="1"/>
    </row>
    <row r="2644" spans="1:4">
      <c r="A2644" s="1"/>
      <c r="D2644" s="1"/>
    </row>
    <row r="2645" spans="1:4">
      <c r="A2645" s="1"/>
      <c r="D2645" s="1"/>
    </row>
    <row r="2646" spans="1:4">
      <c r="A2646" s="1"/>
      <c r="D2646" s="1"/>
    </row>
    <row r="2647" spans="1:4">
      <c r="A2647" s="1"/>
      <c r="D2647" s="1"/>
    </row>
    <row r="2648" spans="1:4">
      <c r="A2648" s="1"/>
      <c r="D2648" s="1"/>
    </row>
    <row r="2649" spans="1:4">
      <c r="A2649" s="1"/>
      <c r="D2649" s="1"/>
    </row>
    <row r="2650" spans="1:4">
      <c r="A2650" s="1"/>
      <c r="D2650" s="1"/>
    </row>
    <row r="2651" spans="1:4">
      <c r="A2651" s="1"/>
      <c r="D2651" s="1"/>
    </row>
    <row r="2652" spans="1:4">
      <c r="A2652" s="1"/>
      <c r="D2652" s="1"/>
    </row>
    <row r="2653" spans="1:4">
      <c r="A2653" s="1"/>
      <c r="D2653" s="1"/>
    </row>
    <row r="2654" spans="1:4">
      <c r="A2654" s="1"/>
      <c r="D2654" s="1"/>
    </row>
    <row r="2655" spans="1:4">
      <c r="A2655" s="1"/>
      <c r="D2655" s="1"/>
    </row>
    <row r="2656" spans="1:4">
      <c r="A2656" s="1"/>
      <c r="D2656" s="1"/>
    </row>
    <row r="2657" spans="1:4">
      <c r="A2657" s="1"/>
      <c r="D2657" s="1"/>
    </row>
    <row r="2658" spans="1:4">
      <c r="A2658" s="1"/>
      <c r="D2658" s="1"/>
    </row>
    <row r="2659" spans="1:4">
      <c r="A2659" s="1"/>
      <c r="D2659" s="1"/>
    </row>
    <row r="2660" spans="1:4">
      <c r="A2660" s="1"/>
      <c r="D2660" s="1"/>
    </row>
    <row r="2661" spans="1:4">
      <c r="A2661" s="1"/>
      <c r="D2661" s="1"/>
    </row>
    <row r="2662" spans="1:4">
      <c r="A2662" s="1"/>
      <c r="D2662" s="1"/>
    </row>
    <row r="2663" spans="1:4">
      <c r="A2663" s="1"/>
      <c r="D2663" s="1"/>
    </row>
    <row r="2664" spans="1:4">
      <c r="A2664" s="1"/>
      <c r="D2664" s="1"/>
    </row>
    <row r="2665" spans="1:4">
      <c r="A2665" s="1"/>
      <c r="D2665" s="1"/>
    </row>
    <row r="2666" spans="1:4">
      <c r="A2666" s="1"/>
      <c r="D2666" s="1"/>
    </row>
    <row r="2667" spans="1:4">
      <c r="A2667" s="1"/>
      <c r="D2667" s="1"/>
    </row>
    <row r="2668" spans="1:4">
      <c r="A2668" s="1"/>
      <c r="D2668" s="1"/>
    </row>
    <row r="2669" spans="1:4">
      <c r="A2669" s="1"/>
      <c r="D2669" s="1"/>
    </row>
    <row r="2670" spans="1:4">
      <c r="A2670" s="1"/>
      <c r="D2670" s="1"/>
    </row>
    <row r="2671" spans="1:4">
      <c r="A2671" s="1"/>
      <c r="D2671" s="1"/>
    </row>
    <row r="2672" spans="1:4">
      <c r="A2672" s="1"/>
      <c r="D2672" s="1"/>
    </row>
    <row r="2673" spans="1:4">
      <c r="A2673" s="1"/>
      <c r="D2673" s="1"/>
    </row>
    <row r="2674" spans="1:4">
      <c r="A2674" s="1"/>
      <c r="D2674" s="1"/>
    </row>
    <row r="2675" spans="1:4">
      <c r="A2675" s="1"/>
      <c r="D2675" s="1"/>
    </row>
    <row r="2676" spans="1:4">
      <c r="A2676" s="1"/>
      <c r="D2676" s="1"/>
    </row>
    <row r="2677" spans="1:4">
      <c r="A2677" s="1"/>
      <c r="D2677" s="1"/>
    </row>
    <row r="2678" spans="1:4">
      <c r="A2678" s="1"/>
      <c r="D2678" s="1"/>
    </row>
    <row r="2679" spans="1:4">
      <c r="A2679" s="1"/>
      <c r="D2679" s="1"/>
    </row>
    <row r="2680" spans="1:4">
      <c r="A2680" s="1"/>
      <c r="D2680" s="1"/>
    </row>
    <row r="2681" spans="1:4">
      <c r="A2681" s="1"/>
      <c r="D2681" s="1"/>
    </row>
    <row r="2682" spans="1:4">
      <c r="A2682" s="1"/>
      <c r="D2682" s="1"/>
    </row>
    <row r="2683" spans="1:4">
      <c r="A2683" s="1"/>
      <c r="D2683" s="1"/>
    </row>
    <row r="2684" spans="1:4">
      <c r="A2684" s="1"/>
      <c r="D2684" s="1"/>
    </row>
    <row r="2685" spans="1:4">
      <c r="A2685" s="1"/>
      <c r="D2685" s="1"/>
    </row>
    <row r="2686" spans="1:4">
      <c r="A2686" s="1"/>
      <c r="D2686" s="1"/>
    </row>
    <row r="2687" spans="1:4">
      <c r="A2687" s="1"/>
      <c r="D2687" s="1"/>
    </row>
    <row r="2688" spans="1:4">
      <c r="A2688" s="1"/>
      <c r="D2688" s="1"/>
    </row>
    <row r="2689" spans="1:4">
      <c r="A2689" s="1"/>
      <c r="D2689" s="1"/>
    </row>
    <row r="2690" spans="1:4">
      <c r="A2690" s="1"/>
      <c r="D2690" s="1"/>
    </row>
    <row r="2691" spans="1:4">
      <c r="A2691" s="1"/>
      <c r="D2691" s="1"/>
    </row>
    <row r="2692" spans="1:4">
      <c r="A2692" s="1"/>
      <c r="D2692" s="1"/>
    </row>
    <row r="2693" spans="1:4">
      <c r="A2693" s="1"/>
      <c r="D2693" s="1"/>
    </row>
    <row r="2694" spans="1:4">
      <c r="A2694" s="1"/>
      <c r="D2694" s="1"/>
    </row>
    <row r="2695" spans="1:4">
      <c r="A2695" s="1"/>
      <c r="D2695" s="1"/>
    </row>
    <row r="2696" spans="1:4">
      <c r="A2696" s="1"/>
      <c r="D2696" s="1"/>
    </row>
    <row r="2697" spans="1:4">
      <c r="A2697" s="1"/>
      <c r="D2697" s="1"/>
    </row>
    <row r="2698" spans="1:4">
      <c r="A2698" s="1"/>
      <c r="D2698" s="1"/>
    </row>
    <row r="2699" spans="1:4">
      <c r="A2699" s="1"/>
      <c r="D2699" s="1"/>
    </row>
    <row r="2700" spans="1:4">
      <c r="A2700" s="1"/>
      <c r="D2700" s="1"/>
    </row>
    <row r="2701" spans="1:4">
      <c r="A2701" s="1"/>
      <c r="D2701" s="1"/>
    </row>
    <row r="2702" spans="1:4">
      <c r="A2702" s="1"/>
      <c r="D2702" s="1"/>
    </row>
    <row r="2703" spans="1:4">
      <c r="A2703" s="1"/>
      <c r="D2703" s="1"/>
    </row>
    <row r="2704" spans="1:4">
      <c r="A2704" s="1"/>
      <c r="D2704" s="1"/>
    </row>
    <row r="2705" spans="1:4">
      <c r="A2705" s="1"/>
      <c r="D2705" s="1"/>
    </row>
    <row r="2706" spans="1:4">
      <c r="A2706" s="1"/>
      <c r="D2706" s="1"/>
    </row>
    <row r="2707" spans="1:4">
      <c r="A2707" s="1"/>
      <c r="D2707" s="1"/>
    </row>
    <row r="2708" spans="1:4">
      <c r="A2708" s="1"/>
      <c r="D2708" s="1"/>
    </row>
    <row r="2709" spans="1:4">
      <c r="A2709" s="1"/>
      <c r="D2709" s="1"/>
    </row>
    <row r="2710" spans="1:4">
      <c r="A2710" s="1"/>
      <c r="D2710" s="1"/>
    </row>
    <row r="2711" spans="1:4">
      <c r="A2711" s="1"/>
      <c r="D2711" s="1"/>
    </row>
    <row r="2712" spans="1:4">
      <c r="A2712" s="1"/>
      <c r="D2712" s="1"/>
    </row>
    <row r="2713" spans="1:4">
      <c r="A2713" s="1"/>
      <c r="D2713" s="1"/>
    </row>
    <row r="2714" spans="1:4">
      <c r="A2714" s="1"/>
      <c r="D2714" s="1"/>
    </row>
    <row r="2715" spans="1:4">
      <c r="A2715" s="1"/>
      <c r="D2715" s="1"/>
    </row>
    <row r="2716" spans="1:4">
      <c r="A2716" s="1"/>
      <c r="D2716" s="1"/>
    </row>
    <row r="2717" spans="1:4">
      <c r="A2717" s="1"/>
      <c r="D2717" s="1"/>
    </row>
    <row r="2718" spans="1:4">
      <c r="A2718" s="1"/>
      <c r="D2718" s="1"/>
    </row>
    <row r="2719" spans="1:4">
      <c r="A2719" s="1"/>
      <c r="D2719" s="1"/>
    </row>
    <row r="2720" spans="1:4">
      <c r="A2720" s="1"/>
      <c r="D2720" s="1"/>
    </row>
    <row r="2721" spans="1:4">
      <c r="A2721" s="1"/>
      <c r="D2721" s="1"/>
    </row>
    <row r="2722" spans="1:4">
      <c r="A2722" s="1"/>
      <c r="D2722" s="1"/>
    </row>
    <row r="2723" spans="1:4">
      <c r="A2723" s="1"/>
      <c r="D2723" s="1"/>
    </row>
    <row r="2724" spans="1:4">
      <c r="A2724" s="1"/>
      <c r="D2724" s="1"/>
    </row>
    <row r="2725" spans="1:4">
      <c r="A2725" s="1"/>
      <c r="D2725" s="1"/>
    </row>
    <row r="2726" spans="1:4">
      <c r="A2726" s="1"/>
      <c r="D2726" s="1"/>
    </row>
    <row r="2727" spans="1:4">
      <c r="A2727" s="1"/>
      <c r="D2727" s="1"/>
    </row>
    <row r="2728" spans="1:4">
      <c r="A2728" s="1"/>
      <c r="D2728" s="1"/>
    </row>
    <row r="2729" spans="1:4">
      <c r="A2729" s="1"/>
      <c r="D2729" s="1"/>
    </row>
    <row r="2730" spans="1:4">
      <c r="A2730" s="1"/>
      <c r="D2730" s="1"/>
    </row>
    <row r="2731" spans="1:4">
      <c r="A2731" s="1"/>
      <c r="D2731" s="1"/>
    </row>
    <row r="2732" spans="1:4">
      <c r="A2732" s="1"/>
      <c r="D2732" s="1"/>
    </row>
    <row r="2733" spans="1:4">
      <c r="A2733" s="1"/>
      <c r="D2733" s="1"/>
    </row>
    <row r="2734" spans="1:4">
      <c r="A2734" s="1"/>
      <c r="D2734" s="1"/>
    </row>
    <row r="2735" spans="1:4">
      <c r="A2735" s="1"/>
      <c r="D2735" s="1"/>
    </row>
    <row r="2736" spans="1:4">
      <c r="A2736" s="1"/>
      <c r="D2736" s="1"/>
    </row>
    <row r="2737" spans="1:4">
      <c r="A2737" s="1"/>
      <c r="D2737" s="1"/>
    </row>
    <row r="2738" spans="1:4">
      <c r="A2738" s="1"/>
      <c r="D2738" s="1"/>
    </row>
    <row r="2739" spans="1:4">
      <c r="A2739" s="1"/>
      <c r="D2739" s="1"/>
    </row>
    <row r="2740" spans="1:4">
      <c r="A2740" s="1"/>
      <c r="D2740" s="1"/>
    </row>
    <row r="2741" spans="1:4">
      <c r="A2741" s="1"/>
      <c r="D2741" s="1"/>
    </row>
    <row r="2742" spans="1:4">
      <c r="A2742" s="1"/>
      <c r="D2742" s="1"/>
    </row>
    <row r="2743" spans="1:4">
      <c r="A2743" s="1"/>
      <c r="D2743" s="1"/>
    </row>
    <row r="2744" spans="1:4">
      <c r="A2744" s="1"/>
      <c r="D2744" s="1"/>
    </row>
    <row r="2745" spans="1:4">
      <c r="A2745" s="1"/>
      <c r="D2745" s="1"/>
    </row>
    <row r="2746" spans="1:4">
      <c r="A2746" s="1"/>
      <c r="D2746" s="1"/>
    </row>
    <row r="2747" spans="1:4">
      <c r="A2747" s="1"/>
      <c r="D2747" s="1"/>
    </row>
    <row r="2748" spans="1:4">
      <c r="A2748" s="1"/>
      <c r="D2748" s="1"/>
    </row>
    <row r="2749" spans="1:4">
      <c r="A2749" s="1"/>
      <c r="D2749" s="1"/>
    </row>
    <row r="2750" spans="1:4">
      <c r="A2750" s="1"/>
      <c r="D2750" s="1"/>
    </row>
    <row r="2751" spans="1:4">
      <c r="A2751" s="1"/>
      <c r="D2751" s="1"/>
    </row>
    <row r="2752" spans="1:4">
      <c r="A2752" s="1"/>
      <c r="D2752" s="1"/>
    </row>
    <row r="2753" spans="1:4">
      <c r="A2753" s="1"/>
      <c r="D2753" s="1"/>
    </row>
    <row r="2754" spans="1:4">
      <c r="A2754" s="1"/>
      <c r="D2754" s="1"/>
    </row>
    <row r="2755" spans="1:4">
      <c r="A2755" s="1"/>
      <c r="D2755" s="1"/>
    </row>
    <row r="2756" spans="1:4">
      <c r="A2756" s="1"/>
      <c r="D2756" s="1"/>
    </row>
    <row r="2757" spans="1:4">
      <c r="A2757" s="1"/>
      <c r="D2757" s="1"/>
    </row>
    <row r="2758" spans="1:4">
      <c r="A2758" s="1"/>
      <c r="D2758" s="1"/>
    </row>
    <row r="2759" spans="1:4">
      <c r="A2759" s="1"/>
      <c r="D2759" s="1"/>
    </row>
    <row r="2760" spans="1:4">
      <c r="A2760" s="1"/>
      <c r="D2760" s="1"/>
    </row>
    <row r="2761" spans="1:4">
      <c r="A2761" s="1"/>
      <c r="D2761" s="1"/>
    </row>
    <row r="2762" spans="1:4">
      <c r="A2762" s="1"/>
      <c r="D2762" s="1"/>
    </row>
    <row r="2763" spans="1:4">
      <c r="A2763" s="1"/>
      <c r="D2763" s="1"/>
    </row>
    <row r="2764" spans="1:4">
      <c r="A2764" s="1"/>
      <c r="D2764" s="1"/>
    </row>
    <row r="2765" spans="1:4">
      <c r="A2765" s="1"/>
      <c r="D2765" s="1"/>
    </row>
    <row r="2766" spans="1:4">
      <c r="A2766" s="1"/>
      <c r="D2766" s="1"/>
    </row>
    <row r="2767" spans="1:4">
      <c r="A2767" s="1"/>
      <c r="D2767" s="1"/>
    </row>
    <row r="2768" spans="1:4">
      <c r="A2768" s="1"/>
      <c r="D2768" s="1"/>
    </row>
    <row r="2769" spans="1:4">
      <c r="A2769" s="1"/>
      <c r="D2769" s="1"/>
    </row>
    <row r="2770" spans="1:4">
      <c r="A2770" s="1"/>
      <c r="D2770" s="1"/>
    </row>
    <row r="2771" spans="1:4">
      <c r="A2771" s="1"/>
      <c r="D2771" s="1"/>
    </row>
    <row r="2772" spans="1:4">
      <c r="A2772" s="1"/>
      <c r="D2772" s="1"/>
    </row>
    <row r="2773" spans="1:4">
      <c r="A2773" s="1"/>
      <c r="D2773" s="1"/>
    </row>
    <row r="2774" spans="1:4">
      <c r="A2774" s="1"/>
      <c r="D2774" s="1"/>
    </row>
    <row r="2775" spans="1:4">
      <c r="A2775" s="1"/>
      <c r="D2775" s="1"/>
    </row>
    <row r="2776" spans="1:4">
      <c r="A2776" s="1"/>
      <c r="D2776" s="1"/>
    </row>
    <row r="2777" spans="1:4">
      <c r="A2777" s="1"/>
      <c r="D2777" s="1"/>
    </row>
    <row r="2778" spans="1:4">
      <c r="A2778" s="1"/>
      <c r="D2778" s="1"/>
    </row>
    <row r="2779" spans="1:4">
      <c r="A2779" s="1"/>
      <c r="D2779" s="1"/>
    </row>
    <row r="2780" spans="1:4">
      <c r="A2780" s="1"/>
      <c r="D2780" s="1"/>
    </row>
    <row r="2781" spans="1:4">
      <c r="A2781" s="1"/>
      <c r="D2781" s="1"/>
    </row>
  </sheetData>
  <pageMargins left="0.75" right="0.75" top="1" bottom="1" header="0.5" footer="0.5"/>
  <headerFooter alignWithMargins="0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"/>
  <dimension ref="A1:K2781"/>
  <sheetViews>
    <sheetView workbookViewId="0">
      <selection activeCell="I4" sqref="I4"/>
    </sheetView>
  </sheetViews>
  <sheetFormatPr defaultRowHeight="13.2"/>
  <cols>
    <col min="1" max="1" width="9.77734375" bestFit="1" customWidth="1"/>
    <col min="4" max="4" width="9.77734375" bestFit="1" customWidth="1"/>
    <col min="16" max="16" width="11.21875" bestFit="1" customWidth="1"/>
    <col min="17" max="17" width="10.109375" bestFit="1" customWidth="1"/>
    <col min="18" max="20" width="10.109375" customWidth="1"/>
    <col min="21" max="21" width="12.5546875" bestFit="1" customWidth="1"/>
    <col min="22" max="22" width="9.5546875" bestFit="1" customWidth="1"/>
    <col min="23" max="23" width="9.5546875" customWidth="1"/>
    <col min="24" max="24" width="9.33203125" bestFit="1" customWidth="1"/>
    <col min="27" max="27" width="9.33203125" bestFit="1" customWidth="1"/>
    <col min="28" max="28" width="9.33203125" customWidth="1"/>
    <col min="30" max="30" width="10.109375" bestFit="1" customWidth="1"/>
    <col min="31" max="34" width="10.109375" customWidth="1"/>
    <col min="40" max="40" width="9.33203125" bestFit="1" customWidth="1"/>
    <col min="41" max="41" width="9.33203125" customWidth="1"/>
    <col min="52" max="52" width="10.109375" bestFit="1" customWidth="1"/>
    <col min="53" max="53" width="12.33203125" bestFit="1" customWidth="1"/>
  </cols>
  <sheetData>
    <row r="1" spans="1:11">
      <c r="A1" t="s">
        <v>8</v>
      </c>
      <c r="B1">
        <v>-19.62</v>
      </c>
    </row>
    <row r="3" spans="1:11">
      <c r="A3" t="s">
        <v>9</v>
      </c>
      <c r="B3" t="s">
        <v>6</v>
      </c>
      <c r="C3" t="s">
        <v>7</v>
      </c>
      <c r="D3" t="s">
        <v>11</v>
      </c>
      <c r="E3" t="s">
        <v>0</v>
      </c>
      <c r="F3" t="s">
        <v>1</v>
      </c>
      <c r="G3" t="s">
        <v>2</v>
      </c>
      <c r="H3" t="s">
        <v>3</v>
      </c>
      <c r="I3" s="3" t="s">
        <v>88</v>
      </c>
      <c r="J3" t="s">
        <v>4</v>
      </c>
      <c r="K3" s="3"/>
    </row>
    <row r="4" spans="1:11">
      <c r="A4" s="1">
        <f>DATE(E4,1,1)+F4-1</f>
        <v>32633</v>
      </c>
      <c r="B4">
        <f>J4</f>
        <v>11.096635913842078</v>
      </c>
      <c r="C4">
        <f>day_length(F4,$B$1,Fitting!$B$4)</f>
        <v>12.101004600524902</v>
      </c>
      <c r="D4" s="1">
        <f>A4</f>
        <v>32633</v>
      </c>
      <c r="E4" s="5">
        <v>1989</v>
      </c>
      <c r="F4" s="5">
        <v>125</v>
      </c>
      <c r="G4">
        <v>28.3</v>
      </c>
      <c r="H4">
        <v>16.399999999999999</v>
      </c>
      <c r="I4">
        <f>MAX(0,1-Fitting!$B$7*(Fitting!$B$6-Herm8889!C4)^2)</f>
        <v>0.49649376843153181</v>
      </c>
      <c r="J4">
        <f>tt(G4,H4,Fitting!$B$1:$E$1,Fitting!$B$2:$E$2)*I4</f>
        <v>11.096635913842078</v>
      </c>
      <c r="K4" s="3"/>
    </row>
    <row r="5" spans="1:11">
      <c r="A5" s="1">
        <f>A4+1</f>
        <v>32634</v>
      </c>
      <c r="B5">
        <f t="shared" ref="B5:B68" si="0">B4+J5</f>
        <v>22.360276605005616</v>
      </c>
      <c r="C5">
        <f>day_length(F5,$B$1,Fitting!$B$4)</f>
        <v>12.087034225463867</v>
      </c>
      <c r="D5" s="1">
        <f t="shared" ref="D5:D68" si="1">A5</f>
        <v>32634</v>
      </c>
      <c r="E5">
        <f>YEAR(A5)</f>
        <v>1989</v>
      </c>
      <c r="F5" s="6">
        <f>A5-DATE(E5,1,1)+1</f>
        <v>126</v>
      </c>
      <c r="G5">
        <v>28.9</v>
      </c>
      <c r="H5">
        <v>16.7</v>
      </c>
      <c r="I5">
        <f>MAX(0,1-Fitting!$B$7*(Fitting!$B$6-Herm8889!C5)^2)</f>
        <v>0.49401934509080636</v>
      </c>
      <c r="J5">
        <f>tt(G5,H5,Fitting!$B$1:$E$1,Fitting!$B$2:$E$2)*I5</f>
        <v>11.263640691163536</v>
      </c>
    </row>
    <row r="6" spans="1:11">
      <c r="A6" s="1">
        <f t="shared" ref="A6:A69" si="2">A5+1</f>
        <v>32635</v>
      </c>
      <c r="B6">
        <f t="shared" si="0"/>
        <v>34.403752900067971</v>
      </c>
      <c r="C6">
        <f>day_length(F6,$B$1,Fitting!$B$4)</f>
        <v>12.073270797729492</v>
      </c>
      <c r="D6" s="1">
        <f t="shared" si="1"/>
        <v>32635</v>
      </c>
      <c r="E6">
        <f t="shared" ref="E6:E69" si="3">YEAR(A6)</f>
        <v>1989</v>
      </c>
      <c r="F6" s="6">
        <f t="shared" ref="F6:F69" si="4">A6-DATE(E6,1,1)+1</f>
        <v>127</v>
      </c>
      <c r="G6">
        <v>29.2</v>
      </c>
      <c r="H6">
        <v>19.8</v>
      </c>
      <c r="I6">
        <f>MAX(0,1-Fitting!$B$7*(Fitting!$B$6-Herm8889!C6)^2)</f>
        <v>0.49157046102295321</v>
      </c>
      <c r="J6">
        <f>tt(G6,H6,Fitting!$B$1:$E$1,Fitting!$B$2:$E$2)*I6</f>
        <v>12.043476295062353</v>
      </c>
    </row>
    <row r="7" spans="1:11">
      <c r="A7" s="1">
        <f t="shared" si="2"/>
        <v>32636</v>
      </c>
      <c r="B7">
        <f t="shared" si="0"/>
        <v>47.253568847690964</v>
      </c>
      <c r="C7">
        <f>day_length(F7,$B$1,Fitting!$B$4)</f>
        <v>12.059717178344727</v>
      </c>
      <c r="D7" s="1">
        <f t="shared" si="1"/>
        <v>32636</v>
      </c>
      <c r="E7">
        <f t="shared" si="3"/>
        <v>1989</v>
      </c>
      <c r="F7" s="6">
        <f t="shared" si="4"/>
        <v>128</v>
      </c>
      <c r="G7">
        <v>30.3</v>
      </c>
      <c r="H7">
        <v>22.3</v>
      </c>
      <c r="I7">
        <f>MAX(0,1-Fitting!$B$7*(Fitting!$B$6-Herm8889!C7)^2)</f>
        <v>0.4891478728250731</v>
      </c>
      <c r="J7">
        <f>tt(G7,H7,Fitting!$B$1:$E$1,Fitting!$B$2:$E$2)*I7</f>
        <v>12.849815947622991</v>
      </c>
    </row>
    <row r="8" spans="1:11">
      <c r="A8" s="1">
        <f t="shared" si="2"/>
        <v>32637</v>
      </c>
      <c r="B8">
        <f t="shared" si="0"/>
        <v>58.984305507279657</v>
      </c>
      <c r="C8">
        <f>day_length(F8,$B$1,Fitting!$B$4)</f>
        <v>12.04637622833252</v>
      </c>
      <c r="D8" s="1">
        <f t="shared" si="1"/>
        <v>32637</v>
      </c>
      <c r="E8">
        <f t="shared" si="3"/>
        <v>1989</v>
      </c>
      <c r="F8" s="6">
        <f t="shared" si="4"/>
        <v>129</v>
      </c>
      <c r="G8">
        <v>26.6</v>
      </c>
      <c r="H8">
        <v>21.6</v>
      </c>
      <c r="I8">
        <f>MAX(0,1-Fitting!$B$7*(Fitting!$B$6-Herm8889!C8)^2)</f>
        <v>0.48675255078453661</v>
      </c>
      <c r="J8">
        <f>tt(G8,H8,Fitting!$B$1:$E$1,Fitting!$B$2:$E$2)*I8</f>
        <v>11.730736659588695</v>
      </c>
    </row>
    <row r="9" spans="1:11">
      <c r="A9" s="1">
        <f t="shared" si="2"/>
        <v>32638</v>
      </c>
      <c r="B9">
        <f t="shared" si="0"/>
        <v>70.841193856617025</v>
      </c>
      <c r="C9">
        <f>day_length(F9,$B$1,Fitting!$B$4)</f>
        <v>12.033254623413086</v>
      </c>
      <c r="D9" s="1">
        <f t="shared" si="1"/>
        <v>32638</v>
      </c>
      <c r="E9">
        <f t="shared" si="3"/>
        <v>1989</v>
      </c>
      <c r="F9" s="6">
        <f t="shared" si="4"/>
        <v>130</v>
      </c>
      <c r="G9">
        <v>30.5</v>
      </c>
      <c r="H9">
        <v>18.600000000000001</v>
      </c>
      <c r="I9">
        <f>MAX(0,1-Fitting!$B$7*(Fitting!$B$6-Herm8889!C9)^2)</f>
        <v>0.4843855750608782</v>
      </c>
      <c r="J9">
        <f>tt(G9,H9,Fitting!$B$1:$E$1,Fitting!$B$2:$E$2)*I9</f>
        <v>11.856888349337364</v>
      </c>
    </row>
    <row r="10" spans="1:11">
      <c r="A10" s="1">
        <f t="shared" si="2"/>
        <v>32639</v>
      </c>
      <c r="B10">
        <f t="shared" si="0"/>
        <v>81.928296108351745</v>
      </c>
      <c r="C10">
        <f>day_length(F10,$B$1,Fitting!$B$4)</f>
        <v>12.020354270935059</v>
      </c>
      <c r="D10" s="1">
        <f t="shared" si="1"/>
        <v>32639</v>
      </c>
      <c r="E10">
        <f t="shared" si="3"/>
        <v>1989</v>
      </c>
      <c r="F10" s="6">
        <f t="shared" si="4"/>
        <v>131</v>
      </c>
      <c r="G10">
        <v>27.4</v>
      </c>
      <c r="H10">
        <v>18.600000000000001</v>
      </c>
      <c r="I10">
        <f>MAX(0,1-Fitting!$B$7*(Fitting!$B$6-Herm8889!C10)^2)</f>
        <v>0.48204792398846619</v>
      </c>
      <c r="J10">
        <f>tt(G10,H10,Fitting!$B$1:$E$1,Fitting!$B$2:$E$2)*I10</f>
        <v>11.087102251734722</v>
      </c>
    </row>
    <row r="11" spans="1:11">
      <c r="A11" s="1">
        <f t="shared" si="2"/>
        <v>32640</v>
      </c>
      <c r="B11">
        <f t="shared" si="0"/>
        <v>93.034291248304271</v>
      </c>
      <c r="C11">
        <f>day_length(F11,$B$1,Fitting!$B$4)</f>
        <v>12.007680892944336</v>
      </c>
      <c r="D11" s="1">
        <f t="shared" si="1"/>
        <v>32640</v>
      </c>
      <c r="E11">
        <f t="shared" si="3"/>
        <v>1989</v>
      </c>
      <c r="F11" s="6">
        <f t="shared" si="4"/>
        <v>132</v>
      </c>
      <c r="G11">
        <v>28.6</v>
      </c>
      <c r="H11">
        <v>17.7</v>
      </c>
      <c r="I11">
        <f>MAX(0,1-Fitting!$B$7*(Fitting!$B$6-Herm8889!C11)^2)</f>
        <v>0.47974057917609025</v>
      </c>
      <c r="J11">
        <f>tt(G11,H11,Fitting!$B$1:$E$1,Fitting!$B$2:$E$2)*I11</f>
        <v>11.105995139952519</v>
      </c>
    </row>
    <row r="12" spans="1:11">
      <c r="A12" s="1">
        <f t="shared" si="2"/>
        <v>32641</v>
      </c>
      <c r="B12">
        <f t="shared" si="0"/>
        <v>104.42182035776156</v>
      </c>
      <c r="C12">
        <f>day_length(F12,$B$1,Fitting!$B$4)</f>
        <v>11.995238304138184</v>
      </c>
      <c r="D12" s="1">
        <f t="shared" si="1"/>
        <v>32641</v>
      </c>
      <c r="E12">
        <f t="shared" si="3"/>
        <v>1989</v>
      </c>
      <c r="F12" s="6">
        <f t="shared" si="4"/>
        <v>133</v>
      </c>
      <c r="G12">
        <v>28.4</v>
      </c>
      <c r="H12">
        <v>19.3</v>
      </c>
      <c r="I12">
        <f>MAX(0,1-Fitting!$B$7*(Fitting!$B$6-Herm8889!C12)^2)</f>
        <v>0.47746452525446692</v>
      </c>
      <c r="J12">
        <f>tt(G12,H12,Fitting!$B$1:$E$1,Fitting!$B$2:$E$2)*I12</f>
        <v>11.387529109457297</v>
      </c>
    </row>
    <row r="13" spans="1:11">
      <c r="A13" s="1">
        <f t="shared" si="2"/>
        <v>32642</v>
      </c>
      <c r="B13">
        <f t="shared" si="0"/>
        <v>116.08849465336183</v>
      </c>
      <c r="C13">
        <f>day_length(F13,$B$1,Fitting!$B$4)</f>
        <v>11.983030319213867</v>
      </c>
      <c r="D13" s="1">
        <f t="shared" si="1"/>
        <v>32642</v>
      </c>
      <c r="E13">
        <f t="shared" si="3"/>
        <v>1989</v>
      </c>
      <c r="F13" s="6">
        <f t="shared" si="4"/>
        <v>134</v>
      </c>
      <c r="G13">
        <v>29.1</v>
      </c>
      <c r="H13">
        <v>20</v>
      </c>
      <c r="I13">
        <f>MAX(0,1-Fitting!$B$7*(Fitting!$B$6-Herm8889!C13)^2)</f>
        <v>0.47522096367271294</v>
      </c>
      <c r="J13">
        <f>tt(G13,H13,Fitting!$B$1:$E$1,Fitting!$B$2:$E$2)*I13</f>
        <v>11.666674295600281</v>
      </c>
    </row>
    <row r="14" spans="1:11">
      <c r="A14" s="1">
        <f t="shared" si="2"/>
        <v>32643</v>
      </c>
      <c r="B14">
        <f t="shared" si="0"/>
        <v>128.05566065747769</v>
      </c>
      <c r="C14">
        <f>day_length(F14,$B$1,Fitting!$B$4)</f>
        <v>11.971060752868652</v>
      </c>
      <c r="D14" s="1">
        <f t="shared" si="1"/>
        <v>32643</v>
      </c>
      <c r="E14">
        <f t="shared" si="3"/>
        <v>1989</v>
      </c>
      <c r="F14" s="6">
        <f t="shared" si="4"/>
        <v>135</v>
      </c>
      <c r="G14">
        <v>29.3</v>
      </c>
      <c r="H14">
        <v>21.3</v>
      </c>
      <c r="I14">
        <f>MAX(0,1-Fitting!$B$7*(Fitting!$B$6-Herm8889!C14)^2)</f>
        <v>0.47301056392056673</v>
      </c>
      <c r="J14">
        <f>tt(G14,H14,Fitting!$B$1:$E$1,Fitting!$B$2:$E$2)*I14</f>
        <v>11.967166004115866</v>
      </c>
    </row>
    <row r="15" spans="1:11">
      <c r="A15" s="1">
        <f t="shared" si="2"/>
        <v>32644</v>
      </c>
      <c r="B15">
        <f t="shared" si="0"/>
        <v>138.46110875314173</v>
      </c>
      <c r="C15">
        <f>day_length(F15,$B$1,Fitting!$B$4)</f>
        <v>11.959334373474121</v>
      </c>
      <c r="D15" s="1">
        <f t="shared" si="1"/>
        <v>32644</v>
      </c>
      <c r="E15">
        <f t="shared" si="3"/>
        <v>1989</v>
      </c>
      <c r="F15" s="6">
        <f t="shared" si="4"/>
        <v>136</v>
      </c>
      <c r="G15">
        <v>24.4</v>
      </c>
      <c r="H15">
        <v>19.8</v>
      </c>
      <c r="I15">
        <f>MAX(0,1-Fitting!$B$7*(Fitting!$B$6-Herm8889!C15)^2)</f>
        <v>0.47083474733279762</v>
      </c>
      <c r="J15">
        <f>tt(G15,H15,Fitting!$B$1:$E$1,Fitting!$B$2:$E$2)*I15</f>
        <v>10.405448095664029</v>
      </c>
    </row>
    <row r="16" spans="1:11">
      <c r="A16" s="1">
        <f t="shared" si="2"/>
        <v>32645</v>
      </c>
      <c r="B16">
        <f t="shared" si="0"/>
        <v>148.18651536519613</v>
      </c>
      <c r="C16">
        <f>day_length(F16,$B$1,Fitting!$B$4)</f>
        <v>11.947854995727539</v>
      </c>
      <c r="D16" s="1">
        <f t="shared" si="1"/>
        <v>32645</v>
      </c>
      <c r="E16">
        <f t="shared" si="3"/>
        <v>1989</v>
      </c>
      <c r="F16" s="6">
        <f t="shared" si="4"/>
        <v>137</v>
      </c>
      <c r="G16">
        <v>23.5</v>
      </c>
      <c r="H16">
        <v>18</v>
      </c>
      <c r="I16">
        <f>MAX(0,1-Fitting!$B$7*(Fitting!$B$6-Herm8889!C16)^2)</f>
        <v>0.46869429455683898</v>
      </c>
      <c r="J16">
        <f>tt(G16,H16,Fitting!$B$1:$E$1,Fitting!$B$2:$E$2)*I16</f>
        <v>9.7254066120544085</v>
      </c>
    </row>
    <row r="17" spans="1:10">
      <c r="A17" s="1">
        <f t="shared" si="2"/>
        <v>32646</v>
      </c>
      <c r="B17">
        <f t="shared" si="0"/>
        <v>158.10155855959582</v>
      </c>
      <c r="C17">
        <f>day_length(F17,$B$1,Fitting!$B$4)</f>
        <v>11.936627388000488</v>
      </c>
      <c r="D17" s="1">
        <f t="shared" si="1"/>
        <v>32646</v>
      </c>
      <c r="E17">
        <f t="shared" si="3"/>
        <v>1989</v>
      </c>
      <c r="F17" s="6">
        <f t="shared" si="4"/>
        <v>138</v>
      </c>
      <c r="G17">
        <v>25.5</v>
      </c>
      <c r="H17">
        <v>17</v>
      </c>
      <c r="I17">
        <f>MAX(0,1-Fitting!$B$7*(Fitting!$B$6-Herm8889!C17)^2)</f>
        <v>0.4665903098517683</v>
      </c>
      <c r="J17">
        <f>tt(G17,H17,Fitting!$B$1:$E$1,Fitting!$B$2:$E$2)*I17</f>
        <v>9.9150431943996864</v>
      </c>
    </row>
    <row r="18" spans="1:10">
      <c r="A18" s="1">
        <f t="shared" si="2"/>
        <v>32647</v>
      </c>
      <c r="B18">
        <f t="shared" si="0"/>
        <v>168.32108523857087</v>
      </c>
      <c r="C18">
        <f>day_length(F18,$B$1,Fitting!$B$4)</f>
        <v>11.925654411315918</v>
      </c>
      <c r="D18" s="1">
        <f t="shared" si="1"/>
        <v>32647</v>
      </c>
      <c r="E18">
        <f t="shared" si="3"/>
        <v>1989</v>
      </c>
      <c r="F18" s="6">
        <f t="shared" si="4"/>
        <v>139</v>
      </c>
      <c r="G18">
        <v>25.5</v>
      </c>
      <c r="H18">
        <v>18.5</v>
      </c>
      <c r="I18">
        <f>MAX(0,1-Fitting!$B$7*(Fitting!$B$6-Herm8889!C18)^2)</f>
        <v>0.46452389968027452</v>
      </c>
      <c r="J18">
        <f>tt(G18,H18,Fitting!$B$1:$E$1,Fitting!$B$2:$E$2)*I18</f>
        <v>10.219526678975065</v>
      </c>
    </row>
    <row r="19" spans="1:10">
      <c r="A19" s="1">
        <f t="shared" si="2"/>
        <v>32648</v>
      </c>
      <c r="B19">
        <f t="shared" si="0"/>
        <v>179.02786731969184</v>
      </c>
      <c r="C19">
        <f>day_length(F19,$B$1,Fitting!$B$4)</f>
        <v>11.91494083404541</v>
      </c>
      <c r="D19" s="1">
        <f t="shared" si="1"/>
        <v>32648</v>
      </c>
      <c r="E19">
        <f t="shared" si="3"/>
        <v>1989</v>
      </c>
      <c r="F19" s="6">
        <f t="shared" si="4"/>
        <v>140</v>
      </c>
      <c r="G19">
        <v>26.8</v>
      </c>
      <c r="H19">
        <v>19.5</v>
      </c>
      <c r="I19">
        <f>MAX(0,1-Fitting!$B$7*(Fitting!$B$6-Herm8889!C19)^2)</f>
        <v>0.46249595574117297</v>
      </c>
      <c r="J19">
        <f>tt(G19,H19,Fitting!$B$1:$E$1,Fitting!$B$2:$E$2)*I19</f>
        <v>10.706782081120977</v>
      </c>
    </row>
    <row r="20" spans="1:10">
      <c r="A20" s="1">
        <f t="shared" si="2"/>
        <v>32649</v>
      </c>
      <c r="B20">
        <f t="shared" si="0"/>
        <v>189.71164619997538</v>
      </c>
      <c r="C20">
        <f>day_length(F20,$B$1,Fitting!$B$4)</f>
        <v>11.90449047088623</v>
      </c>
      <c r="D20" s="1">
        <f t="shared" si="1"/>
        <v>32649</v>
      </c>
      <c r="E20">
        <f t="shared" si="3"/>
        <v>1989</v>
      </c>
      <c r="F20" s="6">
        <f t="shared" si="4"/>
        <v>141</v>
      </c>
      <c r="G20">
        <v>27.8</v>
      </c>
      <c r="H20">
        <v>18.600000000000001</v>
      </c>
      <c r="I20">
        <f>MAX(0,1-Fitting!$B$7*(Fitting!$B$6-Herm8889!C20)^2)</f>
        <v>0.46050769521310575</v>
      </c>
      <c r="J20">
        <f>tt(G20,H20,Fitting!$B$1:$E$1,Fitting!$B$2:$E$2)*I20</f>
        <v>10.683778880283542</v>
      </c>
    </row>
    <row r="21" spans="1:10">
      <c r="A21" s="1">
        <f t="shared" si="2"/>
        <v>32650</v>
      </c>
      <c r="B21">
        <f t="shared" si="0"/>
        <v>200.23559543623384</v>
      </c>
      <c r="C21">
        <f>day_length(F21,$B$1,Fitting!$B$4)</f>
        <v>11.894307136535645</v>
      </c>
      <c r="D21" s="1">
        <f t="shared" si="1"/>
        <v>32650</v>
      </c>
      <c r="E21">
        <f t="shared" si="3"/>
        <v>1989</v>
      </c>
      <c r="F21" s="6">
        <f t="shared" si="4"/>
        <v>142</v>
      </c>
      <c r="G21">
        <v>27.7</v>
      </c>
      <c r="H21">
        <v>18.2</v>
      </c>
      <c r="I21">
        <f>MAX(0,1-Fitting!$B$7*(Fitting!$B$6-Herm8889!C21)^2)</f>
        <v>0.4585599024417697</v>
      </c>
      <c r="J21">
        <f>tt(G21,H21,Fitting!$B$1:$E$1,Fitting!$B$2:$E$2)*I21</f>
        <v>10.523949236258453</v>
      </c>
    </row>
    <row r="22" spans="1:10">
      <c r="A22" s="1">
        <f t="shared" si="2"/>
        <v>32651</v>
      </c>
      <c r="B22">
        <f t="shared" si="0"/>
        <v>211.12678777285595</v>
      </c>
      <c r="C22">
        <f>day_length(F22,$B$1,Fitting!$B$4)</f>
        <v>11.884396553039551</v>
      </c>
      <c r="D22" s="1">
        <f t="shared" si="1"/>
        <v>32651</v>
      </c>
      <c r="E22">
        <f t="shared" si="3"/>
        <v>1989</v>
      </c>
      <c r="F22" s="6">
        <f t="shared" si="4"/>
        <v>143</v>
      </c>
      <c r="G22">
        <v>27.4</v>
      </c>
      <c r="H22">
        <v>20.3</v>
      </c>
      <c r="I22">
        <f>MAX(0,1-Fitting!$B$7*(Fitting!$B$6-Herm8889!C22)^2)</f>
        <v>0.45665379595054578</v>
      </c>
      <c r="J22">
        <f>tt(G22,H22,Fitting!$B$1:$E$1,Fitting!$B$2:$E$2)*I22</f>
        <v>10.891192336622122</v>
      </c>
    </row>
    <row r="23" spans="1:10">
      <c r="A23" s="1">
        <f t="shared" si="2"/>
        <v>32652</v>
      </c>
      <c r="B23">
        <f t="shared" si="0"/>
        <v>221.17765528701966</v>
      </c>
      <c r="C23">
        <f>day_length(F23,$B$1,Fitting!$B$4)</f>
        <v>11.874759674072266</v>
      </c>
      <c r="D23" s="1">
        <f t="shared" si="1"/>
        <v>32652</v>
      </c>
      <c r="E23">
        <f t="shared" si="3"/>
        <v>1989</v>
      </c>
      <c r="F23" s="6">
        <f t="shared" si="4"/>
        <v>144</v>
      </c>
      <c r="G23">
        <v>25.2</v>
      </c>
      <c r="H23">
        <v>19</v>
      </c>
      <c r="I23">
        <f>MAX(0,1-Fitting!$B$7*(Fitting!$B$6-Herm8889!C23)^2)</f>
        <v>0.45479037740610695</v>
      </c>
      <c r="J23">
        <f>tt(G23,H23,Fitting!$B$1:$E$1,Fitting!$B$2:$E$2)*I23</f>
        <v>10.050867514163725</v>
      </c>
    </row>
    <row r="24" spans="1:10">
      <c r="A24" s="1">
        <f t="shared" si="2"/>
        <v>32653</v>
      </c>
      <c r="B24">
        <f t="shared" si="0"/>
        <v>231.79981732662947</v>
      </c>
      <c r="C24">
        <f>day_length(F24,$B$1,Fitting!$B$4)</f>
        <v>11.865403175354004</v>
      </c>
      <c r="D24" s="1">
        <f t="shared" si="1"/>
        <v>32653</v>
      </c>
      <c r="E24">
        <f t="shared" si="3"/>
        <v>1989</v>
      </c>
      <c r="F24" s="6">
        <f t="shared" si="4"/>
        <v>145</v>
      </c>
      <c r="G24">
        <v>26.7</v>
      </c>
      <c r="H24">
        <v>20.2</v>
      </c>
      <c r="I24">
        <f>MAX(0,1-Fitting!$B$7*(Fitting!$B$6-Herm8889!C24)^2)</f>
        <v>0.45297064793264874</v>
      </c>
      <c r="J24">
        <f>tt(G24,H24,Fitting!$B$1:$E$1,Fitting!$B$2:$E$2)*I24</f>
        <v>10.622162039609792</v>
      </c>
    </row>
    <row r="25" spans="1:10">
      <c r="A25" s="1">
        <f t="shared" si="2"/>
        <v>32654</v>
      </c>
      <c r="B25">
        <f t="shared" si="0"/>
        <v>241.36516455594494</v>
      </c>
      <c r="C25">
        <f>day_length(F25,$B$1,Fitting!$B$4)</f>
        <v>11.856328010559082</v>
      </c>
      <c r="D25" s="1">
        <f t="shared" si="1"/>
        <v>32654</v>
      </c>
      <c r="E25">
        <f t="shared" si="3"/>
        <v>1989</v>
      </c>
      <c r="F25" s="6">
        <f t="shared" si="4"/>
        <v>146</v>
      </c>
      <c r="G25">
        <v>24.2</v>
      </c>
      <c r="H25">
        <v>18.2</v>
      </c>
      <c r="I25">
        <f>MAX(0,1-Fitting!$B$7*(Fitting!$B$6-Herm8889!C25)^2)</f>
        <v>0.45119560778681811</v>
      </c>
      <c r="J25">
        <f>tt(G25,H25,Fitting!$B$1:$E$1,Fitting!$B$2:$E$2)*I25</f>
        <v>9.5653472293154742</v>
      </c>
    </row>
    <row r="26" spans="1:10">
      <c r="A26" s="1">
        <f t="shared" si="2"/>
        <v>32655</v>
      </c>
      <c r="B26">
        <f t="shared" si="0"/>
        <v>251.09610882747808</v>
      </c>
      <c r="C26">
        <f>day_length(F26,$B$1,Fitting!$B$4)</f>
        <v>11.847540855407715</v>
      </c>
      <c r="D26" s="1">
        <f t="shared" si="1"/>
        <v>32655</v>
      </c>
      <c r="E26">
        <f t="shared" si="3"/>
        <v>1989</v>
      </c>
      <c r="F26" s="6">
        <f t="shared" si="4"/>
        <v>147</v>
      </c>
      <c r="G26">
        <v>25.8</v>
      </c>
      <c r="H26">
        <v>17.5</v>
      </c>
      <c r="I26">
        <f>MAX(0,1-Fitting!$B$7*(Fitting!$B$6-Herm8889!C26)^2)</f>
        <v>0.44946625602729362</v>
      </c>
      <c r="J26">
        <f>tt(G26,H26,Fitting!$B$1:$E$1,Fitting!$B$2:$E$2)*I26</f>
        <v>9.7309442715331365</v>
      </c>
    </row>
    <row r="27" spans="1:10">
      <c r="A27" s="1">
        <f t="shared" si="2"/>
        <v>32656</v>
      </c>
      <c r="B27">
        <f t="shared" si="0"/>
        <v>260.20850505843697</v>
      </c>
      <c r="C27">
        <f>day_length(F27,$B$1,Fitting!$B$4)</f>
        <v>11.839042663574219</v>
      </c>
      <c r="D27" s="1">
        <f t="shared" si="1"/>
        <v>32656</v>
      </c>
      <c r="E27">
        <f t="shared" si="3"/>
        <v>1989</v>
      </c>
      <c r="F27" s="6">
        <f t="shared" si="4"/>
        <v>148</v>
      </c>
      <c r="G27">
        <v>25.6</v>
      </c>
      <c r="H27">
        <v>15.1</v>
      </c>
      <c r="I27">
        <f>MAX(0,1-Fitting!$B$7*(Fitting!$B$6-Herm8889!C27)^2)</f>
        <v>0.44778359017901859</v>
      </c>
      <c r="J27">
        <f>tt(G27,H27,Fitting!$B$1:$E$1,Fitting!$B$2:$E$2)*I27</f>
        <v>9.1123962309589128</v>
      </c>
    </row>
    <row r="28" spans="1:10">
      <c r="A28" s="1">
        <f t="shared" si="2"/>
        <v>32657</v>
      </c>
      <c r="B28">
        <f t="shared" si="0"/>
        <v>269.24301125026699</v>
      </c>
      <c r="C28">
        <f>day_length(F28,$B$1,Fitting!$B$4)</f>
        <v>11.830838203430176</v>
      </c>
      <c r="D28" s="1">
        <f t="shared" si="1"/>
        <v>32657</v>
      </c>
      <c r="E28">
        <f t="shared" si="3"/>
        <v>1989</v>
      </c>
      <c r="F28" s="6">
        <f t="shared" si="4"/>
        <v>149</v>
      </c>
      <c r="G28">
        <v>24.5</v>
      </c>
      <c r="H28">
        <v>16</v>
      </c>
      <c r="I28">
        <f>MAX(0,1-Fitting!$B$7*(Fitting!$B$6-Herm8889!C28)^2)</f>
        <v>0.44614849594028239</v>
      </c>
      <c r="J28">
        <f>tt(G28,H28,Fitting!$B$1:$E$1,Fitting!$B$2:$E$2)*I28</f>
        <v>9.034506191829994</v>
      </c>
    </row>
    <row r="29" spans="1:10">
      <c r="A29" s="1">
        <f t="shared" si="2"/>
        <v>32658</v>
      </c>
      <c r="B29">
        <f t="shared" si="0"/>
        <v>278.02311358543284</v>
      </c>
      <c r="C29">
        <f>day_length(F29,$B$1,Fitting!$B$4)</f>
        <v>11.822932243347168</v>
      </c>
      <c r="D29" s="1">
        <f t="shared" si="1"/>
        <v>32658</v>
      </c>
      <c r="E29">
        <f t="shared" si="3"/>
        <v>1989</v>
      </c>
      <c r="F29" s="6">
        <f t="shared" si="4"/>
        <v>150</v>
      </c>
      <c r="G29">
        <v>25.5</v>
      </c>
      <c r="H29">
        <v>14</v>
      </c>
      <c r="I29">
        <f>MAX(0,1-Fitting!$B$7*(Fitting!$B$6-Herm8889!C29)^2)</f>
        <v>0.44456218648612411</v>
      </c>
      <c r="J29">
        <f>tt(G29,H29,Fitting!$B$1:$E$1,Fitting!$B$2:$E$2)*I29</f>
        <v>8.7801023351658731</v>
      </c>
    </row>
    <row r="30" spans="1:10">
      <c r="A30" s="1">
        <f t="shared" si="2"/>
        <v>32659</v>
      </c>
      <c r="B30">
        <f t="shared" si="0"/>
        <v>286.99437413043256</v>
      </c>
      <c r="C30">
        <f>day_length(F30,$B$1,Fitting!$B$4)</f>
        <v>11.815325736999512</v>
      </c>
      <c r="D30" s="1">
        <f t="shared" si="1"/>
        <v>32659</v>
      </c>
      <c r="E30">
        <f t="shared" si="3"/>
        <v>1989</v>
      </c>
      <c r="F30" s="6">
        <f t="shared" si="4"/>
        <v>151</v>
      </c>
      <c r="G30">
        <v>26.5</v>
      </c>
      <c r="H30">
        <v>14</v>
      </c>
      <c r="I30">
        <f>MAX(0,1-Fitting!$B$7*(Fitting!$B$6-Herm8889!C30)^2)</f>
        <v>0.44302521209875156</v>
      </c>
      <c r="J30">
        <f>tt(G30,H30,Fitting!$B$1:$E$1,Fitting!$B$2:$E$2)*I30</f>
        <v>8.9712605449997191</v>
      </c>
    </row>
    <row r="31" spans="1:10">
      <c r="A31" s="1">
        <f t="shared" si="2"/>
        <v>32660</v>
      </c>
      <c r="B31">
        <f t="shared" si="0"/>
        <v>295.82515278471539</v>
      </c>
      <c r="C31">
        <f>day_length(F31,$B$1,Fitting!$B$4)</f>
        <v>11.808023452758789</v>
      </c>
      <c r="D31" s="1">
        <f t="shared" si="1"/>
        <v>32660</v>
      </c>
      <c r="E31">
        <f t="shared" si="3"/>
        <v>1989</v>
      </c>
      <c r="F31" s="6">
        <f t="shared" si="4"/>
        <v>152</v>
      </c>
      <c r="G31">
        <v>27</v>
      </c>
      <c r="H31">
        <v>13</v>
      </c>
      <c r="I31">
        <f>MAX(0,1-Fitting!$B$7*(Fitting!$B$6-Herm8889!C31)^2)</f>
        <v>0.44153889060571239</v>
      </c>
      <c r="J31">
        <f>tt(G31,H31,Fitting!$B$1:$E$1,Fitting!$B$2:$E$2)*I31</f>
        <v>8.830778654282847</v>
      </c>
    </row>
    <row r="32" spans="1:10">
      <c r="A32" s="1">
        <f t="shared" si="2"/>
        <v>32661</v>
      </c>
      <c r="B32">
        <f t="shared" si="0"/>
        <v>304.62723249645529</v>
      </c>
      <c r="C32">
        <f>day_length(F32,$B$1,Fitting!$B$4)</f>
        <v>11.801029205322266</v>
      </c>
      <c r="D32" s="1">
        <f t="shared" si="1"/>
        <v>32661</v>
      </c>
      <c r="E32">
        <f t="shared" si="3"/>
        <v>1989</v>
      </c>
      <c r="F32" s="6">
        <f t="shared" si="4"/>
        <v>153</v>
      </c>
      <c r="G32">
        <v>26.5</v>
      </c>
      <c r="H32">
        <v>13.5</v>
      </c>
      <c r="I32">
        <f>MAX(0,1-Fitting!$B$7*(Fitting!$B$6-Herm8889!C32)^2)</f>
        <v>0.4401039855869967</v>
      </c>
      <c r="J32">
        <f>tt(G32,H32,Fitting!$B$1:$E$1,Fitting!$B$2:$E$2)*I32</f>
        <v>8.8020797117399336</v>
      </c>
    </row>
    <row r="33" spans="1:10">
      <c r="A33" s="1">
        <f t="shared" si="2"/>
        <v>32662</v>
      </c>
      <c r="B33">
        <f t="shared" si="0"/>
        <v>313.16036209467273</v>
      </c>
      <c r="C33">
        <f>day_length(F33,$B$1,Fitting!$B$4)</f>
        <v>11.794344902038574</v>
      </c>
      <c r="D33" s="1">
        <f t="shared" si="1"/>
        <v>32662</v>
      </c>
      <c r="E33">
        <f t="shared" si="3"/>
        <v>1989</v>
      </c>
      <c r="F33" s="6">
        <f t="shared" si="4"/>
        <v>154</v>
      </c>
      <c r="G33">
        <v>24.6</v>
      </c>
      <c r="H33">
        <v>14.3</v>
      </c>
      <c r="I33">
        <f>MAX(0,1-Fitting!$B$7*(Fitting!$B$6-Herm8889!C33)^2)</f>
        <v>0.43872125587173649</v>
      </c>
      <c r="J33">
        <f>tt(G33,H33,Fitting!$B$1:$E$1,Fitting!$B$2:$E$2)*I33</f>
        <v>8.5331295982174176</v>
      </c>
    </row>
    <row r="34" spans="1:10">
      <c r="A34" s="1">
        <f t="shared" si="2"/>
        <v>32663</v>
      </c>
      <c r="B34">
        <f t="shared" si="0"/>
        <v>321.75510921333176</v>
      </c>
      <c r="C34">
        <f>day_length(F34,$B$1,Fitting!$B$4)</f>
        <v>11.787975311279297</v>
      </c>
      <c r="D34" s="1">
        <f t="shared" si="1"/>
        <v>32663</v>
      </c>
      <c r="E34">
        <f t="shared" si="3"/>
        <v>1989</v>
      </c>
      <c r="F34" s="6">
        <f t="shared" si="4"/>
        <v>155</v>
      </c>
      <c r="G34">
        <v>25.1</v>
      </c>
      <c r="H34">
        <v>14.2</v>
      </c>
      <c r="I34">
        <f>MAX(0,1-Fitting!$B$7*(Fitting!$B$6-Herm8889!C34)^2)</f>
        <v>0.43739167690851355</v>
      </c>
      <c r="J34">
        <f>tt(G34,H34,Fitting!$B$1:$E$1,Fitting!$B$2:$E$2)*I34</f>
        <v>8.5947471186590256</v>
      </c>
    </row>
    <row r="35" spans="1:10">
      <c r="A35" s="1">
        <f t="shared" si="2"/>
        <v>32664</v>
      </c>
      <c r="B35">
        <f t="shared" si="0"/>
        <v>331.04438200068057</v>
      </c>
      <c r="C35">
        <f>day_length(F35,$B$1,Fitting!$B$4)</f>
        <v>11.781919479370117</v>
      </c>
      <c r="D35" s="1">
        <f t="shared" si="1"/>
        <v>32664</v>
      </c>
      <c r="E35">
        <f t="shared" si="3"/>
        <v>1989</v>
      </c>
      <c r="F35" s="6">
        <f t="shared" si="4"/>
        <v>156</v>
      </c>
      <c r="G35">
        <v>25.2</v>
      </c>
      <c r="H35">
        <v>17.399999999999999</v>
      </c>
      <c r="I35">
        <f>MAX(0,1-Fitting!$B$7*(Fitting!$B$6-Herm8889!C35)^2)</f>
        <v>0.43611610892389763</v>
      </c>
      <c r="J35">
        <f>tt(G35,H35,Fitting!$B$1:$E$1,Fitting!$B$2:$E$2)*I35</f>
        <v>9.2892727873488337</v>
      </c>
    </row>
    <row r="36" spans="1:10">
      <c r="A36" s="1">
        <f t="shared" si="2"/>
        <v>32665</v>
      </c>
      <c r="B36">
        <f t="shared" si="0"/>
        <v>338.87249849726885</v>
      </c>
      <c r="C36">
        <f>day_length(F36,$B$1,Fitting!$B$4)</f>
        <v>11.77618408203125</v>
      </c>
      <c r="D36" s="1">
        <f t="shared" si="1"/>
        <v>32665</v>
      </c>
      <c r="E36">
        <f t="shared" si="3"/>
        <v>1989</v>
      </c>
      <c r="F36" s="6">
        <f t="shared" si="4"/>
        <v>157</v>
      </c>
      <c r="G36">
        <v>19.8</v>
      </c>
      <c r="H36">
        <v>16.2</v>
      </c>
      <c r="I36">
        <f>MAX(0,1-Fitting!$B$7*(Fitting!$B$6-Herm8889!C36)^2)</f>
        <v>0.43489540700474749</v>
      </c>
      <c r="J36">
        <f>tt(G36,H36,Fitting!$B$1:$E$1,Fitting!$B$2:$E$2)*I36</f>
        <v>7.8281164965882946</v>
      </c>
    </row>
    <row r="37" spans="1:10">
      <c r="A37" s="1">
        <f t="shared" si="2"/>
        <v>32666</v>
      </c>
      <c r="B37">
        <f t="shared" si="0"/>
        <v>346.02904860551308</v>
      </c>
      <c r="C37">
        <f>day_length(F37,$B$1,Fitting!$B$4)</f>
        <v>11.770770072937012</v>
      </c>
      <c r="D37" s="1">
        <f t="shared" si="1"/>
        <v>32666</v>
      </c>
      <c r="E37">
        <f t="shared" si="3"/>
        <v>1989</v>
      </c>
      <c r="F37" s="6">
        <f t="shared" si="4"/>
        <v>158</v>
      </c>
      <c r="G37">
        <v>22.2</v>
      </c>
      <c r="H37">
        <v>10.8</v>
      </c>
      <c r="I37">
        <f>MAX(0,1-Fitting!$B$7*(Fitting!$B$6-Herm8889!C37)^2)</f>
        <v>0.4337303095905608</v>
      </c>
      <c r="J37">
        <f>tt(G37,H37,Fitting!$B$1:$E$1,Fitting!$B$2:$E$2)*I37</f>
        <v>7.1565501082442529</v>
      </c>
    </row>
    <row r="38" spans="1:10">
      <c r="A38" s="1">
        <f t="shared" si="2"/>
        <v>32667</v>
      </c>
      <c r="B38">
        <f t="shared" si="0"/>
        <v>354.22722939576892</v>
      </c>
      <c r="C38">
        <f>day_length(F38,$B$1,Fitting!$B$4)</f>
        <v>11.765681266784668</v>
      </c>
      <c r="D38" s="1">
        <f t="shared" si="1"/>
        <v>32667</v>
      </c>
      <c r="E38">
        <f t="shared" si="3"/>
        <v>1989</v>
      </c>
      <c r="F38" s="6">
        <f t="shared" si="4"/>
        <v>159</v>
      </c>
      <c r="G38">
        <v>23.2</v>
      </c>
      <c r="H38">
        <v>14.7</v>
      </c>
      <c r="I38">
        <f>MAX(0,1-Fitting!$B$7*(Fitting!$B$6-Herm8889!C38)^2)</f>
        <v>0.43262166016842818</v>
      </c>
      <c r="J38">
        <f>tt(G38,H38,Fitting!$B$1:$E$1,Fitting!$B$2:$E$2)*I38</f>
        <v>8.1981807902558472</v>
      </c>
    </row>
    <row r="39" spans="1:10">
      <c r="A39" s="1">
        <f t="shared" si="2"/>
        <v>32668</v>
      </c>
      <c r="B39">
        <f t="shared" si="0"/>
        <v>362.51337513314411</v>
      </c>
      <c r="C39">
        <f>day_length(F39,$B$1,Fitting!$B$4)</f>
        <v>11.760918617248535</v>
      </c>
      <c r="D39" s="1">
        <f t="shared" si="1"/>
        <v>32668</v>
      </c>
      <c r="E39">
        <f t="shared" si="3"/>
        <v>1989</v>
      </c>
      <c r="F39" s="6">
        <f t="shared" si="4"/>
        <v>160</v>
      </c>
      <c r="G39">
        <v>23.8</v>
      </c>
      <c r="H39">
        <v>14.6</v>
      </c>
      <c r="I39">
        <f>MAX(0,1-Fitting!$B$7*(Fitting!$B$6-Herm8889!C39)^2)</f>
        <v>0.43157007333923869</v>
      </c>
      <c r="J39">
        <f>tt(G39,H39,Fitting!$B$1:$E$1,Fitting!$B$2:$E$2)*I39</f>
        <v>8.2861457373752181</v>
      </c>
    </row>
    <row r="40" spans="1:10">
      <c r="A40" s="1">
        <f t="shared" si="2"/>
        <v>32669</v>
      </c>
      <c r="B40">
        <f t="shared" si="0"/>
        <v>371.18948758962182</v>
      </c>
      <c r="C40">
        <f>day_length(F40,$B$1,Fitting!$B$4)</f>
        <v>11.756484031677246</v>
      </c>
      <c r="D40" s="1">
        <f t="shared" si="1"/>
        <v>32669</v>
      </c>
      <c r="E40">
        <f t="shared" si="3"/>
        <v>1989</v>
      </c>
      <c r="F40" s="6">
        <f t="shared" si="4"/>
        <v>161</v>
      </c>
      <c r="G40">
        <v>25.7</v>
      </c>
      <c r="H40">
        <v>14.6</v>
      </c>
      <c r="I40">
        <f>MAX(0,1-Fitting!$B$7*(Fitting!$B$6-Herm8889!C40)^2)</f>
        <v>0.43057626796379367</v>
      </c>
      <c r="J40">
        <f>tt(G40,H40,Fitting!$B$1:$E$1,Fitting!$B$2:$E$2)*I40</f>
        <v>8.6761124564776875</v>
      </c>
    </row>
    <row r="41" spans="1:10">
      <c r="A41" s="1">
        <f t="shared" si="2"/>
        <v>32670</v>
      </c>
      <c r="B41">
        <f t="shared" si="0"/>
        <v>377.52668963235152</v>
      </c>
      <c r="C41">
        <f>day_length(F41,$B$1,Fitting!$B$4)</f>
        <v>11.752381324768066</v>
      </c>
      <c r="D41" s="1">
        <f t="shared" si="1"/>
        <v>32670</v>
      </c>
      <c r="E41">
        <f t="shared" si="3"/>
        <v>1989</v>
      </c>
      <c r="F41" s="6">
        <f t="shared" si="4"/>
        <v>162</v>
      </c>
      <c r="G41">
        <v>22.2</v>
      </c>
      <c r="H41">
        <v>7.3</v>
      </c>
      <c r="I41">
        <f>MAX(0,1-Fitting!$B$7*(Fitting!$B$6-Herm8889!C41)^2)</f>
        <v>0.42964084423505844</v>
      </c>
      <c r="J41">
        <f>tt(G41,H41,Fitting!$B$1:$E$1,Fitting!$B$2:$E$2)*I41</f>
        <v>6.3372020427296736</v>
      </c>
    </row>
    <row r="42" spans="1:10">
      <c r="A42" s="1">
        <f t="shared" si="2"/>
        <v>32671</v>
      </c>
      <c r="B42">
        <f t="shared" si="0"/>
        <v>383.46508089220458</v>
      </c>
      <c r="C42">
        <f>day_length(F42,$B$1,Fitting!$B$4)</f>
        <v>11.748611450195313</v>
      </c>
      <c r="D42" s="1">
        <f t="shared" si="1"/>
        <v>32671</v>
      </c>
      <c r="E42">
        <f t="shared" si="3"/>
        <v>1989</v>
      </c>
      <c r="F42" s="6">
        <f t="shared" si="4"/>
        <v>163</v>
      </c>
      <c r="G42">
        <v>19.3</v>
      </c>
      <c r="H42">
        <v>8.4</v>
      </c>
      <c r="I42">
        <f>MAX(0,1-Fitting!$B$7*(Fitting!$B$6-Herm8889!C42)^2)</f>
        <v>0.4287647296169107</v>
      </c>
      <c r="J42">
        <f>tt(G42,H42,Fitting!$B$1:$E$1,Fitting!$B$2:$E$2)*I42</f>
        <v>5.9383912598530673</v>
      </c>
    </row>
    <row r="43" spans="1:10">
      <c r="A43" s="1">
        <f t="shared" si="2"/>
        <v>32672</v>
      </c>
      <c r="B43">
        <f t="shared" si="0"/>
        <v>389.49914990233827</v>
      </c>
      <c r="C43">
        <f>day_length(F43,$B$1,Fitting!$B$4)</f>
        <v>11.745176315307617</v>
      </c>
      <c r="D43" s="1">
        <f t="shared" si="1"/>
        <v>32672</v>
      </c>
      <c r="E43">
        <f t="shared" si="3"/>
        <v>1989</v>
      </c>
      <c r="F43" s="6">
        <f t="shared" si="4"/>
        <v>164</v>
      </c>
      <c r="G43">
        <v>20.9</v>
      </c>
      <c r="H43">
        <v>7.3</v>
      </c>
      <c r="I43">
        <f>MAX(0,1-Fitting!$B$7*(Fitting!$B$6-Herm8889!C43)^2)</f>
        <v>0.42794817411401342</v>
      </c>
      <c r="J43">
        <f>tt(G43,H43,Fitting!$B$1:$E$1,Fitting!$B$2:$E$2)*I43</f>
        <v>6.0340690101336802</v>
      </c>
    </row>
    <row r="44" spans="1:10">
      <c r="A44" s="1">
        <f t="shared" si="2"/>
        <v>32673</v>
      </c>
      <c r="B44">
        <f t="shared" si="0"/>
        <v>396.27014032374768</v>
      </c>
      <c r="C44">
        <f>day_length(F44,$B$1,Fitting!$B$4)</f>
        <v>11.742077827453613</v>
      </c>
      <c r="D44" s="1">
        <f t="shared" si="1"/>
        <v>32673</v>
      </c>
      <c r="E44">
        <f t="shared" si="3"/>
        <v>1989</v>
      </c>
      <c r="F44" s="6">
        <f t="shared" si="4"/>
        <v>165</v>
      </c>
      <c r="G44">
        <v>22.4</v>
      </c>
      <c r="H44">
        <v>9.3000000000000007</v>
      </c>
      <c r="I44">
        <f>MAX(0,1-Fitting!$B$7*(Fitting!$B$6-Herm8889!C44)^2)</f>
        <v>0.42719186582034485</v>
      </c>
      <c r="J44">
        <f>tt(G44,H44,Fitting!$B$1:$E$1,Fitting!$B$2:$E$2)*I44</f>
        <v>6.770990421409409</v>
      </c>
    </row>
    <row r="45" spans="1:10">
      <c r="A45" s="1">
        <f t="shared" si="2"/>
        <v>32674</v>
      </c>
      <c r="B45">
        <f t="shared" si="0"/>
        <v>404.90669413844432</v>
      </c>
      <c r="C45">
        <f>day_length(F45,$B$1,Fitting!$B$4)</f>
        <v>11.739316940307617</v>
      </c>
      <c r="D45" s="1">
        <f t="shared" si="1"/>
        <v>32674</v>
      </c>
      <c r="E45">
        <f t="shared" si="3"/>
        <v>1989</v>
      </c>
      <c r="F45" s="6">
        <f t="shared" si="4"/>
        <v>166</v>
      </c>
      <c r="G45">
        <v>25.3</v>
      </c>
      <c r="H45">
        <v>15.2</v>
      </c>
      <c r="I45">
        <f>MAX(0,1-Fitting!$B$7*(Fitting!$B$6-Herm8889!C45)^2)</f>
        <v>0.42649648467637602</v>
      </c>
      <c r="J45">
        <f>tt(G45,H45,Fitting!$B$1:$E$1,Fitting!$B$2:$E$2)*I45</f>
        <v>8.6365538146966152</v>
      </c>
    </row>
    <row r="46" spans="1:10">
      <c r="A46" s="1">
        <f t="shared" si="2"/>
        <v>32675</v>
      </c>
      <c r="B46">
        <f t="shared" si="0"/>
        <v>413.10454172302224</v>
      </c>
      <c r="C46">
        <f>day_length(F46,$B$1,Fitting!$B$4)</f>
        <v>11.736895561218262</v>
      </c>
      <c r="D46" s="1">
        <f t="shared" si="1"/>
        <v>32675</v>
      </c>
      <c r="E46">
        <f t="shared" si="3"/>
        <v>1989</v>
      </c>
      <c r="F46" s="6">
        <f t="shared" si="4"/>
        <v>167</v>
      </c>
      <c r="G46">
        <v>25</v>
      </c>
      <c r="H46">
        <v>13.5</v>
      </c>
      <c r="I46">
        <f>MAX(0,1-Fitting!$B$7*(Fitting!$B$6-Herm8889!C46)^2)</f>
        <v>0.42586225438159631</v>
      </c>
      <c r="J46">
        <f>tt(G46,H46,Fitting!$B$1:$E$1,Fitting!$B$2:$E$2)*I46</f>
        <v>8.197847584577941</v>
      </c>
    </row>
    <row r="47" spans="1:10">
      <c r="A47" s="1">
        <f t="shared" si="2"/>
        <v>32676</v>
      </c>
      <c r="B47">
        <f t="shared" si="0"/>
        <v>421.86551252752093</v>
      </c>
      <c r="C47">
        <f>day_length(F47,$B$1,Fitting!$B$4)</f>
        <v>11.734814643859863</v>
      </c>
      <c r="D47" s="1">
        <f t="shared" si="1"/>
        <v>32676</v>
      </c>
      <c r="E47">
        <f t="shared" si="3"/>
        <v>1989</v>
      </c>
      <c r="F47" s="6">
        <f t="shared" si="4"/>
        <v>168</v>
      </c>
      <c r="G47">
        <v>25.2</v>
      </c>
      <c r="H47">
        <v>16</v>
      </c>
      <c r="I47">
        <f>MAX(0,1-Fitting!$B$7*(Fitting!$B$6-Herm8889!C47)^2)</f>
        <v>0.42528983700308343</v>
      </c>
      <c r="J47">
        <f>tt(G47,H47,Fitting!$B$1:$E$1,Fitting!$B$2:$E$2)*I47</f>
        <v>8.7609708044987169</v>
      </c>
    </row>
    <row r="48" spans="1:10">
      <c r="A48" s="1">
        <f t="shared" si="2"/>
        <v>32677</v>
      </c>
      <c r="B48">
        <f t="shared" si="0"/>
        <v>431.01950989149685</v>
      </c>
      <c r="C48">
        <f>day_length(F48,$B$1,Fitting!$B$4)</f>
        <v>11.733076095581055</v>
      </c>
      <c r="D48" s="1">
        <f t="shared" si="1"/>
        <v>32677</v>
      </c>
      <c r="E48">
        <f t="shared" si="3"/>
        <v>1989</v>
      </c>
      <c r="F48" s="6">
        <f t="shared" si="4"/>
        <v>169</v>
      </c>
      <c r="G48">
        <v>25.1</v>
      </c>
      <c r="H48">
        <v>18</v>
      </c>
      <c r="I48">
        <f>MAX(0,1-Fitting!$B$7*(Fitting!$B$6-Herm8889!C48)^2)</f>
        <v>0.42477943748744473</v>
      </c>
      <c r="J48">
        <f>tt(G48,H48,Fitting!$B$1:$E$1,Fitting!$B$2:$E$2)*I48</f>
        <v>9.1539973639759218</v>
      </c>
    </row>
    <row r="49" spans="1:10">
      <c r="A49" s="1">
        <f t="shared" si="2"/>
        <v>32678</v>
      </c>
      <c r="B49">
        <f t="shared" si="0"/>
        <v>440.14264223486077</v>
      </c>
      <c r="C49">
        <f>day_length(F49,$B$1,Fitting!$B$4)</f>
        <v>11.731679916381836</v>
      </c>
      <c r="D49" s="1">
        <f t="shared" si="1"/>
        <v>32678</v>
      </c>
      <c r="E49">
        <f t="shared" si="3"/>
        <v>1989</v>
      </c>
      <c r="F49" s="6">
        <f t="shared" si="4"/>
        <v>170</v>
      </c>
      <c r="G49">
        <v>26.5</v>
      </c>
      <c r="H49">
        <v>16.5</v>
      </c>
      <c r="I49">
        <f>MAX(0,1-Fitting!$B$7*(Fitting!$B$6-Herm8889!C49)^2)</f>
        <v>0.42433169925653058</v>
      </c>
      <c r="J49">
        <f>tt(G49,H49,Fitting!$B$1:$E$1,Fitting!$B$2:$E$2)*I49</f>
        <v>9.1231323433638938</v>
      </c>
    </row>
    <row r="50" spans="1:10">
      <c r="A50" s="1">
        <f t="shared" si="2"/>
        <v>32679</v>
      </c>
      <c r="B50">
        <f t="shared" si="0"/>
        <v>448.83355030514286</v>
      </c>
      <c r="C50">
        <f>day_length(F50,$B$1,Fitting!$B$4)</f>
        <v>11.730626106262207</v>
      </c>
      <c r="D50" s="1">
        <f t="shared" si="1"/>
        <v>32679</v>
      </c>
      <c r="E50">
        <f t="shared" si="3"/>
        <v>1989</v>
      </c>
      <c r="F50" s="6">
        <f t="shared" si="4"/>
        <v>171</v>
      </c>
      <c r="G50">
        <v>27.5</v>
      </c>
      <c r="H50">
        <v>13.5</v>
      </c>
      <c r="I50">
        <f>MAX(0,1-Fitting!$B$7*(Fitting!$B$6-Herm8889!C50)^2)</f>
        <v>0.42394669569112009</v>
      </c>
      <c r="J50">
        <f>tt(G50,H50,Fitting!$B$1:$E$1,Fitting!$B$2:$E$2)*I50</f>
        <v>8.6909080702821129</v>
      </c>
    </row>
    <row r="51" spans="1:10">
      <c r="A51" s="1">
        <f t="shared" si="2"/>
        <v>32680</v>
      </c>
      <c r="B51">
        <f t="shared" si="0"/>
        <v>455.54800218678128</v>
      </c>
      <c r="C51">
        <f>day_length(F51,$B$1,Fitting!$B$4)</f>
        <v>11.729916572570801</v>
      </c>
      <c r="D51" s="1">
        <f t="shared" si="1"/>
        <v>32680</v>
      </c>
      <c r="E51">
        <f t="shared" si="3"/>
        <v>1989</v>
      </c>
      <c r="F51" s="6">
        <f t="shared" si="4"/>
        <v>172</v>
      </c>
      <c r="G51">
        <v>22.3</v>
      </c>
      <c r="H51">
        <v>9.4</v>
      </c>
      <c r="I51">
        <f>MAX(0,1-Fitting!$B$7*(Fitting!$B$6-Herm8889!C51)^2)</f>
        <v>0.42362471419800751</v>
      </c>
      <c r="J51">
        <f>tt(G51,H51,Fitting!$B$1:$E$1,Fitting!$B$2:$E$2)*I51</f>
        <v>6.7144518816384231</v>
      </c>
    </row>
    <row r="52" spans="1:10">
      <c r="A52" s="1">
        <f t="shared" si="2"/>
        <v>32681</v>
      </c>
      <c r="B52">
        <f t="shared" si="0"/>
        <v>460.90358233110527</v>
      </c>
      <c r="C52">
        <f>day_length(F52,$B$1,Fitting!$B$4)</f>
        <v>11.729550361633301</v>
      </c>
      <c r="D52" s="1">
        <f t="shared" si="1"/>
        <v>32681</v>
      </c>
      <c r="E52">
        <f t="shared" si="3"/>
        <v>1989</v>
      </c>
      <c r="F52" s="6">
        <f t="shared" si="4"/>
        <v>173</v>
      </c>
      <c r="G52">
        <v>20.2</v>
      </c>
      <c r="H52">
        <v>5.0999999999999996</v>
      </c>
      <c r="I52">
        <f>MAX(0,1-Fitting!$B$7*(Fitting!$B$6-Herm8889!C52)^2)</f>
        <v>0.42336603208105406</v>
      </c>
      <c r="J52">
        <f>tt(G52,H52,Fitting!$B$1:$E$1,Fitting!$B$2:$E$2)*I52</f>
        <v>5.3555801443240094</v>
      </c>
    </row>
    <row r="53" spans="1:10">
      <c r="A53" s="1">
        <f t="shared" si="2"/>
        <v>32682</v>
      </c>
      <c r="B53">
        <f t="shared" si="0"/>
        <v>466.59523067264774</v>
      </c>
      <c r="C53">
        <f>day_length(F53,$B$1,Fitting!$B$4)</f>
        <v>11.729528427124023</v>
      </c>
      <c r="D53" s="1">
        <f t="shared" si="1"/>
        <v>32682</v>
      </c>
      <c r="E53">
        <f t="shared" si="3"/>
        <v>1989</v>
      </c>
      <c r="F53" s="6">
        <f t="shared" si="4"/>
        <v>174</v>
      </c>
      <c r="G53">
        <v>21.3</v>
      </c>
      <c r="H53">
        <v>5.6</v>
      </c>
      <c r="I53">
        <f>MAX(0,1-Fitting!$B$7*(Fitting!$B$6-Herm8889!C53)^2)</f>
        <v>0.42317091641807925</v>
      </c>
      <c r="J53">
        <f>tt(G53,H53,Fitting!$B$1:$E$1,Fitting!$B$2:$E$2)*I53</f>
        <v>5.6916483415424848</v>
      </c>
    </row>
    <row r="54" spans="1:10">
      <c r="A54" s="1">
        <f t="shared" si="2"/>
        <v>32683</v>
      </c>
      <c r="B54">
        <f t="shared" si="0"/>
        <v>473.49077519773465</v>
      </c>
      <c r="C54">
        <f>day_length(F54,$B$1,Fitting!$B$4)</f>
        <v>11.729851722717285</v>
      </c>
      <c r="D54" s="1">
        <f t="shared" si="1"/>
        <v>32683</v>
      </c>
      <c r="E54">
        <f t="shared" si="3"/>
        <v>1989</v>
      </c>
      <c r="F54" s="6">
        <f t="shared" si="4"/>
        <v>175</v>
      </c>
      <c r="G54">
        <v>22.5</v>
      </c>
      <c r="H54">
        <v>10.1</v>
      </c>
      <c r="I54">
        <f>MAX(0,1-Fitting!$B$7*(Fitting!$B$6-Herm8889!C54)^2)</f>
        <v>0.42303951171512921</v>
      </c>
      <c r="J54">
        <f>tt(G54,H54,Fitting!$B$1:$E$1,Fitting!$B$2:$E$2)*I54</f>
        <v>6.8955445250869065</v>
      </c>
    </row>
    <row r="55" spans="1:10">
      <c r="A55" s="1">
        <f t="shared" si="2"/>
        <v>32684</v>
      </c>
      <c r="B55">
        <f t="shared" si="0"/>
        <v>479.62386442622488</v>
      </c>
      <c r="C55">
        <f>day_length(F55,$B$1,Fitting!$B$4)</f>
        <v>11.730518341064453</v>
      </c>
      <c r="D55" s="1">
        <f t="shared" si="1"/>
        <v>32684</v>
      </c>
      <c r="E55">
        <f t="shared" si="3"/>
        <v>1989</v>
      </c>
      <c r="F55" s="6">
        <f t="shared" si="4"/>
        <v>176</v>
      </c>
      <c r="G55">
        <v>23.2</v>
      </c>
      <c r="H55">
        <v>5.8</v>
      </c>
      <c r="I55">
        <f>MAX(0,1-Fitting!$B$7*(Fitting!$B$6-Herm8889!C55)^2)</f>
        <v>0.4229716152921319</v>
      </c>
      <c r="J55">
        <f>tt(G55,H55,Fitting!$B$1:$E$1,Fitting!$B$2:$E$2)*I55</f>
        <v>6.1330892284902445</v>
      </c>
    </row>
    <row r="56" spans="1:10">
      <c r="A56" s="1">
        <f t="shared" si="2"/>
        <v>32685</v>
      </c>
      <c r="B56">
        <f t="shared" si="0"/>
        <v>485.7568958917509</v>
      </c>
      <c r="C56">
        <f>day_length(F56,$B$1,Fitting!$B$4)</f>
        <v>11.731529235839844</v>
      </c>
      <c r="D56" s="1">
        <f t="shared" si="1"/>
        <v>32685</v>
      </c>
      <c r="E56">
        <f t="shared" si="3"/>
        <v>1989</v>
      </c>
      <c r="F56" s="6">
        <f t="shared" si="4"/>
        <v>177</v>
      </c>
      <c r="G56">
        <v>21.2</v>
      </c>
      <c r="H56">
        <v>7.8</v>
      </c>
      <c r="I56">
        <f>MAX(0,1-Fitting!$B$7*(Fitting!$B$6-Herm8889!C56)^2)</f>
        <v>0.42296768727765632</v>
      </c>
      <c r="J56">
        <f>tt(G56,H56,Fitting!$B$1:$E$1,Fitting!$B$2:$E$2)*I56</f>
        <v>6.1330314655260167</v>
      </c>
    </row>
    <row r="57" spans="1:10">
      <c r="A57" s="1">
        <f t="shared" si="2"/>
        <v>32686</v>
      </c>
      <c r="B57">
        <f t="shared" si="0"/>
        <v>492.50418490135263</v>
      </c>
      <c r="C57">
        <f>day_length(F57,$B$1,Fitting!$B$4)</f>
        <v>11.732882499694824</v>
      </c>
      <c r="D57" s="1">
        <f t="shared" si="1"/>
        <v>32686</v>
      </c>
      <c r="E57">
        <f t="shared" si="3"/>
        <v>1989</v>
      </c>
      <c r="F57" s="6">
        <f t="shared" si="4"/>
        <v>178</v>
      </c>
      <c r="G57">
        <v>22.2</v>
      </c>
      <c r="H57">
        <v>9.6999999999999993</v>
      </c>
      <c r="I57">
        <f>MAX(0,1-Fitting!$B$7*(Fitting!$B$6-Herm8889!C57)^2)</f>
        <v>0.42302750387820565</v>
      </c>
      <c r="J57">
        <f>tt(G57,H57,Fitting!$B$1:$E$1,Fitting!$B$2:$E$2)*I57</f>
        <v>6.7472890096017526</v>
      </c>
    </row>
    <row r="58" spans="1:10">
      <c r="A58" s="1">
        <f t="shared" si="2"/>
        <v>32687</v>
      </c>
      <c r="B58">
        <f t="shared" si="0"/>
        <v>500.48058245294123</v>
      </c>
      <c r="C58">
        <f>day_length(F58,$B$1,Fitting!$B$4)</f>
        <v>11.734579086303711</v>
      </c>
      <c r="D58" s="1">
        <f t="shared" si="1"/>
        <v>32687</v>
      </c>
      <c r="E58">
        <f t="shared" si="3"/>
        <v>1989</v>
      </c>
      <c r="F58" s="6">
        <f t="shared" si="4"/>
        <v>179</v>
      </c>
      <c r="G58">
        <v>22.7</v>
      </c>
      <c r="H58">
        <v>15</v>
      </c>
      <c r="I58">
        <f>MAX(0,1-Fitting!$B$7*(Fitting!$B$6-Herm8889!C58)^2)</f>
        <v>0.42315105518139351</v>
      </c>
      <c r="J58">
        <f>tt(G58,H58,Fitting!$B$1:$E$1,Fitting!$B$2:$E$2)*I58</f>
        <v>7.976397551588585</v>
      </c>
    </row>
    <row r="59" spans="1:10">
      <c r="A59" s="1">
        <f t="shared" si="2"/>
        <v>32688</v>
      </c>
      <c r="B59">
        <f t="shared" si="0"/>
        <v>507.97366906669845</v>
      </c>
      <c r="C59">
        <f>day_length(F59,$B$1,Fitting!$B$4)</f>
        <v>11.736616134643555</v>
      </c>
      <c r="D59" s="1">
        <f t="shared" si="1"/>
        <v>32688</v>
      </c>
      <c r="E59">
        <f t="shared" si="3"/>
        <v>1989</v>
      </c>
      <c r="F59" s="6">
        <f t="shared" si="4"/>
        <v>180</v>
      </c>
      <c r="G59">
        <v>21.3</v>
      </c>
      <c r="H59">
        <v>14.1</v>
      </c>
      <c r="I59">
        <f>MAX(0,1-Fitting!$B$7*(Fitting!$B$6-Herm8889!C59)^2)</f>
        <v>0.42333820851840753</v>
      </c>
      <c r="J59">
        <f>tt(G59,H59,Fitting!$B$1:$E$1,Fitting!$B$2:$E$2)*I59</f>
        <v>7.4930866137572343</v>
      </c>
    </row>
    <row r="60" spans="1:10">
      <c r="A60" s="1">
        <f t="shared" si="2"/>
        <v>32689</v>
      </c>
      <c r="B60">
        <f t="shared" si="0"/>
        <v>516.46662765657334</v>
      </c>
      <c r="C60">
        <f>day_length(F60,$B$1,Fitting!$B$4)</f>
        <v>11.738996505737305</v>
      </c>
      <c r="D60" s="1">
        <f t="shared" si="1"/>
        <v>32689</v>
      </c>
      <c r="E60">
        <f t="shared" si="3"/>
        <v>1989</v>
      </c>
      <c r="F60" s="6">
        <f t="shared" si="4"/>
        <v>181</v>
      </c>
      <c r="G60">
        <v>23.9</v>
      </c>
      <c r="H60">
        <v>16.2</v>
      </c>
      <c r="I60">
        <f>MAX(0,1-Fitting!$B$7*(Fitting!$B$6-Herm8889!C60)^2)</f>
        <v>0.4235889329234851</v>
      </c>
      <c r="J60">
        <f>tt(G60,H60,Fitting!$B$1:$E$1,Fitting!$B$2:$E$2)*I60</f>
        <v>8.4929585898749398</v>
      </c>
    </row>
    <row r="61" spans="1:10">
      <c r="A61" s="1">
        <f t="shared" si="2"/>
        <v>32690</v>
      </c>
      <c r="B61">
        <f t="shared" si="0"/>
        <v>524.8810994005097</v>
      </c>
      <c r="C61">
        <f>day_length(F61,$B$1,Fitting!$B$4)</f>
        <v>11.741713523864746</v>
      </c>
      <c r="D61" s="1">
        <f t="shared" si="1"/>
        <v>32690</v>
      </c>
      <c r="E61">
        <f t="shared" si="3"/>
        <v>1989</v>
      </c>
      <c r="F61" s="6">
        <f t="shared" si="4"/>
        <v>182</v>
      </c>
      <c r="G61">
        <v>26.2</v>
      </c>
      <c r="H61">
        <v>13.5</v>
      </c>
      <c r="I61">
        <f>MAX(0,1-Fitting!$B$7*(Fitting!$B$6-Herm8889!C61)^2)</f>
        <v>0.42390285049018894</v>
      </c>
      <c r="J61">
        <f>tt(G61,H61,Fitting!$B$1:$E$1,Fitting!$B$2:$E$2)*I61</f>
        <v>8.414471743936355</v>
      </c>
    </row>
    <row r="62" spans="1:10">
      <c r="A62" s="1">
        <f t="shared" si="2"/>
        <v>32691</v>
      </c>
      <c r="B62">
        <f t="shared" si="0"/>
        <v>533.91826592534562</v>
      </c>
      <c r="C62">
        <f>day_length(F62,$B$1,Fitting!$B$4)</f>
        <v>11.744770050048828</v>
      </c>
      <c r="D62" s="1">
        <f t="shared" si="1"/>
        <v>32691</v>
      </c>
      <c r="E62">
        <f t="shared" si="3"/>
        <v>1989</v>
      </c>
      <c r="F62" s="6">
        <f t="shared" si="4"/>
        <v>183</v>
      </c>
      <c r="G62">
        <v>25.6</v>
      </c>
      <c r="H62">
        <v>17</v>
      </c>
      <c r="I62">
        <f>MAX(0,1-Fitting!$B$7*(Fitting!$B$6-Herm8889!C62)^2)</f>
        <v>0.42428013373408613</v>
      </c>
      <c r="J62">
        <f>tt(G62,H62,Fitting!$B$1:$E$1,Fitting!$B$2:$E$2)*I62</f>
        <v>9.0371665248359818</v>
      </c>
    </row>
    <row r="63" spans="1:10">
      <c r="A63" s="1">
        <f t="shared" si="2"/>
        <v>32692</v>
      </c>
      <c r="B63">
        <f t="shared" si="0"/>
        <v>542.73120692018028</v>
      </c>
      <c r="C63">
        <f>day_length(F63,$B$1,Fitting!$B$4)</f>
        <v>11.748163223266602</v>
      </c>
      <c r="D63" s="1">
        <f t="shared" si="1"/>
        <v>32692</v>
      </c>
      <c r="E63">
        <f t="shared" si="3"/>
        <v>1989</v>
      </c>
      <c r="F63" s="6">
        <f t="shared" si="4"/>
        <v>184</v>
      </c>
      <c r="G63">
        <v>26.2</v>
      </c>
      <c r="H63">
        <v>15.3</v>
      </c>
      <c r="I63">
        <f>MAX(0,1-Fitting!$B$7*(Fitting!$B$6-Herm8889!C63)^2)</f>
        <v>0.42472004794384155</v>
      </c>
      <c r="J63">
        <f>tt(G63,H63,Fitting!$B$1:$E$1,Fitting!$B$2:$E$2)*I63</f>
        <v>8.8129409948347117</v>
      </c>
    </row>
    <row r="64" spans="1:10">
      <c r="A64" s="1">
        <f t="shared" si="2"/>
        <v>32693</v>
      </c>
      <c r="B64">
        <f t="shared" si="0"/>
        <v>551.93727595489406</v>
      </c>
      <c r="C64">
        <f>day_length(F64,$B$1,Fitting!$B$4)</f>
        <v>11.751891136169434</v>
      </c>
      <c r="D64" s="1">
        <f t="shared" si="1"/>
        <v>32693</v>
      </c>
      <c r="E64">
        <f t="shared" si="3"/>
        <v>1989</v>
      </c>
      <c r="F64" s="6">
        <f t="shared" si="4"/>
        <v>185</v>
      </c>
      <c r="G64">
        <v>24</v>
      </c>
      <c r="H64">
        <v>19.3</v>
      </c>
      <c r="I64">
        <f>MAX(0,1-Fitting!$B$7*(Fitting!$B$6-Herm8889!C64)^2)</f>
        <v>0.42522263316263886</v>
      </c>
      <c r="J64">
        <f>tt(G64,H64,Fitting!$B$1:$E$1,Fitting!$B$2:$E$2)*I64</f>
        <v>9.2060690347137619</v>
      </c>
    </row>
    <row r="65" spans="1:10">
      <c r="A65" s="1">
        <f t="shared" si="2"/>
        <v>32694</v>
      </c>
      <c r="B65">
        <f t="shared" si="0"/>
        <v>560.77236446984796</v>
      </c>
      <c r="C65">
        <f>day_length(F65,$B$1,Fitting!$B$4)</f>
        <v>11.755952835083008</v>
      </c>
      <c r="D65" s="1">
        <f t="shared" si="1"/>
        <v>32694</v>
      </c>
      <c r="E65">
        <f t="shared" si="3"/>
        <v>1989</v>
      </c>
      <c r="F65" s="6">
        <f t="shared" si="4"/>
        <v>186</v>
      </c>
      <c r="G65">
        <v>25.2</v>
      </c>
      <c r="H65">
        <v>16.3</v>
      </c>
      <c r="I65">
        <f>MAX(0,1-Fitting!$B$7*(Fitting!$B$6-Herm8889!C65)^2)</f>
        <v>0.42578735917247834</v>
      </c>
      <c r="J65">
        <f>tt(G65,H65,Fitting!$B$1:$E$1,Fitting!$B$2:$E$2)*I65</f>
        <v>8.8350885149538634</v>
      </c>
    </row>
    <row r="66" spans="1:10">
      <c r="A66" s="1">
        <f t="shared" si="2"/>
        <v>32695</v>
      </c>
      <c r="B66">
        <f t="shared" si="0"/>
        <v>569.5351677000499</v>
      </c>
      <c r="C66">
        <f>day_length(F66,$B$1,Fitting!$B$4)</f>
        <v>11.760345458984375</v>
      </c>
      <c r="D66" s="1">
        <f t="shared" si="1"/>
        <v>32695</v>
      </c>
      <c r="E66">
        <f t="shared" si="3"/>
        <v>1989</v>
      </c>
      <c r="F66" s="6">
        <f t="shared" si="4"/>
        <v>187</v>
      </c>
      <c r="G66">
        <v>25.6</v>
      </c>
      <c r="H66">
        <v>15.5</v>
      </c>
      <c r="I66">
        <f>MAX(0,1-Fitting!$B$7*(Fitting!$B$6-Herm8889!C66)^2)</f>
        <v>0.42641379832261916</v>
      </c>
      <c r="J66">
        <f>tt(G66,H66,Fitting!$B$1:$E$1,Fitting!$B$2:$E$2)*I66</f>
        <v>8.7628032302019143</v>
      </c>
    </row>
    <row r="67" spans="1:10">
      <c r="A67" s="1">
        <f t="shared" si="2"/>
        <v>32696</v>
      </c>
      <c r="B67">
        <f t="shared" si="0"/>
        <v>578.50430183421497</v>
      </c>
      <c r="C67">
        <f>day_length(F67,$B$1,Fitting!$B$4)</f>
        <v>11.765067100524902</v>
      </c>
      <c r="D67" s="1">
        <f t="shared" si="1"/>
        <v>32696</v>
      </c>
      <c r="E67">
        <f t="shared" si="3"/>
        <v>1989</v>
      </c>
      <c r="F67" s="6">
        <f t="shared" si="4"/>
        <v>188</v>
      </c>
      <c r="G67">
        <v>25.5</v>
      </c>
      <c r="H67">
        <v>16.5</v>
      </c>
      <c r="I67">
        <f>MAX(0,1-Fitting!$B$7*(Fitting!$B$6-Herm8889!C67)^2)</f>
        <v>0.42710162543642949</v>
      </c>
      <c r="J67">
        <f>tt(G67,H67,Fitting!$B$1:$E$1,Fitting!$B$2:$E$2)*I67</f>
        <v>8.969134134165019</v>
      </c>
    </row>
    <row r="68" spans="1:10">
      <c r="A68" s="1">
        <f t="shared" si="2"/>
        <v>32697</v>
      </c>
      <c r="B68">
        <f t="shared" si="0"/>
        <v>587.21105442753117</v>
      </c>
      <c r="C68">
        <f>day_length(F68,$B$1,Fitting!$B$4)</f>
        <v>11.770115852355957</v>
      </c>
      <c r="D68" s="1">
        <f t="shared" si="1"/>
        <v>32697</v>
      </c>
      <c r="E68">
        <f t="shared" si="3"/>
        <v>1989</v>
      </c>
      <c r="F68" s="6">
        <f t="shared" si="4"/>
        <v>189</v>
      </c>
      <c r="G68">
        <v>24.7</v>
      </c>
      <c r="H68">
        <v>16</v>
      </c>
      <c r="I68">
        <f>MAX(0,1-Fitting!$B$7*(Fitting!$B$6-Herm8889!C68)^2)</f>
        <v>0.42785028236677503</v>
      </c>
      <c r="J68">
        <f>tt(G68,H68,Fitting!$B$1:$E$1,Fitting!$B$2:$E$2)*I68</f>
        <v>8.7067525933161516</v>
      </c>
    </row>
    <row r="69" spans="1:10">
      <c r="A69" s="1">
        <f t="shared" si="2"/>
        <v>32698</v>
      </c>
      <c r="B69">
        <f t="shared" ref="B69:B132" si="5">B68+J69</f>
        <v>595.24841656371439</v>
      </c>
      <c r="C69">
        <f>day_length(F69,$B$1,Fitting!$B$4)</f>
        <v>11.775489807128906</v>
      </c>
      <c r="D69" s="1">
        <f t="shared" ref="D69:D132" si="6">A69</f>
        <v>32698</v>
      </c>
      <c r="E69">
        <f t="shared" si="3"/>
        <v>1989</v>
      </c>
      <c r="F69" s="6">
        <f t="shared" si="4"/>
        <v>190</v>
      </c>
      <c r="G69">
        <v>20.5</v>
      </c>
      <c r="H69">
        <v>17</v>
      </c>
      <c r="I69">
        <f>MAX(0,1-Fitting!$B$7*(Fitting!$B$6-Herm8889!C69)^2)</f>
        <v>0.42865931392977108</v>
      </c>
      <c r="J69">
        <f>tt(G69,H69,Fitting!$B$1:$E$1,Fitting!$B$2:$E$2)*I69</f>
        <v>8.0373621361832086</v>
      </c>
    </row>
    <row r="70" spans="1:10">
      <c r="A70" s="1">
        <f t="shared" ref="A70:A133" si="7">A69+1</f>
        <v>32699</v>
      </c>
      <c r="B70">
        <f t="shared" si="5"/>
        <v>604.48327167131822</v>
      </c>
      <c r="C70">
        <f>day_length(F70,$B$1,Fitting!$B$4)</f>
        <v>11.781186103820801</v>
      </c>
      <c r="D70" s="1">
        <f t="shared" si="6"/>
        <v>32699</v>
      </c>
      <c r="E70">
        <f t="shared" ref="E70:E133" si="8">YEAR(A70)</f>
        <v>1989</v>
      </c>
      <c r="F70" s="6">
        <f t="shared" ref="F70:F133" si="9">A70-DATE(E70,1,1)+1</f>
        <v>191</v>
      </c>
      <c r="G70">
        <v>23.8</v>
      </c>
      <c r="H70">
        <v>19.2</v>
      </c>
      <c r="I70">
        <f>MAX(0,1-Fitting!$B$7*(Fitting!$B$6-Herm8889!C70)^2)</f>
        <v>0.42952814453971222</v>
      </c>
      <c r="J70">
        <f>tt(G70,H70,Fitting!$B$1:$E$1,Fitting!$B$2:$E$2)*I70</f>
        <v>9.2348551076038135</v>
      </c>
    </row>
    <row r="71" spans="1:10">
      <c r="A71" s="1">
        <f t="shared" si="7"/>
        <v>32700</v>
      </c>
      <c r="B71">
        <f t="shared" si="5"/>
        <v>614.19005674180289</v>
      </c>
      <c r="C71">
        <f>day_length(F71,$B$1,Fitting!$B$4)</f>
        <v>11.787199974060059</v>
      </c>
      <c r="D71" s="1">
        <f t="shared" si="6"/>
        <v>32700</v>
      </c>
      <c r="E71">
        <f t="shared" si="8"/>
        <v>1989</v>
      </c>
      <c r="F71" s="6">
        <f t="shared" si="9"/>
        <v>192</v>
      </c>
      <c r="G71">
        <v>26.7</v>
      </c>
      <c r="H71">
        <v>18.399999999999999</v>
      </c>
      <c r="I71">
        <f>MAX(0,1-Fitting!$B$7*(Fitting!$B$6-Herm8889!C71)^2)</f>
        <v>0.43045607884109816</v>
      </c>
      <c r="J71">
        <f>tt(G71,H71,Fitting!$B$1:$E$1,Fitting!$B$2:$E$2)*I71</f>
        <v>9.706785070484651</v>
      </c>
    </row>
    <row r="72" spans="1:10">
      <c r="A72" s="1">
        <f t="shared" si="7"/>
        <v>32701</v>
      </c>
      <c r="B72">
        <f t="shared" si="5"/>
        <v>623.18563588018071</v>
      </c>
      <c r="C72">
        <f>day_length(F72,$B$1,Fitting!$B$4)</f>
        <v>11.793532371520996</v>
      </c>
      <c r="D72" s="1">
        <f t="shared" si="6"/>
        <v>32701</v>
      </c>
      <c r="E72">
        <f t="shared" si="8"/>
        <v>1989</v>
      </c>
      <c r="F72" s="6">
        <f t="shared" si="9"/>
        <v>193</v>
      </c>
      <c r="G72">
        <v>24.5</v>
      </c>
      <c r="H72">
        <v>17.2</v>
      </c>
      <c r="I72">
        <f>MAX(0,1-Fitting!$B$7*(Fitting!$B$6-Herm8889!C72)^2)</f>
        <v>0.43144263663287896</v>
      </c>
      <c r="J72">
        <f>tt(G72,H72,Fitting!$B$1:$E$1,Fitting!$B$2:$E$2)*I72</f>
        <v>8.9955791383778312</v>
      </c>
    </row>
    <row r="73" spans="1:10">
      <c r="A73" s="1">
        <f t="shared" si="7"/>
        <v>32702</v>
      </c>
      <c r="B73">
        <f t="shared" si="5"/>
        <v>630.862281203419</v>
      </c>
      <c r="C73">
        <f>day_length(F73,$B$1,Fitting!$B$4)</f>
        <v>11.800177574157715</v>
      </c>
      <c r="D73" s="1">
        <f t="shared" si="6"/>
        <v>32702</v>
      </c>
      <c r="E73">
        <f t="shared" si="8"/>
        <v>1989</v>
      </c>
      <c r="F73" s="6">
        <f t="shared" si="9"/>
        <v>194</v>
      </c>
      <c r="G73">
        <v>22.3</v>
      </c>
      <c r="H73">
        <v>13.2</v>
      </c>
      <c r="I73">
        <f>MAX(0,1-Fitting!$B$7*(Fitting!$B$6-Herm8889!C73)^2)</f>
        <v>0.43248710693757497</v>
      </c>
      <c r="J73">
        <f>tt(G73,H73,Fitting!$B$1:$E$1,Fitting!$B$2:$E$2)*I73</f>
        <v>7.6766453232382634</v>
      </c>
    </row>
    <row r="74" spans="1:10">
      <c r="A74" s="1">
        <f t="shared" si="7"/>
        <v>32703</v>
      </c>
      <c r="B74">
        <f t="shared" si="5"/>
        <v>639.4256572472641</v>
      </c>
      <c r="C74">
        <f>day_length(F74,$B$1,Fitting!$B$4)</f>
        <v>11.807132720947266</v>
      </c>
      <c r="D74" s="1">
        <f t="shared" si="6"/>
        <v>32703</v>
      </c>
      <c r="E74">
        <f t="shared" si="8"/>
        <v>1989</v>
      </c>
      <c r="F74" s="6">
        <f t="shared" si="9"/>
        <v>195</v>
      </c>
      <c r="G74">
        <v>25.2</v>
      </c>
      <c r="H74">
        <v>14.3</v>
      </c>
      <c r="I74">
        <f>MAX(0,1-Fitting!$B$7*(Fitting!$B$6-Herm8889!C74)^2)</f>
        <v>0.43358866044785283</v>
      </c>
      <c r="J74">
        <f>tt(G74,H74,Fitting!$B$1:$E$1,Fitting!$B$2:$E$2)*I74</f>
        <v>8.5633760438450928</v>
      </c>
    </row>
    <row r="75" spans="1:10">
      <c r="A75" s="1">
        <f t="shared" si="7"/>
        <v>32704</v>
      </c>
      <c r="B75">
        <f t="shared" si="5"/>
        <v>646.99025130908115</v>
      </c>
      <c r="C75">
        <f>day_length(F75,$B$1,Fitting!$B$4)</f>
        <v>11.814396858215332</v>
      </c>
      <c r="D75" s="1">
        <f t="shared" si="6"/>
        <v>32704</v>
      </c>
      <c r="E75">
        <f t="shared" si="8"/>
        <v>1989</v>
      </c>
      <c r="F75" s="6">
        <f t="shared" si="9"/>
        <v>196</v>
      </c>
      <c r="G75">
        <v>22.3</v>
      </c>
      <c r="H75">
        <v>12.5</v>
      </c>
      <c r="I75">
        <f>MAX(0,1-Fitting!$B$7*(Fitting!$B$6-Herm8889!C75)^2)</f>
        <v>0.43474679469309196</v>
      </c>
      <c r="J75">
        <f>tt(G75,H75,Fitting!$B$1:$E$1,Fitting!$B$2:$E$2)*I75</f>
        <v>7.5645940618170595</v>
      </c>
    </row>
    <row r="76" spans="1:10">
      <c r="A76" s="1">
        <f t="shared" si="7"/>
        <v>32705</v>
      </c>
      <c r="B76">
        <f t="shared" si="5"/>
        <v>655.20811004529673</v>
      </c>
      <c r="C76">
        <f>day_length(F76,$B$1,Fitting!$B$4)</f>
        <v>11.821964263916016</v>
      </c>
      <c r="D76" s="1">
        <f t="shared" si="6"/>
        <v>32705</v>
      </c>
      <c r="E76">
        <f t="shared" si="8"/>
        <v>1989</v>
      </c>
      <c r="F76" s="6">
        <f t="shared" si="9"/>
        <v>197</v>
      </c>
      <c r="G76">
        <v>22.3</v>
      </c>
      <c r="H76">
        <v>15.4</v>
      </c>
      <c r="I76">
        <f>MAX(0,1-Fitting!$B$7*(Fitting!$B$6-Herm8889!C76)^2)</f>
        <v>0.43596066683871326</v>
      </c>
      <c r="J76">
        <f>tt(G76,H76,Fitting!$B$1:$E$1,Fitting!$B$2:$E$2)*I76</f>
        <v>8.2178587362155415</v>
      </c>
    </row>
    <row r="77" spans="1:10">
      <c r="A77" s="1">
        <f t="shared" si="7"/>
        <v>32706</v>
      </c>
      <c r="B77">
        <f t="shared" si="5"/>
        <v>662.8596230997324</v>
      </c>
      <c r="C77">
        <f>day_length(F77,$B$1,Fitting!$B$4)</f>
        <v>11.829833984375</v>
      </c>
      <c r="D77" s="1">
        <f t="shared" si="6"/>
        <v>32706</v>
      </c>
      <c r="E77">
        <f t="shared" si="8"/>
        <v>1989</v>
      </c>
      <c r="F77" s="6">
        <f t="shared" si="9"/>
        <v>198</v>
      </c>
      <c r="G77">
        <v>19.7</v>
      </c>
      <c r="H77">
        <v>15.3</v>
      </c>
      <c r="I77">
        <f>MAX(0,1-Fitting!$B$7*(Fitting!$B$6-Herm8889!C77)^2)</f>
        <v>0.4372293173963262</v>
      </c>
      <c r="J77">
        <f>tt(G77,H77,Fitting!$B$1:$E$1,Fitting!$B$2:$E$2)*I77</f>
        <v>7.6515130544357088</v>
      </c>
    </row>
    <row r="78" spans="1:10">
      <c r="A78" s="1">
        <f t="shared" si="7"/>
        <v>32707</v>
      </c>
      <c r="B78">
        <f t="shared" si="5"/>
        <v>669.94224041037171</v>
      </c>
      <c r="C78">
        <f>day_length(F78,$B$1,Fitting!$B$4)</f>
        <v>11.838001251220703</v>
      </c>
      <c r="D78" s="1">
        <f t="shared" si="6"/>
        <v>32707</v>
      </c>
      <c r="E78">
        <f t="shared" si="8"/>
        <v>1989</v>
      </c>
      <c r="F78" s="6">
        <f t="shared" si="9"/>
        <v>199</v>
      </c>
      <c r="G78">
        <v>22.7</v>
      </c>
      <c r="H78">
        <v>9.6</v>
      </c>
      <c r="I78">
        <f>MAX(0,1-Fitting!$B$7*(Fitting!$B$6-Herm8889!C78)^2)</f>
        <v>0.43855211402240823</v>
      </c>
      <c r="J78">
        <f>tt(G78,H78,Fitting!$B$1:$E$1,Fitting!$B$2:$E$2)*I78</f>
        <v>7.0826173106393133</v>
      </c>
    </row>
    <row r="79" spans="1:10">
      <c r="A79" s="1">
        <f t="shared" si="7"/>
        <v>32708</v>
      </c>
      <c r="B79">
        <f t="shared" si="5"/>
        <v>675.99125269996807</v>
      </c>
      <c r="C79">
        <f>day_length(F79,$B$1,Fitting!$B$4)</f>
        <v>11.846462249755859</v>
      </c>
      <c r="D79" s="1">
        <f t="shared" si="6"/>
        <v>32708</v>
      </c>
      <c r="E79">
        <f t="shared" si="8"/>
        <v>1989</v>
      </c>
      <c r="F79" s="6">
        <f t="shared" si="9"/>
        <v>200</v>
      </c>
      <c r="G79">
        <v>21.2</v>
      </c>
      <c r="H79">
        <v>6.3</v>
      </c>
      <c r="I79">
        <f>MAX(0,1-Fitting!$B$7*(Fitting!$B$6-Herm8889!C79)^2)</f>
        <v>0.43992819702869745</v>
      </c>
      <c r="J79">
        <f>tt(G79,H79,Fitting!$B$1:$E$1,Fitting!$B$2:$E$2)*I79</f>
        <v>6.0490122895963676</v>
      </c>
    </row>
    <row r="80" spans="1:10">
      <c r="A80" s="1">
        <f t="shared" si="7"/>
        <v>32709</v>
      </c>
      <c r="B80">
        <f t="shared" si="5"/>
        <v>681.46407563472383</v>
      </c>
      <c r="C80">
        <f>day_length(F80,$B$1,Fitting!$B$4)</f>
        <v>11.85521411895752</v>
      </c>
      <c r="D80" s="1">
        <f t="shared" si="6"/>
        <v>32709</v>
      </c>
      <c r="E80">
        <f t="shared" si="8"/>
        <v>1989</v>
      </c>
      <c r="F80" s="6">
        <f t="shared" si="9"/>
        <v>201</v>
      </c>
      <c r="G80">
        <v>20.3</v>
      </c>
      <c r="H80">
        <v>4.5</v>
      </c>
      <c r="I80">
        <f>MAX(0,1-Fitting!$B$7*(Fitting!$B$6-Herm8889!C80)^2)</f>
        <v>0.4413567018645117</v>
      </c>
      <c r="J80">
        <f>tt(G80,H80,Fitting!$B$1:$E$1,Fitting!$B$2:$E$2)*I80</f>
        <v>5.4728229347557251</v>
      </c>
    </row>
    <row r="81" spans="1:10">
      <c r="A81" s="1">
        <f t="shared" si="7"/>
        <v>32710</v>
      </c>
      <c r="B81">
        <f t="shared" si="5"/>
        <v>687.02167524381844</v>
      </c>
      <c r="C81">
        <f>day_length(F81,$B$1,Fitting!$B$4)</f>
        <v>11.864253044128418</v>
      </c>
      <c r="D81" s="1">
        <f t="shared" si="6"/>
        <v>32710</v>
      </c>
      <c r="E81">
        <f t="shared" si="8"/>
        <v>1989</v>
      </c>
      <c r="F81" s="6">
        <f t="shared" si="9"/>
        <v>202</v>
      </c>
      <c r="G81">
        <v>20.7</v>
      </c>
      <c r="H81">
        <v>4.4000000000000004</v>
      </c>
      <c r="I81">
        <f>MAX(0,1-Fitting!$B$7*(Fitting!$B$6-Herm8889!C81)^2)</f>
        <v>0.44283664915953158</v>
      </c>
      <c r="J81">
        <f>tt(G81,H81,Fitting!$B$1:$E$1,Fitting!$B$2:$E$2)*I81</f>
        <v>5.5575996090945701</v>
      </c>
    </row>
    <row r="82" spans="1:10">
      <c r="A82" s="1">
        <f t="shared" si="7"/>
        <v>32711</v>
      </c>
      <c r="B82">
        <f t="shared" si="5"/>
        <v>693.26503513520697</v>
      </c>
      <c r="C82">
        <f>day_length(F82,$B$1,Fitting!$B$4)</f>
        <v>11.873574256896973</v>
      </c>
      <c r="D82" s="1">
        <f t="shared" si="6"/>
        <v>32711</v>
      </c>
      <c r="E82">
        <f t="shared" si="8"/>
        <v>1989</v>
      </c>
      <c r="F82" s="6">
        <f t="shared" si="9"/>
        <v>203</v>
      </c>
      <c r="G82">
        <v>20.5</v>
      </c>
      <c r="H82">
        <v>7.6</v>
      </c>
      <c r="I82">
        <f>MAX(0,1-Fitting!$B$7*(Fitting!$B$6-Herm8889!C82)^2)</f>
        <v>0.44436727618603622</v>
      </c>
      <c r="J82">
        <f>tt(G82,H82,Fitting!$B$1:$E$1,Fitting!$B$2:$E$2)*I82</f>
        <v>6.243359891388482</v>
      </c>
    </row>
    <row r="83" spans="1:10">
      <c r="A83" s="1">
        <f t="shared" si="7"/>
        <v>32712</v>
      </c>
      <c r="B83">
        <f t="shared" si="5"/>
        <v>700.73465736437265</v>
      </c>
      <c r="C83">
        <f>day_length(F83,$B$1,Fitting!$B$4)</f>
        <v>11.883175849914551</v>
      </c>
      <c r="D83" s="1">
        <f t="shared" si="6"/>
        <v>32712</v>
      </c>
      <c r="E83">
        <f t="shared" si="8"/>
        <v>1989</v>
      </c>
      <c r="F83" s="6">
        <f t="shared" si="9"/>
        <v>204</v>
      </c>
      <c r="G83">
        <v>22.1</v>
      </c>
      <c r="H83">
        <v>11.4</v>
      </c>
      <c r="I83">
        <f>MAX(0,1-Fitting!$B$7*(Fitting!$B$6-Herm8889!C83)^2)</f>
        <v>0.44594759577108201</v>
      </c>
      <c r="J83">
        <f>tt(G83,H83,Fitting!$B$1:$E$1,Fitting!$B$2:$E$2)*I83</f>
        <v>7.4696222291656236</v>
      </c>
    </row>
    <row r="84" spans="1:10">
      <c r="A84" s="1">
        <f t="shared" si="7"/>
        <v>32713</v>
      </c>
      <c r="B84">
        <f t="shared" si="5"/>
        <v>708.81341582776554</v>
      </c>
      <c r="C84">
        <f>day_length(F84,$B$1,Fitting!$B$4)</f>
        <v>11.89305305480957</v>
      </c>
      <c r="D84" s="1">
        <f t="shared" si="6"/>
        <v>32713</v>
      </c>
      <c r="E84">
        <f t="shared" si="8"/>
        <v>1989</v>
      </c>
      <c r="F84" s="6">
        <f t="shared" si="9"/>
        <v>205</v>
      </c>
      <c r="G84">
        <v>25.8</v>
      </c>
      <c r="H84">
        <v>10.3</v>
      </c>
      <c r="I84">
        <f>MAX(0,1-Fitting!$B$7*(Fitting!$B$6-Herm8889!C84)^2)</f>
        <v>0.44757661779402402</v>
      </c>
      <c r="J84">
        <f>tt(G84,H84,Fitting!$B$1:$E$1,Fitting!$B$2:$E$2)*I84</f>
        <v>8.0787584633929228</v>
      </c>
    </row>
    <row r="85" spans="1:10">
      <c r="A85" s="1">
        <f t="shared" si="7"/>
        <v>32714</v>
      </c>
      <c r="B85">
        <f t="shared" si="5"/>
        <v>715.70945405775478</v>
      </c>
      <c r="C85">
        <f>day_length(F85,$B$1,Fitting!$B$4)</f>
        <v>11.903203010559082</v>
      </c>
      <c r="D85" s="1">
        <f t="shared" si="6"/>
        <v>32714</v>
      </c>
      <c r="E85">
        <f t="shared" si="8"/>
        <v>1989</v>
      </c>
      <c r="F85" s="6">
        <f t="shared" si="9"/>
        <v>206</v>
      </c>
      <c r="G85">
        <v>24.3</v>
      </c>
      <c r="H85">
        <v>6.4</v>
      </c>
      <c r="I85">
        <f>MAX(0,1-Fitting!$B$7*(Fitting!$B$6-Herm8889!C85)^2)</f>
        <v>0.44925334954367457</v>
      </c>
      <c r="J85">
        <f>tt(G85,H85,Fitting!$B$1:$E$1,Fitting!$B$2:$E$2)*I85</f>
        <v>6.8960382299891947</v>
      </c>
    </row>
    <row r="86" spans="1:10">
      <c r="A86" s="1">
        <f t="shared" si="7"/>
        <v>32715</v>
      </c>
      <c r="B86">
        <f t="shared" si="5"/>
        <v>721.75254485006337</v>
      </c>
      <c r="C86">
        <f>day_length(F86,$B$1,Fitting!$B$4)</f>
        <v>11.913619041442871</v>
      </c>
      <c r="D86" s="1">
        <f t="shared" si="6"/>
        <v>32715</v>
      </c>
      <c r="E86">
        <f t="shared" si="8"/>
        <v>1989</v>
      </c>
      <c r="F86" s="6">
        <f t="shared" si="9"/>
        <v>207</v>
      </c>
      <c r="G86">
        <v>22</v>
      </c>
      <c r="H86">
        <v>4.8</v>
      </c>
      <c r="I86">
        <f>MAX(0,1-Fitting!$B$7*(Fitting!$B$6-Herm8889!C86)^2)</f>
        <v>0.45097690554160541</v>
      </c>
      <c r="J86">
        <f>tt(G86,H86,Fitting!$B$1:$E$1,Fitting!$B$2:$E$2)*I86</f>
        <v>6.0430907923085675</v>
      </c>
    </row>
    <row r="87" spans="1:10">
      <c r="A87" s="1">
        <f t="shared" si="7"/>
        <v>32716</v>
      </c>
      <c r="B87">
        <f t="shared" si="5"/>
        <v>728.31736761687239</v>
      </c>
      <c r="C87">
        <f>day_length(F87,$B$1,Fitting!$B$4)</f>
        <v>11.924301147460938</v>
      </c>
      <c r="D87" s="1">
        <f t="shared" si="6"/>
        <v>32716</v>
      </c>
      <c r="E87">
        <f t="shared" si="8"/>
        <v>1989</v>
      </c>
      <c r="F87" s="6">
        <f t="shared" si="9"/>
        <v>208</v>
      </c>
      <c r="G87">
        <v>22</v>
      </c>
      <c r="H87">
        <v>7</v>
      </c>
      <c r="I87">
        <f>MAX(0,1-Fitting!$B$7*(Fitting!$B$6-Herm8889!C87)^2)</f>
        <v>0.45274639771096548</v>
      </c>
      <c r="J87">
        <f>tt(G87,H87,Fitting!$B$1:$E$1,Fitting!$B$2:$E$2)*I87</f>
        <v>6.5648227668089998</v>
      </c>
    </row>
    <row r="88" spans="1:10">
      <c r="A88" s="1">
        <f t="shared" si="7"/>
        <v>32717</v>
      </c>
      <c r="B88">
        <f t="shared" si="5"/>
        <v>737.0222030929724</v>
      </c>
      <c r="C88">
        <f>day_length(F88,$B$1,Fitting!$B$4)</f>
        <v>11.935240745544434</v>
      </c>
      <c r="D88" s="1">
        <f t="shared" si="6"/>
        <v>32717</v>
      </c>
      <c r="E88">
        <f t="shared" si="8"/>
        <v>1989</v>
      </c>
      <c r="F88" s="6">
        <f t="shared" si="9"/>
        <v>209</v>
      </c>
      <c r="G88">
        <v>25</v>
      </c>
      <c r="H88">
        <v>13.3</v>
      </c>
      <c r="I88">
        <f>MAX(0,1-Fitting!$B$7*(Fitting!$B$6-Herm8889!C88)^2)</f>
        <v>0.45456060832904222</v>
      </c>
      <c r="J88">
        <f>tt(G88,H88,Fitting!$B$1:$E$1,Fitting!$B$2:$E$2)*I88</f>
        <v>8.7048354761000475</v>
      </c>
    </row>
    <row r="89" spans="1:10">
      <c r="A89" s="1">
        <f t="shared" si="7"/>
        <v>32718</v>
      </c>
      <c r="B89">
        <f t="shared" si="5"/>
        <v>745.3518414068194</v>
      </c>
      <c r="C89">
        <f>day_length(F89,$B$1,Fitting!$B$4)</f>
        <v>11.946437835693359</v>
      </c>
      <c r="D89" s="1">
        <f t="shared" si="6"/>
        <v>32718</v>
      </c>
      <c r="E89">
        <f t="shared" si="8"/>
        <v>1989</v>
      </c>
      <c r="F89" s="6">
        <f t="shared" si="9"/>
        <v>210</v>
      </c>
      <c r="G89">
        <v>24.6</v>
      </c>
      <c r="H89">
        <v>11.9</v>
      </c>
      <c r="I89">
        <f>MAX(0,1-Fitting!$B$7*(Fitting!$B$6-Herm8889!C89)^2)</f>
        <v>0.45641853774504304</v>
      </c>
      <c r="J89">
        <f>tt(G89,H89,Fitting!$B$1:$E$1,Fitting!$B$2:$E$2)*I89</f>
        <v>8.3296383138470347</v>
      </c>
    </row>
    <row r="90" spans="1:10">
      <c r="A90" s="1">
        <f t="shared" si="7"/>
        <v>32719</v>
      </c>
      <c r="B90">
        <f t="shared" si="5"/>
        <v>754.01407794675936</v>
      </c>
      <c r="C90">
        <f>day_length(F90,$B$1,Fitting!$B$4)</f>
        <v>11.9578857421875</v>
      </c>
      <c r="D90" s="1">
        <f t="shared" si="6"/>
        <v>32719</v>
      </c>
      <c r="E90">
        <f t="shared" si="8"/>
        <v>1989</v>
      </c>
      <c r="F90" s="6">
        <f t="shared" si="9"/>
        <v>211</v>
      </c>
      <c r="G90">
        <v>24.9</v>
      </c>
      <c r="H90">
        <v>12.9</v>
      </c>
      <c r="I90">
        <f>MAX(0,1-Fitting!$B$7*(Fitting!$B$6-Herm8889!C90)^2)</f>
        <v>0.45831940289814699</v>
      </c>
      <c r="J90">
        <f>tt(G90,H90,Fitting!$B$1:$E$1,Fitting!$B$2:$E$2)*I90</f>
        <v>8.6622365399400003</v>
      </c>
    </row>
    <row r="91" spans="1:10">
      <c r="A91" s="1">
        <f t="shared" si="7"/>
        <v>32720</v>
      </c>
      <c r="B91">
        <f t="shared" si="5"/>
        <v>762.48289916275837</v>
      </c>
      <c r="C91">
        <f>day_length(F91,$B$1,Fitting!$B$4)</f>
        <v>11.969581604003906</v>
      </c>
      <c r="D91" s="1">
        <f t="shared" si="6"/>
        <v>32720</v>
      </c>
      <c r="E91">
        <f t="shared" si="8"/>
        <v>1989</v>
      </c>
      <c r="F91" s="6">
        <f t="shared" si="9"/>
        <v>212</v>
      </c>
      <c r="G91">
        <v>25</v>
      </c>
      <c r="H91">
        <v>11.8</v>
      </c>
      <c r="I91">
        <f>MAX(0,1-Fitting!$B$7*(Fitting!$B$6-Herm8889!C91)^2)</f>
        <v>0.46026198443994504</v>
      </c>
      <c r="J91">
        <f>tt(G91,H91,Fitting!$B$1:$E$1,Fitting!$B$2:$E$2)*I91</f>
        <v>8.4688212159990428</v>
      </c>
    </row>
    <row r="92" spans="1:10">
      <c r="A92" s="1">
        <f t="shared" si="7"/>
        <v>32721</v>
      </c>
      <c r="B92">
        <f t="shared" si="5"/>
        <v>771.31178420639424</v>
      </c>
      <c r="C92">
        <f>day_length(F92,$B$1,Fitting!$B$4)</f>
        <v>11.981520652770996</v>
      </c>
      <c r="D92" s="1">
        <f t="shared" si="6"/>
        <v>32721</v>
      </c>
      <c r="E92">
        <f t="shared" si="8"/>
        <v>1989</v>
      </c>
      <c r="F92" s="6">
        <f t="shared" si="9"/>
        <v>213</v>
      </c>
      <c r="G92">
        <v>25.4</v>
      </c>
      <c r="H92">
        <v>12.8</v>
      </c>
      <c r="I92">
        <f>MAX(0,1-Fitting!$B$7*(Fitting!$B$6-Herm8889!C92)^2)</f>
        <v>0.46224528101064244</v>
      </c>
      <c r="J92">
        <f>tt(G92,H92,Fitting!$B$1:$E$1,Fitting!$B$2:$E$2)*I92</f>
        <v>8.8288850436358519</v>
      </c>
    </row>
    <row r="93" spans="1:10">
      <c r="A93" s="1">
        <f t="shared" si="7"/>
        <v>32722</v>
      </c>
      <c r="B93">
        <f t="shared" si="5"/>
        <v>780.2489488144231</v>
      </c>
      <c r="C93">
        <f>day_length(F93,$B$1,Fitting!$B$4)</f>
        <v>11.993699073791504</v>
      </c>
      <c r="D93" s="1">
        <f t="shared" si="6"/>
        <v>32722</v>
      </c>
      <c r="E93">
        <f t="shared" si="8"/>
        <v>1989</v>
      </c>
      <c r="F93" s="6">
        <f t="shared" si="9"/>
        <v>214</v>
      </c>
      <c r="G93">
        <v>26</v>
      </c>
      <c r="H93">
        <v>12.5</v>
      </c>
      <c r="I93">
        <f>MAX(0,1-Fitting!$B$7*(Fitting!$B$6-Herm8889!C93)^2)</f>
        <v>0.46426829132617597</v>
      </c>
      <c r="J93">
        <f>tt(G93,H93,Fitting!$B$1:$E$1,Fitting!$B$2:$E$2)*I93</f>
        <v>8.9371646080288869</v>
      </c>
    </row>
    <row r="94" spans="1:10">
      <c r="A94" s="1">
        <f t="shared" si="7"/>
        <v>32723</v>
      </c>
      <c r="B94">
        <f t="shared" si="5"/>
        <v>788.12992677082059</v>
      </c>
      <c r="C94">
        <f>day_length(F94,$B$1,Fitting!$B$4)</f>
        <v>12.006113052368164</v>
      </c>
      <c r="D94" s="1">
        <f t="shared" si="6"/>
        <v>32723</v>
      </c>
      <c r="E94">
        <f t="shared" si="8"/>
        <v>1989</v>
      </c>
      <c r="F94" s="6">
        <f t="shared" si="9"/>
        <v>215</v>
      </c>
      <c r="G94">
        <v>23.1</v>
      </c>
      <c r="H94">
        <v>10.7</v>
      </c>
      <c r="I94">
        <f>MAX(0,1-Fitting!$B$7*(Fitting!$B$6-Herm8889!C94)^2)</f>
        <v>0.46633001448724276</v>
      </c>
      <c r="J94">
        <f>tt(G94,H94,Fitting!$B$1:$E$1,Fitting!$B$2:$E$2)*I94</f>
        <v>7.8809779563975351</v>
      </c>
    </row>
    <row r="95" spans="1:10">
      <c r="A95" s="1">
        <f t="shared" si="7"/>
        <v>32724</v>
      </c>
      <c r="B95">
        <f t="shared" si="5"/>
        <v>795.97611825879267</v>
      </c>
      <c r="C95">
        <f>day_length(F95,$B$1,Fitting!$B$4)</f>
        <v>12.018757820129395</v>
      </c>
      <c r="D95" s="1">
        <f t="shared" si="6"/>
        <v>32724</v>
      </c>
      <c r="E95">
        <f t="shared" si="8"/>
        <v>1989</v>
      </c>
      <c r="F95" s="6">
        <f t="shared" si="9"/>
        <v>216</v>
      </c>
      <c r="G95">
        <v>23.5</v>
      </c>
      <c r="H95">
        <v>10</v>
      </c>
      <c r="I95">
        <f>MAX(0,1-Fitting!$B$7*(Fitting!$B$6-Herm8889!C95)^2)</f>
        <v>0.46842934256549962</v>
      </c>
      <c r="J95">
        <f>tt(G95,H95,Fitting!$B$1:$E$1,Fitting!$B$2:$E$2)*I95</f>
        <v>7.8461914879721188</v>
      </c>
    </row>
    <row r="96" spans="1:10">
      <c r="A96" s="1">
        <f t="shared" si="7"/>
        <v>32725</v>
      </c>
      <c r="B96">
        <f t="shared" si="5"/>
        <v>804.7051037878847</v>
      </c>
      <c r="C96">
        <f>day_length(F96,$B$1,Fitting!$B$4)</f>
        <v>12.03162956237793</v>
      </c>
      <c r="D96" s="1">
        <f t="shared" si="6"/>
        <v>32725</v>
      </c>
      <c r="E96">
        <f t="shared" si="8"/>
        <v>1989</v>
      </c>
      <c r="F96" s="6">
        <f t="shared" si="9"/>
        <v>217</v>
      </c>
      <c r="G96">
        <v>25.4</v>
      </c>
      <c r="H96">
        <v>11.7</v>
      </c>
      <c r="I96">
        <f>MAX(0,1-Fitting!$B$7*(Fitting!$B$6-Herm8889!C96)^2)</f>
        <v>0.47056527698678108</v>
      </c>
      <c r="J96">
        <f>tt(G96,H96,Fitting!$B$1:$E$1,Fitting!$B$2:$E$2)*I96</f>
        <v>8.7289855290919736</v>
      </c>
    </row>
    <row r="97" spans="1:10">
      <c r="A97" s="1">
        <f t="shared" si="7"/>
        <v>32726</v>
      </c>
      <c r="B97">
        <f t="shared" si="5"/>
        <v>813.4270975847561</v>
      </c>
      <c r="C97">
        <f>day_length(F97,$B$1,Fitting!$B$4)</f>
        <v>12.044724464416504</v>
      </c>
      <c r="D97" s="1">
        <f t="shared" si="6"/>
        <v>32726</v>
      </c>
      <c r="E97">
        <f t="shared" si="8"/>
        <v>1989</v>
      </c>
      <c r="F97" s="6">
        <f t="shared" si="9"/>
        <v>218</v>
      </c>
      <c r="G97">
        <v>25.8</v>
      </c>
      <c r="H97">
        <v>11.1</v>
      </c>
      <c r="I97">
        <f>MAX(0,1-Fitting!$B$7*(Fitting!$B$6-Herm8889!C97)^2)</f>
        <v>0.4727368204810718</v>
      </c>
      <c r="J97">
        <f>tt(G97,H97,Fitting!$B$1:$E$1,Fitting!$B$2:$E$2)*I97</f>
        <v>8.7219937968714181</v>
      </c>
    </row>
    <row r="98" spans="1:10">
      <c r="A98" s="1">
        <f t="shared" si="7"/>
        <v>32727</v>
      </c>
      <c r="B98">
        <f t="shared" si="5"/>
        <v>821.54861901765059</v>
      </c>
      <c r="C98">
        <f>day_length(F98,$B$1,Fitting!$B$4)</f>
        <v>12.058036804199219</v>
      </c>
      <c r="D98" s="1">
        <f t="shared" si="6"/>
        <v>32727</v>
      </c>
      <c r="E98">
        <f t="shared" si="8"/>
        <v>1989</v>
      </c>
      <c r="F98" s="6">
        <f t="shared" si="9"/>
        <v>219</v>
      </c>
      <c r="G98">
        <v>25.2</v>
      </c>
      <c r="H98">
        <v>9</v>
      </c>
      <c r="I98">
        <f>MAX(0,1-Fitting!$B$7*(Fitting!$B$6-Herm8889!C98)^2)</f>
        <v>0.47494276325837748</v>
      </c>
      <c r="J98">
        <f>tt(G98,H98,Fitting!$B$1:$E$1,Fitting!$B$2:$E$2)*I98</f>
        <v>8.1215214328945411</v>
      </c>
    </row>
    <row r="99" spans="1:10">
      <c r="A99" s="1">
        <f t="shared" si="7"/>
        <v>32728</v>
      </c>
      <c r="B99">
        <f t="shared" si="5"/>
        <v>829.20739590466985</v>
      </c>
      <c r="C99">
        <f>day_length(F99,$B$1,Fitting!$B$4)</f>
        <v>12.071565628051758</v>
      </c>
      <c r="D99" s="1">
        <f t="shared" si="6"/>
        <v>32728</v>
      </c>
      <c r="E99">
        <f t="shared" si="8"/>
        <v>1989</v>
      </c>
      <c r="F99" s="6">
        <f t="shared" si="9"/>
        <v>220</v>
      </c>
      <c r="G99">
        <v>24.7</v>
      </c>
      <c r="H99">
        <v>7.4</v>
      </c>
      <c r="I99">
        <f>MAX(0,1-Fitting!$B$7*(Fitting!$B$6-Herm8889!C99)^2)</f>
        <v>0.47718232653753689</v>
      </c>
      <c r="J99">
        <f>tt(G99,H99,Fitting!$B$1:$E$1,Fitting!$B$2:$E$2)*I99</f>
        <v>7.658776887019302</v>
      </c>
    </row>
    <row r="100" spans="1:10">
      <c r="A100" s="1">
        <f t="shared" si="7"/>
        <v>32729</v>
      </c>
      <c r="B100">
        <f t="shared" si="5"/>
        <v>836.03962021521215</v>
      </c>
      <c r="C100">
        <f>day_length(F100,$B$1,Fitting!$B$4)</f>
        <v>12.08530330657959</v>
      </c>
      <c r="D100" s="1">
        <f t="shared" si="6"/>
        <v>32729</v>
      </c>
      <c r="E100">
        <f t="shared" si="8"/>
        <v>1989</v>
      </c>
      <c r="F100" s="6">
        <f t="shared" si="9"/>
        <v>221</v>
      </c>
      <c r="G100">
        <v>22</v>
      </c>
      <c r="H100">
        <v>6.5</v>
      </c>
      <c r="I100">
        <f>MAX(0,1-Fitting!$B$7*(Fitting!$B$6-Herm8889!C100)^2)</f>
        <v>0.47945430549466983</v>
      </c>
      <c r="J100">
        <f>tt(G100,H100,Fitting!$B$1:$E$1,Fitting!$B$2:$E$2)*I100</f>
        <v>6.8322243105423022</v>
      </c>
    </row>
    <row r="101" spans="1:10">
      <c r="A101" s="1">
        <f t="shared" si="7"/>
        <v>32730</v>
      </c>
      <c r="B101">
        <f t="shared" si="5"/>
        <v>842.66379068162871</v>
      </c>
      <c r="C101">
        <f>day_length(F101,$B$1,Fitting!$B$4)</f>
        <v>12.099246978759766</v>
      </c>
      <c r="D101" s="1">
        <f t="shared" si="6"/>
        <v>32730</v>
      </c>
      <c r="E101">
        <f t="shared" si="8"/>
        <v>1989</v>
      </c>
      <c r="F101" s="6">
        <f t="shared" si="9"/>
        <v>222</v>
      </c>
      <c r="G101">
        <v>22</v>
      </c>
      <c r="H101">
        <v>5.5</v>
      </c>
      <c r="I101">
        <f>MAX(0,1-Fitting!$B$7*(Fitting!$B$6-Herm8889!C101)^2)</f>
        <v>0.48175781868919876</v>
      </c>
      <c r="J101">
        <f>tt(G101,H101,Fitting!$B$1:$E$1,Fitting!$B$2:$E$2)*I101</f>
        <v>6.6241704664165413</v>
      </c>
    </row>
    <row r="102" spans="1:10">
      <c r="A102" s="1">
        <f t="shared" si="7"/>
        <v>32731</v>
      </c>
      <c r="B102">
        <f t="shared" si="5"/>
        <v>850.38505438798484</v>
      </c>
      <c r="C102">
        <f>day_length(F102,$B$1,Fitting!$B$4)</f>
        <v>12.113393783569336</v>
      </c>
      <c r="D102" s="1">
        <f t="shared" si="6"/>
        <v>32731</v>
      </c>
      <c r="E102">
        <f t="shared" si="8"/>
        <v>1989</v>
      </c>
      <c r="F102" s="6">
        <f t="shared" si="9"/>
        <v>223</v>
      </c>
      <c r="G102">
        <v>23.2</v>
      </c>
      <c r="H102">
        <v>8.6999999999999993</v>
      </c>
      <c r="I102">
        <f>MAX(0,1-Fitting!$B$7*(Fitting!$B$6-Herm8889!C102)^2)</f>
        <v>0.48409177421249661</v>
      </c>
      <c r="J102">
        <f>tt(G102,H102,Fitting!$B$1:$E$1,Fitting!$B$2:$E$2)*I102</f>
        <v>7.7212637063561429</v>
      </c>
    </row>
    <row r="103" spans="1:10">
      <c r="A103" s="1">
        <f t="shared" si="7"/>
        <v>32732</v>
      </c>
      <c r="B103">
        <f t="shared" si="5"/>
        <v>858.28995122500112</v>
      </c>
      <c r="C103">
        <f>day_length(F103,$B$1,Fitting!$B$4)</f>
        <v>12.127737998962402</v>
      </c>
      <c r="D103" s="1">
        <f t="shared" si="6"/>
        <v>32732</v>
      </c>
      <c r="E103">
        <f t="shared" si="8"/>
        <v>1989</v>
      </c>
      <c r="F103" s="6">
        <f t="shared" si="9"/>
        <v>224</v>
      </c>
      <c r="G103">
        <v>24.8</v>
      </c>
      <c r="H103">
        <v>7.7</v>
      </c>
      <c r="I103">
        <f>MAX(0,1-Fitting!$B$7*(Fitting!$B$6-Herm8889!C103)^2)</f>
        <v>0.48645518997023462</v>
      </c>
      <c r="J103">
        <f>tt(G103,H103,Fitting!$B$1:$E$1,Fitting!$B$2:$E$2)*I103</f>
        <v>7.9048968370163131</v>
      </c>
    </row>
    <row r="104" spans="1:10">
      <c r="A104" s="1">
        <f t="shared" si="7"/>
        <v>32733</v>
      </c>
      <c r="B104">
        <f t="shared" si="5"/>
        <v>866.13594414186105</v>
      </c>
      <c r="C104">
        <f>day_length(F104,$B$1,Fitting!$B$4)</f>
        <v>12.142275810241699</v>
      </c>
      <c r="D104" s="1">
        <f t="shared" si="6"/>
        <v>32733</v>
      </c>
      <c r="E104">
        <f t="shared" si="8"/>
        <v>1989</v>
      </c>
      <c r="F104" s="6">
        <f t="shared" si="9"/>
        <v>225</v>
      </c>
      <c r="G104">
        <v>24.6</v>
      </c>
      <c r="H104">
        <v>7.5</v>
      </c>
      <c r="I104">
        <f>MAX(0,1-Fitting!$B$7*(Fitting!$B$6-Herm8889!C104)^2)</f>
        <v>0.48884687585165376</v>
      </c>
      <c r="J104">
        <f>tt(G104,H104,Fitting!$B$1:$E$1,Fitting!$B$2:$E$2)*I104</f>
        <v>7.8459929168598954</v>
      </c>
    </row>
    <row r="105" spans="1:10">
      <c r="A105" s="1">
        <f t="shared" si="7"/>
        <v>32734</v>
      </c>
      <c r="B105">
        <f t="shared" si="5"/>
        <v>873.55406262157953</v>
      </c>
      <c r="C105">
        <f>day_length(F105,$B$1,Fitting!$B$4)</f>
        <v>12.157003402709961</v>
      </c>
      <c r="D105" s="1">
        <f t="shared" si="6"/>
        <v>32734</v>
      </c>
      <c r="E105">
        <f t="shared" si="8"/>
        <v>1989</v>
      </c>
      <c r="F105" s="6">
        <f t="shared" si="9"/>
        <v>226</v>
      </c>
      <c r="G105">
        <v>23</v>
      </c>
      <c r="H105">
        <v>7.2</v>
      </c>
      <c r="I105">
        <f>MAX(0,1-Fitting!$B$7*(Fitting!$B$6-Herm8889!C105)^2)</f>
        <v>0.49126617412789531</v>
      </c>
      <c r="J105">
        <f>tt(G105,H105,Fitting!$B$1:$E$1,Fitting!$B$2:$E$2)*I105</f>
        <v>7.4181184797185269</v>
      </c>
    </row>
    <row r="106" spans="1:10">
      <c r="A106" s="1">
        <f t="shared" si="7"/>
        <v>32735</v>
      </c>
      <c r="B106">
        <f t="shared" si="5"/>
        <v>882.68773086700685</v>
      </c>
      <c r="C106">
        <f>day_length(F106,$B$1,Fitting!$B$4)</f>
        <v>12.171917915344238</v>
      </c>
      <c r="D106" s="1">
        <f t="shared" si="6"/>
        <v>32735</v>
      </c>
      <c r="E106">
        <f t="shared" si="8"/>
        <v>1989</v>
      </c>
      <c r="F106" s="6">
        <f t="shared" si="9"/>
        <v>227</v>
      </c>
      <c r="G106">
        <v>24</v>
      </c>
      <c r="H106">
        <v>13</v>
      </c>
      <c r="I106">
        <f>MAX(0,1-Fitting!$B$7*(Fitting!$B$6-Herm8889!C106)^2)</f>
        <v>0.49371179705012214</v>
      </c>
      <c r="J106">
        <f>tt(G106,H106,Fitting!$B$1:$E$1,Fitting!$B$2:$E$2)*I106</f>
        <v>9.1336682454272591</v>
      </c>
    </row>
    <row r="107" spans="1:10">
      <c r="A107" s="1">
        <f t="shared" si="7"/>
        <v>32736</v>
      </c>
      <c r="B107">
        <f t="shared" si="5"/>
        <v>891.61902465530829</v>
      </c>
      <c r="C107">
        <f>day_length(F107,$B$1,Fitting!$B$4)</f>
        <v>12.187013626098633</v>
      </c>
      <c r="D107" s="1">
        <f t="shared" si="6"/>
        <v>32736</v>
      </c>
      <c r="E107">
        <f t="shared" si="8"/>
        <v>1989</v>
      </c>
      <c r="F107" s="6">
        <f t="shared" si="9"/>
        <v>228</v>
      </c>
      <c r="G107">
        <v>24</v>
      </c>
      <c r="H107">
        <v>12</v>
      </c>
      <c r="I107">
        <f>MAX(0,1-Fitting!$B$7*(Fitting!$B$6-Herm8889!C107)^2)</f>
        <v>0.49618298823896656</v>
      </c>
      <c r="J107">
        <f>tt(G107,H107,Fitting!$B$1:$E$1,Fitting!$B$2:$E$2)*I107</f>
        <v>8.9312937883013976</v>
      </c>
    </row>
    <row r="108" spans="1:10">
      <c r="A108" s="1">
        <f t="shared" si="7"/>
        <v>32737</v>
      </c>
      <c r="B108">
        <f t="shared" si="5"/>
        <v>900.54537657576066</v>
      </c>
      <c r="C108">
        <f>day_length(F108,$B$1,Fitting!$B$4)</f>
        <v>12.202287673950195</v>
      </c>
      <c r="D108" s="1">
        <f t="shared" si="6"/>
        <v>32737</v>
      </c>
      <c r="E108">
        <f t="shared" si="8"/>
        <v>1989</v>
      </c>
      <c r="F108" s="6">
        <f t="shared" si="9"/>
        <v>229</v>
      </c>
      <c r="G108">
        <v>25.6</v>
      </c>
      <c r="H108">
        <v>10.199999999999999</v>
      </c>
      <c r="I108">
        <f>MAX(0,1-Fitting!$B$7*(Fitting!$B$6-Herm8889!C108)^2)</f>
        <v>0.49867888886498435</v>
      </c>
      <c r="J108">
        <f>tt(G108,H108,Fitting!$B$1:$E$1,Fitting!$B$2:$E$2)*I108</f>
        <v>8.926351920452321</v>
      </c>
    </row>
    <row r="109" spans="1:10">
      <c r="A109" s="1">
        <f t="shared" si="7"/>
        <v>32738</v>
      </c>
      <c r="B109">
        <f t="shared" si="5"/>
        <v>911.02042026588504</v>
      </c>
      <c r="C109">
        <f>day_length(F109,$B$1,Fitting!$B$4)</f>
        <v>12.21773624420166</v>
      </c>
      <c r="D109" s="1">
        <f t="shared" si="6"/>
        <v>32738</v>
      </c>
      <c r="E109">
        <f t="shared" si="8"/>
        <v>1989</v>
      </c>
      <c r="F109" s="6">
        <f t="shared" si="9"/>
        <v>230</v>
      </c>
      <c r="G109">
        <v>25.7</v>
      </c>
      <c r="H109">
        <v>16.100000000000001</v>
      </c>
      <c r="I109">
        <f>MAX(0,1-Fitting!$B$7*(Fitting!$B$6-Herm8889!C109)^2)</f>
        <v>0.50119822609361475</v>
      </c>
      <c r="J109">
        <f>tt(G109,H109,Fitting!$B$1:$E$1,Fitting!$B$2:$E$2)*I109</f>
        <v>10.47504369012435</v>
      </c>
    </row>
    <row r="110" spans="1:10">
      <c r="A110" s="1">
        <f t="shared" si="7"/>
        <v>32739</v>
      </c>
      <c r="B110">
        <f t="shared" si="5"/>
        <v>918.52614773704522</v>
      </c>
      <c r="C110">
        <f>day_length(F110,$B$1,Fitting!$B$4)</f>
        <v>12.233355522155762</v>
      </c>
      <c r="D110" s="1">
        <f t="shared" si="6"/>
        <v>32739</v>
      </c>
      <c r="E110">
        <f t="shared" si="8"/>
        <v>1989</v>
      </c>
      <c r="F110" s="6">
        <f t="shared" si="9"/>
        <v>231</v>
      </c>
      <c r="G110">
        <v>22.3</v>
      </c>
      <c r="H110">
        <v>7.5</v>
      </c>
      <c r="I110">
        <f>MAX(0,1-Fitting!$B$7*(Fitting!$B$6-Herm8889!C110)^2)</f>
        <v>0.50374004714858156</v>
      </c>
      <c r="J110">
        <f>tt(G110,H110,Fitting!$B$1:$E$1,Fitting!$B$2:$E$2)*I110</f>
        <v>7.5057274711601778</v>
      </c>
    </row>
    <row r="111" spans="1:10">
      <c r="A111" s="1">
        <f t="shared" si="7"/>
        <v>32740</v>
      </c>
      <c r="B111">
        <f t="shared" si="5"/>
        <v>927.74087667050264</v>
      </c>
      <c r="C111">
        <f>day_length(F111,$B$1,Fitting!$B$4)</f>
        <v>12.249138832092285</v>
      </c>
      <c r="D111" s="1">
        <f t="shared" si="6"/>
        <v>32740</v>
      </c>
      <c r="E111">
        <f t="shared" si="8"/>
        <v>1989</v>
      </c>
      <c r="F111" s="6">
        <f t="shared" si="9"/>
        <v>232</v>
      </c>
      <c r="G111">
        <v>24.4</v>
      </c>
      <c r="H111">
        <v>12</v>
      </c>
      <c r="I111">
        <f>MAX(0,1-Fitting!$B$7*(Fitting!$B$6-Herm8889!C111)^2)</f>
        <v>0.50630381938880054</v>
      </c>
      <c r="J111">
        <f>tt(G111,H111,Fitting!$B$1:$E$1,Fitting!$B$2:$E$2)*I111</f>
        <v>9.2147289334574314</v>
      </c>
    </row>
    <row r="112" spans="1:10">
      <c r="A112" s="1">
        <f t="shared" si="7"/>
        <v>32741</v>
      </c>
      <c r="B112">
        <f t="shared" si="5"/>
        <v>936.72275472724471</v>
      </c>
      <c r="C112">
        <f>day_length(F112,$B$1,Fitting!$B$4)</f>
        <v>12.265087127685547</v>
      </c>
      <c r="D112" s="1">
        <f t="shared" si="6"/>
        <v>32741</v>
      </c>
      <c r="E112">
        <f t="shared" si="8"/>
        <v>1989</v>
      </c>
      <c r="F112" s="6">
        <f t="shared" si="9"/>
        <v>233</v>
      </c>
      <c r="G112">
        <v>25</v>
      </c>
      <c r="H112">
        <v>10.3</v>
      </c>
      <c r="I112">
        <f>MAX(0,1-Fitting!$B$7*(Fitting!$B$6-Herm8889!C112)^2)</f>
        <v>0.50888828616813409</v>
      </c>
      <c r="J112">
        <f>tt(G112,H112,Fitting!$B$1:$E$1,Fitting!$B$2:$E$2)*I112</f>
        <v>8.9818780567420919</v>
      </c>
    </row>
    <row r="113" spans="1:10">
      <c r="A113" s="1">
        <f t="shared" si="7"/>
        <v>32742</v>
      </c>
      <c r="B113">
        <f t="shared" si="5"/>
        <v>945.75059998852396</v>
      </c>
      <c r="C113">
        <f>day_length(F113,$B$1,Fitting!$B$4)</f>
        <v>12.281192779541016</v>
      </c>
      <c r="D113" s="1">
        <f t="shared" si="6"/>
        <v>32742</v>
      </c>
      <c r="E113">
        <f t="shared" si="8"/>
        <v>1989</v>
      </c>
      <c r="F113" s="6">
        <f t="shared" si="9"/>
        <v>234</v>
      </c>
      <c r="G113">
        <v>24.5</v>
      </c>
      <c r="H113">
        <v>10.8</v>
      </c>
      <c r="I113">
        <f>MAX(0,1-Fitting!$B$7*(Fitting!$B$6-Herm8889!C113)^2)</f>
        <v>0.51149271569366106</v>
      </c>
      <c r="J113">
        <f>tt(G113,H113,Fitting!$B$1:$E$1,Fitting!$B$2:$E$2)*I113</f>
        <v>9.0278452612792002</v>
      </c>
    </row>
    <row r="114" spans="1:10">
      <c r="A114" s="1">
        <f t="shared" si="7"/>
        <v>32743</v>
      </c>
      <c r="B114">
        <f t="shared" si="5"/>
        <v>955.493098935989</v>
      </c>
      <c r="C114">
        <f>day_length(F114,$B$1,Fitting!$B$4)</f>
        <v>12.297453880310059</v>
      </c>
      <c r="D114" s="1">
        <f t="shared" si="6"/>
        <v>32743</v>
      </c>
      <c r="E114">
        <f t="shared" si="8"/>
        <v>1989</v>
      </c>
      <c r="F114" s="6">
        <f t="shared" si="9"/>
        <v>235</v>
      </c>
      <c r="G114">
        <v>26.4</v>
      </c>
      <c r="H114">
        <v>11.5</v>
      </c>
      <c r="I114">
        <f>MAX(0,1-Fitting!$B$7*(Fitting!$B$6-Herm8889!C114)^2)</f>
        <v>0.51411607049204211</v>
      </c>
      <c r="J114">
        <f>tt(G114,H114,Fitting!$B$1:$E$1,Fitting!$B$2:$E$2)*I114</f>
        <v>9.7424989474650481</v>
      </c>
    </row>
    <row r="115" spans="1:10">
      <c r="A115" s="1">
        <f t="shared" si="7"/>
        <v>32744</v>
      </c>
      <c r="B115">
        <f t="shared" si="5"/>
        <v>965.44068327459945</v>
      </c>
      <c r="C115">
        <f>day_length(F115,$B$1,Fitting!$B$4)</f>
        <v>12.31386661529541</v>
      </c>
      <c r="D115" s="1">
        <f t="shared" si="6"/>
        <v>32744</v>
      </c>
      <c r="E115">
        <f t="shared" si="8"/>
        <v>1989</v>
      </c>
      <c r="F115" s="6">
        <f t="shared" si="9"/>
        <v>236</v>
      </c>
      <c r="G115">
        <v>26</v>
      </c>
      <c r="H115">
        <v>12.5</v>
      </c>
      <c r="I115">
        <f>MAX(0,1-Fitting!$B$7*(Fitting!$B$6-Herm8889!C115)^2)</f>
        <v>0.51675762797976499</v>
      </c>
      <c r="J115">
        <f>tt(G115,H115,Fitting!$B$1:$E$1,Fitting!$B$2:$E$2)*I115</f>
        <v>9.9475843386104756</v>
      </c>
    </row>
    <row r="116" spans="1:10">
      <c r="A116" s="1">
        <f t="shared" si="7"/>
        <v>32745</v>
      </c>
      <c r="B116">
        <f t="shared" si="5"/>
        <v>975.49138908494297</v>
      </c>
      <c r="C116">
        <f>day_length(F116,$B$1,Fitting!$B$4)</f>
        <v>12.330426216125488</v>
      </c>
      <c r="D116" s="1">
        <f t="shared" si="6"/>
        <v>32745</v>
      </c>
      <c r="E116">
        <f t="shared" si="8"/>
        <v>1989</v>
      </c>
      <c r="F116" s="6">
        <f t="shared" si="9"/>
        <v>237</v>
      </c>
      <c r="G116">
        <v>26.1</v>
      </c>
      <c r="H116">
        <v>12.6</v>
      </c>
      <c r="I116">
        <f>MAX(0,1-Fitting!$B$7*(Fitting!$B$6-Herm8889!C116)^2)</f>
        <v>0.51941636190749163</v>
      </c>
      <c r="J116">
        <f>tt(G116,H116,Fitting!$B$1:$E$1,Fitting!$B$2:$E$2)*I116</f>
        <v>10.050705810343493</v>
      </c>
    </row>
    <row r="117" spans="1:10">
      <c r="A117" s="1">
        <f t="shared" si="7"/>
        <v>32746</v>
      </c>
      <c r="B117">
        <f t="shared" si="5"/>
        <v>985.59386194268859</v>
      </c>
      <c r="C117">
        <f>day_length(F117,$B$1,Fitting!$B$4)</f>
        <v>12.347129821777344</v>
      </c>
      <c r="D117" s="1">
        <f t="shared" si="6"/>
        <v>32746</v>
      </c>
      <c r="E117">
        <f t="shared" si="8"/>
        <v>1989</v>
      </c>
      <c r="F117" s="6">
        <f t="shared" si="9"/>
        <v>238</v>
      </c>
      <c r="G117">
        <v>24.9</v>
      </c>
      <c r="H117">
        <v>13.8</v>
      </c>
      <c r="I117">
        <f>MAX(0,1-Fitting!$B$7*(Fitting!$B$6-Herm8889!C117)^2)</f>
        <v>0.52209166172580446</v>
      </c>
      <c r="J117">
        <f>tt(G117,H117,Fitting!$B$1:$E$1,Fitting!$B$2:$E$2)*I117</f>
        <v>10.102472857745662</v>
      </c>
    </row>
    <row r="118" spans="1:10">
      <c r="A118" s="1">
        <f t="shared" si="7"/>
        <v>32747</v>
      </c>
      <c r="B118">
        <f t="shared" si="5"/>
        <v>996.22070675423686</v>
      </c>
      <c r="C118">
        <f>day_length(F118,$B$1,Fitting!$B$4)</f>
        <v>12.363973617553711</v>
      </c>
      <c r="D118" s="1">
        <f t="shared" si="6"/>
        <v>32747</v>
      </c>
      <c r="E118">
        <f t="shared" si="8"/>
        <v>1989</v>
      </c>
      <c r="F118" s="6">
        <f t="shared" si="9"/>
        <v>239</v>
      </c>
      <c r="G118">
        <v>26.1</v>
      </c>
      <c r="H118">
        <v>14.4</v>
      </c>
      <c r="I118">
        <f>MAX(0,1-Fitting!$B$7*(Fitting!$B$6-Herm8889!C118)^2)</f>
        <v>0.52478241040025742</v>
      </c>
      <c r="J118">
        <f>tt(G118,H118,Fitting!$B$1:$E$1,Fitting!$B$2:$E$2)*I118</f>
        <v>10.626844811548226</v>
      </c>
    </row>
    <row r="119" spans="1:10">
      <c r="A119" s="1">
        <f t="shared" si="7"/>
        <v>32748</v>
      </c>
      <c r="B119">
        <f t="shared" si="5"/>
        <v>1008.4584255648923</v>
      </c>
      <c r="C119">
        <f>day_length(F119,$B$1,Fitting!$B$4)</f>
        <v>12.380954742431641</v>
      </c>
      <c r="D119" s="1">
        <f t="shared" si="6"/>
        <v>32748</v>
      </c>
      <c r="E119">
        <f t="shared" si="8"/>
        <v>1989</v>
      </c>
      <c r="F119" s="6">
        <f t="shared" si="9"/>
        <v>240</v>
      </c>
      <c r="G119">
        <v>28.4</v>
      </c>
      <c r="H119">
        <v>18</v>
      </c>
      <c r="I119">
        <f>MAX(0,1-Fitting!$B$7*(Fitting!$B$6-Herm8889!C119)^2)</f>
        <v>0.52748790578954496</v>
      </c>
      <c r="J119">
        <f>tt(G119,H119,Fitting!$B$1:$E$1,Fitting!$B$2:$E$2)*I119</f>
        <v>12.237718810655442</v>
      </c>
    </row>
    <row r="120" spans="1:10">
      <c r="A120" s="1">
        <f t="shared" si="7"/>
        <v>32749</v>
      </c>
      <c r="B120">
        <f t="shared" si="5"/>
        <v>1021.4219956447605</v>
      </c>
      <c r="C120">
        <f>day_length(F120,$B$1,Fitting!$B$4)</f>
        <v>12.398068428039551</v>
      </c>
      <c r="D120" s="1">
        <f t="shared" si="6"/>
        <v>32749</v>
      </c>
      <c r="E120">
        <f t="shared" si="8"/>
        <v>1989</v>
      </c>
      <c r="F120" s="6">
        <f t="shared" si="9"/>
        <v>241</v>
      </c>
      <c r="G120">
        <v>27.5</v>
      </c>
      <c r="H120">
        <v>21.4</v>
      </c>
      <c r="I120">
        <f>MAX(0,1-Fitting!$B$7*(Fitting!$B$6-Herm8889!C120)^2)</f>
        <v>0.53020734868515862</v>
      </c>
      <c r="J120">
        <f>tt(G120,H120,Fitting!$B$1:$E$1,Fitting!$B$2:$E$2)*I120</f>
        <v>12.963570079868234</v>
      </c>
    </row>
    <row r="121" spans="1:10">
      <c r="A121" s="1">
        <f t="shared" si="7"/>
        <v>32750</v>
      </c>
      <c r="B121">
        <f t="shared" si="5"/>
        <v>1033.3598502178547</v>
      </c>
      <c r="C121">
        <f>day_length(F121,$B$1,Fitting!$B$4)</f>
        <v>12.415311813354492</v>
      </c>
      <c r="D121" s="1">
        <f t="shared" si="6"/>
        <v>32750</v>
      </c>
      <c r="E121">
        <f t="shared" si="8"/>
        <v>1989</v>
      </c>
      <c r="F121" s="6">
        <f t="shared" si="9"/>
        <v>242</v>
      </c>
      <c r="G121">
        <v>26.4</v>
      </c>
      <c r="H121">
        <v>18.399999999999999</v>
      </c>
      <c r="I121">
        <f>MAX(0,1-Fitting!$B$7*(Fitting!$B$6-Herm8889!C121)^2)</f>
        <v>0.53293994537476097</v>
      </c>
      <c r="J121">
        <f>tt(G121,H121,Fitting!$B$1:$E$1,Fitting!$B$2:$E$2)*I121</f>
        <v>11.937854573094191</v>
      </c>
    </row>
    <row r="122" spans="1:10">
      <c r="A122" s="1">
        <f t="shared" si="7"/>
        <v>32751</v>
      </c>
      <c r="B122">
        <f t="shared" si="5"/>
        <v>1045.7877381514452</v>
      </c>
      <c r="C122">
        <f>day_length(F122,$B$1,Fitting!$B$4)</f>
        <v>12.432680130004883</v>
      </c>
      <c r="D122" s="1">
        <f t="shared" si="6"/>
        <v>32751</v>
      </c>
      <c r="E122">
        <f t="shared" si="8"/>
        <v>1989</v>
      </c>
      <c r="F122" s="6">
        <f t="shared" si="9"/>
        <v>243</v>
      </c>
      <c r="G122">
        <v>27</v>
      </c>
      <c r="H122">
        <v>19.399999999999999</v>
      </c>
      <c r="I122">
        <f>MAX(0,1-Fitting!$B$7*(Fitting!$B$6-Herm8889!C122)^2)</f>
        <v>0.53568480710756017</v>
      </c>
      <c r="J122">
        <f>tt(G122,H122,Fitting!$B$1:$E$1,Fitting!$B$2:$E$2)*I122</f>
        <v>12.427887933590469</v>
      </c>
    </row>
    <row r="123" spans="1:10">
      <c r="A123" s="1">
        <f t="shared" si="7"/>
        <v>32752</v>
      </c>
      <c r="B123">
        <f t="shared" si="5"/>
        <v>1058.9526296484482</v>
      </c>
      <c r="C123">
        <f>day_length(F123,$B$1,Fitting!$B$4)</f>
        <v>12.45017147064209</v>
      </c>
      <c r="D123" s="1">
        <f t="shared" si="6"/>
        <v>32752</v>
      </c>
      <c r="E123">
        <f t="shared" si="8"/>
        <v>1989</v>
      </c>
      <c r="F123" s="6">
        <f t="shared" si="9"/>
        <v>244</v>
      </c>
      <c r="G123">
        <v>29.7</v>
      </c>
      <c r="H123">
        <v>19.2</v>
      </c>
      <c r="I123">
        <f>MAX(0,1-Fitting!$B$7*(Fitting!$B$6-Herm8889!C123)^2)</f>
        <v>0.53844135321901732</v>
      </c>
      <c r="J123">
        <f>tt(G123,H123,Fitting!$B$1:$E$1,Fitting!$B$2:$E$2)*I123</f>
        <v>13.164891497003126</v>
      </c>
    </row>
    <row r="124" spans="1:10">
      <c r="A124" s="1">
        <f t="shared" si="7"/>
        <v>32753</v>
      </c>
      <c r="B124">
        <f t="shared" si="5"/>
        <v>1070.9945223319862</v>
      </c>
      <c r="C124">
        <f>day_length(F124,$B$1,Fitting!$B$4)</f>
        <v>12.467782020568848</v>
      </c>
      <c r="D124" s="1">
        <f t="shared" si="6"/>
        <v>32753</v>
      </c>
      <c r="E124">
        <f t="shared" si="8"/>
        <v>1989</v>
      </c>
      <c r="F124" s="6">
        <f t="shared" si="9"/>
        <v>245</v>
      </c>
      <c r="G124">
        <v>28</v>
      </c>
      <c r="H124">
        <v>16.5</v>
      </c>
      <c r="I124">
        <f>MAX(0,1-Fitting!$B$7*(Fitting!$B$6-Herm8889!C124)^2)</f>
        <v>0.54120870632861084</v>
      </c>
      <c r="J124">
        <f>tt(G124,H124,Fitting!$B$1:$E$1,Fitting!$B$2:$E$2)*I124</f>
        <v>12.041892683537906</v>
      </c>
    </row>
    <row r="125" spans="1:10">
      <c r="A125" s="1">
        <f t="shared" si="7"/>
        <v>32754</v>
      </c>
      <c r="B125">
        <f t="shared" si="5"/>
        <v>1083.2614061331221</v>
      </c>
      <c r="C125">
        <f>day_length(F125,$B$1,Fitting!$B$4)</f>
        <v>12.485507011413574</v>
      </c>
      <c r="D125" s="1">
        <f t="shared" si="6"/>
        <v>32754</v>
      </c>
      <c r="E125">
        <f t="shared" si="8"/>
        <v>1989</v>
      </c>
      <c r="F125" s="6">
        <f t="shared" si="9"/>
        <v>246</v>
      </c>
      <c r="G125">
        <v>29</v>
      </c>
      <c r="H125">
        <v>16.100000000000001</v>
      </c>
      <c r="I125">
        <f>MAX(0,1-Fitting!$B$7*(Fitting!$B$6-Herm8889!C125)^2)</f>
        <v>0.54398599628223021</v>
      </c>
      <c r="J125">
        <f>tt(G125,H125,Fitting!$B$1:$E$1,Fitting!$B$2:$E$2)*I125</f>
        <v>12.266883801135913</v>
      </c>
    </row>
    <row r="126" spans="1:10">
      <c r="A126" s="1">
        <f t="shared" si="7"/>
        <v>32755</v>
      </c>
      <c r="B126">
        <f t="shared" si="5"/>
        <v>1096.65733627091</v>
      </c>
      <c r="C126">
        <f>day_length(F126,$B$1,Fitting!$B$4)</f>
        <v>12.50334644317627</v>
      </c>
      <c r="D126" s="1">
        <f t="shared" si="6"/>
        <v>32755</v>
      </c>
      <c r="E126">
        <f t="shared" si="8"/>
        <v>1989</v>
      </c>
      <c r="F126" s="6">
        <f t="shared" si="9"/>
        <v>247</v>
      </c>
      <c r="G126">
        <v>26</v>
      </c>
      <c r="H126">
        <v>23</v>
      </c>
      <c r="I126">
        <f>MAX(0,1-Fitting!$B$7*(Fitting!$B$6-Herm8889!C126)^2)</f>
        <v>0.54677265868522218</v>
      </c>
      <c r="J126">
        <f>tt(G126,H126,Fitting!$B$1:$E$1,Fitting!$B$2:$E$2)*I126</f>
        <v>13.395930137787943</v>
      </c>
    </row>
    <row r="127" spans="1:10">
      <c r="A127" s="1">
        <f t="shared" si="7"/>
        <v>32756</v>
      </c>
      <c r="B127">
        <f t="shared" si="5"/>
        <v>1106.8518220876047</v>
      </c>
      <c r="C127">
        <f>day_length(F127,$B$1,Fitting!$B$4)</f>
        <v>12.521292686462402</v>
      </c>
      <c r="D127" s="1">
        <f t="shared" si="6"/>
        <v>32756</v>
      </c>
      <c r="E127">
        <f t="shared" si="8"/>
        <v>1989</v>
      </c>
      <c r="F127" s="6">
        <f t="shared" si="9"/>
        <v>248</v>
      </c>
      <c r="G127">
        <v>25.7</v>
      </c>
      <c r="H127">
        <v>11.4</v>
      </c>
      <c r="I127">
        <f>MAX(0,1-Fitting!$B$7*(Fitting!$B$6-Herm8889!C127)^2)</f>
        <v>0.54956793465035481</v>
      </c>
      <c r="J127">
        <f>tt(G127,H127,Fitting!$B$1:$E$1,Fitting!$B$2:$E$2)*I127</f>
        <v>10.194485816694671</v>
      </c>
    </row>
    <row r="128" spans="1:10">
      <c r="A128" s="1">
        <f t="shared" si="7"/>
        <v>32757</v>
      </c>
      <c r="B128">
        <f t="shared" si="5"/>
        <v>1116.9049760132439</v>
      </c>
      <c r="C128">
        <f>day_length(F128,$B$1,Fitting!$B$4)</f>
        <v>12.53934383392334</v>
      </c>
      <c r="D128" s="1">
        <f t="shared" si="6"/>
        <v>32757</v>
      </c>
      <c r="E128">
        <f t="shared" si="8"/>
        <v>1989</v>
      </c>
      <c r="F128" s="6">
        <f t="shared" si="9"/>
        <v>249</v>
      </c>
      <c r="G128">
        <v>26.4</v>
      </c>
      <c r="H128">
        <v>10</v>
      </c>
      <c r="I128">
        <f>MAX(0,1-Fitting!$B$7*(Fitting!$B$6-Herm8889!C128)^2)</f>
        <v>0.55237107166008537</v>
      </c>
      <c r="J128">
        <f>tt(G128,H128,Fitting!$B$1:$E$1,Fitting!$B$2:$E$2)*I128</f>
        <v>10.053153925639236</v>
      </c>
    </row>
    <row r="129" spans="1:10">
      <c r="A129" s="1">
        <f t="shared" si="7"/>
        <v>32758</v>
      </c>
      <c r="B129">
        <f t="shared" si="5"/>
        <v>1127.0092772621911</v>
      </c>
      <c r="C129">
        <f>day_length(F129,$B$1,Fitting!$B$4)</f>
        <v>12.557497978210449</v>
      </c>
      <c r="D129" s="1">
        <f t="shared" si="6"/>
        <v>32758</v>
      </c>
      <c r="E129">
        <f t="shared" si="8"/>
        <v>1989</v>
      </c>
      <c r="F129" s="6">
        <f t="shared" si="9"/>
        <v>250</v>
      </c>
      <c r="G129">
        <v>25.4</v>
      </c>
      <c r="H129">
        <v>11</v>
      </c>
      <c r="I129">
        <f>MAX(0,1-Fitting!$B$7*(Fitting!$B$6-Herm8889!C129)^2)</f>
        <v>0.5551814222143967</v>
      </c>
      <c r="J129">
        <f>tt(G129,H129,Fitting!$B$1:$E$1,Fitting!$B$2:$E$2)*I129</f>
        <v>10.104301248947303</v>
      </c>
    </row>
    <row r="130" spans="1:10">
      <c r="A130" s="1">
        <f t="shared" si="7"/>
        <v>32759</v>
      </c>
      <c r="B130">
        <f t="shared" si="5"/>
        <v>1138.001841197673</v>
      </c>
      <c r="C130">
        <f>day_length(F130,$B$1,Fitting!$B$4)</f>
        <v>12.575749397277832</v>
      </c>
      <c r="D130" s="1">
        <f t="shared" si="6"/>
        <v>32759</v>
      </c>
      <c r="E130">
        <f t="shared" si="8"/>
        <v>1989</v>
      </c>
      <c r="F130" s="6">
        <f t="shared" si="9"/>
        <v>251</v>
      </c>
      <c r="G130">
        <v>27</v>
      </c>
      <c r="H130">
        <v>12.4</v>
      </c>
      <c r="I130">
        <f>MAX(0,1-Fitting!$B$7*(Fitting!$B$6-Herm8889!C130)^2)</f>
        <v>0.55799814770370726</v>
      </c>
      <c r="J130">
        <f>tt(G130,H130,Fitting!$B$1:$E$1,Fitting!$B$2:$E$2)*I130</f>
        <v>10.992563935481835</v>
      </c>
    </row>
    <row r="131" spans="1:10">
      <c r="A131" s="1">
        <f t="shared" si="7"/>
        <v>32760</v>
      </c>
      <c r="B131">
        <f t="shared" si="5"/>
        <v>1148.8256823853653</v>
      </c>
      <c r="C131">
        <f>day_length(F131,$B$1,Fitting!$B$4)</f>
        <v>12.594096183776855</v>
      </c>
      <c r="D131" s="1">
        <f t="shared" si="6"/>
        <v>32760</v>
      </c>
      <c r="E131">
        <f t="shared" si="8"/>
        <v>1989</v>
      </c>
      <c r="F131" s="6">
        <f t="shared" si="9"/>
        <v>252</v>
      </c>
      <c r="G131">
        <v>24.5</v>
      </c>
      <c r="H131">
        <v>14.1</v>
      </c>
      <c r="I131">
        <f>MAX(0,1-Fitting!$B$7*(Fitting!$B$6-Herm8889!C131)^2)</f>
        <v>0.56082080909661636</v>
      </c>
      <c r="J131">
        <f>tt(G131,H131,Fitting!$B$1:$E$1,Fitting!$B$2:$E$2)*I131</f>
        <v>10.823841187692373</v>
      </c>
    </row>
    <row r="132" spans="1:10">
      <c r="A132" s="1">
        <f t="shared" si="7"/>
        <v>32761</v>
      </c>
      <c r="B132">
        <f t="shared" si="5"/>
        <v>1159.788646873033</v>
      </c>
      <c r="C132">
        <f>day_length(F132,$B$1,Fitting!$B$4)</f>
        <v>12.61253547668457</v>
      </c>
      <c r="D132" s="1">
        <f t="shared" si="6"/>
        <v>32761</v>
      </c>
      <c r="E132">
        <f t="shared" si="8"/>
        <v>1989</v>
      </c>
      <c r="F132" s="6">
        <f t="shared" si="9"/>
        <v>253</v>
      </c>
      <c r="G132">
        <v>26.1</v>
      </c>
      <c r="H132">
        <v>12.8</v>
      </c>
      <c r="I132">
        <f>MAX(0,1-Fitting!$B$7*(Fitting!$B$6-Herm8889!C132)^2)</f>
        <v>0.56364848239403365</v>
      </c>
      <c r="J132">
        <f>tt(G132,H132,Fitting!$B$1:$E$1,Fitting!$B$2:$E$2)*I132</f>
        <v>10.962964487667781</v>
      </c>
    </row>
    <row r="133" spans="1:10">
      <c r="A133" s="1">
        <f t="shared" si="7"/>
        <v>32762</v>
      </c>
      <c r="B133">
        <f t="shared" ref="B133:B167" si="10">B132+J133</f>
        <v>1171.1749090758672</v>
      </c>
      <c r="C133">
        <f>day_length(F133,$B$1,Fitting!$B$4)</f>
        <v>12.631061553955078</v>
      </c>
      <c r="D133" s="1">
        <f t="shared" ref="D133:D167" si="11">A133</f>
        <v>32762</v>
      </c>
      <c r="E133">
        <f t="shared" si="8"/>
        <v>1989</v>
      </c>
      <c r="F133" s="6">
        <f t="shared" si="9"/>
        <v>254</v>
      </c>
      <c r="G133">
        <v>26.4</v>
      </c>
      <c r="H133">
        <v>13.8</v>
      </c>
      <c r="I133">
        <f>MAX(0,1-Fitting!$B$7*(Fitting!$B$6-Herm8889!C133)^2)</f>
        <v>0.56648064210262417</v>
      </c>
      <c r="J133">
        <f>tt(G133,H133,Fitting!$B$1:$E$1,Fitting!$B$2:$E$2)*I133</f>
        <v>11.38626220283404</v>
      </c>
    </row>
    <row r="134" spans="1:10">
      <c r="A134" s="1">
        <f t="shared" ref="A134:A167" si="12">A133+1</f>
        <v>32763</v>
      </c>
      <c r="B134">
        <f t="shared" si="10"/>
        <v>1183.529078063518</v>
      </c>
      <c r="C134">
        <f>day_length(F134,$B$1,Fitting!$B$4)</f>
        <v>12.649673461914063</v>
      </c>
      <c r="D134" s="1">
        <f t="shared" si="11"/>
        <v>32763</v>
      </c>
      <c r="E134">
        <f t="shared" ref="E134:E167" si="13">YEAR(A134)</f>
        <v>1989</v>
      </c>
      <c r="F134" s="6">
        <f t="shared" ref="F134:F167" si="14">A134-DATE(E134,1,1)+1</f>
        <v>255</v>
      </c>
      <c r="G134">
        <v>27.4</v>
      </c>
      <c r="H134">
        <v>16</v>
      </c>
      <c r="I134">
        <f>MAX(0,1-Fitting!$B$7*(Fitting!$B$6-Herm8889!C134)^2)</f>
        <v>0.56931657323419493</v>
      </c>
      <c r="J134">
        <f>tt(G134,H134,Fitting!$B$1:$E$1,Fitting!$B$2:$E$2)*I134</f>
        <v>12.354168987650917</v>
      </c>
    </row>
    <row r="135" spans="1:10">
      <c r="A135" s="1">
        <f t="shared" si="12"/>
        <v>32764</v>
      </c>
      <c r="B135">
        <f t="shared" si="10"/>
        <v>1194.6861135209092</v>
      </c>
      <c r="C135">
        <f>day_length(F135,$B$1,Fitting!$B$4)</f>
        <v>12.668366432189941</v>
      </c>
      <c r="D135" s="1">
        <f t="shared" si="11"/>
        <v>32764</v>
      </c>
      <c r="E135">
        <f t="shared" si="13"/>
        <v>1989</v>
      </c>
      <c r="F135" s="6">
        <f t="shared" si="14"/>
        <v>256</v>
      </c>
      <c r="G135">
        <v>30</v>
      </c>
      <c r="H135">
        <v>9</v>
      </c>
      <c r="I135">
        <f>MAX(0,1-Fitting!$B$7*(Fitting!$B$6-Herm8889!C135)^2)</f>
        <v>0.57215566448160105</v>
      </c>
      <c r="J135">
        <f>tt(G135,H135,Fitting!$B$1:$E$1,Fitting!$B$2:$E$2)*I135</f>
        <v>11.15703545739122</v>
      </c>
    </row>
    <row r="136" spans="1:10">
      <c r="A136" s="1">
        <f t="shared" si="12"/>
        <v>32765</v>
      </c>
      <c r="B136">
        <f t="shared" si="10"/>
        <v>1205.9560610237131</v>
      </c>
      <c r="C136">
        <f>day_length(F136,$B$1,Fitting!$B$4)</f>
        <v>12.687137603759766</v>
      </c>
      <c r="D136" s="1">
        <f t="shared" si="11"/>
        <v>32765</v>
      </c>
      <c r="E136">
        <f t="shared" si="13"/>
        <v>1989</v>
      </c>
      <c r="F136" s="6">
        <f t="shared" si="14"/>
        <v>257</v>
      </c>
      <c r="G136">
        <v>27.2</v>
      </c>
      <c r="H136">
        <v>12</v>
      </c>
      <c r="I136">
        <f>MAX(0,1-Fitting!$B$7*(Fitting!$B$6-Herm8889!C136)^2)</f>
        <v>0.57499731038060409</v>
      </c>
      <c r="J136">
        <f>tt(G136,H136,Fitting!$B$1:$E$1,Fitting!$B$2:$E$2)*I136</f>
        <v>11.269947502803907</v>
      </c>
    </row>
    <row r="137" spans="1:10">
      <c r="A137" s="1">
        <f t="shared" si="12"/>
        <v>32766</v>
      </c>
      <c r="B137">
        <f t="shared" si="10"/>
        <v>1217.2239587956017</v>
      </c>
      <c r="C137">
        <f>day_length(F137,$B$1,Fitting!$B$4)</f>
        <v>12.70598316192627</v>
      </c>
      <c r="D137" s="1">
        <f t="shared" si="11"/>
        <v>32766</v>
      </c>
      <c r="E137">
        <f t="shared" si="13"/>
        <v>1989</v>
      </c>
      <c r="F137" s="6">
        <f t="shared" si="14"/>
        <v>258</v>
      </c>
      <c r="G137">
        <v>25.6</v>
      </c>
      <c r="H137">
        <v>13.4</v>
      </c>
      <c r="I137">
        <f>MAX(0,1-Fitting!$B$7*(Fitting!$B$6-Herm8889!C137)^2)</f>
        <v>0.57784091137890392</v>
      </c>
      <c r="J137">
        <f>tt(G137,H137,Fitting!$B$1:$E$1,Fitting!$B$2:$E$2)*I137</f>
        <v>11.267897771888627</v>
      </c>
    </row>
    <row r="138" spans="1:10">
      <c r="A138" s="1">
        <f t="shared" si="12"/>
        <v>32767</v>
      </c>
      <c r="B138">
        <f t="shared" si="10"/>
        <v>1228.7796047646525</v>
      </c>
      <c r="C138">
        <f>day_length(F138,$B$1,Fitting!$B$4)</f>
        <v>12.724900245666504</v>
      </c>
      <c r="D138" s="1">
        <f t="shared" si="11"/>
        <v>32767</v>
      </c>
      <c r="E138">
        <f t="shared" si="13"/>
        <v>1989</v>
      </c>
      <c r="F138" s="6">
        <f t="shared" si="14"/>
        <v>259</v>
      </c>
      <c r="G138">
        <v>26.5</v>
      </c>
      <c r="H138">
        <v>13.3</v>
      </c>
      <c r="I138">
        <f>MAX(0,1-Fitting!$B$7*(Fitting!$B$6-Herm8889!C138)^2)</f>
        <v>0.58068568256255815</v>
      </c>
      <c r="J138">
        <f>tt(G138,H138,Fitting!$B$1:$E$1,Fitting!$B$2:$E$2)*I138</f>
        <v>11.555645969050941</v>
      </c>
    </row>
    <row r="139" spans="1:10">
      <c r="A139" s="1">
        <f t="shared" si="12"/>
        <v>32768</v>
      </c>
      <c r="B139">
        <f t="shared" si="10"/>
        <v>1240.6252882689639</v>
      </c>
      <c r="C139">
        <f>day_length(F139,$B$1,Fitting!$B$4)</f>
        <v>12.743885040283203</v>
      </c>
      <c r="D139" s="1">
        <f t="shared" si="11"/>
        <v>32768</v>
      </c>
      <c r="E139">
        <f t="shared" si="13"/>
        <v>1989</v>
      </c>
      <c r="F139" s="6">
        <f t="shared" si="14"/>
        <v>260</v>
      </c>
      <c r="G139">
        <v>27.5</v>
      </c>
      <c r="H139">
        <v>13.1</v>
      </c>
      <c r="I139">
        <f>MAX(0,1-Fitting!$B$7*(Fitting!$B$6-Herm8889!C139)^2)</f>
        <v>0.58353122903992327</v>
      </c>
      <c r="J139">
        <f>tt(G139,H139,Fitting!$B$1:$E$1,Fitting!$B$2:$E$2)*I139</f>
        <v>11.845683504311445</v>
      </c>
    </row>
    <row r="140" spans="1:10">
      <c r="A140" s="1">
        <f t="shared" si="12"/>
        <v>32769</v>
      </c>
      <c r="B140">
        <f t="shared" si="10"/>
        <v>1252.7926044688684</v>
      </c>
      <c r="C140">
        <f>day_length(F140,$B$1,Fitting!$B$4)</f>
        <v>12.762934684753418</v>
      </c>
      <c r="D140" s="1">
        <f t="shared" si="11"/>
        <v>32769</v>
      </c>
      <c r="E140">
        <f t="shared" si="13"/>
        <v>1989</v>
      </c>
      <c r="F140" s="6">
        <f t="shared" si="14"/>
        <v>261</v>
      </c>
      <c r="G140">
        <v>28.5</v>
      </c>
      <c r="H140">
        <v>13</v>
      </c>
      <c r="I140">
        <f>MAX(0,1-Fitting!$B$7*(Fitting!$B$6-Herm8889!C140)^2)</f>
        <v>0.58637668433274115</v>
      </c>
      <c r="J140">
        <f>tt(G140,H140,Fitting!$B$1:$E$1,Fitting!$B$2:$E$2)*I140</f>
        <v>12.167316199904379</v>
      </c>
    </row>
    <row r="141" spans="1:10">
      <c r="A141" s="1">
        <f t="shared" si="12"/>
        <v>32770</v>
      </c>
      <c r="B141">
        <f t="shared" si="10"/>
        <v>1266.9628939518263</v>
      </c>
      <c r="C141">
        <f>day_length(F141,$B$1,Fitting!$B$4)</f>
        <v>12.782044410705566</v>
      </c>
      <c r="D141" s="1">
        <f t="shared" si="11"/>
        <v>32770</v>
      </c>
      <c r="E141">
        <f t="shared" si="13"/>
        <v>1989</v>
      </c>
      <c r="F141" s="6">
        <f t="shared" si="14"/>
        <v>262</v>
      </c>
      <c r="G141">
        <v>31</v>
      </c>
      <c r="H141">
        <v>17.7</v>
      </c>
      <c r="I141">
        <f>MAX(0,1-Fitting!$B$7*(Fitting!$B$6-Herm8889!C141)^2)</f>
        <v>0.58922166550710242</v>
      </c>
      <c r="J141">
        <f>tt(G141,H141,Fitting!$B$1:$E$1,Fitting!$B$2:$E$2)*I141</f>
        <v>14.170289482957996</v>
      </c>
    </row>
    <row r="142" spans="1:10">
      <c r="A142" s="1">
        <f t="shared" si="12"/>
        <v>32771</v>
      </c>
      <c r="B142">
        <f t="shared" si="10"/>
        <v>1281.0504321848898</v>
      </c>
      <c r="C142">
        <f>day_length(F142,$B$1,Fitting!$B$4)</f>
        <v>12.801211357116699</v>
      </c>
      <c r="D142" s="1">
        <f t="shared" si="11"/>
        <v>32771</v>
      </c>
      <c r="E142">
        <f t="shared" si="13"/>
        <v>1989</v>
      </c>
      <c r="F142" s="6">
        <f t="shared" si="14"/>
        <v>263</v>
      </c>
      <c r="G142">
        <v>31.6</v>
      </c>
      <c r="H142">
        <v>17.5</v>
      </c>
      <c r="I142">
        <f>MAX(0,1-Fitting!$B$7*(Fitting!$B$6-Herm8889!C142)^2)</f>
        <v>0.59206551014781317</v>
      </c>
      <c r="J142">
        <f>tt(G142,H142,Fitting!$B$1:$E$1,Fitting!$B$2:$E$2)*I142</f>
        <v>14.087538233063558</v>
      </c>
    </row>
    <row r="143" spans="1:10">
      <c r="A143" s="1">
        <f t="shared" si="12"/>
        <v>32772</v>
      </c>
      <c r="B143">
        <f t="shared" si="10"/>
        <v>1294.3962558461028</v>
      </c>
      <c r="C143">
        <f>day_length(F143,$B$1,Fitting!$B$4)</f>
        <v>12.820432662963867</v>
      </c>
      <c r="D143" s="1">
        <f t="shared" si="11"/>
        <v>32772</v>
      </c>
      <c r="E143">
        <f t="shared" si="13"/>
        <v>1989</v>
      </c>
      <c r="F143" s="6">
        <f t="shared" si="14"/>
        <v>264</v>
      </c>
      <c r="G143">
        <v>35</v>
      </c>
      <c r="H143">
        <v>19.5</v>
      </c>
      <c r="I143">
        <f>MAX(0,1-Fitting!$B$7*(Fitting!$B$6-Herm8889!C143)^2)</f>
        <v>0.59490765746394203</v>
      </c>
      <c r="J143">
        <f>tt(G143,H143,Fitting!$B$1:$E$1,Fitting!$B$2:$E$2)*I143</f>
        <v>13.345823661213048</v>
      </c>
    </row>
    <row r="144" spans="1:10">
      <c r="A144" s="1">
        <f t="shared" si="12"/>
        <v>32773</v>
      </c>
      <c r="B144">
        <f t="shared" si="10"/>
        <v>1307.2655732166606</v>
      </c>
      <c r="C144">
        <f>day_length(F144,$B$1,Fitting!$B$4)</f>
        <v>12.839703559875488</v>
      </c>
      <c r="D144" s="1">
        <f t="shared" si="11"/>
        <v>32773</v>
      </c>
      <c r="E144">
        <f t="shared" si="13"/>
        <v>1989</v>
      </c>
      <c r="F144" s="6">
        <f t="shared" si="14"/>
        <v>265</v>
      </c>
      <c r="G144">
        <v>35.5</v>
      </c>
      <c r="H144">
        <v>18</v>
      </c>
      <c r="I144">
        <f>MAX(0,1-Fitting!$B$7*(Fitting!$B$6-Herm8889!C144)^2)</f>
        <v>0.59774745928953044</v>
      </c>
      <c r="J144">
        <f>tt(G144,H144,Fitting!$B$1:$E$1,Fitting!$B$2:$E$2)*I144</f>
        <v>12.869317370557921</v>
      </c>
    </row>
    <row r="145" spans="1:10">
      <c r="A145" s="1">
        <f t="shared" si="12"/>
        <v>32774</v>
      </c>
      <c r="B145">
        <f t="shared" si="10"/>
        <v>1321.2650261343406</v>
      </c>
      <c r="C145">
        <f>day_length(F145,$B$1,Fitting!$B$4)</f>
        <v>12.85902214050293</v>
      </c>
      <c r="D145" s="1">
        <f t="shared" si="11"/>
        <v>32774</v>
      </c>
      <c r="E145">
        <f t="shared" si="13"/>
        <v>1989</v>
      </c>
      <c r="F145" s="6">
        <f t="shared" si="14"/>
        <v>266</v>
      </c>
      <c r="G145">
        <v>32.5</v>
      </c>
      <c r="H145">
        <v>17.3</v>
      </c>
      <c r="I145">
        <f>MAX(0,1-Fitting!$B$7*(Fitting!$B$6-Herm8889!C145)^2)</f>
        <v>0.60058436852944763</v>
      </c>
      <c r="J145">
        <f>tt(G145,H145,Fitting!$B$1:$E$1,Fitting!$B$2:$E$2)*I145</f>
        <v>13.99945291767996</v>
      </c>
    </row>
    <row r="146" spans="1:10">
      <c r="A146" s="1">
        <f t="shared" si="12"/>
        <v>32775</v>
      </c>
      <c r="B146">
        <f t="shared" si="10"/>
        <v>1335.143634418162</v>
      </c>
      <c r="C146">
        <f>day_length(F146,$B$1,Fitting!$B$4)</f>
        <v>12.878382682800293</v>
      </c>
      <c r="D146" s="1">
        <f t="shared" si="11"/>
        <v>32775</v>
      </c>
      <c r="E146">
        <f t="shared" si="13"/>
        <v>1989</v>
      </c>
      <c r="F146" s="6">
        <f t="shared" si="14"/>
        <v>267</v>
      </c>
      <c r="G146">
        <v>29.5</v>
      </c>
      <c r="H146">
        <v>16.5</v>
      </c>
      <c r="I146">
        <f>MAX(0,1-Fitting!$B$7*(Fitting!$B$6-Herm8889!C146)^2)</f>
        <v>0.60341775147049337</v>
      </c>
      <c r="J146">
        <f>tt(G146,H146,Fitting!$B$1:$E$1,Fitting!$B$2:$E$2)*I146</f>
        <v>13.878608283821347</v>
      </c>
    </row>
    <row r="147" spans="1:10">
      <c r="A147" s="1">
        <f t="shared" si="12"/>
        <v>32776</v>
      </c>
      <c r="B147">
        <f t="shared" si="10"/>
        <v>1349.2995060130781</v>
      </c>
      <c r="C147">
        <f>day_length(F147,$B$1,Fitting!$B$4)</f>
        <v>12.897783279418945</v>
      </c>
      <c r="D147" s="1">
        <f t="shared" si="11"/>
        <v>32776</v>
      </c>
      <c r="E147">
        <f t="shared" si="13"/>
        <v>1989</v>
      </c>
      <c r="F147" s="6">
        <f t="shared" si="14"/>
        <v>268</v>
      </c>
      <c r="G147">
        <v>29.2</v>
      </c>
      <c r="H147">
        <v>17.5</v>
      </c>
      <c r="I147">
        <f>MAX(0,1-Fitting!$B$7*(Fitting!$B$6-Herm8889!C147)^2)</f>
        <v>0.60624716760818598</v>
      </c>
      <c r="J147">
        <f>tt(G147,H147,Fitting!$B$1:$E$1,Fitting!$B$2:$E$2)*I147</f>
        <v>14.155871594916084</v>
      </c>
    </row>
    <row r="148" spans="1:10">
      <c r="A148" s="1">
        <f t="shared" si="12"/>
        <v>32777</v>
      </c>
      <c r="B148">
        <f t="shared" si="10"/>
        <v>1363.4299768049045</v>
      </c>
      <c r="C148">
        <f>day_length(F148,$B$1,Fitting!$B$4)</f>
        <v>12.917218208312988</v>
      </c>
      <c r="D148" s="1">
        <f t="shared" si="11"/>
        <v>32777</v>
      </c>
      <c r="E148">
        <f t="shared" si="13"/>
        <v>1989</v>
      </c>
      <c r="F148" s="6">
        <f t="shared" si="14"/>
        <v>269</v>
      </c>
      <c r="G148">
        <v>29.4</v>
      </c>
      <c r="H148">
        <v>17</v>
      </c>
      <c r="I148">
        <f>MAX(0,1-Fitting!$B$7*(Fitting!$B$6-Herm8889!C148)^2)</f>
        <v>0.60907199685954394</v>
      </c>
      <c r="J148">
        <f>tt(G148,H148,Fitting!$B$1:$E$1,Fitting!$B$2:$E$2)*I148</f>
        <v>14.130470791826475</v>
      </c>
    </row>
    <row r="149" spans="1:10">
      <c r="A149" s="1">
        <f t="shared" si="12"/>
        <v>32778</v>
      </c>
      <c r="B149">
        <f t="shared" si="10"/>
        <v>1377.931805483435</v>
      </c>
      <c r="C149">
        <f>day_length(F149,$B$1,Fitting!$B$4)</f>
        <v>12.936685562133789</v>
      </c>
      <c r="D149" s="1">
        <f t="shared" si="11"/>
        <v>32778</v>
      </c>
      <c r="E149">
        <f t="shared" si="13"/>
        <v>1989</v>
      </c>
      <c r="F149" s="6">
        <f t="shared" si="14"/>
        <v>270</v>
      </c>
      <c r="G149">
        <v>29.4</v>
      </c>
      <c r="H149">
        <v>18</v>
      </c>
      <c r="I149">
        <f>MAX(0,1-Fitting!$B$7*(Fitting!$B$6-Herm8889!C149)^2)</f>
        <v>0.61189153496982174</v>
      </c>
      <c r="J149">
        <f>tt(G149,H149,Fitting!$B$1:$E$1,Fitting!$B$2:$E$2)*I149</f>
        <v>14.501828678530485</v>
      </c>
    </row>
    <row r="150" spans="1:10">
      <c r="A150" s="1">
        <f t="shared" si="12"/>
        <v>32779</v>
      </c>
      <c r="B150">
        <f t="shared" si="10"/>
        <v>1390.6869436488678</v>
      </c>
      <c r="C150">
        <f>day_length(F150,$B$1,Fitting!$B$4)</f>
        <v>12.956180572509766</v>
      </c>
      <c r="D150" s="1">
        <f t="shared" si="11"/>
        <v>32779</v>
      </c>
      <c r="E150">
        <f t="shared" si="13"/>
        <v>1989</v>
      </c>
      <c r="F150" s="6">
        <f t="shared" si="14"/>
        <v>271</v>
      </c>
      <c r="G150">
        <v>28</v>
      </c>
      <c r="H150">
        <v>13.5</v>
      </c>
      <c r="I150">
        <f>MAX(0,1-Fitting!$B$7*(Fitting!$B$6-Herm8889!C150)^2)</f>
        <v>0.61470545375579966</v>
      </c>
      <c r="J150">
        <f>tt(G150,H150,Fitting!$B$1:$E$1,Fitting!$B$2:$E$2)*I150</f>
        <v>12.755138165432843</v>
      </c>
    </row>
    <row r="151" spans="1:10">
      <c r="A151" s="1">
        <f t="shared" si="12"/>
        <v>32780</v>
      </c>
      <c r="B151">
        <f t="shared" si="10"/>
        <v>1403.3768347543864</v>
      </c>
      <c r="C151">
        <f>day_length(F151,$B$1,Fitting!$B$4)</f>
        <v>12.975699424743652</v>
      </c>
      <c r="D151" s="1">
        <f t="shared" si="11"/>
        <v>32780</v>
      </c>
      <c r="E151">
        <f t="shared" si="13"/>
        <v>1989</v>
      </c>
      <c r="F151" s="6">
        <f t="shared" si="14"/>
        <v>272</v>
      </c>
      <c r="G151">
        <v>26.8</v>
      </c>
      <c r="H151">
        <v>14.3</v>
      </c>
      <c r="I151">
        <f>MAX(0,1-Fitting!$B$7*(Fitting!$B$6-Herm8889!C151)^2)</f>
        <v>0.61751297209945188</v>
      </c>
      <c r="J151">
        <f>tt(G151,H151,Fitting!$B$1:$E$1,Fitting!$B$2:$E$2)*I151</f>
        <v>12.689891105518727</v>
      </c>
    </row>
    <row r="152" spans="1:10">
      <c r="A152" s="1">
        <f t="shared" si="12"/>
        <v>32781</v>
      </c>
      <c r="B152">
        <f t="shared" si="10"/>
        <v>1416.2793589015985</v>
      </c>
      <c r="C152">
        <f>day_length(F152,$B$1,Fitting!$B$4)</f>
        <v>12.995237350463867</v>
      </c>
      <c r="D152" s="1">
        <f t="shared" si="11"/>
        <v>32781</v>
      </c>
      <c r="E152">
        <f t="shared" si="13"/>
        <v>1989</v>
      </c>
      <c r="F152" s="6">
        <f t="shared" si="14"/>
        <v>273</v>
      </c>
      <c r="G152">
        <v>26.8</v>
      </c>
      <c r="H152">
        <v>14.8</v>
      </c>
      <c r="I152">
        <f>MAX(0,1-Fitting!$B$7*(Fitting!$B$6-Herm8889!C152)^2)</f>
        <v>0.62031368367662798</v>
      </c>
      <c r="J152">
        <f>tt(G152,H152,Fitting!$B$1:$E$1,Fitting!$B$2:$E$2)*I152</f>
        <v>12.902524147212079</v>
      </c>
    </row>
    <row r="153" spans="1:10">
      <c r="A153" s="1">
        <f t="shared" si="12"/>
        <v>32782</v>
      </c>
      <c r="B153">
        <f t="shared" si="10"/>
        <v>1429.4580730307994</v>
      </c>
      <c r="C153">
        <f>day_length(F153,$B$1,Fitting!$B$4)</f>
        <v>13.014791488647461</v>
      </c>
      <c r="D153" s="1">
        <f t="shared" si="11"/>
        <v>32782</v>
      </c>
      <c r="E153">
        <f t="shared" si="13"/>
        <v>1989</v>
      </c>
      <c r="F153" s="6">
        <f t="shared" si="14"/>
        <v>274</v>
      </c>
      <c r="G153">
        <v>28.2</v>
      </c>
      <c r="H153">
        <v>14.1</v>
      </c>
      <c r="I153">
        <f>MAX(0,1-Fitting!$B$7*(Fitting!$B$6-Herm8889!C153)^2)</f>
        <v>0.62310700607163749</v>
      </c>
      <c r="J153">
        <f>tt(G153,H153,Fitting!$B$1:$E$1,Fitting!$B$2:$E$2)*I153</f>
        <v>13.178714129200969</v>
      </c>
    </row>
    <row r="154" spans="1:10">
      <c r="A154" s="1">
        <f t="shared" si="12"/>
        <v>32783</v>
      </c>
      <c r="B154">
        <f t="shared" si="10"/>
        <v>1442.2888634645981</v>
      </c>
      <c r="C154">
        <f>day_length(F154,$B$1,Fitting!$B$4)</f>
        <v>13.034358024597168</v>
      </c>
      <c r="D154" s="1">
        <f t="shared" si="11"/>
        <v>32783</v>
      </c>
      <c r="E154">
        <f t="shared" si="13"/>
        <v>1989</v>
      </c>
      <c r="F154" s="6">
        <f t="shared" si="14"/>
        <v>275</v>
      </c>
      <c r="G154">
        <v>28</v>
      </c>
      <c r="H154">
        <v>13</v>
      </c>
      <c r="I154">
        <f>MAX(0,1-Fitting!$B$7*(Fitting!$B$6-Herm8889!C154)^2)</f>
        <v>0.62589227451676011</v>
      </c>
      <c r="J154">
        <f>tt(G154,H154,Fitting!$B$1:$E$1,Fitting!$B$2:$E$2)*I154</f>
        <v>12.830790433798809</v>
      </c>
    </row>
    <row r="155" spans="1:10">
      <c r="A155" s="1">
        <f t="shared" si="12"/>
        <v>32784</v>
      </c>
      <c r="B155">
        <f t="shared" si="10"/>
        <v>1455.4280456107037</v>
      </c>
      <c r="C155">
        <f>day_length(F155,$B$1,Fitting!$B$4)</f>
        <v>13.05393123626709</v>
      </c>
      <c r="D155" s="1">
        <f t="shared" si="11"/>
        <v>32784</v>
      </c>
      <c r="E155">
        <f t="shared" si="13"/>
        <v>1989</v>
      </c>
      <c r="F155" s="6">
        <f t="shared" si="14"/>
        <v>276</v>
      </c>
      <c r="G155">
        <v>29</v>
      </c>
      <c r="H155">
        <v>12.8</v>
      </c>
      <c r="I155">
        <f>MAX(0,1-Fitting!$B$7*(Fitting!$B$6-Herm8889!C155)^2)</f>
        <v>0.62866901368057004</v>
      </c>
      <c r="J155">
        <f>tt(G155,H155,Fitting!$B$1:$E$1,Fitting!$B$2:$E$2)*I155</f>
        <v>13.139182146105718</v>
      </c>
    </row>
    <row r="156" spans="1:10">
      <c r="A156" s="1">
        <f t="shared" si="12"/>
        <v>32785</v>
      </c>
      <c r="B156">
        <f t="shared" si="10"/>
        <v>1469.6669431345358</v>
      </c>
      <c r="C156">
        <f>day_length(F156,$B$1,Fitting!$B$4)</f>
        <v>13.073508262634277</v>
      </c>
      <c r="D156" s="1">
        <f t="shared" si="11"/>
        <v>32785</v>
      </c>
      <c r="E156">
        <f t="shared" si="13"/>
        <v>1989</v>
      </c>
      <c r="F156" s="6">
        <f t="shared" si="14"/>
        <v>277</v>
      </c>
      <c r="G156">
        <v>29.4</v>
      </c>
      <c r="H156">
        <v>15.7</v>
      </c>
      <c r="I156">
        <f>MAX(0,1-Fitting!$B$7*(Fitting!$B$6-Herm8889!C156)^2)</f>
        <v>0.63143666524213948</v>
      </c>
      <c r="J156">
        <f>tt(G156,H156,Fitting!$B$1:$E$1,Fitting!$B$2:$E$2)*I156</f>
        <v>14.238897523832161</v>
      </c>
    </row>
    <row r="157" spans="1:10">
      <c r="A157" s="1">
        <f t="shared" si="12"/>
        <v>32786</v>
      </c>
      <c r="B157">
        <f t="shared" si="10"/>
        <v>1483.302126810544</v>
      </c>
      <c r="C157">
        <f>day_length(F157,$B$1,Fitting!$B$4)</f>
        <v>13.093084335327148</v>
      </c>
      <c r="D157" s="1">
        <f t="shared" si="11"/>
        <v>32786</v>
      </c>
      <c r="E157">
        <f t="shared" si="13"/>
        <v>1989</v>
      </c>
      <c r="F157" s="6">
        <f t="shared" si="14"/>
        <v>278</v>
      </c>
      <c r="G157">
        <v>27.4</v>
      </c>
      <c r="H157">
        <v>15.6</v>
      </c>
      <c r="I157">
        <f>MAX(0,1-Fitting!$B$7*(Fitting!$B$6-Herm8889!C157)^2)</f>
        <v>0.63419458958177166</v>
      </c>
      <c r="J157">
        <f>tt(G157,H157,Fitting!$B$1:$E$1,Fitting!$B$2:$E$2)*I157</f>
        <v>13.63518367600809</v>
      </c>
    </row>
    <row r="158" spans="1:10">
      <c r="A158" s="1">
        <f t="shared" si="12"/>
        <v>32787</v>
      </c>
      <c r="B158">
        <f t="shared" si="10"/>
        <v>1497.7288716596138</v>
      </c>
      <c r="C158">
        <f>day_length(F158,$B$1,Fitting!$B$4)</f>
        <v>13.112654685974121</v>
      </c>
      <c r="D158" s="1">
        <f t="shared" si="11"/>
        <v>32787</v>
      </c>
      <c r="E158">
        <f t="shared" si="13"/>
        <v>1989</v>
      </c>
      <c r="F158" s="6">
        <f t="shared" si="14"/>
        <v>279</v>
      </c>
      <c r="G158">
        <v>29.7</v>
      </c>
      <c r="H158">
        <v>15.6</v>
      </c>
      <c r="I158">
        <f>MAX(0,1-Fitting!$B$7*(Fitting!$B$6-Herm8889!C158)^2)</f>
        <v>0.63694233453302329</v>
      </c>
      <c r="J158">
        <f>tt(G158,H158,Fitting!$B$1:$E$1,Fitting!$B$2:$E$2)*I158</f>
        <v>14.42674484906985</v>
      </c>
    </row>
    <row r="159" spans="1:10">
      <c r="A159" s="1">
        <f t="shared" si="12"/>
        <v>32788</v>
      </c>
      <c r="B159">
        <f t="shared" si="10"/>
        <v>1512.836704601609</v>
      </c>
      <c r="C159">
        <f>day_length(F159,$B$1,Fitting!$B$4)</f>
        <v>13.13221549987793</v>
      </c>
      <c r="D159" s="1">
        <f t="shared" si="11"/>
        <v>32788</v>
      </c>
      <c r="E159">
        <f t="shared" si="13"/>
        <v>1989</v>
      </c>
      <c r="F159" s="6">
        <f t="shared" si="14"/>
        <v>280</v>
      </c>
      <c r="G159">
        <v>32.299999999999997</v>
      </c>
      <c r="H159">
        <v>17.8</v>
      </c>
      <c r="I159">
        <f>MAX(0,1-Fitting!$B$7*(Fitting!$B$6-Herm8889!C159)^2)</f>
        <v>0.63967927728351781</v>
      </c>
      <c r="J159">
        <f>tt(G159,H159,Fitting!$B$1:$E$1,Fitting!$B$2:$E$2)*I159</f>
        <v>15.10783294199525</v>
      </c>
    </row>
    <row r="160" spans="1:10">
      <c r="A160" s="1">
        <f t="shared" si="12"/>
        <v>32789</v>
      </c>
      <c r="B160">
        <f t="shared" si="10"/>
        <v>1528.433038077821</v>
      </c>
      <c r="C160">
        <f>day_length(F160,$B$1,Fitting!$B$4)</f>
        <v>13.151760101318359</v>
      </c>
      <c r="D160" s="1">
        <f t="shared" si="11"/>
        <v>32789</v>
      </c>
      <c r="E160">
        <f t="shared" si="13"/>
        <v>1989</v>
      </c>
      <c r="F160" s="6">
        <f t="shared" si="14"/>
        <v>281</v>
      </c>
      <c r="G160">
        <v>31.7</v>
      </c>
      <c r="H160">
        <v>18.7</v>
      </c>
      <c r="I160">
        <f>MAX(0,1-Fitting!$B$7*(Fitting!$B$6-Herm8889!C160)^2)</f>
        <v>0.64240471608439842</v>
      </c>
      <c r="J160">
        <f>tt(G160,H160,Fitting!$B$1:$E$1,Fitting!$B$2:$E$2)*I160</f>
        <v>15.596333476212161</v>
      </c>
    </row>
    <row r="161" spans="1:10">
      <c r="A161" s="1">
        <f t="shared" si="12"/>
        <v>32790</v>
      </c>
      <c r="B161">
        <f t="shared" si="10"/>
        <v>1544.7222799002002</v>
      </c>
      <c r="C161">
        <f>day_length(F161,$B$1,Fitting!$B$4)</f>
        <v>13.171286582946777</v>
      </c>
      <c r="D161" s="1">
        <f t="shared" si="11"/>
        <v>32790</v>
      </c>
      <c r="E161">
        <f t="shared" si="13"/>
        <v>1989</v>
      </c>
      <c r="F161" s="6">
        <f t="shared" si="14"/>
        <v>282</v>
      </c>
      <c r="G161">
        <v>30</v>
      </c>
      <c r="H161">
        <v>20.5</v>
      </c>
      <c r="I161">
        <f>MAX(0,1-Fitting!$B$7*(Fitting!$B$6-Herm8889!C161)^2)</f>
        <v>0.64511848801501948</v>
      </c>
      <c r="J161">
        <f>tt(G161,H161,Fitting!$B$1:$E$1,Fitting!$B$2:$E$2)*I161</f>
        <v>16.289241822379243</v>
      </c>
    </row>
    <row r="162" spans="1:10">
      <c r="A162" s="1">
        <f t="shared" si="12"/>
        <v>32791</v>
      </c>
      <c r="B162">
        <f t="shared" si="10"/>
        <v>1561.1767379736864</v>
      </c>
      <c r="C162">
        <f>day_length(F162,$B$1,Fitting!$B$4)</f>
        <v>13.190789222717285</v>
      </c>
      <c r="D162" s="1">
        <f t="shared" si="11"/>
        <v>32791</v>
      </c>
      <c r="E162">
        <f t="shared" si="13"/>
        <v>1989</v>
      </c>
      <c r="F162" s="6">
        <f t="shared" si="14"/>
        <v>283</v>
      </c>
      <c r="G162">
        <v>30.5</v>
      </c>
      <c r="H162">
        <v>20.5</v>
      </c>
      <c r="I162">
        <f>MAX(0,1-Fitting!$B$7*(Fitting!$B$6-Herm8889!C162)^2)</f>
        <v>0.64781964373772638</v>
      </c>
      <c r="J162">
        <f>tt(G162,H162,Fitting!$B$1:$E$1,Fitting!$B$2:$E$2)*I162</f>
        <v>16.454458073486133</v>
      </c>
    </row>
    <row r="163" spans="1:10">
      <c r="A163" s="1">
        <f t="shared" si="12"/>
        <v>32792</v>
      </c>
      <c r="B163">
        <f t="shared" si="10"/>
        <v>1575.0800791517192</v>
      </c>
      <c r="C163">
        <f>day_length(F163,$B$1,Fitting!$B$4)</f>
        <v>13.210262298583984</v>
      </c>
      <c r="D163" s="1">
        <f t="shared" si="11"/>
        <v>32792</v>
      </c>
      <c r="E163">
        <f t="shared" si="13"/>
        <v>1989</v>
      </c>
      <c r="F163" s="6">
        <f t="shared" si="14"/>
        <v>284</v>
      </c>
      <c r="G163">
        <v>31.8</v>
      </c>
      <c r="H163">
        <v>12.2</v>
      </c>
      <c r="I163">
        <f>MAX(0,1-Fitting!$B$7*(Fitting!$B$6-Herm8889!C163)^2)</f>
        <v>0.65050768537526338</v>
      </c>
      <c r="J163">
        <f>tt(G163,H163,Fitting!$B$1:$E$1,Fitting!$B$2:$E$2)*I163</f>
        <v>13.903341178032811</v>
      </c>
    </row>
    <row r="164" spans="1:10">
      <c r="A164" s="1">
        <f t="shared" si="12"/>
        <v>32793</v>
      </c>
      <c r="B164">
        <f t="shared" si="10"/>
        <v>1589.4500890191919</v>
      </c>
      <c r="C164">
        <f>day_length(F164,$B$1,Fitting!$B$4)</f>
        <v>13.229701042175293</v>
      </c>
      <c r="D164" s="1">
        <f t="shared" si="11"/>
        <v>32793</v>
      </c>
      <c r="E164">
        <f t="shared" si="13"/>
        <v>1989</v>
      </c>
      <c r="F164" s="6">
        <f t="shared" si="14"/>
        <v>285</v>
      </c>
      <c r="G164">
        <v>30</v>
      </c>
      <c r="H164">
        <v>14</v>
      </c>
      <c r="I164">
        <f>MAX(0,1-Fitting!$B$7*(Fitting!$B$6-Herm8889!C164)^2)</f>
        <v>0.65318221007393185</v>
      </c>
      <c r="J164">
        <f>tt(G164,H164,Fitting!$B$1:$E$1,Fitting!$B$2:$E$2)*I164</f>
        <v>14.370009867472696</v>
      </c>
    </row>
    <row r="165" spans="1:10">
      <c r="A165" s="1">
        <f t="shared" si="12"/>
        <v>32794</v>
      </c>
      <c r="B165">
        <f t="shared" si="10"/>
        <v>1605.8461487259503</v>
      </c>
      <c r="C165">
        <f>day_length(F165,$B$1,Fitting!$B$4)</f>
        <v>13.249101638793945</v>
      </c>
      <c r="D165" s="1">
        <f t="shared" si="11"/>
        <v>32794</v>
      </c>
      <c r="E165">
        <f t="shared" si="13"/>
        <v>1989</v>
      </c>
      <c r="F165" s="6">
        <f t="shared" si="14"/>
        <v>286</v>
      </c>
      <c r="G165">
        <v>29</v>
      </c>
      <c r="H165">
        <v>21</v>
      </c>
      <c r="I165">
        <f>MAX(0,1-Fitting!$B$7*(Fitting!$B$6-Herm8889!C165)^2)</f>
        <v>0.65584238827033547</v>
      </c>
      <c r="J165">
        <f>tt(G165,H165,Fitting!$B$1:$E$1,Fitting!$B$2:$E$2)*I165</f>
        <v>16.396059706758386</v>
      </c>
    </row>
    <row r="166" spans="1:10">
      <c r="A166" s="1">
        <f t="shared" si="12"/>
        <v>32795</v>
      </c>
      <c r="B166">
        <f t="shared" si="10"/>
        <v>1622.9668346913786</v>
      </c>
      <c r="C166">
        <f>day_length(F166,$B$1,Fitting!$B$4)</f>
        <v>13.268457412719727</v>
      </c>
      <c r="D166" s="1">
        <f t="shared" si="11"/>
        <v>32795</v>
      </c>
      <c r="E166">
        <f t="shared" si="13"/>
        <v>1989</v>
      </c>
      <c r="F166" s="6">
        <f t="shared" si="14"/>
        <v>287</v>
      </c>
      <c r="G166">
        <v>30</v>
      </c>
      <c r="H166">
        <v>22</v>
      </c>
      <c r="I166">
        <f>MAX(0,1-Fitting!$B$7*(Fitting!$B$6-Herm8889!C166)^2)</f>
        <v>0.6584879217472408</v>
      </c>
      <c r="J166">
        <f>tt(G166,H166,Fitting!$B$1:$E$1,Fitting!$B$2:$E$2)*I166</f>
        <v>17.120685965428262</v>
      </c>
    </row>
    <row r="167" spans="1:10">
      <c r="A167" s="1">
        <f t="shared" si="12"/>
        <v>32796</v>
      </c>
      <c r="B167">
        <f t="shared" si="10"/>
        <v>1639.1818798961076</v>
      </c>
      <c r="C167">
        <f>day_length(F167,$B$1,Fitting!$B$4)</f>
        <v>13.287764549255371</v>
      </c>
      <c r="D167" s="1">
        <f t="shared" si="11"/>
        <v>32796</v>
      </c>
      <c r="E167">
        <f t="shared" si="13"/>
        <v>1989</v>
      </c>
      <c r="F167" s="6">
        <f t="shared" si="14"/>
        <v>288</v>
      </c>
      <c r="G167">
        <v>30.5</v>
      </c>
      <c r="H167">
        <v>18.7</v>
      </c>
      <c r="I167">
        <f>MAX(0,1-Fitting!$B$7*(Fitting!$B$6-Herm8889!C167)^2)</f>
        <v>0.66111791550336785</v>
      </c>
      <c r="J167">
        <f>tt(G167,H167,Fitting!$B$1:$E$1,Fitting!$B$2:$E$2)*I167</f>
        <v>16.215045204728902</v>
      </c>
    </row>
    <row r="168" spans="1:10">
      <c r="A168" s="1"/>
      <c r="D168" s="1"/>
      <c r="F168" s="6"/>
    </row>
    <row r="169" spans="1:10">
      <c r="A169" s="1"/>
      <c r="D169" s="1"/>
      <c r="F169" s="6"/>
    </row>
    <row r="170" spans="1:10">
      <c r="A170" s="1"/>
      <c r="D170" s="1"/>
      <c r="F170" s="6"/>
    </row>
    <row r="171" spans="1:10">
      <c r="A171" s="1"/>
      <c r="D171" s="1"/>
      <c r="F171" s="6"/>
    </row>
    <row r="172" spans="1:10">
      <c r="A172" s="1"/>
      <c r="D172" s="1"/>
      <c r="F172" s="6"/>
    </row>
    <row r="173" spans="1:10">
      <c r="A173" s="1"/>
      <c r="D173" s="1"/>
      <c r="F173" s="6"/>
    </row>
    <row r="174" spans="1:10">
      <c r="A174" s="1"/>
      <c r="D174" s="1"/>
      <c r="F174" s="6"/>
    </row>
    <row r="175" spans="1:10">
      <c r="A175" s="1"/>
      <c r="D175" s="1"/>
      <c r="F175" s="6"/>
    </row>
    <row r="176" spans="1:10">
      <c r="A176" s="1"/>
      <c r="D176" s="1"/>
      <c r="F176" s="6"/>
    </row>
    <row r="177" spans="1:6">
      <c r="A177" s="1"/>
      <c r="D177" s="1"/>
      <c r="F177" s="6"/>
    </row>
    <row r="178" spans="1:6">
      <c r="A178" s="1"/>
      <c r="D178" s="1"/>
      <c r="F178" s="6"/>
    </row>
    <row r="179" spans="1:6">
      <c r="A179" s="1"/>
      <c r="D179" s="1"/>
      <c r="F179" s="6"/>
    </row>
    <row r="180" spans="1:6">
      <c r="A180" s="1"/>
      <c r="D180" s="1"/>
      <c r="F180" s="6"/>
    </row>
    <row r="181" spans="1:6">
      <c r="A181" s="1"/>
      <c r="D181" s="1"/>
      <c r="F181" s="6"/>
    </row>
    <row r="182" spans="1:6">
      <c r="A182" s="1"/>
      <c r="D182" s="1"/>
      <c r="F182" s="6"/>
    </row>
    <row r="183" spans="1:6">
      <c r="A183" s="1"/>
      <c r="D183" s="1"/>
      <c r="F183" s="6"/>
    </row>
    <row r="184" spans="1:6">
      <c r="A184" s="1"/>
      <c r="D184" s="1"/>
      <c r="F184" s="6"/>
    </row>
    <row r="185" spans="1:6">
      <c r="A185" s="1"/>
      <c r="D185" s="1"/>
      <c r="F185" s="6"/>
    </row>
    <row r="186" spans="1:6">
      <c r="A186" s="1"/>
      <c r="D186" s="1"/>
      <c r="F186" s="6"/>
    </row>
    <row r="187" spans="1:6">
      <c r="A187" s="1"/>
      <c r="D187" s="1"/>
      <c r="F187" s="6"/>
    </row>
    <row r="188" spans="1:6">
      <c r="A188" s="1"/>
      <c r="D188" s="1"/>
      <c r="F188" s="6"/>
    </row>
    <row r="189" spans="1:6">
      <c r="A189" s="1"/>
      <c r="D189" s="1"/>
      <c r="F189" s="6"/>
    </row>
    <row r="190" spans="1:6">
      <c r="A190" s="1"/>
      <c r="D190" s="1"/>
      <c r="F190" s="6"/>
    </row>
    <row r="191" spans="1:6">
      <c r="A191" s="1"/>
      <c r="D191" s="1"/>
      <c r="F191" s="6"/>
    </row>
    <row r="192" spans="1:6">
      <c r="A192" s="1"/>
      <c r="D192" s="1"/>
      <c r="F192" s="6"/>
    </row>
    <row r="193" spans="1:6">
      <c r="A193" s="1"/>
      <c r="D193" s="1"/>
      <c r="F193" s="6"/>
    </row>
    <row r="194" spans="1:6">
      <c r="A194" s="1"/>
      <c r="D194" s="1"/>
      <c r="F194" s="6"/>
    </row>
    <row r="195" spans="1:6">
      <c r="A195" s="1"/>
      <c r="D195" s="1"/>
      <c r="F195" s="6"/>
    </row>
    <row r="196" spans="1:6">
      <c r="A196" s="1"/>
      <c r="D196" s="1"/>
      <c r="F196" s="6"/>
    </row>
    <row r="197" spans="1:6">
      <c r="A197" s="1"/>
      <c r="D197" s="1"/>
      <c r="F197" s="6"/>
    </row>
    <row r="198" spans="1:6">
      <c r="A198" s="1"/>
      <c r="D198" s="1"/>
      <c r="F198" s="6"/>
    </row>
    <row r="199" spans="1:6">
      <c r="A199" s="1"/>
      <c r="D199" s="1"/>
      <c r="F199" s="6"/>
    </row>
    <row r="200" spans="1:6">
      <c r="A200" s="1"/>
      <c r="D200" s="1"/>
      <c r="F200" s="6"/>
    </row>
    <row r="201" spans="1:6">
      <c r="A201" s="1"/>
      <c r="D201" s="1"/>
      <c r="F201" s="6"/>
    </row>
    <row r="202" spans="1:6">
      <c r="A202" s="1"/>
      <c r="D202" s="1"/>
      <c r="F202" s="6"/>
    </row>
    <row r="203" spans="1:6">
      <c r="A203" s="1"/>
      <c r="D203" s="1"/>
      <c r="F203" s="6"/>
    </row>
    <row r="204" spans="1:6">
      <c r="A204" s="1"/>
      <c r="D204" s="1"/>
      <c r="F204" s="6"/>
    </row>
    <row r="205" spans="1:6">
      <c r="A205" s="1"/>
      <c r="D205" s="1"/>
      <c r="F205" s="6"/>
    </row>
    <row r="206" spans="1:6">
      <c r="A206" s="1"/>
      <c r="D206" s="1"/>
      <c r="F206" s="6"/>
    </row>
    <row r="207" spans="1:6">
      <c r="A207" s="1"/>
      <c r="D207" s="1"/>
      <c r="F207" s="6"/>
    </row>
    <row r="208" spans="1:6">
      <c r="A208" s="1"/>
      <c r="D208" s="1"/>
      <c r="F208" s="6"/>
    </row>
    <row r="209" spans="1:6">
      <c r="A209" s="1"/>
      <c r="D209" s="1"/>
      <c r="F209" s="6"/>
    </row>
    <row r="210" spans="1:6">
      <c r="A210" s="1"/>
      <c r="D210" s="1"/>
      <c r="F210" s="6"/>
    </row>
    <row r="211" spans="1:6">
      <c r="A211" s="1"/>
      <c r="D211" s="1"/>
      <c r="F211" s="6"/>
    </row>
    <row r="212" spans="1:6">
      <c r="A212" s="1"/>
      <c r="D212" s="1"/>
      <c r="F212" s="6"/>
    </row>
    <row r="213" spans="1:6">
      <c r="A213" s="1"/>
      <c r="D213" s="1"/>
      <c r="F213" s="6"/>
    </row>
    <row r="214" spans="1:6">
      <c r="A214" s="1"/>
      <c r="D214" s="1"/>
      <c r="F214" s="6"/>
    </row>
    <row r="215" spans="1:6">
      <c r="A215" s="1"/>
      <c r="D215" s="1"/>
      <c r="F215" s="6"/>
    </row>
    <row r="216" spans="1:6">
      <c r="A216" s="1"/>
      <c r="D216" s="1"/>
      <c r="F216" s="6"/>
    </row>
    <row r="217" spans="1:6">
      <c r="A217" s="1"/>
      <c r="D217" s="1"/>
      <c r="F217" s="6"/>
    </row>
    <row r="218" spans="1:6">
      <c r="A218" s="1"/>
      <c r="D218" s="1"/>
      <c r="F218" s="6"/>
    </row>
    <row r="219" spans="1:6">
      <c r="A219" s="1"/>
      <c r="D219" s="1"/>
      <c r="F219" s="6"/>
    </row>
    <row r="220" spans="1:6">
      <c r="A220" s="1"/>
      <c r="D220" s="1"/>
      <c r="F220" s="6"/>
    </row>
    <row r="221" spans="1:6">
      <c r="A221" s="1"/>
      <c r="D221" s="1"/>
      <c r="F221" s="6"/>
    </row>
    <row r="222" spans="1:6">
      <c r="A222" s="1"/>
      <c r="D222" s="1"/>
      <c r="F222" s="6"/>
    </row>
    <row r="223" spans="1:6">
      <c r="A223" s="1"/>
      <c r="D223" s="1"/>
      <c r="F223" s="6"/>
    </row>
    <row r="224" spans="1:6">
      <c r="A224" s="1"/>
      <c r="D224" s="1"/>
      <c r="F224" s="6"/>
    </row>
    <row r="225" spans="1:6">
      <c r="A225" s="1"/>
      <c r="D225" s="1"/>
      <c r="F225" s="6"/>
    </row>
    <row r="226" spans="1:6">
      <c r="A226" s="1"/>
      <c r="D226" s="1"/>
      <c r="F226" s="6"/>
    </row>
    <row r="227" spans="1:6">
      <c r="A227" s="1"/>
      <c r="D227" s="1"/>
      <c r="F227" s="6"/>
    </row>
    <row r="228" spans="1:6">
      <c r="A228" s="1"/>
      <c r="D228" s="1"/>
      <c r="F228" s="6"/>
    </row>
    <row r="229" spans="1:6">
      <c r="A229" s="1"/>
      <c r="D229" s="1"/>
      <c r="F229" s="6"/>
    </row>
    <row r="230" spans="1:6">
      <c r="A230" s="1"/>
      <c r="D230" s="1"/>
      <c r="F230" s="6"/>
    </row>
    <row r="231" spans="1:6">
      <c r="A231" s="1"/>
      <c r="D231" s="1"/>
      <c r="F231" s="6"/>
    </row>
    <row r="232" spans="1:6">
      <c r="A232" s="1"/>
      <c r="D232" s="1"/>
      <c r="F232" s="6"/>
    </row>
    <row r="233" spans="1:6">
      <c r="A233" s="1"/>
      <c r="D233" s="1"/>
      <c r="F233" s="6"/>
    </row>
    <row r="234" spans="1:6">
      <c r="A234" s="1"/>
      <c r="D234" s="1"/>
      <c r="F234" s="6"/>
    </row>
    <row r="235" spans="1:6">
      <c r="A235" s="1"/>
      <c r="D235" s="1"/>
      <c r="F235" s="6"/>
    </row>
    <row r="236" spans="1:6">
      <c r="A236" s="1"/>
      <c r="D236" s="1"/>
      <c r="F236" s="6"/>
    </row>
    <row r="237" spans="1:6">
      <c r="A237" s="1"/>
      <c r="D237" s="1"/>
      <c r="F237" s="6"/>
    </row>
    <row r="238" spans="1:6">
      <c r="A238" s="1"/>
      <c r="D238" s="1"/>
      <c r="F238" s="6"/>
    </row>
    <row r="239" spans="1:6">
      <c r="A239" s="1"/>
      <c r="D239" s="1"/>
      <c r="F239" s="6"/>
    </row>
    <row r="240" spans="1:6">
      <c r="A240" s="1"/>
      <c r="D240" s="1"/>
      <c r="F240" s="6"/>
    </row>
    <row r="241" spans="1:6">
      <c r="A241" s="1"/>
      <c r="D241" s="1"/>
      <c r="F241" s="6"/>
    </row>
    <row r="242" spans="1:6">
      <c r="A242" s="1"/>
      <c r="D242" s="1"/>
      <c r="F242" s="6"/>
    </row>
    <row r="243" spans="1:6">
      <c r="A243" s="1"/>
      <c r="D243" s="1"/>
      <c r="F243" s="6"/>
    </row>
    <row r="244" spans="1:6">
      <c r="A244" s="1"/>
      <c r="D244" s="1"/>
      <c r="F244" s="6"/>
    </row>
    <row r="245" spans="1:6">
      <c r="A245" s="1"/>
      <c r="D245" s="1"/>
      <c r="F245" s="6"/>
    </row>
    <row r="246" spans="1:6">
      <c r="A246" s="1"/>
      <c r="D246" s="1"/>
      <c r="F246" s="6"/>
    </row>
    <row r="247" spans="1:6">
      <c r="A247" s="1"/>
      <c r="D247" s="1"/>
      <c r="F247" s="6"/>
    </row>
    <row r="248" spans="1:6">
      <c r="A248" s="1"/>
      <c r="D248" s="1"/>
      <c r="F248" s="6"/>
    </row>
    <row r="249" spans="1:6">
      <c r="A249" s="1"/>
      <c r="D249" s="1"/>
      <c r="F249" s="6"/>
    </row>
    <row r="250" spans="1:6">
      <c r="A250" s="1"/>
      <c r="D250" s="1"/>
      <c r="F250" s="6"/>
    </row>
    <row r="251" spans="1:6">
      <c r="A251" s="1"/>
      <c r="D251" s="1"/>
      <c r="F251" s="6"/>
    </row>
    <row r="252" spans="1:6">
      <c r="A252" s="1"/>
      <c r="D252" s="1"/>
      <c r="F252" s="6"/>
    </row>
    <row r="253" spans="1:6">
      <c r="A253" s="1"/>
      <c r="D253" s="1"/>
      <c r="F253" s="6"/>
    </row>
    <row r="254" spans="1:6">
      <c r="A254" s="1"/>
      <c r="D254" s="1"/>
      <c r="F254" s="6"/>
    </row>
    <row r="255" spans="1:6">
      <c r="A255" s="1"/>
      <c r="D255" s="1"/>
      <c r="F255" s="6"/>
    </row>
    <row r="256" spans="1:6">
      <c r="A256" s="1"/>
      <c r="D256" s="1"/>
      <c r="F256" s="6"/>
    </row>
    <row r="257" spans="1:6">
      <c r="A257" s="1"/>
      <c r="D257" s="1"/>
      <c r="F257" s="6"/>
    </row>
    <row r="258" spans="1:6">
      <c r="A258" s="1"/>
      <c r="D258" s="1"/>
      <c r="F258" s="6"/>
    </row>
    <row r="259" spans="1:6">
      <c r="A259" s="1"/>
      <c r="D259" s="1"/>
      <c r="F259" s="6"/>
    </row>
    <row r="260" spans="1:6">
      <c r="A260" s="1"/>
      <c r="D260" s="1"/>
      <c r="F260" s="6"/>
    </row>
    <row r="261" spans="1:6">
      <c r="A261" s="1"/>
      <c r="D261" s="1"/>
      <c r="F261" s="6"/>
    </row>
    <row r="262" spans="1:6">
      <c r="A262" s="1"/>
      <c r="D262" s="1"/>
      <c r="F262" s="6"/>
    </row>
    <row r="263" spans="1:6">
      <c r="A263" s="1"/>
      <c r="D263" s="1"/>
      <c r="F263" s="6"/>
    </row>
    <row r="264" spans="1:6">
      <c r="A264" s="1"/>
      <c r="D264" s="1"/>
      <c r="F264" s="6"/>
    </row>
    <row r="265" spans="1:6">
      <c r="A265" s="1"/>
      <c r="D265" s="1"/>
      <c r="F265" s="6"/>
    </row>
    <row r="266" spans="1:6">
      <c r="A266" s="1"/>
      <c r="D266" s="1"/>
      <c r="F266" s="6"/>
    </row>
    <row r="267" spans="1:6">
      <c r="A267" s="1"/>
      <c r="D267" s="1"/>
      <c r="F267" s="6"/>
    </row>
    <row r="268" spans="1:6">
      <c r="A268" s="1"/>
      <c r="D268" s="1"/>
      <c r="F268" s="6"/>
    </row>
    <row r="269" spans="1:6">
      <c r="A269" s="1"/>
      <c r="D269" s="1"/>
      <c r="F269" s="6"/>
    </row>
    <row r="270" spans="1:6">
      <c r="A270" s="1"/>
      <c r="D270" s="1"/>
      <c r="F270" s="6"/>
    </row>
    <row r="271" spans="1:6">
      <c r="A271" s="1"/>
      <c r="D271" s="1"/>
      <c r="F271" s="6"/>
    </row>
    <row r="272" spans="1:6">
      <c r="A272" s="1"/>
      <c r="D272" s="1"/>
      <c r="F272" s="6"/>
    </row>
    <row r="273" spans="1:6">
      <c r="A273" s="1"/>
      <c r="D273" s="1"/>
      <c r="F273" s="6"/>
    </row>
    <row r="274" spans="1:6">
      <c r="A274" s="1"/>
      <c r="D274" s="1"/>
      <c r="F274" s="6"/>
    </row>
    <row r="275" spans="1:6">
      <c r="A275" s="1"/>
      <c r="D275" s="1"/>
      <c r="F275" s="6"/>
    </row>
    <row r="276" spans="1:6">
      <c r="A276" s="1"/>
      <c r="D276" s="1"/>
      <c r="F276" s="6"/>
    </row>
    <row r="277" spans="1:6">
      <c r="A277" s="1"/>
      <c r="D277" s="1"/>
      <c r="F277" s="6"/>
    </row>
    <row r="278" spans="1:6">
      <c r="A278" s="1"/>
      <c r="D278" s="1"/>
      <c r="F278" s="6"/>
    </row>
    <row r="279" spans="1:6">
      <c r="A279" s="1"/>
      <c r="D279" s="1"/>
      <c r="F279" s="6"/>
    </row>
    <row r="280" spans="1:6">
      <c r="A280" s="1"/>
      <c r="D280" s="1"/>
      <c r="F280" s="6"/>
    </row>
    <row r="281" spans="1:6">
      <c r="A281" s="1"/>
      <c r="D281" s="1"/>
      <c r="F281" s="6"/>
    </row>
    <row r="282" spans="1:6">
      <c r="A282" s="1"/>
      <c r="D282" s="1"/>
      <c r="F282" s="6"/>
    </row>
    <row r="283" spans="1:6">
      <c r="A283" s="1"/>
      <c r="D283" s="1"/>
      <c r="F283" s="6"/>
    </row>
    <row r="284" spans="1:6">
      <c r="A284" s="1"/>
      <c r="D284" s="1"/>
      <c r="F284" s="6"/>
    </row>
    <row r="285" spans="1:6">
      <c r="A285" s="1"/>
      <c r="D285" s="1"/>
      <c r="F285" s="6"/>
    </row>
    <row r="286" spans="1:6">
      <c r="A286" s="1"/>
      <c r="D286" s="1"/>
      <c r="F286" s="6"/>
    </row>
    <row r="287" spans="1:6">
      <c r="A287" s="1"/>
      <c r="D287" s="1"/>
      <c r="F287" s="6"/>
    </row>
    <row r="288" spans="1:6">
      <c r="A288" s="1"/>
      <c r="D288" s="1"/>
      <c r="F288" s="6"/>
    </row>
    <row r="289" spans="1:6">
      <c r="A289" s="1"/>
      <c r="D289" s="1"/>
      <c r="F289" s="6"/>
    </row>
    <row r="290" spans="1:6">
      <c r="A290" s="1"/>
      <c r="D290" s="1"/>
      <c r="F290" s="6"/>
    </row>
    <row r="291" spans="1:6">
      <c r="A291" s="1"/>
      <c r="D291" s="1"/>
      <c r="F291" s="6"/>
    </row>
    <row r="292" spans="1:6">
      <c r="A292" s="1"/>
      <c r="D292" s="1"/>
      <c r="F292" s="6"/>
    </row>
    <row r="293" spans="1:6">
      <c r="A293" s="1"/>
      <c r="D293" s="1"/>
      <c r="F293" s="6"/>
    </row>
    <row r="294" spans="1:6">
      <c r="A294" s="1"/>
      <c r="D294" s="1"/>
      <c r="F294" s="6"/>
    </row>
    <row r="295" spans="1:6">
      <c r="A295" s="1"/>
      <c r="D295" s="1"/>
      <c r="F295" s="6"/>
    </row>
    <row r="296" spans="1:6">
      <c r="A296" s="1"/>
      <c r="D296" s="1"/>
      <c r="F296" s="6"/>
    </row>
    <row r="297" spans="1:6">
      <c r="A297" s="1"/>
      <c r="D297" s="1"/>
      <c r="F297" s="6"/>
    </row>
    <row r="298" spans="1:6">
      <c r="A298" s="1"/>
      <c r="D298" s="1"/>
      <c r="F298" s="6"/>
    </row>
    <row r="299" spans="1:6">
      <c r="A299" s="1"/>
      <c r="D299" s="1"/>
      <c r="F299" s="6"/>
    </row>
    <row r="300" spans="1:6">
      <c r="A300" s="1"/>
      <c r="D300" s="1"/>
      <c r="F300" s="6"/>
    </row>
    <row r="301" spans="1:6">
      <c r="A301" s="1"/>
      <c r="D301" s="1"/>
      <c r="F301" s="6"/>
    </row>
    <row r="302" spans="1:6">
      <c r="A302" s="1"/>
      <c r="D302" s="1"/>
      <c r="F302" s="6"/>
    </row>
    <row r="303" spans="1:6">
      <c r="A303" s="1"/>
      <c r="D303" s="1"/>
      <c r="F303" s="6"/>
    </row>
    <row r="304" spans="1:6">
      <c r="A304" s="1"/>
      <c r="D304" s="1"/>
      <c r="F304" s="6"/>
    </row>
    <row r="305" spans="1:6">
      <c r="A305" s="1"/>
      <c r="D305" s="1"/>
      <c r="F305" s="6"/>
    </row>
    <row r="306" spans="1:6">
      <c r="A306" s="1"/>
      <c r="D306" s="1"/>
      <c r="F306" s="6"/>
    </row>
    <row r="307" spans="1:6">
      <c r="A307" s="1"/>
      <c r="D307" s="1"/>
      <c r="F307" s="6"/>
    </row>
    <row r="308" spans="1:6">
      <c r="A308" s="1"/>
      <c r="D308" s="1"/>
      <c r="F308" s="6"/>
    </row>
    <row r="309" spans="1:6">
      <c r="A309" s="1"/>
      <c r="D309" s="1"/>
      <c r="F309" s="6"/>
    </row>
    <row r="310" spans="1:6">
      <c r="A310" s="1"/>
      <c r="D310" s="1"/>
      <c r="F310" s="6"/>
    </row>
    <row r="311" spans="1:6">
      <c r="A311" s="1"/>
      <c r="D311" s="1"/>
      <c r="F311" s="6"/>
    </row>
    <row r="312" spans="1:6">
      <c r="A312" s="1"/>
      <c r="D312" s="1"/>
      <c r="F312" s="6"/>
    </row>
    <row r="313" spans="1:6">
      <c r="A313" s="1"/>
      <c r="D313" s="1"/>
      <c r="F313" s="6"/>
    </row>
    <row r="314" spans="1:6">
      <c r="A314" s="1"/>
      <c r="D314" s="1"/>
      <c r="F314" s="6"/>
    </row>
    <row r="315" spans="1:6">
      <c r="A315" s="1"/>
      <c r="D315" s="1"/>
      <c r="F315" s="6"/>
    </row>
    <row r="316" spans="1:6">
      <c r="A316" s="1"/>
      <c r="D316" s="1"/>
      <c r="F316" s="6"/>
    </row>
    <row r="317" spans="1:6">
      <c r="A317" s="1"/>
      <c r="D317" s="1"/>
      <c r="F317" s="6"/>
    </row>
    <row r="318" spans="1:6">
      <c r="A318" s="1"/>
      <c r="D318" s="1"/>
      <c r="F318" s="6"/>
    </row>
    <row r="319" spans="1:6">
      <c r="A319" s="1"/>
      <c r="D319" s="1"/>
      <c r="F319" s="6"/>
    </row>
    <row r="320" spans="1:6">
      <c r="A320" s="1"/>
      <c r="D320" s="1"/>
      <c r="F320" s="6"/>
    </row>
    <row r="321" spans="1:6">
      <c r="A321" s="1"/>
      <c r="D321" s="1"/>
      <c r="F321" s="6"/>
    </row>
    <row r="322" spans="1:6">
      <c r="A322" s="1"/>
      <c r="D322" s="1"/>
      <c r="F322" s="6"/>
    </row>
    <row r="323" spans="1:6">
      <c r="A323" s="1"/>
      <c r="D323" s="1"/>
      <c r="F323" s="6"/>
    </row>
    <row r="324" spans="1:6">
      <c r="A324" s="1"/>
      <c r="D324" s="1"/>
      <c r="F324" s="6"/>
    </row>
    <row r="325" spans="1:6">
      <c r="A325" s="1"/>
      <c r="D325" s="1"/>
      <c r="F325" s="6"/>
    </row>
    <row r="326" spans="1:6">
      <c r="A326" s="1"/>
      <c r="D326" s="1"/>
      <c r="F326" s="6"/>
    </row>
    <row r="327" spans="1:6">
      <c r="A327" s="1"/>
      <c r="D327" s="1"/>
      <c r="F327" s="6"/>
    </row>
    <row r="328" spans="1:6">
      <c r="A328" s="1"/>
      <c r="D328" s="1"/>
      <c r="F328" s="6"/>
    </row>
    <row r="329" spans="1:6">
      <c r="A329" s="1"/>
      <c r="D329" s="1"/>
      <c r="F329" s="6"/>
    </row>
    <row r="330" spans="1:6">
      <c r="A330" s="1"/>
      <c r="D330" s="1"/>
      <c r="F330" s="6"/>
    </row>
    <row r="331" spans="1:6">
      <c r="A331" s="1"/>
      <c r="D331" s="1"/>
      <c r="F331" s="6"/>
    </row>
    <row r="332" spans="1:6">
      <c r="A332" s="1"/>
      <c r="D332" s="1"/>
      <c r="F332" s="6"/>
    </row>
    <row r="333" spans="1:6">
      <c r="A333" s="1"/>
      <c r="D333" s="1"/>
      <c r="F333" s="6"/>
    </row>
    <row r="334" spans="1:6">
      <c r="A334" s="1"/>
      <c r="D334" s="1"/>
      <c r="F334" s="6"/>
    </row>
    <row r="335" spans="1:6">
      <c r="A335" s="1"/>
      <c r="D335" s="1"/>
      <c r="F335" s="6"/>
    </row>
    <row r="336" spans="1:6">
      <c r="A336" s="1"/>
      <c r="D336" s="1"/>
      <c r="F336" s="6"/>
    </row>
    <row r="337" spans="1:6">
      <c r="A337" s="1"/>
      <c r="D337" s="1"/>
      <c r="F337" s="6"/>
    </row>
    <row r="338" spans="1:6">
      <c r="A338" s="1"/>
      <c r="D338" s="1"/>
      <c r="F338" s="6"/>
    </row>
    <row r="339" spans="1:6">
      <c r="A339" s="1"/>
      <c r="D339" s="1"/>
      <c r="F339" s="6"/>
    </row>
    <row r="340" spans="1:6">
      <c r="A340" s="1"/>
      <c r="D340" s="1"/>
      <c r="F340" s="6"/>
    </row>
    <row r="341" spans="1:6">
      <c r="A341" s="1"/>
      <c r="D341" s="1"/>
      <c r="F341" s="6"/>
    </row>
    <row r="342" spans="1:6">
      <c r="A342" s="1"/>
      <c r="D342" s="1"/>
      <c r="F342" s="6"/>
    </row>
    <row r="343" spans="1:6">
      <c r="A343" s="1"/>
      <c r="D343" s="1"/>
      <c r="F343" s="6"/>
    </row>
    <row r="344" spans="1:6">
      <c r="A344" s="1"/>
      <c r="D344" s="1"/>
      <c r="F344" s="6"/>
    </row>
    <row r="345" spans="1:6">
      <c r="A345" s="1"/>
      <c r="D345" s="1"/>
      <c r="F345" s="6"/>
    </row>
    <row r="346" spans="1:6">
      <c r="A346" s="1"/>
      <c r="D346" s="1"/>
      <c r="F346" s="6"/>
    </row>
    <row r="347" spans="1:6">
      <c r="A347" s="1"/>
      <c r="D347" s="1"/>
      <c r="F347" s="6"/>
    </row>
    <row r="348" spans="1:6">
      <c r="A348" s="1"/>
      <c r="D348" s="1"/>
      <c r="F348" s="6"/>
    </row>
    <row r="349" spans="1:6">
      <c r="A349" s="1"/>
      <c r="D349" s="1"/>
      <c r="F349" s="6"/>
    </row>
    <row r="350" spans="1:6">
      <c r="A350" s="1"/>
      <c r="D350" s="1"/>
      <c r="F350" s="6"/>
    </row>
    <row r="351" spans="1:6">
      <c r="A351" s="1"/>
      <c r="D351" s="1"/>
      <c r="F351" s="6"/>
    </row>
    <row r="352" spans="1:6">
      <c r="A352" s="1"/>
      <c r="D352" s="1"/>
      <c r="F352" s="6"/>
    </row>
    <row r="353" spans="1:6">
      <c r="A353" s="1"/>
      <c r="D353" s="1"/>
      <c r="F353" s="6"/>
    </row>
    <row r="354" spans="1:6">
      <c r="A354" s="1"/>
      <c r="D354" s="1"/>
      <c r="F354" s="6"/>
    </row>
    <row r="355" spans="1:6">
      <c r="A355" s="1"/>
      <c r="D355" s="1"/>
      <c r="F355" s="6"/>
    </row>
    <row r="356" spans="1:6">
      <c r="A356" s="1"/>
      <c r="D356" s="1"/>
      <c r="F356" s="6"/>
    </row>
    <row r="357" spans="1:6">
      <c r="A357" s="1"/>
      <c r="D357" s="1"/>
      <c r="F357" s="6"/>
    </row>
    <row r="358" spans="1:6">
      <c r="A358" s="1"/>
      <c r="D358" s="1"/>
      <c r="F358" s="6"/>
    </row>
    <row r="359" spans="1:6">
      <c r="A359" s="1"/>
      <c r="D359" s="1"/>
      <c r="F359" s="6"/>
    </row>
    <row r="360" spans="1:6">
      <c r="A360" s="1"/>
      <c r="D360" s="1"/>
      <c r="F360" s="6"/>
    </row>
    <row r="361" spans="1:6">
      <c r="A361" s="1"/>
      <c r="D361" s="1"/>
      <c r="F361" s="6"/>
    </row>
    <row r="362" spans="1:6">
      <c r="A362" s="1"/>
      <c r="D362" s="1"/>
      <c r="F362" s="6"/>
    </row>
    <row r="363" spans="1:6">
      <c r="A363" s="1"/>
      <c r="D363" s="1"/>
      <c r="F363" s="6"/>
    </row>
    <row r="364" spans="1:6">
      <c r="A364" s="1"/>
      <c r="D364" s="1"/>
      <c r="F364" s="6"/>
    </row>
    <row r="365" spans="1:6">
      <c r="A365" s="1"/>
      <c r="D365" s="1"/>
      <c r="F365" s="6"/>
    </row>
    <row r="366" spans="1:6">
      <c r="A366" s="1"/>
      <c r="D366" s="1"/>
      <c r="F366" s="6"/>
    </row>
    <row r="367" spans="1:6">
      <c r="A367" s="1"/>
      <c r="D367" s="1"/>
      <c r="F367" s="6"/>
    </row>
    <row r="368" spans="1:6">
      <c r="A368" s="1"/>
      <c r="D368" s="1"/>
      <c r="F368" s="6"/>
    </row>
    <row r="369" spans="1:6">
      <c r="A369" s="1"/>
      <c r="D369" s="1"/>
      <c r="F369" s="6"/>
    </row>
    <row r="370" spans="1:6">
      <c r="A370" s="1"/>
      <c r="D370" s="1"/>
      <c r="F370" s="6"/>
    </row>
    <row r="371" spans="1:6">
      <c r="A371" s="1"/>
      <c r="D371" s="1"/>
      <c r="F371" s="6"/>
    </row>
    <row r="372" spans="1:6">
      <c r="A372" s="1"/>
      <c r="D372" s="1"/>
      <c r="F372" s="6"/>
    </row>
    <row r="373" spans="1:6">
      <c r="A373" s="1"/>
      <c r="D373" s="1"/>
      <c r="F373" s="6"/>
    </row>
    <row r="374" spans="1:6">
      <c r="A374" s="1"/>
      <c r="D374" s="1"/>
      <c r="F374" s="6"/>
    </row>
    <row r="375" spans="1:6">
      <c r="A375" s="1"/>
      <c r="D375" s="1"/>
      <c r="F375" s="6"/>
    </row>
    <row r="376" spans="1:6">
      <c r="A376" s="1"/>
      <c r="D376" s="1"/>
      <c r="F376" s="6"/>
    </row>
    <row r="377" spans="1:6">
      <c r="A377" s="1"/>
      <c r="D377" s="1"/>
      <c r="F377" s="6"/>
    </row>
    <row r="378" spans="1:6">
      <c r="A378" s="1"/>
      <c r="D378" s="1"/>
      <c r="F378" s="6"/>
    </row>
    <row r="379" spans="1:6">
      <c r="A379" s="1"/>
      <c r="D379" s="1"/>
      <c r="F379" s="6"/>
    </row>
    <row r="380" spans="1:6">
      <c r="A380" s="1"/>
      <c r="D380" s="1"/>
      <c r="F380" s="6"/>
    </row>
    <row r="381" spans="1:6">
      <c r="A381" s="1"/>
      <c r="D381" s="1"/>
      <c r="F381" s="6"/>
    </row>
    <row r="382" spans="1:6">
      <c r="A382" s="1"/>
      <c r="D382" s="1"/>
      <c r="F382" s="6"/>
    </row>
    <row r="383" spans="1:6">
      <c r="A383" s="1"/>
      <c r="D383" s="1"/>
      <c r="F383" s="6"/>
    </row>
    <row r="384" spans="1:6">
      <c r="A384" s="1"/>
      <c r="D384" s="1"/>
      <c r="F384" s="6"/>
    </row>
    <row r="385" spans="1:6">
      <c r="A385" s="1"/>
      <c r="D385" s="1"/>
      <c r="F385" s="6"/>
    </row>
    <row r="386" spans="1:6">
      <c r="A386" s="1"/>
      <c r="D386" s="1"/>
      <c r="F386" s="6"/>
    </row>
    <row r="387" spans="1:6">
      <c r="A387" s="1"/>
      <c r="D387" s="1"/>
      <c r="F387" s="6"/>
    </row>
    <row r="388" spans="1:6">
      <c r="A388" s="1"/>
      <c r="D388" s="1"/>
      <c r="F388" s="6"/>
    </row>
    <row r="389" spans="1:6">
      <c r="A389" s="1"/>
      <c r="D389" s="1"/>
      <c r="F389" s="6"/>
    </row>
    <row r="390" spans="1:6">
      <c r="A390" s="1"/>
      <c r="D390" s="1"/>
      <c r="F390" s="6"/>
    </row>
    <row r="391" spans="1:6">
      <c r="A391" s="1"/>
      <c r="D391" s="1"/>
      <c r="F391" s="6"/>
    </row>
    <row r="392" spans="1:6">
      <c r="A392" s="1"/>
      <c r="D392" s="1"/>
      <c r="F392" s="6"/>
    </row>
    <row r="393" spans="1:6">
      <c r="A393" s="1"/>
      <c r="D393" s="1"/>
      <c r="F393" s="6"/>
    </row>
    <row r="394" spans="1:6">
      <c r="A394" s="1"/>
      <c r="D394" s="1"/>
      <c r="F394" s="6"/>
    </row>
    <row r="395" spans="1:6">
      <c r="A395" s="1"/>
      <c r="D395" s="1"/>
      <c r="F395" s="6"/>
    </row>
    <row r="396" spans="1:6">
      <c r="A396" s="1"/>
      <c r="D396" s="1"/>
      <c r="F396" s="6"/>
    </row>
    <row r="397" spans="1:6">
      <c r="A397" s="1"/>
      <c r="D397" s="1"/>
      <c r="F397" s="6"/>
    </row>
    <row r="398" spans="1:6">
      <c r="A398" s="1"/>
      <c r="D398" s="1"/>
      <c r="F398" s="6"/>
    </row>
    <row r="399" spans="1:6">
      <c r="A399" s="1"/>
      <c r="D399" s="1"/>
      <c r="F399" s="6"/>
    </row>
    <row r="400" spans="1:6">
      <c r="A400" s="1"/>
      <c r="D400" s="1"/>
      <c r="F400" s="6"/>
    </row>
    <row r="401" spans="1:6">
      <c r="A401" s="1"/>
      <c r="D401" s="1"/>
      <c r="F401" s="6"/>
    </row>
    <row r="402" spans="1:6">
      <c r="A402" s="1"/>
      <c r="D402" s="1"/>
      <c r="F402" s="6"/>
    </row>
    <row r="403" spans="1:6">
      <c r="A403" s="1"/>
      <c r="D403" s="1"/>
      <c r="F403" s="6"/>
    </row>
    <row r="404" spans="1:6">
      <c r="A404" s="1"/>
      <c r="D404" s="1"/>
      <c r="F404" s="6"/>
    </row>
    <row r="405" spans="1:6">
      <c r="A405" s="1"/>
      <c r="D405" s="1"/>
      <c r="F405" s="6"/>
    </row>
    <row r="406" spans="1:6">
      <c r="A406" s="1"/>
      <c r="D406" s="1"/>
      <c r="F406" s="6"/>
    </row>
    <row r="407" spans="1:6">
      <c r="A407" s="1"/>
      <c r="D407" s="1"/>
      <c r="F407" s="6"/>
    </row>
    <row r="408" spans="1:6">
      <c r="A408" s="1"/>
      <c r="D408" s="1"/>
      <c r="F408" s="6"/>
    </row>
    <row r="409" spans="1:6">
      <c r="A409" s="1"/>
      <c r="D409" s="1"/>
      <c r="F409" s="6"/>
    </row>
    <row r="410" spans="1:6">
      <c r="A410" s="1"/>
      <c r="D410" s="1"/>
      <c r="F410" s="6"/>
    </row>
    <row r="411" spans="1:6">
      <c r="A411" s="1"/>
      <c r="D411" s="1"/>
      <c r="F411" s="6"/>
    </row>
    <row r="412" spans="1:6">
      <c r="A412" s="1"/>
      <c r="D412" s="1"/>
      <c r="F412" s="6"/>
    </row>
    <row r="413" spans="1:6">
      <c r="A413" s="1"/>
      <c r="D413" s="1"/>
      <c r="F413" s="6"/>
    </row>
    <row r="414" spans="1:6">
      <c r="A414" s="1"/>
      <c r="D414" s="1"/>
      <c r="F414" s="6"/>
    </row>
    <row r="415" spans="1:6">
      <c r="A415" s="1"/>
      <c r="D415" s="1"/>
      <c r="F415" s="6"/>
    </row>
    <row r="416" spans="1:6">
      <c r="A416" s="1"/>
      <c r="D416" s="1"/>
      <c r="F416" s="6"/>
    </row>
    <row r="417" spans="1:6">
      <c r="A417" s="1"/>
      <c r="D417" s="1"/>
      <c r="F417" s="6"/>
    </row>
    <row r="418" spans="1:6">
      <c r="A418" s="1"/>
      <c r="D418" s="1"/>
      <c r="F418" s="6"/>
    </row>
    <row r="419" spans="1:6">
      <c r="A419" s="1"/>
      <c r="D419" s="1"/>
      <c r="F419" s="6"/>
    </row>
    <row r="420" spans="1:6">
      <c r="A420" s="1"/>
      <c r="D420" s="1"/>
      <c r="F420" s="6"/>
    </row>
    <row r="421" spans="1:6">
      <c r="A421" s="1"/>
      <c r="D421" s="1"/>
      <c r="F421" s="6"/>
    </row>
    <row r="422" spans="1:6">
      <c r="A422" s="1"/>
      <c r="D422" s="1"/>
      <c r="F422" s="6"/>
    </row>
    <row r="423" spans="1:6">
      <c r="A423" s="1"/>
      <c r="D423" s="1"/>
      <c r="F423" s="6"/>
    </row>
    <row r="424" spans="1:6">
      <c r="A424" s="1"/>
      <c r="D424" s="1"/>
      <c r="F424" s="6"/>
    </row>
    <row r="425" spans="1:6">
      <c r="A425" s="1"/>
      <c r="D425" s="1"/>
      <c r="F425" s="6"/>
    </row>
    <row r="426" spans="1:6">
      <c r="A426" s="1"/>
      <c r="D426" s="1"/>
      <c r="F426" s="6"/>
    </row>
    <row r="427" spans="1:6">
      <c r="A427" s="1"/>
      <c r="D427" s="1"/>
      <c r="F427" s="6"/>
    </row>
    <row r="428" spans="1:6">
      <c r="A428" s="1"/>
      <c r="D428" s="1"/>
      <c r="F428" s="6"/>
    </row>
    <row r="429" spans="1:6">
      <c r="A429" s="1"/>
      <c r="D429" s="1"/>
      <c r="F429" s="6"/>
    </row>
    <row r="430" spans="1:6">
      <c r="A430" s="1"/>
      <c r="D430" s="1"/>
      <c r="F430" s="6"/>
    </row>
    <row r="431" spans="1:6">
      <c r="A431" s="1"/>
      <c r="D431" s="1"/>
      <c r="F431" s="6"/>
    </row>
    <row r="432" spans="1:6">
      <c r="A432" s="1"/>
      <c r="D432" s="1"/>
      <c r="F432" s="6"/>
    </row>
    <row r="433" spans="1:6">
      <c r="A433" s="1"/>
      <c r="D433" s="1"/>
      <c r="F433" s="6"/>
    </row>
    <row r="434" spans="1:6">
      <c r="A434" s="1"/>
      <c r="D434" s="1"/>
      <c r="F434" s="6"/>
    </row>
    <row r="435" spans="1:6">
      <c r="A435" s="1"/>
      <c r="D435" s="1"/>
      <c r="F435" s="6"/>
    </row>
    <row r="436" spans="1:6">
      <c r="A436" s="1"/>
      <c r="D436" s="1"/>
      <c r="F436" s="6"/>
    </row>
    <row r="437" spans="1:6">
      <c r="A437" s="1"/>
      <c r="D437" s="1"/>
      <c r="F437" s="6"/>
    </row>
    <row r="438" spans="1:6">
      <c r="A438" s="1"/>
      <c r="D438" s="1"/>
      <c r="F438" s="6"/>
    </row>
    <row r="439" spans="1:6">
      <c r="A439" s="1"/>
      <c r="D439" s="1"/>
      <c r="F439" s="6"/>
    </row>
    <row r="440" spans="1:6">
      <c r="A440" s="1"/>
      <c r="D440" s="1"/>
      <c r="F440" s="6"/>
    </row>
    <row r="441" spans="1:6">
      <c r="A441" s="1"/>
      <c r="D441" s="1"/>
      <c r="F441" s="6"/>
    </row>
    <row r="442" spans="1:6">
      <c r="A442" s="1"/>
      <c r="D442" s="1"/>
      <c r="F442" s="6"/>
    </row>
    <row r="443" spans="1:6">
      <c r="A443" s="1"/>
      <c r="D443" s="1"/>
      <c r="F443" s="6"/>
    </row>
    <row r="444" spans="1:6">
      <c r="A444" s="1"/>
      <c r="D444" s="1"/>
      <c r="F444" s="6"/>
    </row>
    <row r="445" spans="1:6">
      <c r="A445" s="1"/>
      <c r="D445" s="1"/>
      <c r="F445" s="6"/>
    </row>
    <row r="446" spans="1:6">
      <c r="A446" s="1"/>
      <c r="D446" s="1"/>
      <c r="F446" s="6"/>
    </row>
    <row r="447" spans="1:6">
      <c r="A447" s="1"/>
      <c r="D447" s="1"/>
      <c r="F447" s="6"/>
    </row>
    <row r="448" spans="1:6">
      <c r="A448" s="1"/>
      <c r="D448" s="1"/>
      <c r="F448" s="6"/>
    </row>
    <row r="449" spans="1:6">
      <c r="A449" s="1"/>
      <c r="D449" s="1"/>
      <c r="F449" s="6"/>
    </row>
    <row r="450" spans="1:6">
      <c r="A450" s="1"/>
      <c r="D450" s="1"/>
      <c r="F450" s="6"/>
    </row>
    <row r="451" spans="1:6">
      <c r="A451" s="1"/>
      <c r="D451" s="1"/>
      <c r="F451" s="6"/>
    </row>
    <row r="452" spans="1:6">
      <c r="A452" s="1"/>
      <c r="D452" s="1"/>
      <c r="F452" s="6"/>
    </row>
    <row r="453" spans="1:6">
      <c r="A453" s="1"/>
      <c r="D453" s="1"/>
      <c r="F453" s="6"/>
    </row>
    <row r="454" spans="1:6">
      <c r="A454" s="1"/>
      <c r="D454" s="1"/>
      <c r="F454" s="6"/>
    </row>
    <row r="455" spans="1:6">
      <c r="A455" s="1"/>
      <c r="D455" s="1"/>
      <c r="F455" s="6"/>
    </row>
    <row r="456" spans="1:6">
      <c r="A456" s="1"/>
      <c r="D456" s="1"/>
      <c r="F456" s="6"/>
    </row>
    <row r="457" spans="1:6">
      <c r="A457" s="1"/>
      <c r="D457" s="1"/>
      <c r="F457" s="6"/>
    </row>
    <row r="458" spans="1:6">
      <c r="A458" s="1"/>
      <c r="D458" s="1"/>
      <c r="F458" s="6"/>
    </row>
    <row r="459" spans="1:6">
      <c r="A459" s="1"/>
      <c r="D459" s="1"/>
      <c r="F459" s="6"/>
    </row>
    <row r="460" spans="1:6">
      <c r="A460" s="1"/>
      <c r="D460" s="1"/>
      <c r="F460" s="6"/>
    </row>
    <row r="461" spans="1:6">
      <c r="A461" s="1"/>
      <c r="D461" s="1"/>
      <c r="F461" s="6"/>
    </row>
    <row r="462" spans="1:6">
      <c r="A462" s="1"/>
      <c r="D462" s="1"/>
      <c r="F462" s="6"/>
    </row>
    <row r="463" spans="1:6">
      <c r="A463" s="1"/>
      <c r="D463" s="1"/>
      <c r="F463" s="6"/>
    </row>
    <row r="464" spans="1:6">
      <c r="A464" s="1"/>
      <c r="D464" s="1"/>
      <c r="F464" s="6"/>
    </row>
    <row r="465" spans="1:6">
      <c r="A465" s="1"/>
      <c r="D465" s="1"/>
      <c r="F465" s="6"/>
    </row>
    <row r="466" spans="1:6">
      <c r="A466" s="1"/>
      <c r="D466" s="1"/>
      <c r="F466" s="6"/>
    </row>
    <row r="467" spans="1:6">
      <c r="A467" s="1"/>
      <c r="D467" s="1"/>
      <c r="F467" s="6"/>
    </row>
    <row r="468" spans="1:6">
      <c r="A468" s="1"/>
      <c r="D468" s="1"/>
      <c r="F468" s="6"/>
    </row>
    <row r="469" spans="1:6">
      <c r="A469" s="1"/>
      <c r="D469" s="1"/>
      <c r="F469" s="6"/>
    </row>
    <row r="470" spans="1:6">
      <c r="A470" s="1"/>
      <c r="D470" s="1"/>
      <c r="F470" s="6"/>
    </row>
    <row r="471" spans="1:6">
      <c r="A471" s="1"/>
      <c r="D471" s="1"/>
      <c r="F471" s="6"/>
    </row>
    <row r="472" spans="1:6">
      <c r="A472" s="1"/>
      <c r="D472" s="1"/>
      <c r="F472" s="6"/>
    </row>
    <row r="473" spans="1:6">
      <c r="A473" s="1"/>
      <c r="D473" s="1"/>
      <c r="F473" s="6"/>
    </row>
    <row r="474" spans="1:6">
      <c r="A474" s="1"/>
      <c r="D474" s="1"/>
      <c r="F474" s="6"/>
    </row>
    <row r="475" spans="1:6">
      <c r="A475" s="1"/>
      <c r="D475" s="1"/>
      <c r="F475" s="6"/>
    </row>
    <row r="476" spans="1:6">
      <c r="A476" s="1"/>
      <c r="D476" s="1"/>
      <c r="F476" s="6"/>
    </row>
    <row r="477" spans="1:6">
      <c r="A477" s="1"/>
      <c r="D477" s="1"/>
      <c r="F477" s="6"/>
    </row>
    <row r="478" spans="1:6">
      <c r="A478" s="1"/>
      <c r="D478" s="1"/>
      <c r="F478" s="6"/>
    </row>
    <row r="479" spans="1:6">
      <c r="A479" s="1"/>
      <c r="D479" s="1"/>
      <c r="F479" s="6"/>
    </row>
    <row r="480" spans="1:6">
      <c r="A480" s="1"/>
      <c r="D480" s="1"/>
      <c r="F480" s="6"/>
    </row>
    <row r="481" spans="1:6">
      <c r="A481" s="1"/>
      <c r="D481" s="1"/>
      <c r="F481" s="6"/>
    </row>
    <row r="482" spans="1:6">
      <c r="A482" s="1"/>
      <c r="D482" s="1"/>
      <c r="F482" s="6"/>
    </row>
    <row r="483" spans="1:6">
      <c r="A483" s="1"/>
      <c r="D483" s="1"/>
      <c r="F483" s="6"/>
    </row>
    <row r="484" spans="1:6">
      <c r="A484" s="1"/>
      <c r="D484" s="1"/>
      <c r="F484" s="6"/>
    </row>
    <row r="485" spans="1:6">
      <c r="A485" s="1"/>
      <c r="D485" s="1"/>
      <c r="F485" s="6"/>
    </row>
    <row r="486" spans="1:6">
      <c r="A486" s="1"/>
      <c r="D486" s="1"/>
      <c r="F486" s="6"/>
    </row>
    <row r="487" spans="1:6">
      <c r="A487" s="1"/>
      <c r="D487" s="1"/>
      <c r="F487" s="6"/>
    </row>
    <row r="488" spans="1:6">
      <c r="A488" s="1"/>
      <c r="D488" s="1"/>
      <c r="F488" s="6"/>
    </row>
    <row r="489" spans="1:6">
      <c r="A489" s="1"/>
      <c r="D489" s="1"/>
      <c r="F489" s="6"/>
    </row>
    <row r="490" spans="1:6">
      <c r="A490" s="1"/>
      <c r="D490" s="1"/>
      <c r="F490" s="6"/>
    </row>
    <row r="491" spans="1:6">
      <c r="A491" s="1"/>
      <c r="D491" s="1"/>
      <c r="F491" s="6"/>
    </row>
    <row r="492" spans="1:6">
      <c r="A492" s="1"/>
      <c r="D492" s="1"/>
      <c r="F492" s="6"/>
    </row>
    <row r="493" spans="1:6">
      <c r="A493" s="1"/>
      <c r="D493" s="1"/>
      <c r="F493" s="6"/>
    </row>
    <row r="494" spans="1:6">
      <c r="A494" s="1"/>
      <c r="D494" s="1"/>
      <c r="F494" s="6"/>
    </row>
    <row r="495" spans="1:6">
      <c r="A495" s="1"/>
      <c r="D495" s="1"/>
      <c r="F495" s="6"/>
    </row>
    <row r="496" spans="1:6">
      <c r="A496" s="1"/>
      <c r="D496" s="1"/>
      <c r="F496" s="6"/>
    </row>
    <row r="497" spans="1:6">
      <c r="A497" s="1"/>
      <c r="D497" s="1"/>
      <c r="F497" s="6"/>
    </row>
    <row r="498" spans="1:6">
      <c r="A498" s="1"/>
      <c r="D498" s="1"/>
      <c r="F498" s="6"/>
    </row>
    <row r="499" spans="1:6">
      <c r="A499" s="1"/>
      <c r="D499" s="1"/>
      <c r="F499" s="6"/>
    </row>
    <row r="500" spans="1:6">
      <c r="A500" s="1"/>
      <c r="D500" s="1"/>
      <c r="F500" s="6"/>
    </row>
    <row r="501" spans="1:6">
      <c r="A501" s="1"/>
      <c r="D501" s="1"/>
      <c r="F501" s="6"/>
    </row>
    <row r="502" spans="1:6">
      <c r="A502" s="1"/>
      <c r="D502" s="1"/>
      <c r="F502" s="6"/>
    </row>
    <row r="503" spans="1:6">
      <c r="A503" s="1"/>
      <c r="D503" s="1"/>
      <c r="F503" s="6"/>
    </row>
    <row r="504" spans="1:6">
      <c r="A504" s="1"/>
      <c r="D504" s="1"/>
      <c r="F504" s="6"/>
    </row>
    <row r="505" spans="1:6">
      <c r="A505" s="1"/>
      <c r="D505" s="1"/>
      <c r="F505" s="6"/>
    </row>
    <row r="506" spans="1:6">
      <c r="A506" s="1"/>
      <c r="D506" s="1"/>
      <c r="F506" s="6"/>
    </row>
    <row r="507" spans="1:6">
      <c r="A507" s="1"/>
      <c r="D507" s="1"/>
      <c r="F507" s="6"/>
    </row>
    <row r="508" spans="1:6">
      <c r="A508" s="1"/>
      <c r="D508" s="1"/>
      <c r="F508" s="6"/>
    </row>
    <row r="509" spans="1:6">
      <c r="A509" s="1"/>
      <c r="D509" s="1"/>
      <c r="F509" s="6"/>
    </row>
    <row r="510" spans="1:6">
      <c r="A510" s="1"/>
      <c r="D510" s="1"/>
      <c r="F510" s="6"/>
    </row>
    <row r="511" spans="1:6">
      <c r="A511" s="1"/>
      <c r="D511" s="1"/>
      <c r="F511" s="6"/>
    </row>
    <row r="512" spans="1:6">
      <c r="A512" s="1"/>
      <c r="D512" s="1"/>
      <c r="F512" s="6"/>
    </row>
    <row r="513" spans="1:6">
      <c r="A513" s="1"/>
      <c r="D513" s="1"/>
      <c r="F513" s="6"/>
    </row>
    <row r="514" spans="1:6">
      <c r="A514" s="1"/>
      <c r="D514" s="1"/>
      <c r="F514" s="6"/>
    </row>
    <row r="515" spans="1:6">
      <c r="A515" s="1"/>
      <c r="D515" s="1"/>
      <c r="F515" s="6"/>
    </row>
    <row r="516" spans="1:6">
      <c r="A516" s="1"/>
      <c r="D516" s="1"/>
      <c r="F516" s="6"/>
    </row>
    <row r="517" spans="1:6">
      <c r="A517" s="1"/>
      <c r="D517" s="1"/>
      <c r="F517" s="6"/>
    </row>
    <row r="518" spans="1:6">
      <c r="A518" s="1"/>
      <c r="D518" s="1"/>
      <c r="F518" s="6"/>
    </row>
    <row r="519" spans="1:6">
      <c r="A519" s="1"/>
      <c r="D519" s="1"/>
      <c r="F519" s="6"/>
    </row>
    <row r="520" spans="1:6">
      <c r="A520" s="1"/>
      <c r="D520" s="1"/>
      <c r="F520" s="6"/>
    </row>
    <row r="521" spans="1:6">
      <c r="A521" s="1"/>
      <c r="D521" s="1"/>
      <c r="F521" s="6"/>
    </row>
    <row r="522" spans="1:6">
      <c r="A522" s="1"/>
      <c r="D522" s="1"/>
      <c r="F522" s="6"/>
    </row>
    <row r="523" spans="1:6">
      <c r="A523" s="1"/>
      <c r="D523" s="1"/>
      <c r="F523" s="6"/>
    </row>
    <row r="524" spans="1:6">
      <c r="A524" s="1"/>
      <c r="D524" s="1"/>
      <c r="F524" s="6"/>
    </row>
    <row r="525" spans="1:6">
      <c r="A525" s="1"/>
      <c r="D525" s="1"/>
      <c r="F525" s="6"/>
    </row>
    <row r="526" spans="1:6">
      <c r="A526" s="1"/>
      <c r="D526" s="1"/>
      <c r="F526" s="6"/>
    </row>
    <row r="527" spans="1:6">
      <c r="A527" s="1"/>
      <c r="D527" s="1"/>
      <c r="F527" s="6"/>
    </row>
    <row r="528" spans="1:6">
      <c r="A528" s="1"/>
      <c r="D528" s="1"/>
      <c r="F528" s="6"/>
    </row>
    <row r="529" spans="1:6">
      <c r="A529" s="1"/>
      <c r="D529" s="1"/>
      <c r="F529" s="6"/>
    </row>
    <row r="530" spans="1:6">
      <c r="A530" s="1"/>
      <c r="D530" s="1"/>
      <c r="F530" s="6"/>
    </row>
    <row r="531" spans="1:6">
      <c r="A531" s="1"/>
      <c r="D531" s="1"/>
      <c r="F531" s="6"/>
    </row>
    <row r="532" spans="1:6">
      <c r="A532" s="1"/>
      <c r="D532" s="1"/>
      <c r="F532" s="6"/>
    </row>
    <row r="533" spans="1:6">
      <c r="A533" s="1"/>
      <c r="D533" s="1"/>
      <c r="F533" s="6"/>
    </row>
    <row r="534" spans="1:6">
      <c r="A534" s="1"/>
      <c r="D534" s="1"/>
      <c r="F534" s="6"/>
    </row>
    <row r="535" spans="1:6">
      <c r="A535" s="1"/>
      <c r="D535" s="1"/>
      <c r="F535" s="6"/>
    </row>
    <row r="536" spans="1:6">
      <c r="A536" s="1"/>
      <c r="D536" s="1"/>
      <c r="F536" s="6"/>
    </row>
    <row r="537" spans="1:6">
      <c r="A537" s="1"/>
      <c r="D537" s="1"/>
      <c r="F537" s="6"/>
    </row>
    <row r="538" spans="1:6">
      <c r="A538" s="1"/>
      <c r="D538" s="1"/>
      <c r="F538" s="6"/>
    </row>
    <row r="539" spans="1:6">
      <c r="A539" s="1"/>
      <c r="D539" s="1"/>
      <c r="F539" s="6"/>
    </row>
    <row r="540" spans="1:6">
      <c r="A540" s="1"/>
      <c r="D540" s="1"/>
      <c r="F540" s="6"/>
    </row>
    <row r="541" spans="1:6">
      <c r="A541" s="1"/>
      <c r="D541" s="1"/>
      <c r="F541" s="6"/>
    </row>
    <row r="542" spans="1:6">
      <c r="A542" s="1"/>
      <c r="D542" s="1"/>
      <c r="F542" s="6"/>
    </row>
    <row r="543" spans="1:6">
      <c r="A543" s="1"/>
      <c r="D543" s="1"/>
      <c r="F543" s="6"/>
    </row>
    <row r="544" spans="1:6">
      <c r="A544" s="1"/>
      <c r="D544" s="1"/>
      <c r="F544" s="6"/>
    </row>
    <row r="545" spans="1:6">
      <c r="A545" s="1"/>
      <c r="D545" s="1"/>
      <c r="F545" s="6"/>
    </row>
    <row r="546" spans="1:6">
      <c r="A546" s="1"/>
      <c r="D546" s="1"/>
      <c r="F546" s="6"/>
    </row>
    <row r="547" spans="1:6">
      <c r="A547" s="1"/>
      <c r="D547" s="1"/>
      <c r="F547" s="6"/>
    </row>
    <row r="548" spans="1:6">
      <c r="A548" s="1"/>
      <c r="D548" s="1"/>
      <c r="F548" s="6"/>
    </row>
    <row r="549" spans="1:6">
      <c r="A549" s="1"/>
      <c r="D549" s="1"/>
      <c r="F549" s="6"/>
    </row>
    <row r="550" spans="1:6">
      <c r="A550" s="1"/>
      <c r="D550" s="1"/>
      <c r="F550" s="6"/>
    </row>
    <row r="551" spans="1:6">
      <c r="A551" s="1"/>
      <c r="D551" s="1"/>
      <c r="F551" s="6"/>
    </row>
    <row r="552" spans="1:6">
      <c r="A552" s="1"/>
      <c r="D552" s="1"/>
      <c r="F552" s="6"/>
    </row>
    <row r="553" spans="1:6">
      <c r="A553" s="1"/>
      <c r="D553" s="1"/>
      <c r="F553" s="6"/>
    </row>
    <row r="554" spans="1:6">
      <c r="A554" s="1"/>
      <c r="D554" s="1"/>
      <c r="F554" s="6"/>
    </row>
    <row r="555" spans="1:6">
      <c r="A555" s="1"/>
      <c r="D555" s="1"/>
      <c r="F555" s="6"/>
    </row>
    <row r="556" spans="1:6">
      <c r="A556" s="1"/>
      <c r="D556" s="1"/>
      <c r="F556" s="6"/>
    </row>
    <row r="557" spans="1:6">
      <c r="A557" s="1"/>
      <c r="D557" s="1"/>
      <c r="F557" s="6"/>
    </row>
    <row r="558" spans="1:6">
      <c r="A558" s="1"/>
      <c r="D558" s="1"/>
      <c r="F558" s="6"/>
    </row>
    <row r="559" spans="1:6">
      <c r="A559" s="1"/>
      <c r="D559" s="1"/>
      <c r="F559" s="6"/>
    </row>
    <row r="560" spans="1:6">
      <c r="A560" s="1"/>
      <c r="D560" s="1"/>
      <c r="F560" s="6"/>
    </row>
    <row r="561" spans="1:6">
      <c r="A561" s="1"/>
      <c r="D561" s="1"/>
      <c r="F561" s="6"/>
    </row>
    <row r="562" spans="1:6">
      <c r="A562" s="1"/>
      <c r="D562" s="1"/>
      <c r="F562" s="6"/>
    </row>
    <row r="563" spans="1:6">
      <c r="A563" s="1"/>
      <c r="D563" s="1"/>
      <c r="F563" s="6"/>
    </row>
    <row r="564" spans="1:6">
      <c r="A564" s="1"/>
      <c r="D564" s="1"/>
      <c r="F564" s="6"/>
    </row>
    <row r="565" spans="1:6">
      <c r="A565" s="1"/>
      <c r="D565" s="1"/>
      <c r="F565" s="6"/>
    </row>
    <row r="566" spans="1:6">
      <c r="A566" s="1"/>
      <c r="D566" s="1"/>
      <c r="F566" s="6"/>
    </row>
    <row r="567" spans="1:6">
      <c r="A567" s="1"/>
      <c r="D567" s="1"/>
      <c r="F567" s="6"/>
    </row>
    <row r="568" spans="1:6">
      <c r="A568" s="1"/>
      <c r="D568" s="1"/>
      <c r="F568" s="6"/>
    </row>
    <row r="569" spans="1:6">
      <c r="A569" s="1"/>
      <c r="D569" s="1"/>
      <c r="F569" s="6"/>
    </row>
    <row r="570" spans="1:6">
      <c r="A570" s="1"/>
      <c r="D570" s="1"/>
      <c r="F570" s="6"/>
    </row>
    <row r="571" spans="1:6">
      <c r="A571" s="1"/>
      <c r="D571" s="1"/>
      <c r="F571" s="6"/>
    </row>
    <row r="572" spans="1:6">
      <c r="A572" s="1"/>
      <c r="D572" s="1"/>
      <c r="F572" s="6"/>
    </row>
    <row r="573" spans="1:6">
      <c r="A573" s="1"/>
      <c r="D573" s="1"/>
      <c r="F573" s="6"/>
    </row>
    <row r="574" spans="1:6">
      <c r="A574" s="1"/>
      <c r="D574" s="1"/>
      <c r="F574" s="6"/>
    </row>
    <row r="575" spans="1:6">
      <c r="A575" s="1"/>
      <c r="D575" s="1"/>
      <c r="F575" s="6"/>
    </row>
    <row r="576" spans="1:6">
      <c r="A576" s="1"/>
      <c r="D576" s="1"/>
      <c r="F576" s="6"/>
    </row>
    <row r="577" spans="1:6">
      <c r="A577" s="1"/>
      <c r="D577" s="1"/>
      <c r="F577" s="6"/>
    </row>
    <row r="578" spans="1:6">
      <c r="A578" s="1"/>
      <c r="D578" s="1"/>
      <c r="F578" s="6"/>
    </row>
    <row r="579" spans="1:6">
      <c r="A579" s="1"/>
      <c r="D579" s="1"/>
      <c r="F579" s="6"/>
    </row>
    <row r="580" spans="1:6">
      <c r="A580" s="1"/>
      <c r="D580" s="1"/>
      <c r="F580" s="6"/>
    </row>
    <row r="581" spans="1:6">
      <c r="A581" s="1"/>
      <c r="D581" s="1"/>
      <c r="F581" s="6"/>
    </row>
    <row r="582" spans="1:6">
      <c r="A582" s="1"/>
      <c r="D582" s="1"/>
      <c r="F582" s="6"/>
    </row>
    <row r="583" spans="1:6">
      <c r="A583" s="1"/>
      <c r="D583" s="1"/>
      <c r="F583" s="6"/>
    </row>
    <row r="584" spans="1:6">
      <c r="A584" s="1"/>
      <c r="D584" s="1"/>
      <c r="F584" s="6"/>
    </row>
    <row r="585" spans="1:6">
      <c r="A585" s="1"/>
      <c r="D585" s="1"/>
      <c r="F585" s="6"/>
    </row>
    <row r="586" spans="1:6">
      <c r="A586" s="1"/>
      <c r="D586" s="1"/>
      <c r="F586" s="6"/>
    </row>
    <row r="587" spans="1:6">
      <c r="A587" s="1"/>
      <c r="D587" s="1"/>
      <c r="F587" s="6"/>
    </row>
    <row r="588" spans="1:6">
      <c r="A588" s="1"/>
      <c r="D588" s="1"/>
      <c r="F588" s="6"/>
    </row>
    <row r="589" spans="1:6">
      <c r="A589" s="1"/>
      <c r="D589" s="1"/>
      <c r="F589" s="6"/>
    </row>
    <row r="590" spans="1:6">
      <c r="A590" s="1"/>
      <c r="D590" s="1"/>
      <c r="F590" s="6"/>
    </row>
    <row r="591" spans="1:6">
      <c r="A591" s="1"/>
      <c r="D591" s="1"/>
      <c r="F591" s="6"/>
    </row>
    <row r="592" spans="1:6">
      <c r="A592" s="1"/>
      <c r="D592" s="1"/>
      <c r="F592" s="6"/>
    </row>
    <row r="593" spans="1:6">
      <c r="A593" s="1"/>
      <c r="D593" s="1"/>
      <c r="F593" s="6"/>
    </row>
    <row r="594" spans="1:6">
      <c r="A594" s="1"/>
      <c r="D594" s="1"/>
      <c r="F594" s="6"/>
    </row>
    <row r="595" spans="1:6">
      <c r="A595" s="1"/>
      <c r="D595" s="1"/>
      <c r="F595" s="6"/>
    </row>
    <row r="596" spans="1:6">
      <c r="A596" s="1"/>
      <c r="D596" s="1"/>
      <c r="F596" s="6"/>
    </row>
    <row r="597" spans="1:6">
      <c r="A597" s="1"/>
      <c r="D597" s="1"/>
      <c r="F597" s="6"/>
    </row>
    <row r="598" spans="1:6">
      <c r="A598" s="1"/>
      <c r="D598" s="1"/>
      <c r="F598" s="6"/>
    </row>
    <row r="599" spans="1:6">
      <c r="A599" s="1"/>
      <c r="D599" s="1"/>
      <c r="F599" s="6"/>
    </row>
    <row r="600" spans="1:6">
      <c r="A600" s="1"/>
      <c r="D600" s="1"/>
      <c r="F600" s="6"/>
    </row>
    <row r="601" spans="1:6">
      <c r="A601" s="1"/>
      <c r="D601" s="1"/>
      <c r="F601" s="6"/>
    </row>
    <row r="602" spans="1:6">
      <c r="A602" s="1"/>
      <c r="D602" s="1"/>
      <c r="F602" s="6"/>
    </row>
    <row r="603" spans="1:6">
      <c r="A603" s="1"/>
      <c r="D603" s="1"/>
      <c r="F603" s="6"/>
    </row>
    <row r="604" spans="1:6">
      <c r="A604" s="1"/>
      <c r="D604" s="1"/>
      <c r="F604" s="6"/>
    </row>
    <row r="605" spans="1:6">
      <c r="A605" s="1"/>
      <c r="D605" s="1"/>
      <c r="F605" s="6"/>
    </row>
    <row r="606" spans="1:6">
      <c r="A606" s="1"/>
      <c r="D606" s="1"/>
      <c r="F606" s="6"/>
    </row>
    <row r="607" spans="1:6">
      <c r="A607" s="1"/>
      <c r="D607" s="1"/>
      <c r="F607" s="6"/>
    </row>
    <row r="608" spans="1:6">
      <c r="A608" s="1"/>
      <c r="D608" s="1"/>
      <c r="F608" s="6"/>
    </row>
    <row r="609" spans="1:6">
      <c r="A609" s="1"/>
      <c r="D609" s="1"/>
      <c r="F609" s="6"/>
    </row>
    <row r="610" spans="1:6">
      <c r="A610" s="1"/>
      <c r="D610" s="1"/>
      <c r="F610" s="6"/>
    </row>
    <row r="611" spans="1:6">
      <c r="A611" s="1"/>
      <c r="D611" s="1"/>
      <c r="F611" s="6"/>
    </row>
    <row r="612" spans="1:6">
      <c r="A612" s="1"/>
      <c r="D612" s="1"/>
      <c r="F612" s="6"/>
    </row>
    <row r="613" spans="1:6">
      <c r="A613" s="1"/>
      <c r="D613" s="1"/>
      <c r="F613" s="6"/>
    </row>
    <row r="614" spans="1:6">
      <c r="A614" s="1"/>
      <c r="D614" s="1"/>
      <c r="F614" s="6"/>
    </row>
    <row r="615" spans="1:6">
      <c r="A615" s="1"/>
      <c r="D615" s="1"/>
      <c r="F615" s="6"/>
    </row>
    <row r="616" spans="1:6">
      <c r="A616" s="1"/>
      <c r="D616" s="1"/>
      <c r="F616" s="6"/>
    </row>
    <row r="617" spans="1:6">
      <c r="A617" s="1"/>
      <c r="D617" s="1"/>
      <c r="F617" s="6"/>
    </row>
    <row r="618" spans="1:6">
      <c r="A618" s="1"/>
      <c r="D618" s="1"/>
      <c r="F618" s="6"/>
    </row>
    <row r="619" spans="1:6">
      <c r="A619" s="1"/>
      <c r="D619" s="1"/>
      <c r="F619" s="6"/>
    </row>
    <row r="620" spans="1:6">
      <c r="A620" s="1"/>
      <c r="D620" s="1"/>
      <c r="F620" s="6"/>
    </row>
    <row r="621" spans="1:6">
      <c r="A621" s="1"/>
      <c r="D621" s="1"/>
      <c r="F621" s="6"/>
    </row>
    <row r="622" spans="1:6">
      <c r="A622" s="1"/>
      <c r="D622" s="1"/>
      <c r="F622" s="6"/>
    </row>
    <row r="623" spans="1:6">
      <c r="A623" s="1"/>
      <c r="D623" s="1"/>
      <c r="F623" s="6"/>
    </row>
    <row r="624" spans="1:6">
      <c r="A624" s="1"/>
      <c r="D624" s="1"/>
      <c r="F624" s="6"/>
    </row>
    <row r="625" spans="1:6">
      <c r="A625" s="1"/>
      <c r="D625" s="1"/>
      <c r="F625" s="6"/>
    </row>
    <row r="626" spans="1:6">
      <c r="A626" s="1"/>
      <c r="D626" s="1"/>
      <c r="F626" s="6"/>
    </row>
    <row r="627" spans="1:6">
      <c r="A627" s="1"/>
      <c r="D627" s="1"/>
      <c r="F627" s="6"/>
    </row>
    <row r="628" spans="1:6">
      <c r="A628" s="1"/>
      <c r="D628" s="1"/>
      <c r="F628" s="6"/>
    </row>
    <row r="629" spans="1:6">
      <c r="A629" s="1"/>
      <c r="D629" s="1"/>
      <c r="F629" s="6"/>
    </row>
    <row r="630" spans="1:6">
      <c r="A630" s="1"/>
      <c r="D630" s="1"/>
      <c r="F630" s="6"/>
    </row>
    <row r="631" spans="1:6">
      <c r="A631" s="1"/>
      <c r="D631" s="1"/>
      <c r="F631" s="6"/>
    </row>
    <row r="632" spans="1:6">
      <c r="A632" s="1"/>
      <c r="D632" s="1"/>
      <c r="F632" s="6"/>
    </row>
    <row r="633" spans="1:6">
      <c r="A633" s="1"/>
      <c r="D633" s="1"/>
      <c r="F633" s="6"/>
    </row>
    <row r="634" spans="1:6">
      <c r="A634" s="1"/>
      <c r="D634" s="1"/>
      <c r="F634" s="6"/>
    </row>
    <row r="635" spans="1:6">
      <c r="A635" s="1"/>
      <c r="D635" s="1"/>
      <c r="F635" s="6"/>
    </row>
    <row r="636" spans="1:6">
      <c r="A636" s="1"/>
      <c r="D636" s="1"/>
      <c r="F636" s="6"/>
    </row>
    <row r="637" spans="1:6">
      <c r="A637" s="1"/>
      <c r="D637" s="1"/>
      <c r="F637" s="6"/>
    </row>
    <row r="638" spans="1:6">
      <c r="A638" s="1"/>
      <c r="D638" s="1"/>
      <c r="F638" s="6"/>
    </row>
    <row r="639" spans="1:6">
      <c r="A639" s="1"/>
      <c r="D639" s="1"/>
      <c r="F639" s="6"/>
    </row>
    <row r="640" spans="1:6">
      <c r="A640" s="1"/>
      <c r="D640" s="1"/>
      <c r="F640" s="6"/>
    </row>
    <row r="641" spans="1:6">
      <c r="A641" s="1"/>
      <c r="D641" s="1"/>
      <c r="F641" s="6"/>
    </row>
    <row r="642" spans="1:6">
      <c r="A642" s="1"/>
      <c r="D642" s="1"/>
      <c r="F642" s="6"/>
    </row>
    <row r="643" spans="1:6">
      <c r="A643" s="1"/>
      <c r="D643" s="1"/>
      <c r="F643" s="6"/>
    </row>
    <row r="644" spans="1:6">
      <c r="A644" s="1"/>
      <c r="D644" s="1"/>
      <c r="F644" s="6"/>
    </row>
    <row r="645" spans="1:6">
      <c r="A645" s="1"/>
      <c r="D645" s="1"/>
      <c r="F645" s="6"/>
    </row>
    <row r="646" spans="1:6">
      <c r="A646" s="1"/>
      <c r="D646" s="1"/>
      <c r="F646" s="6"/>
    </row>
    <row r="647" spans="1:6">
      <c r="A647" s="1"/>
      <c r="D647" s="1"/>
      <c r="F647" s="6"/>
    </row>
    <row r="648" spans="1:6">
      <c r="A648" s="1"/>
      <c r="D648" s="1"/>
      <c r="F648" s="6"/>
    </row>
    <row r="649" spans="1:6">
      <c r="A649" s="1"/>
      <c r="D649" s="1"/>
      <c r="F649" s="6"/>
    </row>
    <row r="650" spans="1:6">
      <c r="A650" s="1"/>
      <c r="D650" s="1"/>
      <c r="F650" s="6"/>
    </row>
    <row r="651" spans="1:6">
      <c r="A651" s="1"/>
      <c r="D651" s="1"/>
      <c r="F651" s="6"/>
    </row>
    <row r="652" spans="1:6">
      <c r="A652" s="1"/>
      <c r="D652" s="1"/>
      <c r="F652" s="6"/>
    </row>
    <row r="653" spans="1:6">
      <c r="A653" s="1"/>
      <c r="D653" s="1"/>
      <c r="F653" s="6"/>
    </row>
    <row r="654" spans="1:6">
      <c r="A654" s="1"/>
      <c r="D654" s="1"/>
      <c r="F654" s="6"/>
    </row>
    <row r="655" spans="1:6">
      <c r="A655" s="1"/>
      <c r="D655" s="1"/>
      <c r="F655" s="6"/>
    </row>
    <row r="656" spans="1:6">
      <c r="A656" s="1"/>
      <c r="D656" s="1"/>
      <c r="F656" s="6"/>
    </row>
    <row r="657" spans="1:6">
      <c r="A657" s="1"/>
      <c r="D657" s="1"/>
      <c r="F657" s="6"/>
    </row>
    <row r="658" spans="1:6">
      <c r="A658" s="1"/>
      <c r="D658" s="1"/>
      <c r="F658" s="6"/>
    </row>
    <row r="659" spans="1:6">
      <c r="A659" s="1"/>
      <c r="D659" s="1"/>
      <c r="F659" s="6"/>
    </row>
    <row r="660" spans="1:6">
      <c r="A660" s="1"/>
      <c r="D660" s="1"/>
      <c r="F660" s="6"/>
    </row>
    <row r="661" spans="1:6">
      <c r="A661" s="1"/>
      <c r="D661" s="1"/>
      <c r="F661" s="6"/>
    </row>
    <row r="662" spans="1:6">
      <c r="A662" s="1"/>
      <c r="D662" s="1"/>
      <c r="F662" s="6"/>
    </row>
    <row r="663" spans="1:6">
      <c r="A663" s="1"/>
      <c r="D663" s="1"/>
      <c r="F663" s="6"/>
    </row>
    <row r="664" spans="1:6">
      <c r="A664" s="1"/>
      <c r="D664" s="1"/>
      <c r="F664" s="6"/>
    </row>
    <row r="665" spans="1:6">
      <c r="A665" s="1"/>
      <c r="D665" s="1"/>
      <c r="F665" s="6"/>
    </row>
    <row r="666" spans="1:6">
      <c r="A666" s="1"/>
      <c r="D666" s="1"/>
      <c r="F666" s="6"/>
    </row>
    <row r="667" spans="1:6">
      <c r="A667" s="1"/>
      <c r="D667" s="1"/>
      <c r="F667" s="6"/>
    </row>
    <row r="668" spans="1:6">
      <c r="A668" s="1"/>
      <c r="D668" s="1"/>
      <c r="F668" s="6"/>
    </row>
    <row r="669" spans="1:6">
      <c r="A669" s="1"/>
      <c r="D669" s="1"/>
      <c r="F669" s="6"/>
    </row>
    <row r="670" spans="1:6">
      <c r="A670" s="1"/>
      <c r="D670" s="1"/>
      <c r="F670" s="6"/>
    </row>
    <row r="671" spans="1:6">
      <c r="A671" s="1"/>
      <c r="D671" s="1"/>
      <c r="F671" s="6"/>
    </row>
    <row r="672" spans="1:6">
      <c r="A672" s="1"/>
      <c r="D672" s="1"/>
      <c r="F672" s="6"/>
    </row>
    <row r="673" spans="1:4">
      <c r="A673" s="1"/>
      <c r="D673" s="1"/>
    </row>
    <row r="674" spans="1:4">
      <c r="A674" s="1"/>
      <c r="D674" s="1"/>
    </row>
    <row r="675" spans="1:4">
      <c r="A675" s="1"/>
      <c r="D675" s="1"/>
    </row>
    <row r="676" spans="1:4">
      <c r="A676" s="1"/>
      <c r="D676" s="1"/>
    </row>
    <row r="677" spans="1:4">
      <c r="A677" s="1"/>
      <c r="D677" s="1"/>
    </row>
    <row r="678" spans="1:4">
      <c r="A678" s="1"/>
      <c r="D678" s="1"/>
    </row>
    <row r="679" spans="1:4">
      <c r="A679" s="1"/>
      <c r="D679" s="1"/>
    </row>
    <row r="680" spans="1:4">
      <c r="A680" s="1"/>
      <c r="D680" s="1"/>
    </row>
    <row r="681" spans="1:4">
      <c r="A681" s="1"/>
      <c r="D681" s="1"/>
    </row>
    <row r="682" spans="1:4">
      <c r="A682" s="1"/>
      <c r="D682" s="1"/>
    </row>
    <row r="683" spans="1:4">
      <c r="A683" s="1"/>
      <c r="D683" s="1"/>
    </row>
    <row r="684" spans="1:4">
      <c r="A684" s="1"/>
      <c r="D684" s="1"/>
    </row>
    <row r="685" spans="1:4">
      <c r="A685" s="1"/>
      <c r="D685" s="1"/>
    </row>
    <row r="686" spans="1:4">
      <c r="A686" s="1"/>
      <c r="D686" s="1"/>
    </row>
    <row r="687" spans="1:4">
      <c r="A687" s="1"/>
      <c r="D687" s="1"/>
    </row>
    <row r="688" spans="1:4">
      <c r="A688" s="1"/>
      <c r="D688" s="1"/>
    </row>
    <row r="689" spans="1:4">
      <c r="A689" s="1"/>
      <c r="D689" s="1"/>
    </row>
    <row r="690" spans="1:4">
      <c r="A690" s="1"/>
      <c r="D690" s="1"/>
    </row>
    <row r="691" spans="1:4">
      <c r="A691" s="1"/>
      <c r="D691" s="1"/>
    </row>
    <row r="692" spans="1:4">
      <c r="A692" s="1"/>
      <c r="D692" s="1"/>
    </row>
    <row r="693" spans="1:4">
      <c r="A693" s="1"/>
      <c r="D693" s="1"/>
    </row>
    <row r="694" spans="1:4">
      <c r="A694" s="1"/>
      <c r="D694" s="1"/>
    </row>
    <row r="695" spans="1:4">
      <c r="A695" s="1"/>
      <c r="D695" s="1"/>
    </row>
    <row r="696" spans="1:4">
      <c r="A696" s="1"/>
      <c r="D696" s="1"/>
    </row>
    <row r="697" spans="1:4">
      <c r="A697" s="1"/>
      <c r="D697" s="1"/>
    </row>
    <row r="698" spans="1:4">
      <c r="A698" s="1"/>
      <c r="D698" s="1"/>
    </row>
    <row r="699" spans="1:4">
      <c r="A699" s="1"/>
      <c r="D699" s="1"/>
    </row>
    <row r="700" spans="1:4">
      <c r="A700" s="1"/>
      <c r="D700" s="1"/>
    </row>
    <row r="701" spans="1:4">
      <c r="A701" s="1"/>
      <c r="D701" s="1"/>
    </row>
    <row r="702" spans="1:4">
      <c r="A702" s="1"/>
      <c r="D702" s="1"/>
    </row>
    <row r="703" spans="1:4">
      <c r="A703" s="1"/>
      <c r="D703" s="1"/>
    </row>
    <row r="704" spans="1:4">
      <c r="A704" s="1"/>
      <c r="D704" s="1"/>
    </row>
    <row r="705" spans="1:4">
      <c r="A705" s="1"/>
      <c r="D705" s="1"/>
    </row>
    <row r="706" spans="1:4">
      <c r="A706" s="1"/>
      <c r="D706" s="1"/>
    </row>
    <row r="707" spans="1:4">
      <c r="A707" s="1"/>
      <c r="D707" s="1"/>
    </row>
    <row r="708" spans="1:4">
      <c r="A708" s="1"/>
      <c r="D708" s="1"/>
    </row>
    <row r="709" spans="1:4">
      <c r="A709" s="1"/>
      <c r="D709" s="1"/>
    </row>
    <row r="710" spans="1:4">
      <c r="A710" s="1"/>
      <c r="D710" s="1"/>
    </row>
    <row r="711" spans="1:4">
      <c r="A711" s="1"/>
      <c r="D711" s="1"/>
    </row>
    <row r="712" spans="1:4">
      <c r="A712" s="1"/>
      <c r="D712" s="1"/>
    </row>
    <row r="713" spans="1:4">
      <c r="A713" s="1"/>
      <c r="D713" s="1"/>
    </row>
    <row r="714" spans="1:4">
      <c r="A714" s="1"/>
      <c r="D714" s="1"/>
    </row>
    <row r="715" spans="1:4">
      <c r="A715" s="1"/>
      <c r="D715" s="1"/>
    </row>
    <row r="716" spans="1:4">
      <c r="A716" s="1"/>
      <c r="D716" s="1"/>
    </row>
    <row r="717" spans="1:4">
      <c r="A717" s="1"/>
      <c r="D717" s="1"/>
    </row>
    <row r="718" spans="1:4">
      <c r="A718" s="1"/>
      <c r="D718" s="1"/>
    </row>
    <row r="719" spans="1:4">
      <c r="A719" s="1"/>
      <c r="D719" s="1"/>
    </row>
    <row r="720" spans="1:4">
      <c r="A720" s="1"/>
      <c r="D720" s="1"/>
    </row>
    <row r="721" spans="1:4">
      <c r="A721" s="1"/>
      <c r="D721" s="1"/>
    </row>
    <row r="722" spans="1:4">
      <c r="A722" s="1"/>
      <c r="D722" s="1"/>
    </row>
    <row r="723" spans="1:4">
      <c r="A723" s="1"/>
      <c r="D723" s="1"/>
    </row>
    <row r="724" spans="1:4">
      <c r="A724" s="1"/>
      <c r="D724" s="1"/>
    </row>
    <row r="725" spans="1:4">
      <c r="A725" s="1"/>
      <c r="D725" s="1"/>
    </row>
    <row r="726" spans="1:4">
      <c r="A726" s="1"/>
      <c r="D726" s="1"/>
    </row>
    <row r="727" spans="1:4">
      <c r="A727" s="1"/>
      <c r="D727" s="1"/>
    </row>
    <row r="728" spans="1:4">
      <c r="A728" s="1"/>
      <c r="D728" s="1"/>
    </row>
    <row r="729" spans="1:4">
      <c r="A729" s="1"/>
      <c r="D729" s="1"/>
    </row>
    <row r="730" spans="1:4">
      <c r="A730" s="1"/>
      <c r="D730" s="1"/>
    </row>
    <row r="731" spans="1:4">
      <c r="A731" s="1"/>
      <c r="D731" s="1"/>
    </row>
    <row r="732" spans="1:4">
      <c r="A732" s="1"/>
      <c r="D732" s="1"/>
    </row>
    <row r="733" spans="1:4">
      <c r="A733" s="1"/>
      <c r="D733" s="1"/>
    </row>
    <row r="734" spans="1:4">
      <c r="A734" s="1"/>
      <c r="D734" s="1"/>
    </row>
    <row r="735" spans="1:4">
      <c r="A735" s="1"/>
      <c r="D735" s="1"/>
    </row>
    <row r="736" spans="1:4">
      <c r="A736" s="1"/>
      <c r="D736" s="1"/>
    </row>
    <row r="737" spans="1:4">
      <c r="A737" s="1"/>
      <c r="D737" s="1"/>
    </row>
    <row r="738" spans="1:4">
      <c r="A738" s="1"/>
      <c r="D738" s="1"/>
    </row>
    <row r="739" spans="1:4">
      <c r="A739" s="1"/>
      <c r="D739" s="1"/>
    </row>
    <row r="740" spans="1:4">
      <c r="A740" s="1"/>
      <c r="D740" s="1"/>
    </row>
    <row r="741" spans="1:4">
      <c r="A741" s="1"/>
      <c r="D741" s="1"/>
    </row>
    <row r="742" spans="1:4">
      <c r="A742" s="1"/>
      <c r="D742" s="1"/>
    </row>
    <row r="743" spans="1:4">
      <c r="A743" s="1"/>
      <c r="D743" s="1"/>
    </row>
    <row r="744" spans="1:4">
      <c r="A744" s="1"/>
      <c r="D744" s="1"/>
    </row>
    <row r="745" spans="1:4">
      <c r="A745" s="1"/>
      <c r="D745" s="1"/>
    </row>
    <row r="746" spans="1:4">
      <c r="A746" s="1"/>
      <c r="D746" s="1"/>
    </row>
    <row r="747" spans="1:4">
      <c r="A747" s="1"/>
      <c r="D747" s="1"/>
    </row>
    <row r="748" spans="1:4">
      <c r="A748" s="1"/>
      <c r="D748" s="1"/>
    </row>
    <row r="749" spans="1:4">
      <c r="A749" s="1"/>
      <c r="D749" s="1"/>
    </row>
    <row r="750" spans="1:4">
      <c r="A750" s="1"/>
      <c r="D750" s="1"/>
    </row>
    <row r="751" spans="1:4">
      <c r="A751" s="1"/>
      <c r="D751" s="1"/>
    </row>
    <row r="752" spans="1:4">
      <c r="A752" s="1"/>
      <c r="D752" s="1"/>
    </row>
    <row r="753" spans="1:4">
      <c r="A753" s="1"/>
      <c r="D753" s="1"/>
    </row>
    <row r="754" spans="1:4">
      <c r="A754" s="1"/>
      <c r="D754" s="1"/>
    </row>
    <row r="755" spans="1:4">
      <c r="A755" s="1"/>
      <c r="D755" s="1"/>
    </row>
    <row r="756" spans="1:4">
      <c r="A756" s="1"/>
      <c r="D756" s="1"/>
    </row>
    <row r="757" spans="1:4">
      <c r="A757" s="1"/>
      <c r="D757" s="1"/>
    </row>
    <row r="758" spans="1:4">
      <c r="A758" s="1"/>
      <c r="D758" s="1"/>
    </row>
    <row r="759" spans="1:4">
      <c r="A759" s="1"/>
      <c r="D759" s="1"/>
    </row>
    <row r="760" spans="1:4">
      <c r="A760" s="1"/>
      <c r="D760" s="1"/>
    </row>
    <row r="761" spans="1:4">
      <c r="A761" s="1"/>
      <c r="D761" s="1"/>
    </row>
    <row r="762" spans="1:4">
      <c r="A762" s="1"/>
      <c r="D762" s="1"/>
    </row>
    <row r="763" spans="1:4">
      <c r="A763" s="1"/>
      <c r="D763" s="1"/>
    </row>
    <row r="764" spans="1:4">
      <c r="A764" s="1"/>
      <c r="D764" s="1"/>
    </row>
    <row r="765" spans="1:4">
      <c r="A765" s="1"/>
      <c r="D765" s="1"/>
    </row>
    <row r="766" spans="1:4">
      <c r="A766" s="1"/>
      <c r="D766" s="1"/>
    </row>
    <row r="767" spans="1:4">
      <c r="A767" s="1"/>
      <c r="D767" s="1"/>
    </row>
    <row r="768" spans="1:4">
      <c r="A768" s="1"/>
      <c r="D768" s="1"/>
    </row>
    <row r="769" spans="1:4">
      <c r="A769" s="1"/>
      <c r="D769" s="1"/>
    </row>
    <row r="770" spans="1:4">
      <c r="A770" s="1"/>
      <c r="D770" s="1"/>
    </row>
    <row r="771" spans="1:4">
      <c r="A771" s="1"/>
      <c r="D771" s="1"/>
    </row>
    <row r="772" spans="1:4">
      <c r="A772" s="1"/>
      <c r="D772" s="1"/>
    </row>
    <row r="773" spans="1:4">
      <c r="A773" s="1"/>
      <c r="D773" s="1"/>
    </row>
    <row r="774" spans="1:4">
      <c r="A774" s="1"/>
      <c r="D774" s="1"/>
    </row>
    <row r="775" spans="1:4">
      <c r="A775" s="1"/>
      <c r="D775" s="1"/>
    </row>
    <row r="776" spans="1:4">
      <c r="A776" s="1"/>
      <c r="D776" s="1"/>
    </row>
    <row r="777" spans="1:4">
      <c r="A777" s="1"/>
      <c r="D777" s="1"/>
    </row>
    <row r="778" spans="1:4">
      <c r="A778" s="1"/>
      <c r="D778" s="1"/>
    </row>
    <row r="779" spans="1:4">
      <c r="A779" s="1"/>
      <c r="D779" s="1"/>
    </row>
    <row r="780" spans="1:4">
      <c r="A780" s="1"/>
      <c r="D780" s="1"/>
    </row>
    <row r="781" spans="1:4">
      <c r="A781" s="1"/>
      <c r="D781" s="1"/>
    </row>
    <row r="782" spans="1:4">
      <c r="A782" s="1"/>
      <c r="D782" s="1"/>
    </row>
    <row r="783" spans="1:4">
      <c r="A783" s="1"/>
      <c r="D783" s="1"/>
    </row>
    <row r="784" spans="1:4">
      <c r="A784" s="1"/>
      <c r="D784" s="1"/>
    </row>
    <row r="785" spans="1:4">
      <c r="A785" s="1"/>
      <c r="D785" s="1"/>
    </row>
    <row r="786" spans="1:4">
      <c r="A786" s="1"/>
      <c r="D786" s="1"/>
    </row>
    <row r="787" spans="1:4">
      <c r="A787" s="1"/>
      <c r="D787" s="1"/>
    </row>
    <row r="788" spans="1:4">
      <c r="A788" s="1"/>
      <c r="D788" s="1"/>
    </row>
    <row r="789" spans="1:4">
      <c r="A789" s="1"/>
      <c r="D789" s="1"/>
    </row>
    <row r="790" spans="1:4">
      <c r="A790" s="1"/>
      <c r="D790" s="1"/>
    </row>
    <row r="791" spans="1:4">
      <c r="A791" s="1"/>
      <c r="D791" s="1"/>
    </row>
    <row r="792" spans="1:4">
      <c r="A792" s="1"/>
      <c r="D792" s="1"/>
    </row>
    <row r="793" spans="1:4">
      <c r="A793" s="1"/>
      <c r="D793" s="1"/>
    </row>
    <row r="794" spans="1:4">
      <c r="A794" s="1"/>
      <c r="D794" s="1"/>
    </row>
    <row r="795" spans="1:4">
      <c r="A795" s="1"/>
      <c r="D795" s="1"/>
    </row>
    <row r="796" spans="1:4">
      <c r="A796" s="1"/>
      <c r="D796" s="1"/>
    </row>
    <row r="797" spans="1:4">
      <c r="A797" s="1"/>
      <c r="D797" s="1"/>
    </row>
    <row r="798" spans="1:4">
      <c r="A798" s="1"/>
      <c r="D798" s="1"/>
    </row>
    <row r="799" spans="1:4">
      <c r="A799" s="1"/>
      <c r="D799" s="1"/>
    </row>
    <row r="800" spans="1:4">
      <c r="A800" s="1"/>
      <c r="D800" s="1"/>
    </row>
    <row r="801" spans="1:4">
      <c r="A801" s="1"/>
      <c r="D801" s="1"/>
    </row>
    <row r="802" spans="1:4">
      <c r="A802" s="1"/>
      <c r="D802" s="1"/>
    </row>
    <row r="803" spans="1:4">
      <c r="A803" s="1"/>
      <c r="D803" s="1"/>
    </row>
    <row r="804" spans="1:4">
      <c r="A804" s="1"/>
      <c r="D804" s="1"/>
    </row>
    <row r="805" spans="1:4">
      <c r="A805" s="1"/>
      <c r="D805" s="1"/>
    </row>
    <row r="806" spans="1:4">
      <c r="A806" s="1"/>
      <c r="D806" s="1"/>
    </row>
    <row r="807" spans="1:4">
      <c r="A807" s="1"/>
      <c r="D807" s="1"/>
    </row>
    <row r="808" spans="1:4">
      <c r="A808" s="1"/>
      <c r="D808" s="1"/>
    </row>
    <row r="809" spans="1:4">
      <c r="A809" s="1"/>
      <c r="D809" s="1"/>
    </row>
    <row r="810" spans="1:4">
      <c r="A810" s="1"/>
      <c r="D810" s="1"/>
    </row>
    <row r="811" spans="1:4">
      <c r="A811" s="1"/>
      <c r="D811" s="1"/>
    </row>
    <row r="812" spans="1:4">
      <c r="A812" s="1"/>
      <c r="D812" s="1"/>
    </row>
    <row r="813" spans="1:4">
      <c r="A813" s="1"/>
      <c r="D813" s="1"/>
    </row>
    <row r="814" spans="1:4">
      <c r="A814" s="1"/>
      <c r="D814" s="1"/>
    </row>
    <row r="815" spans="1:4">
      <c r="A815" s="1"/>
      <c r="D815" s="1"/>
    </row>
    <row r="816" spans="1:4">
      <c r="A816" s="1"/>
      <c r="D816" s="1"/>
    </row>
    <row r="817" spans="1:4">
      <c r="A817" s="1"/>
      <c r="D817" s="1"/>
    </row>
    <row r="818" spans="1:4">
      <c r="A818" s="1"/>
      <c r="D818" s="1"/>
    </row>
    <row r="819" spans="1:4">
      <c r="A819" s="1"/>
      <c r="D819" s="1"/>
    </row>
    <row r="820" spans="1:4">
      <c r="A820" s="1"/>
      <c r="D820" s="1"/>
    </row>
    <row r="821" spans="1:4">
      <c r="A821" s="1"/>
      <c r="D821" s="1"/>
    </row>
    <row r="822" spans="1:4">
      <c r="A822" s="1"/>
      <c r="D822" s="1"/>
    </row>
    <row r="823" spans="1:4">
      <c r="A823" s="1"/>
      <c r="D823" s="1"/>
    </row>
    <row r="824" spans="1:4">
      <c r="A824" s="1"/>
      <c r="D824" s="1"/>
    </row>
    <row r="825" spans="1:4">
      <c r="A825" s="1"/>
      <c r="D825" s="1"/>
    </row>
    <row r="826" spans="1:4">
      <c r="A826" s="1"/>
      <c r="D826" s="1"/>
    </row>
    <row r="827" spans="1:4">
      <c r="A827" s="1"/>
      <c r="D827" s="1"/>
    </row>
    <row r="828" spans="1:4">
      <c r="A828" s="1"/>
      <c r="D828" s="1"/>
    </row>
    <row r="829" spans="1:4">
      <c r="A829" s="1"/>
      <c r="D829" s="1"/>
    </row>
    <row r="830" spans="1:4">
      <c r="A830" s="1"/>
      <c r="D830" s="1"/>
    </row>
    <row r="831" spans="1:4">
      <c r="A831" s="1"/>
      <c r="D831" s="1"/>
    </row>
    <row r="832" spans="1:4">
      <c r="A832" s="1"/>
      <c r="D832" s="1"/>
    </row>
    <row r="833" spans="1:4">
      <c r="A833" s="1"/>
      <c r="D833" s="1"/>
    </row>
    <row r="834" spans="1:4">
      <c r="A834" s="1"/>
      <c r="D834" s="1"/>
    </row>
    <row r="835" spans="1:4">
      <c r="A835" s="1"/>
      <c r="D835" s="1"/>
    </row>
    <row r="836" spans="1:4">
      <c r="A836" s="1"/>
      <c r="D836" s="1"/>
    </row>
    <row r="837" spans="1:4">
      <c r="A837" s="1"/>
      <c r="D837" s="1"/>
    </row>
    <row r="838" spans="1:4">
      <c r="A838" s="1"/>
      <c r="D838" s="1"/>
    </row>
    <row r="839" spans="1:4">
      <c r="A839" s="1"/>
      <c r="D839" s="1"/>
    </row>
    <row r="840" spans="1:4">
      <c r="A840" s="1"/>
      <c r="D840" s="1"/>
    </row>
    <row r="841" spans="1:4">
      <c r="A841" s="1"/>
      <c r="D841" s="1"/>
    </row>
    <row r="842" spans="1:4">
      <c r="A842" s="1"/>
      <c r="D842" s="1"/>
    </row>
    <row r="843" spans="1:4">
      <c r="A843" s="1"/>
      <c r="D843" s="1"/>
    </row>
    <row r="844" spans="1:4">
      <c r="A844" s="1"/>
      <c r="D844" s="1"/>
    </row>
    <row r="845" spans="1:4">
      <c r="A845" s="1"/>
      <c r="D845" s="1"/>
    </row>
    <row r="846" spans="1:4">
      <c r="A846" s="1"/>
      <c r="D846" s="1"/>
    </row>
    <row r="847" spans="1:4">
      <c r="A847" s="1"/>
      <c r="D847" s="1"/>
    </row>
    <row r="848" spans="1:4">
      <c r="A848" s="1"/>
      <c r="D848" s="1"/>
    </row>
    <row r="849" spans="1:4">
      <c r="A849" s="1"/>
      <c r="D849" s="1"/>
    </row>
    <row r="850" spans="1:4">
      <c r="A850" s="1"/>
      <c r="D850" s="1"/>
    </row>
    <row r="851" spans="1:4">
      <c r="A851" s="1"/>
      <c r="D851" s="1"/>
    </row>
    <row r="852" spans="1:4">
      <c r="A852" s="1"/>
      <c r="D852" s="1"/>
    </row>
    <row r="853" spans="1:4">
      <c r="A853" s="1"/>
      <c r="D853" s="1"/>
    </row>
    <row r="854" spans="1:4">
      <c r="A854" s="1"/>
      <c r="D854" s="1"/>
    </row>
    <row r="855" spans="1:4">
      <c r="A855" s="1"/>
      <c r="D855" s="1"/>
    </row>
    <row r="856" spans="1:4">
      <c r="A856" s="1"/>
      <c r="D856" s="1"/>
    </row>
    <row r="857" spans="1:4">
      <c r="A857" s="1"/>
      <c r="D857" s="1"/>
    </row>
    <row r="858" spans="1:4">
      <c r="A858" s="1"/>
      <c r="D858" s="1"/>
    </row>
    <row r="859" spans="1:4">
      <c r="A859" s="1"/>
      <c r="D859" s="1"/>
    </row>
    <row r="860" spans="1:4">
      <c r="A860" s="1"/>
      <c r="D860" s="1"/>
    </row>
    <row r="861" spans="1:4">
      <c r="A861" s="1"/>
      <c r="D861" s="1"/>
    </row>
    <row r="862" spans="1:4">
      <c r="A862" s="1"/>
      <c r="D862" s="1"/>
    </row>
    <row r="863" spans="1:4">
      <c r="A863" s="1"/>
      <c r="D863" s="1"/>
    </row>
    <row r="864" spans="1:4">
      <c r="A864" s="1"/>
      <c r="D864" s="1"/>
    </row>
    <row r="865" spans="1:4">
      <c r="A865" s="1"/>
      <c r="D865" s="1"/>
    </row>
    <row r="866" spans="1:4">
      <c r="A866" s="1"/>
      <c r="D866" s="1"/>
    </row>
    <row r="867" spans="1:4">
      <c r="A867" s="1"/>
      <c r="D867" s="1"/>
    </row>
    <row r="868" spans="1:4">
      <c r="A868" s="1"/>
      <c r="D868" s="1"/>
    </row>
    <row r="869" spans="1:4">
      <c r="A869" s="1"/>
      <c r="D869" s="1"/>
    </row>
    <row r="870" spans="1:4">
      <c r="A870" s="1"/>
      <c r="D870" s="1"/>
    </row>
    <row r="871" spans="1:4">
      <c r="A871" s="1"/>
      <c r="D871" s="1"/>
    </row>
    <row r="872" spans="1:4">
      <c r="A872" s="1"/>
      <c r="D872" s="1"/>
    </row>
    <row r="873" spans="1:4">
      <c r="A873" s="1"/>
      <c r="D873" s="1"/>
    </row>
    <row r="874" spans="1:4">
      <c r="A874" s="1"/>
      <c r="D874" s="1"/>
    </row>
    <row r="875" spans="1:4">
      <c r="A875" s="1"/>
      <c r="D875" s="1"/>
    </row>
    <row r="876" spans="1:4">
      <c r="A876" s="1"/>
      <c r="D876" s="1"/>
    </row>
    <row r="877" spans="1:4">
      <c r="A877" s="1"/>
      <c r="D877" s="1"/>
    </row>
    <row r="878" spans="1:4">
      <c r="A878" s="1"/>
      <c r="D878" s="1"/>
    </row>
    <row r="879" spans="1:4">
      <c r="A879" s="1"/>
      <c r="D879" s="1"/>
    </row>
    <row r="880" spans="1:4">
      <c r="A880" s="1"/>
      <c r="D880" s="1"/>
    </row>
    <row r="881" spans="1:4">
      <c r="A881" s="1"/>
      <c r="D881" s="1"/>
    </row>
    <row r="882" spans="1:4">
      <c r="A882" s="1"/>
      <c r="D882" s="1"/>
    </row>
    <row r="883" spans="1:4">
      <c r="A883" s="1"/>
      <c r="D883" s="1"/>
    </row>
    <row r="884" spans="1:4">
      <c r="A884" s="1"/>
      <c r="D884" s="1"/>
    </row>
    <row r="885" spans="1:4">
      <c r="A885" s="1"/>
      <c r="D885" s="1"/>
    </row>
    <row r="886" spans="1:4">
      <c r="A886" s="1"/>
      <c r="D886" s="1"/>
    </row>
    <row r="887" spans="1:4">
      <c r="A887" s="1"/>
      <c r="D887" s="1"/>
    </row>
    <row r="888" spans="1:4">
      <c r="A888" s="1"/>
      <c r="D888" s="1"/>
    </row>
    <row r="889" spans="1:4">
      <c r="A889" s="1"/>
      <c r="D889" s="1"/>
    </row>
    <row r="890" spans="1:4">
      <c r="A890" s="1"/>
      <c r="D890" s="1"/>
    </row>
    <row r="891" spans="1:4">
      <c r="A891" s="1"/>
      <c r="D891" s="1"/>
    </row>
    <row r="892" spans="1:4">
      <c r="A892" s="1"/>
      <c r="D892" s="1"/>
    </row>
    <row r="893" spans="1:4">
      <c r="A893" s="1"/>
      <c r="D893" s="1"/>
    </row>
    <row r="894" spans="1:4">
      <c r="A894" s="1"/>
      <c r="D894" s="1"/>
    </row>
    <row r="895" spans="1:4">
      <c r="A895" s="1"/>
      <c r="D895" s="1"/>
    </row>
    <row r="896" spans="1:4">
      <c r="A896" s="1"/>
      <c r="D896" s="1"/>
    </row>
    <row r="897" spans="1:4">
      <c r="A897" s="1"/>
      <c r="D897" s="1"/>
    </row>
    <row r="898" spans="1:4">
      <c r="A898" s="1"/>
      <c r="D898" s="1"/>
    </row>
    <row r="899" spans="1:4">
      <c r="A899" s="1"/>
      <c r="D899" s="1"/>
    </row>
    <row r="900" spans="1:4">
      <c r="A900" s="1"/>
      <c r="D900" s="1"/>
    </row>
    <row r="901" spans="1:4">
      <c r="A901" s="1"/>
      <c r="D901" s="1"/>
    </row>
    <row r="902" spans="1:4">
      <c r="A902" s="1"/>
      <c r="D902" s="1"/>
    </row>
    <row r="903" spans="1:4">
      <c r="A903" s="1"/>
      <c r="D903" s="1"/>
    </row>
    <row r="904" spans="1:4">
      <c r="A904" s="1"/>
      <c r="D904" s="1"/>
    </row>
    <row r="905" spans="1:4">
      <c r="A905" s="1"/>
      <c r="D905" s="1"/>
    </row>
    <row r="906" spans="1:4">
      <c r="A906" s="1"/>
      <c r="D906" s="1"/>
    </row>
    <row r="907" spans="1:4">
      <c r="A907" s="1"/>
      <c r="D907" s="1"/>
    </row>
    <row r="908" spans="1:4">
      <c r="A908" s="1"/>
      <c r="D908" s="1"/>
    </row>
    <row r="909" spans="1:4">
      <c r="A909" s="1"/>
      <c r="D909" s="1"/>
    </row>
    <row r="910" spans="1:4">
      <c r="A910" s="1"/>
      <c r="D910" s="1"/>
    </row>
    <row r="911" spans="1:4">
      <c r="A911" s="1"/>
      <c r="D911" s="1"/>
    </row>
    <row r="912" spans="1:4">
      <c r="A912" s="1"/>
      <c r="D912" s="1"/>
    </row>
    <row r="913" spans="1:4">
      <c r="A913" s="1"/>
      <c r="D913" s="1"/>
    </row>
    <row r="914" spans="1:4">
      <c r="A914" s="1"/>
      <c r="D914" s="1"/>
    </row>
    <row r="915" spans="1:4">
      <c r="A915" s="1"/>
      <c r="D915" s="1"/>
    </row>
    <row r="916" spans="1:4">
      <c r="A916" s="1"/>
      <c r="D916" s="1"/>
    </row>
    <row r="917" spans="1:4">
      <c r="A917" s="1"/>
      <c r="D917" s="1"/>
    </row>
    <row r="918" spans="1:4">
      <c r="A918" s="1"/>
      <c r="D918" s="1"/>
    </row>
    <row r="919" spans="1:4">
      <c r="A919" s="1"/>
      <c r="D919" s="1"/>
    </row>
    <row r="920" spans="1:4">
      <c r="A920" s="1"/>
      <c r="D920" s="1"/>
    </row>
    <row r="921" spans="1:4">
      <c r="A921" s="1"/>
      <c r="D921" s="1"/>
    </row>
    <row r="922" spans="1:4">
      <c r="A922" s="1"/>
      <c r="D922" s="1"/>
    </row>
    <row r="923" spans="1:4">
      <c r="A923" s="1"/>
      <c r="D923" s="1"/>
    </row>
    <row r="924" spans="1:4">
      <c r="A924" s="1"/>
      <c r="D924" s="1"/>
    </row>
    <row r="925" spans="1:4">
      <c r="A925" s="1"/>
      <c r="D925" s="1"/>
    </row>
    <row r="926" spans="1:4">
      <c r="A926" s="1"/>
      <c r="D926" s="1"/>
    </row>
    <row r="927" spans="1:4">
      <c r="A927" s="1"/>
      <c r="D927" s="1"/>
    </row>
    <row r="928" spans="1:4">
      <c r="A928" s="1"/>
      <c r="D928" s="1"/>
    </row>
    <row r="929" spans="1:4">
      <c r="A929" s="1"/>
      <c r="D929" s="1"/>
    </row>
    <row r="930" spans="1:4">
      <c r="A930" s="1"/>
      <c r="D930" s="1"/>
    </row>
    <row r="931" spans="1:4">
      <c r="A931" s="1"/>
      <c r="D931" s="1"/>
    </row>
    <row r="932" spans="1:4">
      <c r="A932" s="1"/>
      <c r="D932" s="1"/>
    </row>
    <row r="933" spans="1:4">
      <c r="A933" s="1"/>
      <c r="D933" s="1"/>
    </row>
    <row r="934" spans="1:4">
      <c r="A934" s="1"/>
      <c r="D934" s="1"/>
    </row>
    <row r="935" spans="1:4">
      <c r="A935" s="1"/>
      <c r="D935" s="1"/>
    </row>
    <row r="936" spans="1:4">
      <c r="A936" s="1"/>
      <c r="D936" s="1"/>
    </row>
    <row r="937" spans="1:4">
      <c r="A937" s="1"/>
      <c r="D937" s="1"/>
    </row>
    <row r="938" spans="1:4">
      <c r="A938" s="1"/>
      <c r="D938" s="1"/>
    </row>
    <row r="939" spans="1:4">
      <c r="A939" s="1"/>
      <c r="D939" s="1"/>
    </row>
    <row r="940" spans="1:4">
      <c r="A940" s="1"/>
      <c r="D940" s="1"/>
    </row>
    <row r="941" spans="1:4">
      <c r="A941" s="1"/>
      <c r="D941" s="1"/>
    </row>
    <row r="942" spans="1:4">
      <c r="A942" s="1"/>
      <c r="D942" s="1"/>
    </row>
    <row r="943" spans="1:4">
      <c r="A943" s="1"/>
      <c r="D943" s="1"/>
    </row>
    <row r="944" spans="1:4">
      <c r="A944" s="1"/>
      <c r="D944" s="1"/>
    </row>
    <row r="945" spans="1:4">
      <c r="A945" s="1"/>
      <c r="D945" s="1"/>
    </row>
    <row r="946" spans="1:4">
      <c r="A946" s="1"/>
      <c r="D946" s="1"/>
    </row>
    <row r="947" spans="1:4">
      <c r="A947" s="1"/>
      <c r="D947" s="1"/>
    </row>
    <row r="948" spans="1:4">
      <c r="A948" s="1"/>
      <c r="D948" s="1"/>
    </row>
    <row r="949" spans="1:4">
      <c r="A949" s="1"/>
      <c r="D949" s="1"/>
    </row>
    <row r="950" spans="1:4">
      <c r="A950" s="1"/>
      <c r="D950" s="1"/>
    </row>
    <row r="951" spans="1:4">
      <c r="A951" s="1"/>
      <c r="D951" s="1"/>
    </row>
    <row r="952" spans="1:4">
      <c r="A952" s="1"/>
      <c r="D952" s="1"/>
    </row>
    <row r="953" spans="1:4">
      <c r="A953" s="1"/>
      <c r="D953" s="1"/>
    </row>
    <row r="954" spans="1:4">
      <c r="A954" s="1"/>
      <c r="D954" s="1"/>
    </row>
    <row r="955" spans="1:4">
      <c r="A955" s="1"/>
      <c r="D955" s="1"/>
    </row>
    <row r="956" spans="1:4">
      <c r="A956" s="1"/>
      <c r="D956" s="1"/>
    </row>
    <row r="957" spans="1:4">
      <c r="A957" s="1"/>
      <c r="D957" s="1"/>
    </row>
    <row r="958" spans="1:4">
      <c r="A958" s="1"/>
      <c r="D958" s="1"/>
    </row>
    <row r="959" spans="1:4">
      <c r="A959" s="1"/>
      <c r="D959" s="1"/>
    </row>
    <row r="960" spans="1:4">
      <c r="A960" s="1"/>
      <c r="D960" s="1"/>
    </row>
    <row r="961" spans="1:4">
      <c r="A961" s="1"/>
      <c r="D961" s="1"/>
    </row>
    <row r="962" spans="1:4">
      <c r="A962" s="1"/>
      <c r="D962" s="1"/>
    </row>
    <row r="963" spans="1:4">
      <c r="A963" s="1"/>
      <c r="D963" s="1"/>
    </row>
    <row r="964" spans="1:4">
      <c r="A964" s="1"/>
      <c r="D964" s="1"/>
    </row>
    <row r="965" spans="1:4">
      <c r="A965" s="1"/>
      <c r="D965" s="1"/>
    </row>
    <row r="966" spans="1:4">
      <c r="A966" s="1"/>
      <c r="D966" s="1"/>
    </row>
    <row r="967" spans="1:4">
      <c r="A967" s="1"/>
      <c r="D967" s="1"/>
    </row>
    <row r="968" spans="1:4">
      <c r="A968" s="1"/>
      <c r="D968" s="1"/>
    </row>
    <row r="969" spans="1:4">
      <c r="A969" s="1"/>
      <c r="D969" s="1"/>
    </row>
    <row r="970" spans="1:4">
      <c r="A970" s="1"/>
      <c r="D970" s="1"/>
    </row>
    <row r="971" spans="1:4">
      <c r="A971" s="1"/>
      <c r="D971" s="1"/>
    </row>
    <row r="972" spans="1:4">
      <c r="A972" s="1"/>
      <c r="D972" s="1"/>
    </row>
    <row r="973" spans="1:4">
      <c r="A973" s="1"/>
      <c r="D973" s="1"/>
    </row>
    <row r="974" spans="1:4">
      <c r="A974" s="1"/>
      <c r="D974" s="1"/>
    </row>
    <row r="975" spans="1:4">
      <c r="A975" s="1"/>
      <c r="D975" s="1"/>
    </row>
    <row r="976" spans="1:4">
      <c r="A976" s="1"/>
      <c r="D976" s="1"/>
    </row>
    <row r="977" spans="1:4">
      <c r="A977" s="1"/>
      <c r="D977" s="1"/>
    </row>
    <row r="978" spans="1:4">
      <c r="A978" s="1"/>
      <c r="D978" s="1"/>
    </row>
    <row r="979" spans="1:4">
      <c r="A979" s="1"/>
      <c r="D979" s="1"/>
    </row>
    <row r="980" spans="1:4">
      <c r="A980" s="1"/>
      <c r="D980" s="1"/>
    </row>
    <row r="981" spans="1:4">
      <c r="A981" s="1"/>
      <c r="D981" s="1"/>
    </row>
    <row r="982" spans="1:4">
      <c r="A982" s="1"/>
      <c r="D982" s="1"/>
    </row>
    <row r="983" spans="1:4">
      <c r="A983" s="1"/>
      <c r="D983" s="1"/>
    </row>
    <row r="984" spans="1:4">
      <c r="A984" s="1"/>
      <c r="D984" s="1"/>
    </row>
    <row r="985" spans="1:4">
      <c r="A985" s="1"/>
      <c r="D985" s="1"/>
    </row>
    <row r="986" spans="1:4">
      <c r="A986" s="1"/>
      <c r="D986" s="1"/>
    </row>
    <row r="987" spans="1:4">
      <c r="A987" s="1"/>
      <c r="D987" s="1"/>
    </row>
    <row r="988" spans="1:4">
      <c r="A988" s="1"/>
      <c r="D988" s="1"/>
    </row>
    <row r="989" spans="1:4">
      <c r="A989" s="1"/>
      <c r="D989" s="1"/>
    </row>
    <row r="990" spans="1:4">
      <c r="A990" s="1"/>
      <c r="D990" s="1"/>
    </row>
    <row r="991" spans="1:4">
      <c r="A991" s="1"/>
      <c r="D991" s="1"/>
    </row>
    <row r="992" spans="1:4">
      <c r="A992" s="1"/>
      <c r="D992" s="1"/>
    </row>
    <row r="993" spans="1:4">
      <c r="A993" s="1"/>
      <c r="D993" s="1"/>
    </row>
    <row r="994" spans="1:4">
      <c r="A994" s="1"/>
      <c r="D994" s="1"/>
    </row>
    <row r="995" spans="1:4">
      <c r="A995" s="1"/>
      <c r="D995" s="1"/>
    </row>
    <row r="996" spans="1:4">
      <c r="A996" s="1"/>
      <c r="D996" s="1"/>
    </row>
    <row r="997" spans="1:4">
      <c r="A997" s="1"/>
      <c r="D997" s="1"/>
    </row>
    <row r="998" spans="1:4">
      <c r="A998" s="1"/>
      <c r="D998" s="1"/>
    </row>
    <row r="999" spans="1:4">
      <c r="A999" s="1"/>
      <c r="D999" s="1"/>
    </row>
    <row r="1000" spans="1:4">
      <c r="A1000" s="1"/>
      <c r="D1000" s="1"/>
    </row>
    <row r="1001" spans="1:4">
      <c r="A1001" s="1"/>
      <c r="D1001" s="1"/>
    </row>
    <row r="1002" spans="1:4">
      <c r="A1002" s="1"/>
      <c r="D1002" s="1"/>
    </row>
    <row r="1003" spans="1:4">
      <c r="A1003" s="1"/>
      <c r="D1003" s="1"/>
    </row>
    <row r="1004" spans="1:4">
      <c r="A1004" s="1"/>
      <c r="D1004" s="1"/>
    </row>
    <row r="1005" spans="1:4">
      <c r="A1005" s="1"/>
      <c r="D1005" s="1"/>
    </row>
    <row r="1006" spans="1:4">
      <c r="A1006" s="1"/>
      <c r="D1006" s="1"/>
    </row>
    <row r="1007" spans="1:4">
      <c r="A1007" s="1"/>
      <c r="D1007" s="1"/>
    </row>
    <row r="1008" spans="1:4">
      <c r="A1008" s="1"/>
      <c r="D1008" s="1"/>
    </row>
    <row r="1009" spans="1:4">
      <c r="A1009" s="1"/>
      <c r="D1009" s="1"/>
    </row>
    <row r="1010" spans="1:4">
      <c r="A1010" s="1"/>
      <c r="D1010" s="1"/>
    </row>
    <row r="1011" spans="1:4">
      <c r="A1011" s="1"/>
      <c r="D1011" s="1"/>
    </row>
    <row r="1012" spans="1:4">
      <c r="A1012" s="1"/>
      <c r="D1012" s="1"/>
    </row>
    <row r="1013" spans="1:4">
      <c r="A1013" s="1"/>
      <c r="D1013" s="1"/>
    </row>
    <row r="1014" spans="1:4">
      <c r="A1014" s="1"/>
      <c r="D1014" s="1"/>
    </row>
    <row r="1015" spans="1:4">
      <c r="A1015" s="1"/>
      <c r="D1015" s="1"/>
    </row>
    <row r="1016" spans="1:4">
      <c r="A1016" s="1"/>
      <c r="D1016" s="1"/>
    </row>
    <row r="1017" spans="1:4">
      <c r="A1017" s="1"/>
      <c r="D1017" s="1"/>
    </row>
    <row r="1018" spans="1:4">
      <c r="A1018" s="1"/>
      <c r="D1018" s="1"/>
    </row>
    <row r="1019" spans="1:4">
      <c r="A1019" s="1"/>
      <c r="D1019" s="1"/>
    </row>
    <row r="1020" spans="1:4">
      <c r="A1020" s="1"/>
      <c r="D1020" s="1"/>
    </row>
    <row r="1021" spans="1:4">
      <c r="A1021" s="1"/>
      <c r="D1021" s="1"/>
    </row>
    <row r="1022" spans="1:4">
      <c r="A1022" s="1"/>
      <c r="D1022" s="1"/>
    </row>
    <row r="1023" spans="1:4">
      <c r="A1023" s="1"/>
      <c r="D1023" s="1"/>
    </row>
    <row r="1024" spans="1:4">
      <c r="A1024" s="1"/>
      <c r="D1024" s="1"/>
    </row>
    <row r="1025" spans="1:4">
      <c r="A1025" s="1"/>
      <c r="D1025" s="1"/>
    </row>
    <row r="1026" spans="1:4">
      <c r="A1026" s="1"/>
      <c r="D1026" s="1"/>
    </row>
    <row r="1027" spans="1:4">
      <c r="A1027" s="1"/>
      <c r="D1027" s="1"/>
    </row>
    <row r="1028" spans="1:4">
      <c r="A1028" s="1"/>
      <c r="D1028" s="1"/>
    </row>
    <row r="1029" spans="1:4">
      <c r="A1029" s="1"/>
      <c r="D1029" s="1"/>
    </row>
    <row r="1030" spans="1:4">
      <c r="A1030" s="1"/>
      <c r="D1030" s="1"/>
    </row>
    <row r="1031" spans="1:4">
      <c r="A1031" s="1"/>
      <c r="D1031" s="1"/>
    </row>
    <row r="1032" spans="1:4">
      <c r="A1032" s="1"/>
      <c r="D1032" s="1"/>
    </row>
    <row r="1033" spans="1:4">
      <c r="A1033" s="1"/>
      <c r="D1033" s="1"/>
    </row>
    <row r="1034" spans="1:4">
      <c r="A1034" s="1"/>
      <c r="D1034" s="1"/>
    </row>
    <row r="1035" spans="1:4">
      <c r="A1035" s="1"/>
      <c r="D1035" s="1"/>
    </row>
    <row r="1036" spans="1:4">
      <c r="A1036" s="1"/>
      <c r="D1036" s="1"/>
    </row>
    <row r="1037" spans="1:4">
      <c r="A1037" s="1"/>
      <c r="D1037" s="1"/>
    </row>
    <row r="1038" spans="1:4">
      <c r="A1038" s="1"/>
      <c r="D1038" s="1"/>
    </row>
    <row r="1039" spans="1:4">
      <c r="A1039" s="1"/>
      <c r="D1039" s="1"/>
    </row>
    <row r="1040" spans="1:4">
      <c r="A1040" s="1"/>
      <c r="D1040" s="1"/>
    </row>
    <row r="1041" spans="1:4">
      <c r="A1041" s="1"/>
      <c r="D1041" s="1"/>
    </row>
    <row r="1042" spans="1:4">
      <c r="A1042" s="1"/>
      <c r="D1042" s="1"/>
    </row>
    <row r="1043" spans="1:4">
      <c r="A1043" s="1"/>
      <c r="D1043" s="1"/>
    </row>
    <row r="1044" spans="1:4">
      <c r="A1044" s="1"/>
      <c r="D1044" s="1"/>
    </row>
    <row r="1045" spans="1:4">
      <c r="A1045" s="1"/>
      <c r="D1045" s="1"/>
    </row>
    <row r="1046" spans="1:4">
      <c r="A1046" s="1"/>
      <c r="D1046" s="1"/>
    </row>
    <row r="1047" spans="1:4">
      <c r="A1047" s="1"/>
      <c r="D1047" s="1"/>
    </row>
    <row r="1048" spans="1:4">
      <c r="A1048" s="1"/>
      <c r="D1048" s="1"/>
    </row>
    <row r="1049" spans="1:4">
      <c r="A1049" s="1"/>
      <c r="D1049" s="1"/>
    </row>
    <row r="1050" spans="1:4">
      <c r="A1050" s="1"/>
      <c r="D1050" s="1"/>
    </row>
    <row r="1051" spans="1:4">
      <c r="A1051" s="1"/>
      <c r="D1051" s="1"/>
    </row>
    <row r="1052" spans="1:4">
      <c r="A1052" s="1"/>
      <c r="D1052" s="1"/>
    </row>
    <row r="1053" spans="1:4">
      <c r="A1053" s="1"/>
      <c r="D1053" s="1"/>
    </row>
    <row r="1054" spans="1:4">
      <c r="A1054" s="1"/>
      <c r="D1054" s="1"/>
    </row>
    <row r="1055" spans="1:4">
      <c r="A1055" s="1"/>
      <c r="D1055" s="1"/>
    </row>
    <row r="1056" spans="1:4">
      <c r="A1056" s="1"/>
      <c r="D1056" s="1"/>
    </row>
    <row r="1057" spans="1:4">
      <c r="A1057" s="1"/>
      <c r="D1057" s="1"/>
    </row>
    <row r="1058" spans="1:4">
      <c r="A1058" s="1"/>
      <c r="D1058" s="1"/>
    </row>
    <row r="1059" spans="1:4">
      <c r="A1059" s="1"/>
      <c r="D1059" s="1"/>
    </row>
    <row r="1060" spans="1:4">
      <c r="A1060" s="1"/>
      <c r="D1060" s="1"/>
    </row>
    <row r="1061" spans="1:4">
      <c r="A1061" s="1"/>
      <c r="D1061" s="1"/>
    </row>
    <row r="1062" spans="1:4">
      <c r="A1062" s="1"/>
      <c r="D1062" s="1"/>
    </row>
    <row r="1063" spans="1:4">
      <c r="A1063" s="1"/>
      <c r="D1063" s="1"/>
    </row>
    <row r="1064" spans="1:4">
      <c r="A1064" s="1"/>
      <c r="D1064" s="1"/>
    </row>
    <row r="1065" spans="1:4">
      <c r="A1065" s="1"/>
      <c r="D1065" s="1"/>
    </row>
    <row r="1066" spans="1:4">
      <c r="A1066" s="1"/>
      <c r="D1066" s="1"/>
    </row>
    <row r="1067" spans="1:4">
      <c r="A1067" s="1"/>
      <c r="D1067" s="1"/>
    </row>
    <row r="1068" spans="1:4">
      <c r="A1068" s="1"/>
      <c r="D1068" s="1"/>
    </row>
    <row r="1069" spans="1:4">
      <c r="A1069" s="1"/>
      <c r="D1069" s="1"/>
    </row>
    <row r="1070" spans="1:4">
      <c r="A1070" s="1"/>
      <c r="D1070" s="1"/>
    </row>
    <row r="1071" spans="1:4">
      <c r="A1071" s="1"/>
      <c r="D1071" s="1"/>
    </row>
    <row r="1072" spans="1:4">
      <c r="A1072" s="1"/>
      <c r="D1072" s="1"/>
    </row>
    <row r="1073" spans="1:4">
      <c r="A1073" s="1"/>
      <c r="D1073" s="1"/>
    </row>
    <row r="1074" spans="1:4">
      <c r="A1074" s="1"/>
      <c r="D1074" s="1"/>
    </row>
    <row r="1075" spans="1:4">
      <c r="A1075" s="1"/>
      <c r="D1075" s="1"/>
    </row>
    <row r="1076" spans="1:4">
      <c r="A1076" s="1"/>
      <c r="D1076" s="1"/>
    </row>
    <row r="1077" spans="1:4">
      <c r="A1077" s="1"/>
      <c r="D1077" s="1"/>
    </row>
    <row r="1078" spans="1:4">
      <c r="A1078" s="1"/>
      <c r="D1078" s="1"/>
    </row>
    <row r="1079" spans="1:4">
      <c r="A1079" s="1"/>
      <c r="D1079" s="1"/>
    </row>
    <row r="1080" spans="1:4">
      <c r="A1080" s="1"/>
      <c r="D1080" s="1"/>
    </row>
    <row r="1081" spans="1:4">
      <c r="A1081" s="1"/>
      <c r="D1081" s="1"/>
    </row>
    <row r="1082" spans="1:4">
      <c r="A1082" s="1"/>
      <c r="D1082" s="1"/>
    </row>
    <row r="1083" spans="1:4">
      <c r="A1083" s="1"/>
      <c r="D1083" s="1"/>
    </row>
    <row r="1084" spans="1:4">
      <c r="A1084" s="1"/>
      <c r="D1084" s="1"/>
    </row>
    <row r="1085" spans="1:4">
      <c r="A1085" s="1"/>
      <c r="D1085" s="1"/>
    </row>
    <row r="1086" spans="1:4">
      <c r="A1086" s="1"/>
      <c r="D1086" s="1"/>
    </row>
    <row r="1087" spans="1:4">
      <c r="A1087" s="1"/>
      <c r="D1087" s="1"/>
    </row>
    <row r="1088" spans="1:4">
      <c r="A1088" s="1"/>
      <c r="D1088" s="1"/>
    </row>
    <row r="1089" spans="1:4">
      <c r="A1089" s="1"/>
      <c r="D1089" s="1"/>
    </row>
    <row r="1090" spans="1:4">
      <c r="A1090" s="1"/>
      <c r="D1090" s="1"/>
    </row>
    <row r="1091" spans="1:4">
      <c r="A1091" s="1"/>
      <c r="D1091" s="1"/>
    </row>
    <row r="1092" spans="1:4">
      <c r="A1092" s="1"/>
      <c r="D1092" s="1"/>
    </row>
    <row r="1093" spans="1:4">
      <c r="A1093" s="1"/>
      <c r="D1093" s="1"/>
    </row>
    <row r="1094" spans="1:4">
      <c r="A1094" s="1"/>
      <c r="D1094" s="1"/>
    </row>
    <row r="1095" spans="1:4">
      <c r="A1095" s="1"/>
      <c r="D1095" s="1"/>
    </row>
    <row r="1096" spans="1:4">
      <c r="A1096" s="1"/>
      <c r="D1096" s="1"/>
    </row>
    <row r="1097" spans="1:4">
      <c r="A1097" s="1"/>
      <c r="D1097" s="1"/>
    </row>
    <row r="1098" spans="1:4">
      <c r="A1098" s="1"/>
      <c r="D1098" s="1"/>
    </row>
    <row r="1099" spans="1:4">
      <c r="A1099" s="1"/>
      <c r="D1099" s="1"/>
    </row>
    <row r="1100" spans="1:4">
      <c r="A1100" s="1"/>
      <c r="D1100" s="1"/>
    </row>
    <row r="1101" spans="1:4">
      <c r="A1101" s="1"/>
      <c r="D1101" s="1"/>
    </row>
    <row r="1102" spans="1:4">
      <c r="A1102" s="1"/>
      <c r="D1102" s="1"/>
    </row>
    <row r="1103" spans="1:4">
      <c r="A1103" s="1"/>
      <c r="D1103" s="1"/>
    </row>
    <row r="1104" spans="1:4">
      <c r="A1104" s="1"/>
      <c r="D1104" s="1"/>
    </row>
    <row r="1105" spans="1:4">
      <c r="A1105" s="1"/>
      <c r="D1105" s="1"/>
    </row>
    <row r="1106" spans="1:4">
      <c r="A1106" s="1"/>
      <c r="D1106" s="1"/>
    </row>
    <row r="1107" spans="1:4">
      <c r="A1107" s="1"/>
      <c r="D1107" s="1"/>
    </row>
    <row r="1108" spans="1:4">
      <c r="A1108" s="1"/>
      <c r="D1108" s="1"/>
    </row>
    <row r="1109" spans="1:4">
      <c r="A1109" s="1"/>
      <c r="D1109" s="1"/>
    </row>
    <row r="1110" spans="1:4">
      <c r="A1110" s="1"/>
      <c r="D1110" s="1"/>
    </row>
    <row r="1111" spans="1:4">
      <c r="A1111" s="1"/>
      <c r="D1111" s="1"/>
    </row>
    <row r="1112" spans="1:4">
      <c r="A1112" s="1"/>
      <c r="D1112" s="1"/>
    </row>
    <row r="1113" spans="1:4">
      <c r="A1113" s="1"/>
      <c r="D1113" s="1"/>
    </row>
    <row r="1114" spans="1:4">
      <c r="A1114" s="1"/>
      <c r="D1114" s="1"/>
    </row>
    <row r="1115" spans="1:4">
      <c r="A1115" s="1"/>
      <c r="D1115" s="1"/>
    </row>
    <row r="1116" spans="1:4">
      <c r="A1116" s="1"/>
      <c r="D1116" s="1"/>
    </row>
    <row r="1117" spans="1:4">
      <c r="A1117" s="1"/>
      <c r="D1117" s="1"/>
    </row>
    <row r="1118" spans="1:4">
      <c r="A1118" s="1"/>
      <c r="D1118" s="1"/>
    </row>
    <row r="1119" spans="1:4">
      <c r="A1119" s="1"/>
      <c r="D1119" s="1"/>
    </row>
    <row r="1120" spans="1:4">
      <c r="A1120" s="1"/>
      <c r="D1120" s="1"/>
    </row>
    <row r="1121" spans="1:4">
      <c r="A1121" s="1"/>
      <c r="D1121" s="1"/>
    </row>
    <row r="1122" spans="1:4">
      <c r="A1122" s="1"/>
      <c r="D1122" s="1"/>
    </row>
    <row r="1123" spans="1:4">
      <c r="A1123" s="1"/>
      <c r="D1123" s="1"/>
    </row>
    <row r="1124" spans="1:4">
      <c r="A1124" s="1"/>
      <c r="D1124" s="1"/>
    </row>
    <row r="1125" spans="1:4">
      <c r="A1125" s="1"/>
      <c r="D1125" s="1"/>
    </row>
    <row r="1126" spans="1:4">
      <c r="A1126" s="1"/>
      <c r="D1126" s="1"/>
    </row>
    <row r="1127" spans="1:4">
      <c r="A1127" s="1"/>
      <c r="D1127" s="1"/>
    </row>
    <row r="1128" spans="1:4">
      <c r="A1128" s="1"/>
      <c r="D1128" s="1"/>
    </row>
    <row r="1129" spans="1:4">
      <c r="A1129" s="1"/>
      <c r="D1129" s="1"/>
    </row>
    <row r="1130" spans="1:4">
      <c r="A1130" s="1"/>
      <c r="D1130" s="1"/>
    </row>
    <row r="1131" spans="1:4">
      <c r="A1131" s="1"/>
      <c r="D1131" s="1"/>
    </row>
    <row r="1132" spans="1:4">
      <c r="A1132" s="1"/>
      <c r="D1132" s="1"/>
    </row>
    <row r="1133" spans="1:4">
      <c r="A1133" s="1"/>
      <c r="D1133" s="1"/>
    </row>
    <row r="1134" spans="1:4">
      <c r="A1134" s="1"/>
      <c r="D1134" s="1"/>
    </row>
    <row r="1135" spans="1:4">
      <c r="A1135" s="1"/>
      <c r="D1135" s="1"/>
    </row>
    <row r="1136" spans="1:4">
      <c r="A1136" s="1"/>
      <c r="D1136" s="1"/>
    </row>
    <row r="1137" spans="1:4">
      <c r="A1137" s="1"/>
      <c r="D1137" s="1"/>
    </row>
    <row r="1138" spans="1:4">
      <c r="A1138" s="1"/>
      <c r="D1138" s="1"/>
    </row>
    <row r="1139" spans="1:4">
      <c r="A1139" s="1"/>
      <c r="D1139" s="1"/>
    </row>
    <row r="1140" spans="1:4">
      <c r="A1140" s="1"/>
      <c r="D1140" s="1"/>
    </row>
    <row r="1141" spans="1:4">
      <c r="A1141" s="1"/>
      <c r="D1141" s="1"/>
    </row>
    <row r="1142" spans="1:4">
      <c r="A1142" s="1"/>
      <c r="D1142" s="1"/>
    </row>
    <row r="1143" spans="1:4">
      <c r="A1143" s="1"/>
      <c r="D1143" s="1"/>
    </row>
    <row r="1144" spans="1:4">
      <c r="A1144" s="1"/>
      <c r="D1144" s="1"/>
    </row>
    <row r="1145" spans="1:4">
      <c r="A1145" s="1"/>
      <c r="D1145" s="1"/>
    </row>
    <row r="1146" spans="1:4">
      <c r="A1146" s="1"/>
      <c r="D1146" s="1"/>
    </row>
    <row r="1147" spans="1:4">
      <c r="A1147" s="1"/>
      <c r="D1147" s="1"/>
    </row>
    <row r="1148" spans="1:4">
      <c r="A1148" s="1"/>
      <c r="D1148" s="1"/>
    </row>
    <row r="1149" spans="1:4">
      <c r="A1149" s="1"/>
      <c r="D1149" s="1"/>
    </row>
    <row r="1150" spans="1:4">
      <c r="A1150" s="1"/>
      <c r="D1150" s="1"/>
    </row>
    <row r="1151" spans="1:4">
      <c r="A1151" s="1"/>
      <c r="D1151" s="1"/>
    </row>
    <row r="1152" spans="1:4">
      <c r="A1152" s="1"/>
      <c r="D1152" s="1"/>
    </row>
    <row r="1153" spans="1:4">
      <c r="A1153" s="1"/>
      <c r="D1153" s="1"/>
    </row>
    <row r="1154" spans="1:4">
      <c r="A1154" s="1"/>
      <c r="D1154" s="1"/>
    </row>
    <row r="1155" spans="1:4">
      <c r="A1155" s="1"/>
      <c r="D1155" s="1"/>
    </row>
    <row r="1156" spans="1:4">
      <c r="A1156" s="1"/>
      <c r="D1156" s="1"/>
    </row>
    <row r="1157" spans="1:4">
      <c r="A1157" s="1"/>
      <c r="D1157" s="1"/>
    </row>
    <row r="1158" spans="1:4">
      <c r="A1158" s="1"/>
      <c r="D1158" s="1"/>
    </row>
    <row r="1159" spans="1:4">
      <c r="A1159" s="1"/>
      <c r="D1159" s="1"/>
    </row>
    <row r="1160" spans="1:4">
      <c r="A1160" s="1"/>
      <c r="D1160" s="1"/>
    </row>
    <row r="1161" spans="1:4">
      <c r="A1161" s="1"/>
      <c r="D1161" s="1"/>
    </row>
    <row r="1162" spans="1:4">
      <c r="A1162" s="1"/>
      <c r="D1162" s="1"/>
    </row>
    <row r="1163" spans="1:4">
      <c r="A1163" s="1"/>
      <c r="D1163" s="1"/>
    </row>
    <row r="1164" spans="1:4">
      <c r="A1164" s="1"/>
      <c r="D1164" s="1"/>
    </row>
    <row r="1165" spans="1:4">
      <c r="A1165" s="1"/>
      <c r="D1165" s="1"/>
    </row>
    <row r="1166" spans="1:4">
      <c r="A1166" s="1"/>
      <c r="D1166" s="1"/>
    </row>
    <row r="1167" spans="1:4">
      <c r="A1167" s="1"/>
      <c r="D1167" s="1"/>
    </row>
    <row r="1168" spans="1:4">
      <c r="A1168" s="1"/>
      <c r="D1168" s="1"/>
    </row>
    <row r="1169" spans="1:4">
      <c r="A1169" s="1"/>
      <c r="D1169" s="1"/>
    </row>
    <row r="1170" spans="1:4">
      <c r="A1170" s="1"/>
      <c r="D1170" s="1"/>
    </row>
    <row r="1171" spans="1:4">
      <c r="A1171" s="1"/>
      <c r="D1171" s="1"/>
    </row>
    <row r="1172" spans="1:4">
      <c r="A1172" s="1"/>
      <c r="D1172" s="1"/>
    </row>
    <row r="1173" spans="1:4">
      <c r="A1173" s="1"/>
      <c r="D1173" s="1"/>
    </row>
    <row r="1174" spans="1:4">
      <c r="A1174" s="1"/>
      <c r="D1174" s="1"/>
    </row>
    <row r="1175" spans="1:4">
      <c r="A1175" s="1"/>
      <c r="D1175" s="1"/>
    </row>
    <row r="1176" spans="1:4">
      <c r="A1176" s="1"/>
      <c r="D1176" s="1"/>
    </row>
    <row r="1177" spans="1:4">
      <c r="A1177" s="1"/>
      <c r="D1177" s="1"/>
    </row>
    <row r="1178" spans="1:4">
      <c r="A1178" s="1"/>
      <c r="D1178" s="1"/>
    </row>
    <row r="1179" spans="1:4">
      <c r="A1179" s="1"/>
      <c r="D1179" s="1"/>
    </row>
    <row r="1180" spans="1:4">
      <c r="A1180" s="1"/>
      <c r="D1180" s="1"/>
    </row>
    <row r="1181" spans="1:4">
      <c r="A1181" s="1"/>
      <c r="D1181" s="1"/>
    </row>
    <row r="1182" spans="1:4">
      <c r="A1182" s="1"/>
      <c r="D1182" s="1"/>
    </row>
    <row r="1183" spans="1:4">
      <c r="A1183" s="1"/>
      <c r="D1183" s="1"/>
    </row>
    <row r="1184" spans="1:4">
      <c r="A1184" s="1"/>
      <c r="D1184" s="1"/>
    </row>
    <row r="1185" spans="1:4">
      <c r="A1185" s="1"/>
      <c r="D1185" s="1"/>
    </row>
    <row r="1186" spans="1:4">
      <c r="A1186" s="1"/>
      <c r="D1186" s="1"/>
    </row>
    <row r="1187" spans="1:4">
      <c r="A1187" s="1"/>
      <c r="D1187" s="1"/>
    </row>
    <row r="1188" spans="1:4">
      <c r="A1188" s="1"/>
      <c r="D1188" s="1"/>
    </row>
    <row r="1189" spans="1:4">
      <c r="A1189" s="1"/>
      <c r="D1189" s="1"/>
    </row>
    <row r="1190" spans="1:4">
      <c r="A1190" s="1"/>
      <c r="D1190" s="1"/>
    </row>
    <row r="1191" spans="1:4">
      <c r="A1191" s="1"/>
      <c r="D1191" s="1"/>
    </row>
    <row r="1192" spans="1:4">
      <c r="A1192" s="1"/>
      <c r="D1192" s="1"/>
    </row>
    <row r="1193" spans="1:4">
      <c r="A1193" s="1"/>
      <c r="D1193" s="1"/>
    </row>
    <row r="1194" spans="1:4">
      <c r="A1194" s="1"/>
      <c r="D1194" s="1"/>
    </row>
    <row r="1195" spans="1:4">
      <c r="A1195" s="1"/>
      <c r="D1195" s="1"/>
    </row>
    <row r="1196" spans="1:4">
      <c r="A1196" s="1"/>
      <c r="D1196" s="1"/>
    </row>
    <row r="1197" spans="1:4">
      <c r="A1197" s="1"/>
      <c r="D1197" s="1"/>
    </row>
    <row r="1198" spans="1:4">
      <c r="A1198" s="1"/>
      <c r="D1198" s="1"/>
    </row>
    <row r="1199" spans="1:4">
      <c r="A1199" s="1"/>
      <c r="D1199" s="1"/>
    </row>
    <row r="1200" spans="1:4">
      <c r="A1200" s="1"/>
      <c r="D1200" s="1"/>
    </row>
    <row r="1201" spans="1:4">
      <c r="A1201" s="1"/>
      <c r="D1201" s="1"/>
    </row>
    <row r="1202" spans="1:4">
      <c r="A1202" s="1"/>
      <c r="D1202" s="1"/>
    </row>
    <row r="1203" spans="1:4">
      <c r="A1203" s="1"/>
      <c r="D1203" s="1"/>
    </row>
    <row r="1204" spans="1:4">
      <c r="A1204" s="1"/>
      <c r="D1204" s="1"/>
    </row>
    <row r="1205" spans="1:4">
      <c r="A1205" s="1"/>
      <c r="D1205" s="1"/>
    </row>
    <row r="1206" spans="1:4">
      <c r="A1206" s="1"/>
      <c r="D1206" s="1"/>
    </row>
    <row r="1207" spans="1:4">
      <c r="A1207" s="1"/>
      <c r="D1207" s="1"/>
    </row>
    <row r="1208" spans="1:4">
      <c r="A1208" s="1"/>
      <c r="D1208" s="1"/>
    </row>
    <row r="1209" spans="1:4">
      <c r="A1209" s="1"/>
      <c r="D1209" s="1"/>
    </row>
    <row r="1210" spans="1:4">
      <c r="A1210" s="1"/>
      <c r="D1210" s="1"/>
    </row>
    <row r="1211" spans="1:4">
      <c r="A1211" s="1"/>
      <c r="D1211" s="1"/>
    </row>
    <row r="1212" spans="1:4">
      <c r="A1212" s="1"/>
      <c r="D1212" s="1"/>
    </row>
    <row r="1213" spans="1:4">
      <c r="A1213" s="1"/>
      <c r="D1213" s="1"/>
    </row>
    <row r="1214" spans="1:4">
      <c r="A1214" s="1"/>
      <c r="D1214" s="1"/>
    </row>
    <row r="1215" spans="1:4">
      <c r="A1215" s="1"/>
      <c r="D1215" s="1"/>
    </row>
    <row r="1216" spans="1:4">
      <c r="A1216" s="1"/>
      <c r="D1216" s="1"/>
    </row>
    <row r="1217" spans="1:4">
      <c r="A1217" s="1"/>
      <c r="D1217" s="1"/>
    </row>
    <row r="1218" spans="1:4">
      <c r="A1218" s="1"/>
      <c r="D1218" s="1"/>
    </row>
    <row r="1219" spans="1:4">
      <c r="A1219" s="1"/>
      <c r="D1219" s="1"/>
    </row>
    <row r="1220" spans="1:4">
      <c r="A1220" s="1"/>
      <c r="D1220" s="1"/>
    </row>
    <row r="1221" spans="1:4">
      <c r="A1221" s="1"/>
      <c r="D1221" s="1"/>
    </row>
    <row r="1222" spans="1:4">
      <c r="A1222" s="1"/>
      <c r="D1222" s="1"/>
    </row>
    <row r="1223" spans="1:4">
      <c r="A1223" s="1"/>
      <c r="D1223" s="1"/>
    </row>
    <row r="1224" spans="1:4">
      <c r="A1224" s="1"/>
      <c r="D1224" s="1"/>
    </row>
    <row r="1225" spans="1:4">
      <c r="A1225" s="1"/>
      <c r="D1225" s="1"/>
    </row>
    <row r="1226" spans="1:4">
      <c r="A1226" s="1"/>
      <c r="D1226" s="1"/>
    </row>
    <row r="1227" spans="1:4">
      <c r="A1227" s="1"/>
      <c r="D1227" s="1"/>
    </row>
    <row r="1228" spans="1:4">
      <c r="A1228" s="1"/>
      <c r="D1228" s="1"/>
    </row>
    <row r="1229" spans="1:4">
      <c r="A1229" s="1"/>
      <c r="D1229" s="1"/>
    </row>
    <row r="1230" spans="1:4">
      <c r="A1230" s="1"/>
      <c r="D1230" s="1"/>
    </row>
    <row r="1231" spans="1:4">
      <c r="A1231" s="1"/>
      <c r="D1231" s="1"/>
    </row>
    <row r="1232" spans="1:4">
      <c r="A1232" s="1"/>
      <c r="D1232" s="1"/>
    </row>
    <row r="1233" spans="1:4">
      <c r="A1233" s="1"/>
      <c r="D1233" s="1"/>
    </row>
    <row r="1234" spans="1:4">
      <c r="A1234" s="1"/>
      <c r="D1234" s="1"/>
    </row>
    <row r="1235" spans="1:4">
      <c r="A1235" s="1"/>
      <c r="D1235" s="1"/>
    </row>
    <row r="1236" spans="1:4">
      <c r="A1236" s="1"/>
      <c r="D1236" s="1"/>
    </row>
    <row r="1237" spans="1:4">
      <c r="A1237" s="1"/>
      <c r="D1237" s="1"/>
    </row>
    <row r="1238" spans="1:4">
      <c r="A1238" s="1"/>
      <c r="D1238" s="1"/>
    </row>
    <row r="1239" spans="1:4">
      <c r="A1239" s="1"/>
      <c r="D1239" s="1"/>
    </row>
    <row r="1240" spans="1:4">
      <c r="A1240" s="1"/>
      <c r="D1240" s="1"/>
    </row>
    <row r="1241" spans="1:4">
      <c r="A1241" s="1"/>
      <c r="D1241" s="1"/>
    </row>
    <row r="1242" spans="1:4">
      <c r="A1242" s="1"/>
      <c r="D1242" s="1"/>
    </row>
    <row r="1243" spans="1:4">
      <c r="A1243" s="1"/>
      <c r="D1243" s="1"/>
    </row>
    <row r="1244" spans="1:4">
      <c r="A1244" s="1"/>
      <c r="D1244" s="1"/>
    </row>
    <row r="1245" spans="1:4">
      <c r="A1245" s="1"/>
      <c r="D1245" s="1"/>
    </row>
    <row r="1246" spans="1:4">
      <c r="A1246" s="1"/>
      <c r="D1246" s="1"/>
    </row>
    <row r="1247" spans="1:4">
      <c r="A1247" s="1"/>
      <c r="D1247" s="1"/>
    </row>
    <row r="1248" spans="1:4">
      <c r="A1248" s="1"/>
      <c r="D1248" s="1"/>
    </row>
    <row r="1249" spans="1:4">
      <c r="A1249" s="1"/>
      <c r="D1249" s="1"/>
    </row>
    <row r="1250" spans="1:4">
      <c r="A1250" s="1"/>
      <c r="D1250" s="1"/>
    </row>
    <row r="1251" spans="1:4">
      <c r="A1251" s="1"/>
      <c r="D1251" s="1"/>
    </row>
    <row r="1252" spans="1:4">
      <c r="A1252" s="1"/>
      <c r="D1252" s="1"/>
    </row>
    <row r="1253" spans="1:4">
      <c r="A1253" s="1"/>
      <c r="D1253" s="1"/>
    </row>
    <row r="1254" spans="1:4">
      <c r="A1254" s="1"/>
      <c r="D1254" s="1"/>
    </row>
    <row r="1255" spans="1:4">
      <c r="A1255" s="1"/>
      <c r="D1255" s="1"/>
    </row>
    <row r="1256" spans="1:4">
      <c r="A1256" s="1"/>
      <c r="D1256" s="1"/>
    </row>
    <row r="1257" spans="1:4">
      <c r="A1257" s="1"/>
      <c r="D1257" s="1"/>
    </row>
    <row r="1258" spans="1:4">
      <c r="A1258" s="1"/>
      <c r="D1258" s="1"/>
    </row>
    <row r="1259" spans="1:4">
      <c r="A1259" s="1"/>
      <c r="D1259" s="1"/>
    </row>
    <row r="1260" spans="1:4">
      <c r="A1260" s="1"/>
      <c r="D1260" s="1"/>
    </row>
    <row r="1261" spans="1:4">
      <c r="A1261" s="1"/>
      <c r="D1261" s="1"/>
    </row>
    <row r="1262" spans="1:4">
      <c r="A1262" s="1"/>
      <c r="D1262" s="1"/>
    </row>
    <row r="1263" spans="1:4">
      <c r="A1263" s="1"/>
      <c r="D1263" s="1"/>
    </row>
    <row r="1264" spans="1:4">
      <c r="A1264" s="1"/>
      <c r="D1264" s="1"/>
    </row>
    <row r="1265" spans="1:4">
      <c r="A1265" s="1"/>
      <c r="D1265" s="1"/>
    </row>
    <row r="1266" spans="1:4">
      <c r="A1266" s="1"/>
      <c r="D1266" s="1"/>
    </row>
    <row r="1267" spans="1:4">
      <c r="A1267" s="1"/>
      <c r="D1267" s="1"/>
    </row>
    <row r="1268" spans="1:4">
      <c r="A1268" s="1"/>
      <c r="D1268" s="1"/>
    </row>
    <row r="1269" spans="1:4">
      <c r="A1269" s="1"/>
      <c r="D1269" s="1"/>
    </row>
    <row r="1270" spans="1:4">
      <c r="A1270" s="1"/>
      <c r="D1270" s="1"/>
    </row>
    <row r="1271" spans="1:4">
      <c r="A1271" s="1"/>
      <c r="D1271" s="1"/>
    </row>
    <row r="1272" spans="1:4">
      <c r="A1272" s="1"/>
      <c r="D1272" s="1"/>
    </row>
    <row r="1273" spans="1:4">
      <c r="A1273" s="1"/>
      <c r="D1273" s="1"/>
    </row>
    <row r="1274" spans="1:4">
      <c r="A1274" s="1"/>
      <c r="D1274" s="1"/>
    </row>
    <row r="1275" spans="1:4">
      <c r="A1275" s="1"/>
      <c r="D1275" s="1"/>
    </row>
    <row r="1276" spans="1:4">
      <c r="A1276" s="1"/>
      <c r="D1276" s="1"/>
    </row>
    <row r="1277" spans="1:4">
      <c r="A1277" s="1"/>
      <c r="D1277" s="1"/>
    </row>
    <row r="1278" spans="1:4">
      <c r="A1278" s="1"/>
      <c r="D1278" s="1"/>
    </row>
    <row r="1279" spans="1:4">
      <c r="A1279" s="1"/>
      <c r="D1279" s="1"/>
    </row>
    <row r="1280" spans="1:4">
      <c r="A1280" s="1"/>
      <c r="D1280" s="1"/>
    </row>
    <row r="1281" spans="1:4">
      <c r="A1281" s="1"/>
      <c r="D1281" s="1"/>
    </row>
    <row r="1282" spans="1:4">
      <c r="A1282" s="1"/>
      <c r="D1282" s="1"/>
    </row>
    <row r="1283" spans="1:4">
      <c r="A1283" s="1"/>
      <c r="D1283" s="1"/>
    </row>
    <row r="1284" spans="1:4">
      <c r="A1284" s="1"/>
      <c r="D1284" s="1"/>
    </row>
    <row r="1285" spans="1:4">
      <c r="A1285" s="1"/>
      <c r="D1285" s="1"/>
    </row>
    <row r="1286" spans="1:4">
      <c r="A1286" s="1"/>
      <c r="D1286" s="1"/>
    </row>
    <row r="1287" spans="1:4">
      <c r="A1287" s="1"/>
      <c r="D1287" s="1"/>
    </row>
    <row r="1288" spans="1:4">
      <c r="A1288" s="1"/>
      <c r="D1288" s="1"/>
    </row>
    <row r="1289" spans="1:4">
      <c r="A1289" s="1"/>
      <c r="D1289" s="1"/>
    </row>
    <row r="1290" spans="1:4">
      <c r="A1290" s="1"/>
      <c r="D1290" s="1"/>
    </row>
    <row r="1291" spans="1:4">
      <c r="A1291" s="1"/>
      <c r="D1291" s="1"/>
    </row>
    <row r="1292" spans="1:4">
      <c r="A1292" s="1"/>
      <c r="D1292" s="1"/>
    </row>
    <row r="1293" spans="1:4">
      <c r="A1293" s="1"/>
      <c r="D1293" s="1"/>
    </row>
    <row r="1294" spans="1:4">
      <c r="A1294" s="1"/>
      <c r="D1294" s="1"/>
    </row>
    <row r="1295" spans="1:4">
      <c r="A1295" s="1"/>
      <c r="D1295" s="1"/>
    </row>
    <row r="1296" spans="1:4">
      <c r="A1296" s="1"/>
      <c r="D1296" s="1"/>
    </row>
    <row r="1297" spans="1:4">
      <c r="A1297" s="1"/>
      <c r="D1297" s="1"/>
    </row>
    <row r="1298" spans="1:4">
      <c r="A1298" s="1"/>
      <c r="D1298" s="1"/>
    </row>
    <row r="1299" spans="1:4">
      <c r="A1299" s="1"/>
      <c r="D1299" s="1"/>
    </row>
    <row r="1300" spans="1:4">
      <c r="A1300" s="1"/>
      <c r="D1300" s="1"/>
    </row>
    <row r="1301" spans="1:4">
      <c r="A1301" s="1"/>
      <c r="D1301" s="1"/>
    </row>
    <row r="1302" spans="1:4">
      <c r="A1302" s="1"/>
      <c r="D1302" s="1"/>
    </row>
    <row r="1303" spans="1:4">
      <c r="A1303" s="1"/>
      <c r="D1303" s="1"/>
    </row>
    <row r="1304" spans="1:4">
      <c r="A1304" s="1"/>
      <c r="D1304" s="1"/>
    </row>
    <row r="1305" spans="1:4">
      <c r="A1305" s="1"/>
      <c r="D1305" s="1"/>
    </row>
    <row r="1306" spans="1:4">
      <c r="A1306" s="1"/>
      <c r="D1306" s="1"/>
    </row>
    <row r="1307" spans="1:4">
      <c r="A1307" s="1"/>
      <c r="D1307" s="1"/>
    </row>
    <row r="1308" spans="1:4">
      <c r="A1308" s="1"/>
      <c r="D1308" s="1"/>
    </row>
    <row r="1309" spans="1:4">
      <c r="A1309" s="1"/>
      <c r="D1309" s="1"/>
    </row>
    <row r="1310" spans="1:4">
      <c r="A1310" s="1"/>
      <c r="D1310" s="1"/>
    </row>
    <row r="1311" spans="1:4">
      <c r="A1311" s="1"/>
      <c r="D1311" s="1"/>
    </row>
    <row r="1312" spans="1:4">
      <c r="A1312" s="1"/>
      <c r="D1312" s="1"/>
    </row>
    <row r="1313" spans="1:4">
      <c r="A1313" s="1"/>
      <c r="D1313" s="1"/>
    </row>
    <row r="1314" spans="1:4">
      <c r="A1314" s="1"/>
      <c r="D1314" s="1"/>
    </row>
    <row r="1315" spans="1:4">
      <c r="A1315" s="1"/>
      <c r="D1315" s="1"/>
    </row>
    <row r="1316" spans="1:4">
      <c r="A1316" s="1"/>
      <c r="D1316" s="1"/>
    </row>
    <row r="1317" spans="1:4">
      <c r="A1317" s="1"/>
      <c r="D1317" s="1"/>
    </row>
    <row r="1318" spans="1:4">
      <c r="A1318" s="1"/>
      <c r="D1318" s="1"/>
    </row>
    <row r="1319" spans="1:4">
      <c r="A1319" s="1"/>
      <c r="D1319" s="1"/>
    </row>
    <row r="1320" spans="1:4">
      <c r="A1320" s="1"/>
      <c r="D1320" s="1"/>
    </row>
    <row r="1321" spans="1:4">
      <c r="A1321" s="1"/>
      <c r="D1321" s="1"/>
    </row>
    <row r="1322" spans="1:4">
      <c r="A1322" s="1"/>
      <c r="D1322" s="1"/>
    </row>
    <row r="1323" spans="1:4">
      <c r="A1323" s="1"/>
      <c r="D1323" s="1"/>
    </row>
    <row r="1324" spans="1:4">
      <c r="A1324" s="1"/>
      <c r="D1324" s="1"/>
    </row>
    <row r="1325" spans="1:4">
      <c r="A1325" s="1"/>
      <c r="D1325" s="1"/>
    </row>
    <row r="1326" spans="1:4">
      <c r="A1326" s="1"/>
      <c r="D1326" s="1"/>
    </row>
    <row r="1327" spans="1:4">
      <c r="A1327" s="1"/>
      <c r="D1327" s="1"/>
    </row>
    <row r="1328" spans="1:4">
      <c r="A1328" s="1"/>
      <c r="D1328" s="1"/>
    </row>
    <row r="1329" spans="1:4">
      <c r="A1329" s="1"/>
      <c r="D1329" s="1"/>
    </row>
    <row r="1330" spans="1:4">
      <c r="A1330" s="1"/>
      <c r="D1330" s="1"/>
    </row>
    <row r="1331" spans="1:4">
      <c r="A1331" s="1"/>
      <c r="D1331" s="1"/>
    </row>
    <row r="1332" spans="1:4">
      <c r="A1332" s="1"/>
      <c r="D1332" s="1"/>
    </row>
    <row r="1333" spans="1:4">
      <c r="A1333" s="1"/>
      <c r="D1333" s="1"/>
    </row>
    <row r="1334" spans="1:4">
      <c r="A1334" s="1"/>
      <c r="D1334" s="1"/>
    </row>
    <row r="1335" spans="1:4">
      <c r="A1335" s="1"/>
      <c r="D1335" s="1"/>
    </row>
    <row r="1336" spans="1:4">
      <c r="A1336" s="1"/>
      <c r="D1336" s="1"/>
    </row>
    <row r="1337" spans="1:4">
      <c r="A1337" s="1"/>
      <c r="D1337" s="1"/>
    </row>
    <row r="1338" spans="1:4">
      <c r="A1338" s="1"/>
      <c r="D1338" s="1"/>
    </row>
    <row r="1339" spans="1:4">
      <c r="A1339" s="1"/>
      <c r="D1339" s="1"/>
    </row>
    <row r="1340" spans="1:4">
      <c r="A1340" s="1"/>
      <c r="D1340" s="1"/>
    </row>
    <row r="1341" spans="1:4">
      <c r="A1341" s="1"/>
      <c r="D1341" s="1"/>
    </row>
    <row r="1342" spans="1:4">
      <c r="A1342" s="1"/>
      <c r="D1342" s="1"/>
    </row>
    <row r="1343" spans="1:4">
      <c r="A1343" s="1"/>
      <c r="D1343" s="1"/>
    </row>
    <row r="1344" spans="1:4">
      <c r="A1344" s="1"/>
      <c r="D1344" s="1"/>
    </row>
    <row r="1345" spans="1:4">
      <c r="A1345" s="1"/>
      <c r="D1345" s="1"/>
    </row>
    <row r="1346" spans="1:4">
      <c r="A1346" s="1"/>
      <c r="D1346" s="1"/>
    </row>
    <row r="1347" spans="1:4">
      <c r="A1347" s="1"/>
      <c r="D1347" s="1"/>
    </row>
    <row r="1348" spans="1:4">
      <c r="A1348" s="1"/>
      <c r="D1348" s="1"/>
    </row>
    <row r="1349" spans="1:4">
      <c r="A1349" s="1"/>
      <c r="D1349" s="1"/>
    </row>
    <row r="1350" spans="1:4">
      <c r="A1350" s="1"/>
      <c r="D1350" s="1"/>
    </row>
    <row r="1351" spans="1:4">
      <c r="A1351" s="1"/>
      <c r="D1351" s="1"/>
    </row>
    <row r="1352" spans="1:4">
      <c r="A1352" s="1"/>
      <c r="D1352" s="1"/>
    </row>
    <row r="1353" spans="1:4">
      <c r="A1353" s="1"/>
      <c r="D1353" s="1"/>
    </row>
    <row r="1354" spans="1:4">
      <c r="A1354" s="1"/>
      <c r="D1354" s="1"/>
    </row>
    <row r="1355" spans="1:4">
      <c r="A1355" s="1"/>
      <c r="D1355" s="1"/>
    </row>
    <row r="1356" spans="1:4">
      <c r="A1356" s="1"/>
      <c r="D1356" s="1"/>
    </row>
    <row r="1357" spans="1:4">
      <c r="A1357" s="1"/>
      <c r="D1357" s="1"/>
    </row>
    <row r="1358" spans="1:4">
      <c r="A1358" s="1"/>
      <c r="D1358" s="1"/>
    </row>
    <row r="1359" spans="1:4">
      <c r="A1359" s="1"/>
      <c r="D1359" s="1"/>
    </row>
    <row r="1360" spans="1:4">
      <c r="A1360" s="1"/>
      <c r="D1360" s="1"/>
    </row>
    <row r="1361" spans="1:4">
      <c r="A1361" s="1"/>
      <c r="D1361" s="1"/>
    </row>
    <row r="1362" spans="1:4">
      <c r="A1362" s="1"/>
      <c r="D1362" s="1"/>
    </row>
    <row r="1363" spans="1:4">
      <c r="A1363" s="1"/>
      <c r="D1363" s="1"/>
    </row>
    <row r="1364" spans="1:4">
      <c r="A1364" s="1"/>
      <c r="D1364" s="1"/>
    </row>
    <row r="1365" spans="1:4">
      <c r="A1365" s="1"/>
      <c r="D1365" s="1"/>
    </row>
    <row r="1366" spans="1:4">
      <c r="A1366" s="1"/>
      <c r="D1366" s="1"/>
    </row>
    <row r="1367" spans="1:4">
      <c r="A1367" s="1"/>
      <c r="D1367" s="1"/>
    </row>
    <row r="1368" spans="1:4">
      <c r="A1368" s="1"/>
      <c r="D1368" s="1"/>
    </row>
    <row r="1369" spans="1:4">
      <c r="A1369" s="1"/>
      <c r="D1369" s="1"/>
    </row>
    <row r="1370" spans="1:4">
      <c r="A1370" s="1"/>
      <c r="D1370" s="1"/>
    </row>
    <row r="1371" spans="1:4">
      <c r="A1371" s="1"/>
      <c r="D1371" s="1"/>
    </row>
    <row r="1372" spans="1:4">
      <c r="A1372" s="1"/>
      <c r="D1372" s="1"/>
    </row>
    <row r="1373" spans="1:4">
      <c r="A1373" s="1"/>
      <c r="D1373" s="1"/>
    </row>
    <row r="1374" spans="1:4">
      <c r="A1374" s="1"/>
      <c r="D1374" s="1"/>
    </row>
    <row r="1375" spans="1:4">
      <c r="A1375" s="1"/>
      <c r="D1375" s="1"/>
    </row>
    <row r="1376" spans="1:4">
      <c r="A1376" s="1"/>
      <c r="D1376" s="1"/>
    </row>
    <row r="1377" spans="1:4">
      <c r="A1377" s="1"/>
      <c r="D1377" s="1"/>
    </row>
    <row r="1378" spans="1:4">
      <c r="A1378" s="1"/>
      <c r="D1378" s="1"/>
    </row>
    <row r="1379" spans="1:4">
      <c r="A1379" s="1"/>
      <c r="D1379" s="1"/>
    </row>
    <row r="1380" spans="1:4">
      <c r="A1380" s="1"/>
      <c r="D1380" s="1"/>
    </row>
    <row r="1381" spans="1:4">
      <c r="A1381" s="1"/>
      <c r="D1381" s="1"/>
    </row>
    <row r="1382" spans="1:4">
      <c r="A1382" s="1"/>
      <c r="D1382" s="1"/>
    </row>
    <row r="1383" spans="1:4">
      <c r="A1383" s="1"/>
      <c r="D1383" s="1"/>
    </row>
    <row r="1384" spans="1:4">
      <c r="A1384" s="1"/>
      <c r="D1384" s="1"/>
    </row>
    <row r="1385" spans="1:4">
      <c r="A1385" s="1"/>
      <c r="D1385" s="1"/>
    </row>
    <row r="1386" spans="1:4">
      <c r="A1386" s="1"/>
      <c r="D1386" s="1"/>
    </row>
    <row r="1387" spans="1:4">
      <c r="A1387" s="1"/>
      <c r="D1387" s="1"/>
    </row>
    <row r="1388" spans="1:4">
      <c r="A1388" s="1"/>
      <c r="D1388" s="1"/>
    </row>
    <row r="1389" spans="1:4">
      <c r="A1389" s="1"/>
      <c r="D1389" s="1"/>
    </row>
    <row r="1390" spans="1:4">
      <c r="A1390" s="1"/>
      <c r="D1390" s="1"/>
    </row>
    <row r="1391" spans="1:4">
      <c r="A1391" s="1"/>
      <c r="D1391" s="1"/>
    </row>
    <row r="1392" spans="1:4">
      <c r="A1392" s="1"/>
      <c r="D1392" s="1"/>
    </row>
    <row r="1393" spans="1:4">
      <c r="A1393" s="1"/>
      <c r="D1393" s="1"/>
    </row>
    <row r="1394" spans="1:4">
      <c r="A1394" s="1"/>
      <c r="D1394" s="1"/>
    </row>
    <row r="1395" spans="1:4">
      <c r="A1395" s="1"/>
      <c r="D1395" s="1"/>
    </row>
    <row r="1396" spans="1:4">
      <c r="A1396" s="1"/>
      <c r="D1396" s="1"/>
    </row>
    <row r="1397" spans="1:4">
      <c r="A1397" s="1"/>
      <c r="D1397" s="1"/>
    </row>
    <row r="1398" spans="1:4">
      <c r="A1398" s="1"/>
      <c r="D1398" s="1"/>
    </row>
    <row r="1399" spans="1:4">
      <c r="A1399" s="1"/>
      <c r="D1399" s="1"/>
    </row>
    <row r="1400" spans="1:4">
      <c r="A1400" s="1"/>
      <c r="D1400" s="1"/>
    </row>
    <row r="1401" spans="1:4">
      <c r="A1401" s="1"/>
      <c r="D1401" s="1"/>
    </row>
    <row r="1402" spans="1:4">
      <c r="A1402" s="1"/>
      <c r="D1402" s="1"/>
    </row>
    <row r="1403" spans="1:4">
      <c r="A1403" s="1"/>
      <c r="D1403" s="1"/>
    </row>
    <row r="1404" spans="1:4">
      <c r="A1404" s="1"/>
      <c r="D1404" s="1"/>
    </row>
    <row r="1405" spans="1:4">
      <c r="A1405" s="1"/>
      <c r="D1405" s="1"/>
    </row>
    <row r="1406" spans="1:4">
      <c r="A1406" s="1"/>
      <c r="D1406" s="1"/>
    </row>
    <row r="1407" spans="1:4">
      <c r="A1407" s="1"/>
      <c r="D1407" s="1"/>
    </row>
    <row r="1408" spans="1:4">
      <c r="A1408" s="1"/>
      <c r="D1408" s="1"/>
    </row>
    <row r="1409" spans="1:4">
      <c r="A1409" s="1"/>
      <c r="D1409" s="1"/>
    </row>
    <row r="1410" spans="1:4">
      <c r="A1410" s="1"/>
      <c r="D1410" s="1"/>
    </row>
    <row r="1411" spans="1:4">
      <c r="A1411" s="1"/>
      <c r="D1411" s="1"/>
    </row>
    <row r="1412" spans="1:4">
      <c r="A1412" s="1"/>
      <c r="D1412" s="1"/>
    </row>
    <row r="1413" spans="1:4">
      <c r="A1413" s="1"/>
      <c r="D1413" s="1"/>
    </row>
    <row r="1414" spans="1:4">
      <c r="A1414" s="1"/>
      <c r="D1414" s="1"/>
    </row>
    <row r="1415" spans="1:4">
      <c r="A1415" s="1"/>
      <c r="D1415" s="1"/>
    </row>
    <row r="1416" spans="1:4">
      <c r="A1416" s="1"/>
      <c r="D1416" s="1"/>
    </row>
    <row r="1417" spans="1:4">
      <c r="A1417" s="1"/>
      <c r="D1417" s="1"/>
    </row>
    <row r="1418" spans="1:4">
      <c r="A1418" s="1"/>
      <c r="D1418" s="1"/>
    </row>
    <row r="1419" spans="1:4">
      <c r="A1419" s="1"/>
      <c r="D1419" s="1"/>
    </row>
    <row r="1420" spans="1:4">
      <c r="A1420" s="1"/>
      <c r="D1420" s="1"/>
    </row>
    <row r="1421" spans="1:4">
      <c r="A1421" s="1"/>
      <c r="D1421" s="1"/>
    </row>
    <row r="1422" spans="1:4">
      <c r="A1422" s="1"/>
      <c r="D1422" s="1"/>
    </row>
    <row r="1423" spans="1:4">
      <c r="A1423" s="1"/>
      <c r="D1423" s="1"/>
    </row>
    <row r="1424" spans="1:4">
      <c r="A1424" s="1"/>
      <c r="D1424" s="1"/>
    </row>
    <row r="1425" spans="1:4">
      <c r="A1425" s="1"/>
      <c r="D1425" s="1"/>
    </row>
    <row r="1426" spans="1:4">
      <c r="A1426" s="1"/>
      <c r="D1426" s="1"/>
    </row>
    <row r="1427" spans="1:4">
      <c r="A1427" s="1"/>
      <c r="D1427" s="1"/>
    </row>
    <row r="1428" spans="1:4">
      <c r="A1428" s="1"/>
      <c r="D1428" s="1"/>
    </row>
    <row r="1429" spans="1:4">
      <c r="A1429" s="1"/>
      <c r="D1429" s="1"/>
    </row>
    <row r="1430" spans="1:4">
      <c r="A1430" s="1"/>
      <c r="D1430" s="1"/>
    </row>
    <row r="1431" spans="1:4">
      <c r="A1431" s="1"/>
      <c r="D1431" s="1"/>
    </row>
    <row r="1432" spans="1:4">
      <c r="A1432" s="1"/>
      <c r="D1432" s="1"/>
    </row>
    <row r="1433" spans="1:4">
      <c r="A1433" s="1"/>
      <c r="D1433" s="1"/>
    </row>
    <row r="1434" spans="1:4">
      <c r="A1434" s="1"/>
      <c r="D1434" s="1"/>
    </row>
    <row r="1435" spans="1:4">
      <c r="A1435" s="1"/>
      <c r="D1435" s="1"/>
    </row>
    <row r="1436" spans="1:4">
      <c r="A1436" s="1"/>
      <c r="D1436" s="1"/>
    </row>
    <row r="1437" spans="1:4">
      <c r="A1437" s="1"/>
      <c r="D1437" s="1"/>
    </row>
    <row r="1438" spans="1:4">
      <c r="A1438" s="1"/>
      <c r="D1438" s="1"/>
    </row>
    <row r="1439" spans="1:4">
      <c r="A1439" s="1"/>
      <c r="D1439" s="1"/>
    </row>
    <row r="1440" spans="1:4">
      <c r="A1440" s="1"/>
      <c r="D1440" s="1"/>
    </row>
    <row r="1441" spans="1:4">
      <c r="A1441" s="1"/>
      <c r="D1441" s="1"/>
    </row>
    <row r="1442" spans="1:4">
      <c r="A1442" s="1"/>
      <c r="D1442" s="1"/>
    </row>
    <row r="1443" spans="1:4">
      <c r="A1443" s="1"/>
      <c r="D1443" s="1"/>
    </row>
    <row r="1444" spans="1:4">
      <c r="A1444" s="1"/>
      <c r="D1444" s="1"/>
    </row>
    <row r="1445" spans="1:4">
      <c r="A1445" s="1"/>
      <c r="D1445" s="1"/>
    </row>
    <row r="1446" spans="1:4">
      <c r="A1446" s="1"/>
      <c r="D1446" s="1"/>
    </row>
    <row r="1447" spans="1:4">
      <c r="A1447" s="1"/>
      <c r="D1447" s="1"/>
    </row>
    <row r="1448" spans="1:4">
      <c r="A1448" s="1"/>
      <c r="D1448" s="1"/>
    </row>
    <row r="1449" spans="1:4">
      <c r="A1449" s="1"/>
      <c r="D1449" s="1"/>
    </row>
    <row r="1450" spans="1:4">
      <c r="A1450" s="1"/>
      <c r="D1450" s="1"/>
    </row>
    <row r="1451" spans="1:4">
      <c r="A1451" s="1"/>
      <c r="D1451" s="1"/>
    </row>
    <row r="1452" spans="1:4">
      <c r="A1452" s="1"/>
      <c r="D1452" s="1"/>
    </row>
    <row r="1453" spans="1:4">
      <c r="A1453" s="1"/>
      <c r="D1453" s="1"/>
    </row>
    <row r="1454" spans="1:4">
      <c r="A1454" s="1"/>
      <c r="D1454" s="1"/>
    </row>
    <row r="1455" spans="1:4">
      <c r="A1455" s="1"/>
      <c r="D1455" s="1"/>
    </row>
    <row r="1456" spans="1:4">
      <c r="A1456" s="1"/>
      <c r="D1456" s="1"/>
    </row>
    <row r="1457" spans="1:4">
      <c r="A1457" s="1"/>
      <c r="D1457" s="1"/>
    </row>
    <row r="1458" spans="1:4">
      <c r="A1458" s="1"/>
      <c r="D1458" s="1"/>
    </row>
    <row r="1459" spans="1:4">
      <c r="A1459" s="1"/>
      <c r="D1459" s="1"/>
    </row>
    <row r="1460" spans="1:4">
      <c r="A1460" s="1"/>
      <c r="D1460" s="1"/>
    </row>
    <row r="1461" spans="1:4">
      <c r="A1461" s="1"/>
      <c r="D1461" s="1"/>
    </row>
    <row r="1462" spans="1:4">
      <c r="A1462" s="1"/>
      <c r="D1462" s="1"/>
    </row>
    <row r="1463" spans="1:4">
      <c r="A1463" s="1"/>
      <c r="D1463" s="1"/>
    </row>
    <row r="1464" spans="1:4">
      <c r="A1464" s="1"/>
      <c r="D1464" s="1"/>
    </row>
    <row r="1465" spans="1:4">
      <c r="A1465" s="1"/>
      <c r="D1465" s="1"/>
    </row>
    <row r="1466" spans="1:4">
      <c r="A1466" s="1"/>
      <c r="D1466" s="1"/>
    </row>
    <row r="1467" spans="1:4">
      <c r="A1467" s="1"/>
      <c r="D1467" s="1"/>
    </row>
    <row r="1468" spans="1:4">
      <c r="A1468" s="1"/>
      <c r="D1468" s="1"/>
    </row>
    <row r="1469" spans="1:4">
      <c r="A1469" s="1"/>
      <c r="D1469" s="1"/>
    </row>
    <row r="1470" spans="1:4">
      <c r="A1470" s="1"/>
      <c r="D1470" s="1"/>
    </row>
    <row r="1471" spans="1:4">
      <c r="A1471" s="1"/>
      <c r="D1471" s="1"/>
    </row>
    <row r="1472" spans="1:4">
      <c r="A1472" s="1"/>
      <c r="D1472" s="1"/>
    </row>
    <row r="1473" spans="1:4">
      <c r="A1473" s="1"/>
      <c r="D1473" s="1"/>
    </row>
    <row r="1474" spans="1:4">
      <c r="A1474" s="1"/>
      <c r="D1474" s="1"/>
    </row>
    <row r="1475" spans="1:4">
      <c r="A1475" s="1"/>
      <c r="D1475" s="1"/>
    </row>
    <row r="1476" spans="1:4">
      <c r="A1476" s="1"/>
      <c r="D1476" s="1"/>
    </row>
    <row r="1477" spans="1:4">
      <c r="A1477" s="1"/>
      <c r="D1477" s="1"/>
    </row>
    <row r="1478" spans="1:4">
      <c r="A1478" s="1"/>
      <c r="D1478" s="1"/>
    </row>
    <row r="1479" spans="1:4">
      <c r="A1479" s="1"/>
      <c r="D1479" s="1"/>
    </row>
    <row r="1480" spans="1:4">
      <c r="A1480" s="1"/>
      <c r="D1480" s="1"/>
    </row>
    <row r="1481" spans="1:4">
      <c r="A1481" s="1"/>
      <c r="D1481" s="1"/>
    </row>
    <row r="1482" spans="1:4">
      <c r="A1482" s="1"/>
      <c r="D1482" s="1"/>
    </row>
    <row r="1483" spans="1:4">
      <c r="A1483" s="1"/>
      <c r="D1483" s="1"/>
    </row>
    <row r="1484" spans="1:4">
      <c r="A1484" s="1"/>
      <c r="D1484" s="1"/>
    </row>
    <row r="1485" spans="1:4">
      <c r="A1485" s="1"/>
      <c r="D1485" s="1"/>
    </row>
    <row r="1486" spans="1:4">
      <c r="A1486" s="1"/>
      <c r="D1486" s="1"/>
    </row>
    <row r="1487" spans="1:4">
      <c r="A1487" s="1"/>
      <c r="D1487" s="1"/>
    </row>
    <row r="1488" spans="1:4">
      <c r="A1488" s="1"/>
      <c r="D1488" s="1"/>
    </row>
    <row r="1489" spans="1:4">
      <c r="A1489" s="1"/>
      <c r="D1489" s="1"/>
    </row>
    <row r="1490" spans="1:4">
      <c r="A1490" s="1"/>
      <c r="D1490" s="1"/>
    </row>
    <row r="1491" spans="1:4">
      <c r="A1491" s="1"/>
      <c r="D1491" s="1"/>
    </row>
    <row r="1492" spans="1:4">
      <c r="A1492" s="1"/>
      <c r="D1492" s="1"/>
    </row>
    <row r="1493" spans="1:4">
      <c r="A1493" s="1"/>
      <c r="D1493" s="1"/>
    </row>
    <row r="1494" spans="1:4">
      <c r="A1494" s="1"/>
      <c r="D1494" s="1"/>
    </row>
    <row r="1495" spans="1:4">
      <c r="A1495" s="1"/>
      <c r="D1495" s="1"/>
    </row>
    <row r="1496" spans="1:4">
      <c r="A1496" s="1"/>
      <c r="D1496" s="1"/>
    </row>
    <row r="1497" spans="1:4">
      <c r="A1497" s="1"/>
      <c r="D1497" s="1"/>
    </row>
    <row r="1498" spans="1:4">
      <c r="A1498" s="1"/>
      <c r="D1498" s="1"/>
    </row>
    <row r="1499" spans="1:4">
      <c r="A1499" s="1"/>
      <c r="D1499" s="1"/>
    </row>
    <row r="1500" spans="1:4">
      <c r="A1500" s="1"/>
      <c r="D1500" s="1"/>
    </row>
    <row r="1501" spans="1:4">
      <c r="A1501" s="1"/>
      <c r="D1501" s="1"/>
    </row>
    <row r="1502" spans="1:4">
      <c r="A1502" s="1"/>
      <c r="D1502" s="1"/>
    </row>
    <row r="1503" spans="1:4">
      <c r="A1503" s="1"/>
      <c r="D1503" s="1"/>
    </row>
    <row r="1504" spans="1:4">
      <c r="A1504" s="1"/>
      <c r="D1504" s="1"/>
    </row>
    <row r="1505" spans="1:4">
      <c r="A1505" s="1"/>
      <c r="D1505" s="1"/>
    </row>
    <row r="1506" spans="1:4">
      <c r="A1506" s="1"/>
      <c r="D1506" s="1"/>
    </row>
    <row r="1507" spans="1:4">
      <c r="A1507" s="1"/>
      <c r="D1507" s="1"/>
    </row>
    <row r="1508" spans="1:4">
      <c r="A1508" s="1"/>
      <c r="D1508" s="1"/>
    </row>
    <row r="1509" spans="1:4">
      <c r="A1509" s="1"/>
      <c r="D1509" s="1"/>
    </row>
    <row r="1510" spans="1:4">
      <c r="A1510" s="1"/>
      <c r="D1510" s="1"/>
    </row>
    <row r="1511" spans="1:4">
      <c r="A1511" s="1"/>
      <c r="D1511" s="1"/>
    </row>
    <row r="1512" spans="1:4">
      <c r="A1512" s="1"/>
      <c r="D1512" s="1"/>
    </row>
    <row r="1513" spans="1:4">
      <c r="A1513" s="1"/>
      <c r="D1513" s="1"/>
    </row>
    <row r="1514" spans="1:4">
      <c r="A1514" s="1"/>
      <c r="D1514" s="1"/>
    </row>
    <row r="1515" spans="1:4">
      <c r="A1515" s="1"/>
      <c r="D1515" s="1"/>
    </row>
    <row r="1516" spans="1:4">
      <c r="A1516" s="1"/>
      <c r="D1516" s="1"/>
    </row>
    <row r="1517" spans="1:4">
      <c r="A1517" s="1"/>
      <c r="D1517" s="1"/>
    </row>
    <row r="1518" spans="1:4">
      <c r="A1518" s="1"/>
      <c r="D1518" s="1"/>
    </row>
    <row r="1519" spans="1:4">
      <c r="A1519" s="1"/>
      <c r="D1519" s="1"/>
    </row>
    <row r="1520" spans="1:4">
      <c r="A1520" s="1"/>
      <c r="D1520" s="1"/>
    </row>
    <row r="1521" spans="1:4">
      <c r="A1521" s="1"/>
      <c r="D1521" s="1"/>
    </row>
    <row r="1522" spans="1:4">
      <c r="A1522" s="1"/>
      <c r="D1522" s="1"/>
    </row>
    <row r="1523" spans="1:4">
      <c r="A1523" s="1"/>
      <c r="D1523" s="1"/>
    </row>
    <row r="1524" spans="1:4">
      <c r="A1524" s="1"/>
      <c r="D1524" s="1"/>
    </row>
    <row r="1525" spans="1:4">
      <c r="A1525" s="1"/>
      <c r="D1525" s="1"/>
    </row>
    <row r="1526" spans="1:4">
      <c r="A1526" s="1"/>
      <c r="D1526" s="1"/>
    </row>
    <row r="1527" spans="1:4">
      <c r="A1527" s="1"/>
      <c r="D1527" s="1"/>
    </row>
    <row r="1528" spans="1:4">
      <c r="A1528" s="1"/>
      <c r="D1528" s="1"/>
    </row>
    <row r="1529" spans="1:4">
      <c r="A1529" s="1"/>
      <c r="D1529" s="1"/>
    </row>
    <row r="1530" spans="1:4">
      <c r="A1530" s="1"/>
      <c r="D1530" s="1"/>
    </row>
    <row r="1531" spans="1:4">
      <c r="A1531" s="1"/>
      <c r="D1531" s="1"/>
    </row>
    <row r="1532" spans="1:4">
      <c r="A1532" s="1"/>
      <c r="D1532" s="1"/>
    </row>
    <row r="1533" spans="1:4">
      <c r="A1533" s="1"/>
      <c r="D1533" s="1"/>
    </row>
    <row r="1534" spans="1:4">
      <c r="A1534" s="1"/>
      <c r="D1534" s="1"/>
    </row>
    <row r="1535" spans="1:4">
      <c r="A1535" s="1"/>
      <c r="D1535" s="1"/>
    </row>
    <row r="1536" spans="1:4">
      <c r="A1536" s="1"/>
      <c r="D1536" s="1"/>
    </row>
    <row r="1537" spans="1:4">
      <c r="A1537" s="1"/>
      <c r="D1537" s="1"/>
    </row>
    <row r="1538" spans="1:4">
      <c r="A1538" s="1"/>
      <c r="D1538" s="1"/>
    </row>
    <row r="1539" spans="1:4">
      <c r="A1539" s="1"/>
      <c r="D1539" s="1"/>
    </row>
    <row r="1540" spans="1:4">
      <c r="A1540" s="1"/>
      <c r="D1540" s="1"/>
    </row>
    <row r="1541" spans="1:4">
      <c r="A1541" s="1"/>
      <c r="D1541" s="1"/>
    </row>
    <row r="1542" spans="1:4">
      <c r="A1542" s="1"/>
      <c r="D1542" s="1"/>
    </row>
    <row r="1543" spans="1:4">
      <c r="A1543" s="1"/>
      <c r="D1543" s="1"/>
    </row>
    <row r="1544" spans="1:4">
      <c r="A1544" s="1"/>
      <c r="D1544" s="1"/>
    </row>
    <row r="1545" spans="1:4">
      <c r="A1545" s="1"/>
      <c r="D1545" s="1"/>
    </row>
    <row r="1546" spans="1:4">
      <c r="A1546" s="1"/>
      <c r="D1546" s="1"/>
    </row>
    <row r="1547" spans="1:4">
      <c r="A1547" s="1"/>
      <c r="D1547" s="1"/>
    </row>
    <row r="1548" spans="1:4">
      <c r="A1548" s="1"/>
      <c r="D1548" s="1"/>
    </row>
    <row r="1549" spans="1:4">
      <c r="A1549" s="1"/>
      <c r="D1549" s="1"/>
    </row>
    <row r="1550" spans="1:4">
      <c r="A1550" s="1"/>
      <c r="D1550" s="1"/>
    </row>
    <row r="1551" spans="1:4">
      <c r="A1551" s="1"/>
      <c r="D1551" s="1"/>
    </row>
    <row r="1552" spans="1:4">
      <c r="A1552" s="1"/>
      <c r="D1552" s="1"/>
    </row>
    <row r="1553" spans="1:4">
      <c r="A1553" s="1"/>
      <c r="D1553" s="1"/>
    </row>
    <row r="1554" spans="1:4">
      <c r="A1554" s="1"/>
      <c r="D1554" s="1"/>
    </row>
    <row r="1555" spans="1:4">
      <c r="A1555" s="1"/>
      <c r="D1555" s="1"/>
    </row>
    <row r="1556" spans="1:4">
      <c r="A1556" s="1"/>
      <c r="D1556" s="1"/>
    </row>
    <row r="1557" spans="1:4">
      <c r="A1557" s="1"/>
      <c r="D1557" s="1"/>
    </row>
    <row r="1558" spans="1:4">
      <c r="A1558" s="1"/>
      <c r="D1558" s="1"/>
    </row>
    <row r="1559" spans="1:4">
      <c r="A1559" s="1"/>
      <c r="D1559" s="1"/>
    </row>
    <row r="1560" spans="1:4">
      <c r="A1560" s="1"/>
      <c r="D1560" s="1"/>
    </row>
    <row r="1561" spans="1:4">
      <c r="A1561" s="1"/>
      <c r="D1561" s="1"/>
    </row>
    <row r="1562" spans="1:4">
      <c r="A1562" s="1"/>
      <c r="D1562" s="1"/>
    </row>
    <row r="1563" spans="1:4">
      <c r="A1563" s="1"/>
      <c r="D1563" s="1"/>
    </row>
    <row r="1564" spans="1:4">
      <c r="A1564" s="1"/>
      <c r="D1564" s="1"/>
    </row>
    <row r="1565" spans="1:4">
      <c r="A1565" s="1"/>
      <c r="D1565" s="1"/>
    </row>
    <row r="1566" spans="1:4">
      <c r="A1566" s="1"/>
      <c r="D1566" s="1"/>
    </row>
    <row r="1567" spans="1:4">
      <c r="A1567" s="1"/>
      <c r="D1567" s="1"/>
    </row>
    <row r="1568" spans="1:4">
      <c r="A1568" s="1"/>
      <c r="D1568" s="1"/>
    </row>
    <row r="1569" spans="1:4">
      <c r="A1569" s="1"/>
      <c r="D1569" s="1"/>
    </row>
    <row r="1570" spans="1:4">
      <c r="A1570" s="1"/>
      <c r="D1570" s="1"/>
    </row>
    <row r="1571" spans="1:4">
      <c r="A1571" s="1"/>
      <c r="D1571" s="1"/>
    </row>
    <row r="1572" spans="1:4">
      <c r="A1572" s="1"/>
      <c r="D1572" s="1"/>
    </row>
    <row r="1573" spans="1:4">
      <c r="A1573" s="1"/>
      <c r="D1573" s="1"/>
    </row>
    <row r="1574" spans="1:4">
      <c r="A1574" s="1"/>
      <c r="D1574" s="1"/>
    </row>
    <row r="1575" spans="1:4">
      <c r="A1575" s="1"/>
      <c r="D1575" s="1"/>
    </row>
    <row r="1576" spans="1:4">
      <c r="A1576" s="1"/>
      <c r="D1576" s="1"/>
    </row>
    <row r="1577" spans="1:4">
      <c r="A1577" s="1"/>
      <c r="D1577" s="1"/>
    </row>
    <row r="1578" spans="1:4">
      <c r="A1578" s="1"/>
      <c r="D1578" s="1"/>
    </row>
    <row r="1579" spans="1:4">
      <c r="A1579" s="1"/>
      <c r="D1579" s="1"/>
    </row>
    <row r="1580" spans="1:4">
      <c r="A1580" s="1"/>
      <c r="D1580" s="1"/>
    </row>
    <row r="1581" spans="1:4">
      <c r="A1581" s="1"/>
      <c r="D1581" s="1"/>
    </row>
    <row r="1582" spans="1:4">
      <c r="A1582" s="1"/>
      <c r="D1582" s="1"/>
    </row>
    <row r="1583" spans="1:4">
      <c r="A1583" s="1"/>
      <c r="D1583" s="1"/>
    </row>
    <row r="1584" spans="1:4">
      <c r="A1584" s="1"/>
      <c r="D1584" s="1"/>
    </row>
    <row r="1585" spans="1:4">
      <c r="A1585" s="1"/>
      <c r="D1585" s="1"/>
    </row>
    <row r="1586" spans="1:4">
      <c r="A1586" s="1"/>
      <c r="D1586" s="1"/>
    </row>
    <row r="1587" spans="1:4">
      <c r="A1587" s="1"/>
      <c r="D1587" s="1"/>
    </row>
    <row r="1588" spans="1:4">
      <c r="A1588" s="1"/>
      <c r="D1588" s="1"/>
    </row>
    <row r="1589" spans="1:4">
      <c r="A1589" s="1"/>
      <c r="D1589" s="1"/>
    </row>
    <row r="1590" spans="1:4">
      <c r="A1590" s="1"/>
      <c r="D1590" s="1"/>
    </row>
    <row r="1591" spans="1:4">
      <c r="A1591" s="1"/>
      <c r="D1591" s="1"/>
    </row>
    <row r="1592" spans="1:4">
      <c r="A1592" s="1"/>
      <c r="D1592" s="1"/>
    </row>
    <row r="1593" spans="1:4">
      <c r="A1593" s="1"/>
      <c r="D1593" s="1"/>
    </row>
    <row r="1594" spans="1:4">
      <c r="A1594" s="1"/>
      <c r="D1594" s="1"/>
    </row>
    <row r="1595" spans="1:4">
      <c r="A1595" s="1"/>
      <c r="D1595" s="1"/>
    </row>
    <row r="1596" spans="1:4">
      <c r="A1596" s="1"/>
      <c r="D1596" s="1"/>
    </row>
    <row r="1597" spans="1:4">
      <c r="A1597" s="1"/>
      <c r="D1597" s="1"/>
    </row>
    <row r="1598" spans="1:4">
      <c r="A1598" s="1"/>
      <c r="D1598" s="1"/>
    </row>
    <row r="1599" spans="1:4">
      <c r="A1599" s="1"/>
      <c r="D1599" s="1"/>
    </row>
    <row r="1600" spans="1:4">
      <c r="A1600" s="1"/>
      <c r="D1600" s="1"/>
    </row>
    <row r="1601" spans="1:4">
      <c r="A1601" s="1"/>
      <c r="D1601" s="1"/>
    </row>
    <row r="1602" spans="1:4">
      <c r="A1602" s="1"/>
      <c r="D1602" s="1"/>
    </row>
    <row r="1603" spans="1:4">
      <c r="A1603" s="1"/>
      <c r="D1603" s="1"/>
    </row>
    <row r="1604" spans="1:4">
      <c r="A1604" s="1"/>
      <c r="D1604" s="1"/>
    </row>
    <row r="1605" spans="1:4">
      <c r="A1605" s="1"/>
      <c r="D1605" s="1"/>
    </row>
    <row r="1606" spans="1:4">
      <c r="A1606" s="1"/>
      <c r="D1606" s="1"/>
    </row>
    <row r="1607" spans="1:4">
      <c r="A1607" s="1"/>
      <c r="D1607" s="1"/>
    </row>
    <row r="1608" spans="1:4">
      <c r="A1608" s="1"/>
      <c r="D1608" s="1"/>
    </row>
    <row r="1609" spans="1:4">
      <c r="A1609" s="1"/>
      <c r="D1609" s="1"/>
    </row>
    <row r="1610" spans="1:4">
      <c r="A1610" s="1"/>
      <c r="D1610" s="1"/>
    </row>
    <row r="1611" spans="1:4">
      <c r="A1611" s="1"/>
      <c r="D1611" s="1"/>
    </row>
    <row r="1612" spans="1:4">
      <c r="A1612" s="1"/>
      <c r="D1612" s="1"/>
    </row>
    <row r="1613" spans="1:4">
      <c r="A1613" s="1"/>
      <c r="D1613" s="1"/>
    </row>
    <row r="1614" spans="1:4">
      <c r="A1614" s="1"/>
      <c r="D1614" s="1"/>
    </row>
    <row r="1615" spans="1:4">
      <c r="A1615" s="1"/>
      <c r="D1615" s="1"/>
    </row>
    <row r="1616" spans="1:4">
      <c r="A1616" s="1"/>
      <c r="D1616" s="1"/>
    </row>
    <row r="1617" spans="1:4">
      <c r="A1617" s="1"/>
      <c r="D1617" s="1"/>
    </row>
    <row r="1618" spans="1:4">
      <c r="A1618" s="1"/>
      <c r="D1618" s="1"/>
    </row>
    <row r="1619" spans="1:4">
      <c r="A1619" s="1"/>
      <c r="D1619" s="1"/>
    </row>
    <row r="1620" spans="1:4">
      <c r="A1620" s="1"/>
      <c r="D1620" s="1"/>
    </row>
    <row r="1621" spans="1:4">
      <c r="A1621" s="1"/>
      <c r="D1621" s="1"/>
    </row>
    <row r="1622" spans="1:4">
      <c r="A1622" s="1"/>
      <c r="D1622" s="1"/>
    </row>
    <row r="1623" spans="1:4">
      <c r="A1623" s="1"/>
      <c r="D1623" s="1"/>
    </row>
    <row r="1624" spans="1:4">
      <c r="A1624" s="1"/>
      <c r="D1624" s="1"/>
    </row>
    <row r="1625" spans="1:4">
      <c r="A1625" s="1"/>
      <c r="D1625" s="1"/>
    </row>
    <row r="1626" spans="1:4">
      <c r="A1626" s="1"/>
      <c r="D1626" s="1"/>
    </row>
    <row r="1627" spans="1:4">
      <c r="A1627" s="1"/>
      <c r="D1627" s="1"/>
    </row>
    <row r="1628" spans="1:4">
      <c r="A1628" s="1"/>
      <c r="D1628" s="1"/>
    </row>
    <row r="1629" spans="1:4">
      <c r="A1629" s="1"/>
      <c r="D1629" s="1"/>
    </row>
    <row r="1630" spans="1:4">
      <c r="A1630" s="1"/>
      <c r="D1630" s="1"/>
    </row>
    <row r="1631" spans="1:4">
      <c r="A1631" s="1"/>
      <c r="D1631" s="1"/>
    </row>
    <row r="1632" spans="1:4">
      <c r="A1632" s="1"/>
      <c r="D1632" s="1"/>
    </row>
    <row r="1633" spans="1:4">
      <c r="A1633" s="1"/>
      <c r="D1633" s="1"/>
    </row>
    <row r="1634" spans="1:4">
      <c r="A1634" s="1"/>
      <c r="D1634" s="1"/>
    </row>
    <row r="1635" spans="1:4">
      <c r="A1635" s="1"/>
      <c r="D1635" s="1"/>
    </row>
    <row r="1636" spans="1:4">
      <c r="A1636" s="1"/>
      <c r="D1636" s="1"/>
    </row>
    <row r="1637" spans="1:4">
      <c r="A1637" s="1"/>
      <c r="D1637" s="1"/>
    </row>
    <row r="1638" spans="1:4">
      <c r="A1638" s="1"/>
      <c r="D1638" s="1"/>
    </row>
    <row r="1639" spans="1:4">
      <c r="A1639" s="1"/>
      <c r="D1639" s="1"/>
    </row>
    <row r="1640" spans="1:4">
      <c r="A1640" s="1"/>
      <c r="D1640" s="1"/>
    </row>
    <row r="1641" spans="1:4">
      <c r="A1641" s="1"/>
      <c r="D1641" s="1"/>
    </row>
    <row r="1642" spans="1:4">
      <c r="A1642" s="1"/>
      <c r="D1642" s="1"/>
    </row>
    <row r="1643" spans="1:4">
      <c r="A1643" s="1"/>
      <c r="D1643" s="1"/>
    </row>
    <row r="1644" spans="1:4">
      <c r="A1644" s="1"/>
      <c r="D1644" s="1"/>
    </row>
    <row r="1645" spans="1:4">
      <c r="A1645" s="1"/>
      <c r="D1645" s="1"/>
    </row>
    <row r="1646" spans="1:4">
      <c r="A1646" s="1"/>
      <c r="D1646" s="1"/>
    </row>
    <row r="1647" spans="1:4">
      <c r="A1647" s="1"/>
      <c r="D1647" s="1"/>
    </row>
    <row r="1648" spans="1:4">
      <c r="A1648" s="1"/>
      <c r="D1648" s="1"/>
    </row>
    <row r="1649" spans="1:4">
      <c r="A1649" s="1"/>
      <c r="D1649" s="1"/>
    </row>
    <row r="1650" spans="1:4">
      <c r="A1650" s="1"/>
      <c r="D1650" s="1"/>
    </row>
    <row r="1651" spans="1:4">
      <c r="A1651" s="1"/>
      <c r="D1651" s="1"/>
    </row>
    <row r="1652" spans="1:4">
      <c r="A1652" s="1"/>
      <c r="D1652" s="1"/>
    </row>
    <row r="1653" spans="1:4">
      <c r="A1653" s="1"/>
      <c r="D1653" s="1"/>
    </row>
    <row r="1654" spans="1:4">
      <c r="A1654" s="1"/>
      <c r="D1654" s="1"/>
    </row>
    <row r="1655" spans="1:4">
      <c r="A1655" s="1"/>
      <c r="D1655" s="1"/>
    </row>
    <row r="1656" spans="1:4">
      <c r="A1656" s="1"/>
      <c r="D1656" s="1"/>
    </row>
    <row r="1657" spans="1:4">
      <c r="A1657" s="1"/>
      <c r="D1657" s="1"/>
    </row>
    <row r="1658" spans="1:4">
      <c r="A1658" s="1"/>
      <c r="D1658" s="1"/>
    </row>
    <row r="1659" spans="1:4">
      <c r="A1659" s="1"/>
      <c r="D1659" s="1"/>
    </row>
    <row r="1660" spans="1:4">
      <c r="A1660" s="1"/>
      <c r="D1660" s="1"/>
    </row>
    <row r="1661" spans="1:4">
      <c r="A1661" s="1"/>
      <c r="D1661" s="1"/>
    </row>
    <row r="1662" spans="1:4">
      <c r="A1662" s="1"/>
      <c r="D1662" s="1"/>
    </row>
    <row r="1663" spans="1:4">
      <c r="A1663" s="1"/>
      <c r="D1663" s="1"/>
    </row>
    <row r="1664" spans="1:4">
      <c r="A1664" s="1"/>
      <c r="D1664" s="1"/>
    </row>
    <row r="1665" spans="1:4">
      <c r="A1665" s="1"/>
      <c r="D1665" s="1"/>
    </row>
    <row r="1666" spans="1:4">
      <c r="A1666" s="1"/>
      <c r="D1666" s="1"/>
    </row>
    <row r="1667" spans="1:4">
      <c r="A1667" s="1"/>
      <c r="D1667" s="1"/>
    </row>
    <row r="1668" spans="1:4">
      <c r="A1668" s="1"/>
      <c r="D1668" s="1"/>
    </row>
    <row r="1669" spans="1:4">
      <c r="A1669" s="1"/>
      <c r="D1669" s="1"/>
    </row>
    <row r="1670" spans="1:4">
      <c r="A1670" s="1"/>
      <c r="D1670" s="1"/>
    </row>
    <row r="1671" spans="1:4">
      <c r="A1671" s="1"/>
      <c r="D1671" s="1"/>
    </row>
    <row r="1672" spans="1:4">
      <c r="A1672" s="1"/>
      <c r="D1672" s="1"/>
    </row>
    <row r="1673" spans="1:4">
      <c r="A1673" s="1"/>
      <c r="D1673" s="1"/>
    </row>
    <row r="1674" spans="1:4">
      <c r="A1674" s="1"/>
      <c r="D1674" s="1"/>
    </row>
    <row r="1675" spans="1:4">
      <c r="A1675" s="1"/>
      <c r="D1675" s="1"/>
    </row>
    <row r="1676" spans="1:4">
      <c r="A1676" s="1"/>
      <c r="D1676" s="1"/>
    </row>
    <row r="1677" spans="1:4">
      <c r="A1677" s="1"/>
      <c r="D1677" s="1"/>
    </row>
    <row r="1678" spans="1:4">
      <c r="A1678" s="1"/>
      <c r="D1678" s="1"/>
    </row>
    <row r="1679" spans="1:4">
      <c r="A1679" s="1"/>
      <c r="D1679" s="1"/>
    </row>
    <row r="1680" spans="1:4">
      <c r="A1680" s="1"/>
      <c r="D1680" s="1"/>
    </row>
    <row r="1681" spans="1:4">
      <c r="A1681" s="1"/>
      <c r="D1681" s="1"/>
    </row>
    <row r="1682" spans="1:4">
      <c r="A1682" s="1"/>
      <c r="D1682" s="1"/>
    </row>
    <row r="1683" spans="1:4">
      <c r="A1683" s="1"/>
      <c r="D1683" s="1"/>
    </row>
    <row r="1684" spans="1:4">
      <c r="A1684" s="1"/>
      <c r="D1684" s="1"/>
    </row>
    <row r="1685" spans="1:4">
      <c r="A1685" s="1"/>
      <c r="D1685" s="1"/>
    </row>
    <row r="1686" spans="1:4">
      <c r="A1686" s="1"/>
      <c r="D1686" s="1"/>
    </row>
    <row r="1687" spans="1:4">
      <c r="A1687" s="1"/>
      <c r="D1687" s="1"/>
    </row>
    <row r="1688" spans="1:4">
      <c r="A1688" s="1"/>
      <c r="D1688" s="1"/>
    </row>
    <row r="1689" spans="1:4">
      <c r="A1689" s="1"/>
      <c r="D1689" s="1"/>
    </row>
    <row r="1690" spans="1:4">
      <c r="A1690" s="1"/>
      <c r="D1690" s="1"/>
    </row>
    <row r="1691" spans="1:4">
      <c r="A1691" s="1"/>
      <c r="D1691" s="1"/>
    </row>
    <row r="1692" spans="1:4">
      <c r="A1692" s="1"/>
      <c r="D1692" s="1"/>
    </row>
    <row r="1693" spans="1:4">
      <c r="A1693" s="1"/>
      <c r="D1693" s="1"/>
    </row>
    <row r="1694" spans="1:4">
      <c r="A1694" s="1"/>
      <c r="D1694" s="1"/>
    </row>
    <row r="1695" spans="1:4">
      <c r="A1695" s="1"/>
      <c r="D1695" s="1"/>
    </row>
    <row r="1696" spans="1:4">
      <c r="A1696" s="1"/>
      <c r="D1696" s="1"/>
    </row>
    <row r="1697" spans="1:4">
      <c r="A1697" s="1"/>
      <c r="D1697" s="1"/>
    </row>
    <row r="1698" spans="1:4">
      <c r="A1698" s="1"/>
      <c r="D1698" s="1"/>
    </row>
    <row r="1699" spans="1:4">
      <c r="A1699" s="1"/>
      <c r="D1699" s="1"/>
    </row>
    <row r="1700" spans="1:4">
      <c r="A1700" s="1"/>
      <c r="D1700" s="1"/>
    </row>
    <row r="1701" spans="1:4">
      <c r="A1701" s="1"/>
      <c r="D1701" s="1"/>
    </row>
    <row r="1702" spans="1:4">
      <c r="A1702" s="1"/>
      <c r="D1702" s="1"/>
    </row>
    <row r="1703" spans="1:4">
      <c r="A1703" s="1"/>
      <c r="D1703" s="1"/>
    </row>
    <row r="1704" spans="1:4">
      <c r="A1704" s="1"/>
      <c r="D1704" s="1"/>
    </row>
    <row r="1705" spans="1:4">
      <c r="A1705" s="1"/>
      <c r="D1705" s="1"/>
    </row>
    <row r="1706" spans="1:4">
      <c r="A1706" s="1"/>
      <c r="D1706" s="1"/>
    </row>
    <row r="1707" spans="1:4">
      <c r="A1707" s="1"/>
      <c r="D1707" s="1"/>
    </row>
    <row r="1708" spans="1:4">
      <c r="A1708" s="1"/>
      <c r="D1708" s="1"/>
    </row>
    <row r="1709" spans="1:4">
      <c r="A1709" s="1"/>
      <c r="D1709" s="1"/>
    </row>
    <row r="1710" spans="1:4">
      <c r="A1710" s="1"/>
      <c r="D1710" s="1"/>
    </row>
    <row r="1711" spans="1:4">
      <c r="A1711" s="1"/>
      <c r="D1711" s="1"/>
    </row>
    <row r="1712" spans="1:4">
      <c r="A1712" s="1"/>
      <c r="D1712" s="1"/>
    </row>
    <row r="1713" spans="1:4">
      <c r="A1713" s="1"/>
      <c r="D1713" s="1"/>
    </row>
    <row r="1714" spans="1:4">
      <c r="A1714" s="1"/>
      <c r="D1714" s="1"/>
    </row>
    <row r="1715" spans="1:4">
      <c r="A1715" s="1"/>
      <c r="D1715" s="1"/>
    </row>
    <row r="1716" spans="1:4">
      <c r="A1716" s="1"/>
      <c r="D1716" s="1"/>
    </row>
    <row r="1717" spans="1:4">
      <c r="A1717" s="1"/>
      <c r="D1717" s="1"/>
    </row>
    <row r="1718" spans="1:4">
      <c r="A1718" s="1"/>
      <c r="D1718" s="1"/>
    </row>
    <row r="1719" spans="1:4">
      <c r="A1719" s="1"/>
      <c r="D1719" s="1"/>
    </row>
    <row r="1720" spans="1:4">
      <c r="A1720" s="1"/>
      <c r="D1720" s="1"/>
    </row>
    <row r="1721" spans="1:4">
      <c r="A1721" s="1"/>
      <c r="D1721" s="1"/>
    </row>
    <row r="1722" spans="1:4">
      <c r="A1722" s="1"/>
      <c r="D1722" s="1"/>
    </row>
    <row r="1723" spans="1:4">
      <c r="A1723" s="1"/>
      <c r="D1723" s="1"/>
    </row>
    <row r="1724" spans="1:4">
      <c r="A1724" s="1"/>
      <c r="D1724" s="1"/>
    </row>
    <row r="1725" spans="1:4">
      <c r="A1725" s="1"/>
      <c r="D1725" s="1"/>
    </row>
    <row r="1726" spans="1:4">
      <c r="A1726" s="1"/>
      <c r="D1726" s="1"/>
    </row>
    <row r="1727" spans="1:4">
      <c r="A1727" s="1"/>
      <c r="D1727" s="1"/>
    </row>
    <row r="1728" spans="1:4">
      <c r="A1728" s="1"/>
      <c r="D1728" s="1"/>
    </row>
    <row r="1729" spans="1:4">
      <c r="A1729" s="1"/>
      <c r="D1729" s="1"/>
    </row>
    <row r="1730" spans="1:4">
      <c r="A1730" s="1"/>
      <c r="D1730" s="1"/>
    </row>
    <row r="1731" spans="1:4">
      <c r="A1731" s="1"/>
      <c r="D1731" s="1"/>
    </row>
    <row r="1732" spans="1:4">
      <c r="A1732" s="1"/>
      <c r="D1732" s="1"/>
    </row>
    <row r="1733" spans="1:4">
      <c r="A1733" s="1"/>
      <c r="D1733" s="1"/>
    </row>
    <row r="1734" spans="1:4">
      <c r="A1734" s="1"/>
      <c r="D1734" s="1"/>
    </row>
    <row r="1735" spans="1:4">
      <c r="A1735" s="1"/>
      <c r="D1735" s="1"/>
    </row>
    <row r="1736" spans="1:4">
      <c r="A1736" s="1"/>
      <c r="D1736" s="1"/>
    </row>
    <row r="1737" spans="1:4">
      <c r="A1737" s="1"/>
      <c r="D1737" s="1"/>
    </row>
    <row r="1738" spans="1:4">
      <c r="A1738" s="1"/>
      <c r="D1738" s="1"/>
    </row>
    <row r="1739" spans="1:4">
      <c r="A1739" s="1"/>
      <c r="D1739" s="1"/>
    </row>
    <row r="1740" spans="1:4">
      <c r="A1740" s="1"/>
      <c r="D1740" s="1"/>
    </row>
    <row r="1741" spans="1:4">
      <c r="A1741" s="1"/>
      <c r="D1741" s="1"/>
    </row>
    <row r="1742" spans="1:4">
      <c r="A1742" s="1"/>
      <c r="D1742" s="1"/>
    </row>
    <row r="1743" spans="1:4">
      <c r="A1743" s="1"/>
      <c r="D1743" s="1"/>
    </row>
    <row r="1744" spans="1:4">
      <c r="A1744" s="1"/>
      <c r="D1744" s="1"/>
    </row>
    <row r="1745" spans="1:4">
      <c r="A1745" s="1"/>
      <c r="D1745" s="1"/>
    </row>
    <row r="1746" spans="1:4">
      <c r="A1746" s="1"/>
      <c r="D1746" s="1"/>
    </row>
    <row r="1747" spans="1:4">
      <c r="A1747" s="1"/>
      <c r="D1747" s="1"/>
    </row>
    <row r="1748" spans="1:4">
      <c r="A1748" s="1"/>
      <c r="D1748" s="1"/>
    </row>
    <row r="1749" spans="1:4">
      <c r="A1749" s="1"/>
      <c r="D1749" s="1"/>
    </row>
    <row r="1750" spans="1:4">
      <c r="A1750" s="1"/>
      <c r="D1750" s="1"/>
    </row>
    <row r="1751" spans="1:4">
      <c r="A1751" s="1"/>
      <c r="D1751" s="1"/>
    </row>
    <row r="1752" spans="1:4">
      <c r="A1752" s="1"/>
      <c r="D1752" s="1"/>
    </row>
    <row r="1753" spans="1:4">
      <c r="A1753" s="1"/>
      <c r="D1753" s="1"/>
    </row>
    <row r="1754" spans="1:4">
      <c r="A1754" s="1"/>
      <c r="D1754" s="1"/>
    </row>
    <row r="1755" spans="1:4">
      <c r="A1755" s="1"/>
      <c r="D1755" s="1"/>
    </row>
    <row r="1756" spans="1:4">
      <c r="A1756" s="1"/>
      <c r="D1756" s="1"/>
    </row>
    <row r="1757" spans="1:4">
      <c r="A1757" s="1"/>
      <c r="D1757" s="1"/>
    </row>
    <row r="1758" spans="1:4">
      <c r="A1758" s="1"/>
      <c r="D1758" s="1"/>
    </row>
    <row r="1759" spans="1:4">
      <c r="A1759" s="1"/>
      <c r="D1759" s="1"/>
    </row>
    <row r="1760" spans="1:4">
      <c r="A1760" s="1"/>
      <c r="D1760" s="1"/>
    </row>
    <row r="1761" spans="1:4">
      <c r="A1761" s="1"/>
      <c r="D1761" s="1"/>
    </row>
    <row r="1762" spans="1:4">
      <c r="A1762" s="1"/>
      <c r="D1762" s="1"/>
    </row>
    <row r="1763" spans="1:4">
      <c r="A1763" s="1"/>
      <c r="D1763" s="1"/>
    </row>
    <row r="1764" spans="1:4">
      <c r="A1764" s="1"/>
      <c r="D1764" s="1"/>
    </row>
    <row r="1765" spans="1:4">
      <c r="A1765" s="1"/>
      <c r="D1765" s="1"/>
    </row>
    <row r="1766" spans="1:4">
      <c r="A1766" s="1"/>
      <c r="D1766" s="1"/>
    </row>
    <row r="1767" spans="1:4">
      <c r="A1767" s="1"/>
      <c r="D1767" s="1"/>
    </row>
    <row r="1768" spans="1:4">
      <c r="A1768" s="1"/>
      <c r="D1768" s="1"/>
    </row>
    <row r="1769" spans="1:4">
      <c r="A1769" s="1"/>
      <c r="D1769" s="1"/>
    </row>
    <row r="1770" spans="1:4">
      <c r="A1770" s="1"/>
      <c r="D1770" s="1"/>
    </row>
    <row r="1771" spans="1:4">
      <c r="A1771" s="1"/>
      <c r="D1771" s="1"/>
    </row>
    <row r="1772" spans="1:4">
      <c r="A1772" s="1"/>
      <c r="D1772" s="1"/>
    </row>
    <row r="1773" spans="1:4">
      <c r="A1773" s="1"/>
      <c r="D1773" s="1"/>
    </row>
    <row r="1774" spans="1:4">
      <c r="A1774" s="1"/>
      <c r="D1774" s="1"/>
    </row>
    <row r="1775" spans="1:4">
      <c r="A1775" s="1"/>
      <c r="D1775" s="1"/>
    </row>
    <row r="1776" spans="1:4">
      <c r="A1776" s="1"/>
      <c r="D1776" s="1"/>
    </row>
    <row r="1777" spans="1:4">
      <c r="A1777" s="1"/>
      <c r="D1777" s="1"/>
    </row>
    <row r="1778" spans="1:4">
      <c r="A1778" s="1"/>
      <c r="D1778" s="1"/>
    </row>
    <row r="1779" spans="1:4">
      <c r="A1779" s="1"/>
      <c r="D1779" s="1"/>
    </row>
    <row r="1780" spans="1:4">
      <c r="A1780" s="1"/>
      <c r="D1780" s="1"/>
    </row>
    <row r="1781" spans="1:4">
      <c r="A1781" s="1"/>
      <c r="D1781" s="1"/>
    </row>
    <row r="1782" spans="1:4">
      <c r="A1782" s="1"/>
      <c r="D1782" s="1"/>
    </row>
    <row r="1783" spans="1:4">
      <c r="A1783" s="1"/>
      <c r="D1783" s="1"/>
    </row>
    <row r="1784" spans="1:4">
      <c r="A1784" s="1"/>
      <c r="D1784" s="1"/>
    </row>
    <row r="1785" spans="1:4">
      <c r="A1785" s="1"/>
      <c r="D1785" s="1"/>
    </row>
    <row r="1786" spans="1:4">
      <c r="A1786" s="1"/>
      <c r="D1786" s="1"/>
    </row>
    <row r="1787" spans="1:4">
      <c r="A1787" s="1"/>
      <c r="D1787" s="1"/>
    </row>
    <row r="1788" spans="1:4">
      <c r="A1788" s="1"/>
      <c r="D1788" s="1"/>
    </row>
    <row r="1789" spans="1:4">
      <c r="A1789" s="1"/>
      <c r="D1789" s="1"/>
    </row>
    <row r="1790" spans="1:4">
      <c r="A1790" s="1"/>
      <c r="D1790" s="1"/>
    </row>
    <row r="1791" spans="1:4">
      <c r="A1791" s="1"/>
      <c r="D1791" s="1"/>
    </row>
    <row r="1792" spans="1:4">
      <c r="A1792" s="1"/>
      <c r="D1792" s="1"/>
    </row>
    <row r="1793" spans="1:4">
      <c r="A1793" s="1"/>
      <c r="D1793" s="1"/>
    </row>
    <row r="1794" spans="1:4">
      <c r="A1794" s="1"/>
      <c r="D1794" s="1"/>
    </row>
    <row r="1795" spans="1:4">
      <c r="A1795" s="1"/>
      <c r="D1795" s="1"/>
    </row>
    <row r="1796" spans="1:4">
      <c r="A1796" s="1"/>
      <c r="D1796" s="1"/>
    </row>
    <row r="1797" spans="1:4">
      <c r="A1797" s="1"/>
      <c r="D1797" s="1"/>
    </row>
    <row r="1798" spans="1:4">
      <c r="A1798" s="1"/>
      <c r="D1798" s="1"/>
    </row>
    <row r="1799" spans="1:4">
      <c r="A1799" s="1"/>
      <c r="D1799" s="1"/>
    </row>
    <row r="1800" spans="1:4">
      <c r="A1800" s="1"/>
      <c r="D1800" s="1"/>
    </row>
    <row r="1801" spans="1:4">
      <c r="A1801" s="1"/>
      <c r="D1801" s="1"/>
    </row>
    <row r="1802" spans="1:4">
      <c r="A1802" s="1"/>
      <c r="D1802" s="1"/>
    </row>
    <row r="1803" spans="1:4">
      <c r="A1803" s="1"/>
      <c r="D1803" s="1"/>
    </row>
    <row r="1804" spans="1:4">
      <c r="A1804" s="1"/>
      <c r="D1804" s="1"/>
    </row>
    <row r="1805" spans="1:4">
      <c r="A1805" s="1"/>
      <c r="D1805" s="1"/>
    </row>
    <row r="1806" spans="1:4">
      <c r="A1806" s="1"/>
      <c r="D1806" s="1"/>
    </row>
    <row r="1807" spans="1:4">
      <c r="A1807" s="1"/>
      <c r="D1807" s="1"/>
    </row>
    <row r="1808" spans="1:4">
      <c r="A1808" s="1"/>
      <c r="D1808" s="1"/>
    </row>
    <row r="1809" spans="1:4">
      <c r="A1809" s="1"/>
      <c r="D1809" s="1"/>
    </row>
    <row r="1810" spans="1:4">
      <c r="A1810" s="1"/>
      <c r="D1810" s="1"/>
    </row>
    <row r="1811" spans="1:4">
      <c r="A1811" s="1"/>
      <c r="D1811" s="1"/>
    </row>
    <row r="1812" spans="1:4">
      <c r="A1812" s="1"/>
      <c r="D1812" s="1"/>
    </row>
    <row r="1813" spans="1:4">
      <c r="A1813" s="1"/>
      <c r="D1813" s="1"/>
    </row>
    <row r="1814" spans="1:4">
      <c r="A1814" s="1"/>
      <c r="D1814" s="1"/>
    </row>
    <row r="1815" spans="1:4">
      <c r="A1815" s="1"/>
      <c r="D1815" s="1"/>
    </row>
    <row r="1816" spans="1:4">
      <c r="A1816" s="1"/>
      <c r="D1816" s="1"/>
    </row>
    <row r="1817" spans="1:4">
      <c r="A1817" s="1"/>
      <c r="D1817" s="1"/>
    </row>
    <row r="1818" spans="1:4">
      <c r="A1818" s="1"/>
      <c r="D1818" s="1"/>
    </row>
    <row r="1819" spans="1:4">
      <c r="A1819" s="1"/>
      <c r="D1819" s="1"/>
    </row>
    <row r="1820" spans="1:4">
      <c r="A1820" s="1"/>
      <c r="D1820" s="1"/>
    </row>
    <row r="1821" spans="1:4">
      <c r="A1821" s="1"/>
      <c r="D1821" s="1"/>
    </row>
    <row r="1822" spans="1:4">
      <c r="A1822" s="1"/>
      <c r="D1822" s="1"/>
    </row>
    <row r="1823" spans="1:4">
      <c r="A1823" s="1"/>
      <c r="D1823" s="1"/>
    </row>
    <row r="1824" spans="1:4">
      <c r="A1824" s="1"/>
      <c r="D1824" s="1"/>
    </row>
    <row r="1825" spans="1:4">
      <c r="A1825" s="1"/>
      <c r="D1825" s="1"/>
    </row>
    <row r="1826" spans="1:4">
      <c r="A1826" s="1"/>
      <c r="D1826" s="1"/>
    </row>
    <row r="1827" spans="1:4">
      <c r="A1827" s="1"/>
      <c r="D1827" s="1"/>
    </row>
    <row r="1828" spans="1:4">
      <c r="A1828" s="1"/>
      <c r="D1828" s="1"/>
    </row>
    <row r="1829" spans="1:4">
      <c r="A1829" s="1"/>
      <c r="D1829" s="1"/>
    </row>
    <row r="1830" spans="1:4">
      <c r="A1830" s="1"/>
      <c r="D1830" s="1"/>
    </row>
    <row r="1831" spans="1:4">
      <c r="A1831" s="1"/>
      <c r="D1831" s="1"/>
    </row>
    <row r="1832" spans="1:4">
      <c r="A1832" s="1"/>
      <c r="D1832" s="1"/>
    </row>
    <row r="1833" spans="1:4">
      <c r="A1833" s="1"/>
      <c r="D1833" s="1"/>
    </row>
    <row r="1834" spans="1:4">
      <c r="A1834" s="1"/>
      <c r="D1834" s="1"/>
    </row>
    <row r="1835" spans="1:4">
      <c r="A1835" s="1"/>
      <c r="D1835" s="1"/>
    </row>
    <row r="1836" spans="1:4">
      <c r="A1836" s="1"/>
      <c r="D1836" s="1"/>
    </row>
    <row r="1837" spans="1:4">
      <c r="A1837" s="1"/>
      <c r="D1837" s="1"/>
    </row>
    <row r="1838" spans="1:4">
      <c r="A1838" s="1"/>
      <c r="D1838" s="1"/>
    </row>
    <row r="1839" spans="1:4">
      <c r="A1839" s="1"/>
      <c r="D1839" s="1"/>
    </row>
    <row r="1840" spans="1:4">
      <c r="A1840" s="1"/>
      <c r="D1840" s="1"/>
    </row>
    <row r="1841" spans="1:4">
      <c r="A1841" s="1"/>
      <c r="D1841" s="1"/>
    </row>
    <row r="1842" spans="1:4">
      <c r="A1842" s="1"/>
      <c r="D1842" s="1"/>
    </row>
    <row r="1843" spans="1:4">
      <c r="A1843" s="1"/>
      <c r="D1843" s="1"/>
    </row>
    <row r="1844" spans="1:4">
      <c r="A1844" s="1"/>
      <c r="D1844" s="1"/>
    </row>
    <row r="1845" spans="1:4">
      <c r="A1845" s="1"/>
      <c r="D1845" s="1"/>
    </row>
    <row r="1846" spans="1:4">
      <c r="A1846" s="1"/>
      <c r="D1846" s="1"/>
    </row>
    <row r="1847" spans="1:4">
      <c r="A1847" s="1"/>
      <c r="D1847" s="1"/>
    </row>
    <row r="1848" spans="1:4">
      <c r="A1848" s="1"/>
      <c r="D1848" s="1"/>
    </row>
    <row r="1849" spans="1:4">
      <c r="A1849" s="1"/>
      <c r="D1849" s="1"/>
    </row>
    <row r="1850" spans="1:4">
      <c r="A1850" s="1"/>
      <c r="D1850" s="1"/>
    </row>
    <row r="1851" spans="1:4">
      <c r="A1851" s="1"/>
      <c r="D1851" s="1"/>
    </row>
    <row r="1852" spans="1:4">
      <c r="A1852" s="1"/>
      <c r="D1852" s="1"/>
    </row>
    <row r="1853" spans="1:4">
      <c r="A1853" s="1"/>
      <c r="D1853" s="1"/>
    </row>
    <row r="1854" spans="1:4">
      <c r="A1854" s="1"/>
      <c r="D1854" s="1"/>
    </row>
    <row r="1855" spans="1:4">
      <c r="A1855" s="1"/>
      <c r="D1855" s="1"/>
    </row>
    <row r="1856" spans="1:4">
      <c r="A1856" s="1"/>
      <c r="D1856" s="1"/>
    </row>
    <row r="1857" spans="1:4">
      <c r="A1857" s="1"/>
      <c r="D1857" s="1"/>
    </row>
    <row r="1858" spans="1:4">
      <c r="A1858" s="1"/>
      <c r="D1858" s="1"/>
    </row>
    <row r="1859" spans="1:4">
      <c r="A1859" s="1"/>
      <c r="D1859" s="1"/>
    </row>
    <row r="1860" spans="1:4">
      <c r="A1860" s="1"/>
      <c r="D1860" s="1"/>
    </row>
    <row r="1861" spans="1:4">
      <c r="A1861" s="1"/>
      <c r="D1861" s="1"/>
    </row>
    <row r="1862" spans="1:4">
      <c r="A1862" s="1"/>
      <c r="D1862" s="1"/>
    </row>
    <row r="1863" spans="1:4">
      <c r="A1863" s="1"/>
      <c r="D1863" s="1"/>
    </row>
    <row r="1864" spans="1:4">
      <c r="A1864" s="1"/>
      <c r="D1864" s="1"/>
    </row>
    <row r="1865" spans="1:4">
      <c r="A1865" s="1"/>
      <c r="D1865" s="1"/>
    </row>
    <row r="1866" spans="1:4">
      <c r="A1866" s="1"/>
      <c r="D1866" s="1"/>
    </row>
    <row r="1867" spans="1:4">
      <c r="A1867" s="1"/>
      <c r="D1867" s="1"/>
    </row>
    <row r="1868" spans="1:4">
      <c r="A1868" s="1"/>
      <c r="D1868" s="1"/>
    </row>
    <row r="1869" spans="1:4">
      <c r="A1869" s="1"/>
      <c r="D1869" s="1"/>
    </row>
    <row r="1870" spans="1:4">
      <c r="A1870" s="1"/>
      <c r="D1870" s="1"/>
    </row>
    <row r="1871" spans="1:4">
      <c r="A1871" s="1"/>
      <c r="D1871" s="1"/>
    </row>
    <row r="1872" spans="1:4">
      <c r="A1872" s="1"/>
      <c r="D1872" s="1"/>
    </row>
    <row r="1873" spans="1:4">
      <c r="A1873" s="1"/>
      <c r="D1873" s="1"/>
    </row>
    <row r="1874" spans="1:4">
      <c r="A1874" s="1"/>
      <c r="D1874" s="1"/>
    </row>
    <row r="1875" spans="1:4">
      <c r="A1875" s="1"/>
      <c r="D1875" s="1"/>
    </row>
    <row r="1876" spans="1:4">
      <c r="A1876" s="1"/>
      <c r="D1876" s="1"/>
    </row>
    <row r="1877" spans="1:4">
      <c r="A1877" s="1"/>
      <c r="D1877" s="1"/>
    </row>
    <row r="1878" spans="1:4">
      <c r="A1878" s="1"/>
      <c r="D1878" s="1"/>
    </row>
    <row r="1879" spans="1:4">
      <c r="A1879" s="1"/>
      <c r="D1879" s="1"/>
    </row>
    <row r="1880" spans="1:4">
      <c r="A1880" s="1"/>
      <c r="D1880" s="1"/>
    </row>
    <row r="1881" spans="1:4">
      <c r="A1881" s="1"/>
      <c r="D1881" s="1"/>
    </row>
    <row r="1882" spans="1:4">
      <c r="A1882" s="1"/>
      <c r="D1882" s="1"/>
    </row>
    <row r="1883" spans="1:4">
      <c r="A1883" s="1"/>
      <c r="D1883" s="1"/>
    </row>
    <row r="1884" spans="1:4">
      <c r="A1884" s="1"/>
      <c r="D1884" s="1"/>
    </row>
    <row r="1885" spans="1:4">
      <c r="A1885" s="1"/>
      <c r="D1885" s="1"/>
    </row>
    <row r="1886" spans="1:4">
      <c r="A1886" s="1"/>
      <c r="D1886" s="1"/>
    </row>
    <row r="1887" spans="1:4">
      <c r="A1887" s="1"/>
      <c r="D1887" s="1"/>
    </row>
    <row r="1888" spans="1:4">
      <c r="A1888" s="1"/>
      <c r="D1888" s="1"/>
    </row>
    <row r="1889" spans="1:4">
      <c r="A1889" s="1"/>
      <c r="D1889" s="1"/>
    </row>
    <row r="1890" spans="1:4">
      <c r="A1890" s="1"/>
      <c r="D1890" s="1"/>
    </row>
    <row r="1891" spans="1:4">
      <c r="A1891" s="1"/>
      <c r="D1891" s="1"/>
    </row>
    <row r="1892" spans="1:4">
      <c r="A1892" s="1"/>
      <c r="D1892" s="1"/>
    </row>
    <row r="1893" spans="1:4">
      <c r="A1893" s="1"/>
      <c r="D1893" s="1"/>
    </row>
    <row r="1894" spans="1:4">
      <c r="A1894" s="1"/>
      <c r="D1894" s="1"/>
    </row>
    <row r="1895" spans="1:4">
      <c r="A1895" s="1"/>
      <c r="D1895" s="1"/>
    </row>
    <row r="1896" spans="1:4">
      <c r="A1896" s="1"/>
      <c r="D1896" s="1"/>
    </row>
    <row r="1897" spans="1:4">
      <c r="A1897" s="1"/>
      <c r="D1897" s="1"/>
    </row>
    <row r="1898" spans="1:4">
      <c r="A1898" s="1"/>
      <c r="D1898" s="1"/>
    </row>
    <row r="1899" spans="1:4">
      <c r="A1899" s="1"/>
      <c r="D1899" s="1"/>
    </row>
    <row r="1900" spans="1:4">
      <c r="A1900" s="1"/>
      <c r="D1900" s="1"/>
    </row>
    <row r="1901" spans="1:4">
      <c r="A1901" s="1"/>
      <c r="D1901" s="1"/>
    </row>
    <row r="1902" spans="1:4">
      <c r="A1902" s="1"/>
      <c r="D1902" s="1"/>
    </row>
    <row r="1903" spans="1:4">
      <c r="A1903" s="1"/>
      <c r="D1903" s="1"/>
    </row>
    <row r="1904" spans="1:4">
      <c r="A1904" s="1"/>
      <c r="D1904" s="1"/>
    </row>
    <row r="1905" spans="1:4">
      <c r="A1905" s="1"/>
      <c r="D1905" s="1"/>
    </row>
    <row r="1906" spans="1:4">
      <c r="A1906" s="1"/>
      <c r="D1906" s="1"/>
    </row>
    <row r="1907" spans="1:4">
      <c r="A1907" s="1"/>
      <c r="D1907" s="1"/>
    </row>
    <row r="1908" spans="1:4">
      <c r="A1908" s="1"/>
      <c r="D1908" s="1"/>
    </row>
    <row r="1909" spans="1:4">
      <c r="A1909" s="1"/>
      <c r="D1909" s="1"/>
    </row>
    <row r="1910" spans="1:4">
      <c r="A1910" s="1"/>
      <c r="D1910" s="1"/>
    </row>
    <row r="1911" spans="1:4">
      <c r="A1911" s="1"/>
      <c r="D1911" s="1"/>
    </row>
    <row r="1912" spans="1:4">
      <c r="A1912" s="1"/>
      <c r="D1912" s="1"/>
    </row>
    <row r="1913" spans="1:4">
      <c r="A1913" s="1"/>
      <c r="D1913" s="1"/>
    </row>
    <row r="1914" spans="1:4">
      <c r="A1914" s="1"/>
      <c r="D1914" s="1"/>
    </row>
    <row r="1915" spans="1:4">
      <c r="A1915" s="1"/>
      <c r="D1915" s="1"/>
    </row>
    <row r="1916" spans="1:4">
      <c r="A1916" s="1"/>
      <c r="D1916" s="1"/>
    </row>
    <row r="1917" spans="1:4">
      <c r="A1917" s="1"/>
      <c r="D1917" s="1"/>
    </row>
    <row r="1918" spans="1:4">
      <c r="A1918" s="1"/>
      <c r="D1918" s="1"/>
    </row>
    <row r="1919" spans="1:4">
      <c r="A1919" s="1"/>
      <c r="D1919" s="1"/>
    </row>
    <row r="1920" spans="1:4">
      <c r="A1920" s="1"/>
      <c r="D1920" s="1"/>
    </row>
    <row r="1921" spans="1:4">
      <c r="A1921" s="1"/>
      <c r="D1921" s="1"/>
    </row>
    <row r="1922" spans="1:4">
      <c r="A1922" s="1"/>
      <c r="D1922" s="1"/>
    </row>
    <row r="1923" spans="1:4">
      <c r="A1923" s="1"/>
      <c r="D1923" s="1"/>
    </row>
    <row r="1924" spans="1:4">
      <c r="A1924" s="1"/>
      <c r="D1924" s="1"/>
    </row>
    <row r="1925" spans="1:4">
      <c r="A1925" s="1"/>
      <c r="D1925" s="1"/>
    </row>
    <row r="1926" spans="1:4">
      <c r="A1926" s="1"/>
      <c r="D1926" s="1"/>
    </row>
    <row r="1927" spans="1:4">
      <c r="A1927" s="1"/>
      <c r="D1927" s="1"/>
    </row>
    <row r="1928" spans="1:4">
      <c r="A1928" s="1"/>
      <c r="D1928" s="1"/>
    </row>
    <row r="1929" spans="1:4">
      <c r="A1929" s="1"/>
      <c r="D1929" s="1"/>
    </row>
    <row r="1930" spans="1:4">
      <c r="A1930" s="1"/>
      <c r="D1930" s="1"/>
    </row>
    <row r="1931" spans="1:4">
      <c r="A1931" s="1"/>
      <c r="D1931" s="1"/>
    </row>
    <row r="1932" spans="1:4">
      <c r="A1932" s="1"/>
      <c r="D1932" s="1"/>
    </row>
    <row r="1933" spans="1:4">
      <c r="A1933" s="1"/>
      <c r="D1933" s="1"/>
    </row>
    <row r="1934" spans="1:4">
      <c r="A1934" s="1"/>
      <c r="D1934" s="1"/>
    </row>
    <row r="1935" spans="1:4">
      <c r="A1935" s="1"/>
      <c r="D1935" s="1"/>
    </row>
    <row r="1936" spans="1:4">
      <c r="A1936" s="1"/>
      <c r="D1936" s="1"/>
    </row>
    <row r="1937" spans="1:4">
      <c r="A1937" s="1"/>
      <c r="D1937" s="1"/>
    </row>
    <row r="1938" spans="1:4">
      <c r="A1938" s="1"/>
      <c r="D1938" s="1"/>
    </row>
    <row r="1939" spans="1:4">
      <c r="A1939" s="1"/>
      <c r="D1939" s="1"/>
    </row>
    <row r="1940" spans="1:4">
      <c r="A1940" s="1"/>
      <c r="D1940" s="1"/>
    </row>
    <row r="1941" spans="1:4">
      <c r="A1941" s="1"/>
      <c r="D1941" s="1"/>
    </row>
    <row r="1942" spans="1:4">
      <c r="A1942" s="1"/>
      <c r="D1942" s="1"/>
    </row>
    <row r="1943" spans="1:4">
      <c r="A1943" s="1"/>
      <c r="D1943" s="1"/>
    </row>
    <row r="1944" spans="1:4">
      <c r="A1944" s="1"/>
      <c r="D1944" s="1"/>
    </row>
    <row r="1945" spans="1:4">
      <c r="A1945" s="1"/>
      <c r="D1945" s="1"/>
    </row>
    <row r="1946" spans="1:4">
      <c r="A1946" s="1"/>
      <c r="D1946" s="1"/>
    </row>
    <row r="1947" spans="1:4">
      <c r="A1947" s="1"/>
      <c r="D1947" s="1"/>
    </row>
    <row r="1948" spans="1:4">
      <c r="A1948" s="1"/>
      <c r="D1948" s="1"/>
    </row>
    <row r="1949" spans="1:4">
      <c r="A1949" s="1"/>
      <c r="D1949" s="1"/>
    </row>
    <row r="1950" spans="1:4">
      <c r="A1950" s="1"/>
      <c r="D1950" s="1"/>
    </row>
    <row r="1951" spans="1:4">
      <c r="A1951" s="1"/>
      <c r="D1951" s="1"/>
    </row>
    <row r="1952" spans="1:4">
      <c r="A1952" s="1"/>
      <c r="D1952" s="1"/>
    </row>
    <row r="1953" spans="1:4">
      <c r="A1953" s="1"/>
      <c r="D1953" s="1"/>
    </row>
    <row r="1954" spans="1:4">
      <c r="A1954" s="1"/>
      <c r="D1954" s="1"/>
    </row>
    <row r="1955" spans="1:4">
      <c r="A1955" s="1"/>
      <c r="D1955" s="1"/>
    </row>
    <row r="1956" spans="1:4">
      <c r="A1956" s="1"/>
      <c r="D1956" s="1"/>
    </row>
    <row r="1957" spans="1:4">
      <c r="A1957" s="1"/>
      <c r="D1957" s="1"/>
    </row>
    <row r="1958" spans="1:4">
      <c r="A1958" s="1"/>
      <c r="D1958" s="1"/>
    </row>
    <row r="1959" spans="1:4">
      <c r="A1959" s="1"/>
      <c r="D1959" s="1"/>
    </row>
    <row r="1960" spans="1:4">
      <c r="A1960" s="1"/>
      <c r="D1960" s="1"/>
    </row>
    <row r="1961" spans="1:4">
      <c r="A1961" s="1"/>
      <c r="D1961" s="1"/>
    </row>
    <row r="1962" spans="1:4">
      <c r="A1962" s="1"/>
      <c r="D1962" s="1"/>
    </row>
    <row r="1963" spans="1:4">
      <c r="A1963" s="1"/>
      <c r="D1963" s="1"/>
    </row>
    <row r="1964" spans="1:4">
      <c r="A1964" s="1"/>
      <c r="D1964" s="1"/>
    </row>
    <row r="1965" spans="1:4">
      <c r="A1965" s="1"/>
      <c r="D1965" s="1"/>
    </row>
    <row r="1966" spans="1:4">
      <c r="A1966" s="1"/>
      <c r="D1966" s="1"/>
    </row>
    <row r="1967" spans="1:4">
      <c r="A1967" s="1"/>
      <c r="D1967" s="1"/>
    </row>
    <row r="1968" spans="1:4">
      <c r="A1968" s="1"/>
      <c r="D1968" s="1"/>
    </row>
    <row r="1969" spans="1:4">
      <c r="A1969" s="1"/>
      <c r="D1969" s="1"/>
    </row>
    <row r="1970" spans="1:4">
      <c r="A1970" s="1"/>
      <c r="D1970" s="1"/>
    </row>
    <row r="1971" spans="1:4">
      <c r="A1971" s="1"/>
      <c r="D1971" s="1"/>
    </row>
    <row r="1972" spans="1:4">
      <c r="A1972" s="1"/>
      <c r="D1972" s="1"/>
    </row>
    <row r="1973" spans="1:4">
      <c r="A1973" s="1"/>
      <c r="D1973" s="1"/>
    </row>
    <row r="1974" spans="1:4">
      <c r="A1974" s="1"/>
      <c r="D1974" s="1"/>
    </row>
    <row r="1975" spans="1:4">
      <c r="A1975" s="1"/>
      <c r="D1975" s="1"/>
    </row>
    <row r="1976" spans="1:4">
      <c r="A1976" s="1"/>
      <c r="D1976" s="1"/>
    </row>
    <row r="1977" spans="1:4">
      <c r="A1977" s="1"/>
      <c r="D1977" s="1"/>
    </row>
    <row r="1978" spans="1:4">
      <c r="A1978" s="1"/>
      <c r="D1978" s="1"/>
    </row>
    <row r="1979" spans="1:4">
      <c r="A1979" s="1"/>
      <c r="D1979" s="1"/>
    </row>
    <row r="1980" spans="1:4">
      <c r="A1980" s="1"/>
      <c r="D1980" s="1"/>
    </row>
    <row r="1981" spans="1:4">
      <c r="A1981" s="1"/>
      <c r="D1981" s="1"/>
    </row>
    <row r="1982" spans="1:4">
      <c r="A1982" s="1"/>
      <c r="D1982" s="1"/>
    </row>
    <row r="1983" spans="1:4">
      <c r="A1983" s="1"/>
      <c r="D1983" s="1"/>
    </row>
    <row r="1984" spans="1:4">
      <c r="A1984" s="1"/>
      <c r="D1984" s="1"/>
    </row>
    <row r="1985" spans="1:4">
      <c r="A1985" s="1"/>
      <c r="D1985" s="1"/>
    </row>
    <row r="1986" spans="1:4">
      <c r="A1986" s="1"/>
      <c r="D1986" s="1"/>
    </row>
    <row r="1987" spans="1:4">
      <c r="A1987" s="1"/>
      <c r="D1987" s="1"/>
    </row>
    <row r="1988" spans="1:4">
      <c r="A1988" s="1"/>
      <c r="D1988" s="1"/>
    </row>
    <row r="1989" spans="1:4">
      <c r="A1989" s="1"/>
      <c r="D1989" s="1"/>
    </row>
    <row r="1990" spans="1:4">
      <c r="A1990" s="1"/>
      <c r="D1990" s="1"/>
    </row>
    <row r="1991" spans="1:4">
      <c r="A1991" s="1"/>
      <c r="D1991" s="1"/>
    </row>
    <row r="1992" spans="1:4">
      <c r="A1992" s="1"/>
      <c r="D1992" s="1"/>
    </row>
    <row r="1993" spans="1:4">
      <c r="A1993" s="1"/>
      <c r="D1993" s="1"/>
    </row>
    <row r="1994" spans="1:4">
      <c r="A1994" s="1"/>
      <c r="D1994" s="1"/>
    </row>
    <row r="1995" spans="1:4">
      <c r="A1995" s="1"/>
      <c r="D1995" s="1"/>
    </row>
    <row r="1996" spans="1:4">
      <c r="A1996" s="1"/>
      <c r="D1996" s="1"/>
    </row>
    <row r="1997" spans="1:4">
      <c r="A1997" s="1"/>
      <c r="D1997" s="1"/>
    </row>
    <row r="1998" spans="1:4">
      <c r="A1998" s="1"/>
      <c r="D1998" s="1"/>
    </row>
    <row r="1999" spans="1:4">
      <c r="A1999" s="1"/>
      <c r="D1999" s="1"/>
    </row>
    <row r="2000" spans="1:4">
      <c r="A2000" s="1"/>
      <c r="D2000" s="1"/>
    </row>
    <row r="2001" spans="1:4">
      <c r="A2001" s="1"/>
      <c r="D2001" s="1"/>
    </row>
    <row r="2002" spans="1:4">
      <c r="A2002" s="1"/>
      <c r="D2002" s="1"/>
    </row>
    <row r="2003" spans="1:4">
      <c r="A2003" s="1"/>
      <c r="D2003" s="1"/>
    </row>
    <row r="2004" spans="1:4">
      <c r="A2004" s="1"/>
      <c r="D2004" s="1"/>
    </row>
    <row r="2005" spans="1:4">
      <c r="A2005" s="1"/>
      <c r="D2005" s="1"/>
    </row>
    <row r="2006" spans="1:4">
      <c r="A2006" s="1"/>
      <c r="D2006" s="1"/>
    </row>
    <row r="2007" spans="1:4">
      <c r="A2007" s="1"/>
      <c r="D2007" s="1"/>
    </row>
    <row r="2008" spans="1:4">
      <c r="A2008" s="1"/>
      <c r="D2008" s="1"/>
    </row>
    <row r="2009" spans="1:4">
      <c r="A2009" s="1"/>
      <c r="D2009" s="1"/>
    </row>
    <row r="2010" spans="1:4">
      <c r="A2010" s="1"/>
      <c r="D2010" s="1"/>
    </row>
    <row r="2011" spans="1:4">
      <c r="A2011" s="1"/>
      <c r="D2011" s="1"/>
    </row>
    <row r="2012" spans="1:4">
      <c r="A2012" s="1"/>
      <c r="D2012" s="1"/>
    </row>
    <row r="2013" spans="1:4">
      <c r="A2013" s="1"/>
      <c r="D2013" s="1"/>
    </row>
    <row r="2014" spans="1:4">
      <c r="A2014" s="1"/>
      <c r="D2014" s="1"/>
    </row>
    <row r="2015" spans="1:4">
      <c r="A2015" s="1"/>
      <c r="D2015" s="1"/>
    </row>
    <row r="2016" spans="1:4">
      <c r="A2016" s="1"/>
      <c r="D2016" s="1"/>
    </row>
    <row r="2017" spans="1:4">
      <c r="A2017" s="1"/>
      <c r="D2017" s="1"/>
    </row>
    <row r="2018" spans="1:4">
      <c r="A2018" s="1"/>
      <c r="D2018" s="1"/>
    </row>
    <row r="2019" spans="1:4">
      <c r="A2019" s="1"/>
      <c r="D2019" s="1"/>
    </row>
    <row r="2020" spans="1:4">
      <c r="A2020" s="1"/>
      <c r="D2020" s="1"/>
    </row>
    <row r="2021" spans="1:4">
      <c r="A2021" s="1"/>
      <c r="D2021" s="1"/>
    </row>
    <row r="2022" spans="1:4">
      <c r="A2022" s="1"/>
      <c r="D2022" s="1"/>
    </row>
    <row r="2023" spans="1:4">
      <c r="A2023" s="1"/>
      <c r="D2023" s="1"/>
    </row>
    <row r="2024" spans="1:4">
      <c r="A2024" s="1"/>
      <c r="D2024" s="1"/>
    </row>
    <row r="2025" spans="1:4">
      <c r="A2025" s="1"/>
      <c r="D2025" s="1"/>
    </row>
    <row r="2026" spans="1:4">
      <c r="A2026" s="1"/>
      <c r="D2026" s="1"/>
    </row>
    <row r="2027" spans="1:4">
      <c r="A2027" s="1"/>
      <c r="D2027" s="1"/>
    </row>
    <row r="2028" spans="1:4">
      <c r="A2028" s="1"/>
      <c r="D2028" s="1"/>
    </row>
    <row r="2029" spans="1:4">
      <c r="A2029" s="1"/>
      <c r="D2029" s="1"/>
    </row>
    <row r="2030" spans="1:4">
      <c r="A2030" s="1"/>
      <c r="D2030" s="1"/>
    </row>
    <row r="2031" spans="1:4">
      <c r="A2031" s="1"/>
      <c r="D2031" s="1"/>
    </row>
    <row r="2032" spans="1:4">
      <c r="A2032" s="1"/>
      <c r="D2032" s="1"/>
    </row>
    <row r="2033" spans="1:4">
      <c r="A2033" s="1"/>
      <c r="D2033" s="1"/>
    </row>
    <row r="2034" spans="1:4">
      <c r="A2034" s="1"/>
      <c r="D2034" s="1"/>
    </row>
    <row r="2035" spans="1:4">
      <c r="A2035" s="1"/>
      <c r="D2035" s="1"/>
    </row>
    <row r="2036" spans="1:4">
      <c r="A2036" s="1"/>
      <c r="D2036" s="1"/>
    </row>
    <row r="2037" spans="1:4">
      <c r="A2037" s="1"/>
      <c r="D2037" s="1"/>
    </row>
    <row r="2038" spans="1:4">
      <c r="A2038" s="1"/>
      <c r="D2038" s="1"/>
    </row>
    <row r="2039" spans="1:4">
      <c r="A2039" s="1"/>
      <c r="D2039" s="1"/>
    </row>
    <row r="2040" spans="1:4">
      <c r="A2040" s="1"/>
      <c r="D2040" s="1"/>
    </row>
    <row r="2041" spans="1:4">
      <c r="A2041" s="1"/>
      <c r="D2041" s="1"/>
    </row>
    <row r="2042" spans="1:4">
      <c r="A2042" s="1"/>
      <c r="D2042" s="1"/>
    </row>
    <row r="2043" spans="1:4">
      <c r="A2043" s="1"/>
      <c r="D2043" s="1"/>
    </row>
    <row r="2044" spans="1:4">
      <c r="A2044" s="1"/>
      <c r="D2044" s="1"/>
    </row>
    <row r="2045" spans="1:4">
      <c r="A2045" s="1"/>
      <c r="D2045" s="1"/>
    </row>
    <row r="2046" spans="1:4">
      <c r="A2046" s="1"/>
      <c r="D2046" s="1"/>
    </row>
    <row r="2047" spans="1:4">
      <c r="A2047" s="1"/>
      <c r="D2047" s="1"/>
    </row>
    <row r="2048" spans="1:4">
      <c r="A2048" s="1"/>
      <c r="D2048" s="1"/>
    </row>
    <row r="2049" spans="1:4">
      <c r="A2049" s="1"/>
      <c r="D2049" s="1"/>
    </row>
    <row r="2050" spans="1:4">
      <c r="A2050" s="1"/>
      <c r="D2050" s="1"/>
    </row>
    <row r="2051" spans="1:4">
      <c r="A2051" s="1"/>
      <c r="D2051" s="1"/>
    </row>
    <row r="2052" spans="1:4">
      <c r="A2052" s="1"/>
      <c r="D2052" s="1"/>
    </row>
    <row r="2053" spans="1:4">
      <c r="A2053" s="1"/>
      <c r="D2053" s="1"/>
    </row>
    <row r="2054" spans="1:4">
      <c r="A2054" s="1"/>
      <c r="D2054" s="1"/>
    </row>
    <row r="2055" spans="1:4">
      <c r="A2055" s="1"/>
      <c r="D2055" s="1"/>
    </row>
    <row r="2056" spans="1:4">
      <c r="A2056" s="1"/>
      <c r="D2056" s="1"/>
    </row>
    <row r="2057" spans="1:4">
      <c r="A2057" s="1"/>
      <c r="D2057" s="1"/>
    </row>
    <row r="2058" spans="1:4">
      <c r="A2058" s="1"/>
      <c r="D2058" s="1"/>
    </row>
    <row r="2059" spans="1:4">
      <c r="A2059" s="1"/>
      <c r="D2059" s="1"/>
    </row>
    <row r="2060" spans="1:4">
      <c r="A2060" s="1"/>
      <c r="D2060" s="1"/>
    </row>
    <row r="2061" spans="1:4">
      <c r="A2061" s="1"/>
      <c r="D2061" s="1"/>
    </row>
    <row r="2062" spans="1:4">
      <c r="A2062" s="1"/>
      <c r="D2062" s="1"/>
    </row>
    <row r="2063" spans="1:4">
      <c r="A2063" s="1"/>
      <c r="D2063" s="1"/>
    </row>
    <row r="2064" spans="1:4">
      <c r="A2064" s="1"/>
      <c r="D2064" s="1"/>
    </row>
    <row r="2065" spans="1:4">
      <c r="A2065" s="1"/>
      <c r="D2065" s="1"/>
    </row>
    <row r="2066" spans="1:4">
      <c r="A2066" s="1"/>
      <c r="D2066" s="1"/>
    </row>
    <row r="2067" spans="1:4">
      <c r="A2067" s="1"/>
      <c r="D2067" s="1"/>
    </row>
    <row r="2068" spans="1:4">
      <c r="A2068" s="1"/>
      <c r="D2068" s="1"/>
    </row>
    <row r="2069" spans="1:4">
      <c r="A2069" s="1"/>
      <c r="D2069" s="1"/>
    </row>
    <row r="2070" spans="1:4">
      <c r="A2070" s="1"/>
      <c r="D2070" s="1"/>
    </row>
    <row r="2071" spans="1:4">
      <c r="A2071" s="1"/>
      <c r="D2071" s="1"/>
    </row>
    <row r="2072" spans="1:4">
      <c r="A2072" s="1"/>
      <c r="D2072" s="1"/>
    </row>
    <row r="2073" spans="1:4">
      <c r="A2073" s="1"/>
      <c r="D2073" s="1"/>
    </row>
    <row r="2074" spans="1:4">
      <c r="A2074" s="1"/>
      <c r="D2074" s="1"/>
    </row>
    <row r="2075" spans="1:4">
      <c r="A2075" s="1"/>
      <c r="D2075" s="1"/>
    </row>
    <row r="2076" spans="1:4">
      <c r="A2076" s="1"/>
      <c r="D2076" s="1"/>
    </row>
    <row r="2077" spans="1:4">
      <c r="A2077" s="1"/>
      <c r="D2077" s="1"/>
    </row>
    <row r="2078" spans="1:4">
      <c r="A2078" s="1"/>
      <c r="D2078" s="1"/>
    </row>
    <row r="2079" spans="1:4">
      <c r="A2079" s="1"/>
      <c r="D2079" s="1"/>
    </row>
    <row r="2080" spans="1:4">
      <c r="A2080" s="1"/>
      <c r="D2080" s="1"/>
    </row>
    <row r="2081" spans="1:4">
      <c r="A2081" s="1"/>
      <c r="D2081" s="1"/>
    </row>
    <row r="2082" spans="1:4">
      <c r="A2082" s="1"/>
      <c r="D2082" s="1"/>
    </row>
    <row r="2083" spans="1:4">
      <c r="A2083" s="1"/>
      <c r="D2083" s="1"/>
    </row>
    <row r="2084" spans="1:4">
      <c r="A2084" s="1"/>
      <c r="D2084" s="1"/>
    </row>
    <row r="2085" spans="1:4">
      <c r="A2085" s="1"/>
      <c r="D2085" s="1"/>
    </row>
    <row r="2086" spans="1:4">
      <c r="A2086" s="1"/>
      <c r="D2086" s="1"/>
    </row>
    <row r="2087" spans="1:4">
      <c r="A2087" s="1"/>
      <c r="D2087" s="1"/>
    </row>
    <row r="2088" spans="1:4">
      <c r="A2088" s="1"/>
      <c r="D2088" s="1"/>
    </row>
    <row r="2089" spans="1:4">
      <c r="A2089" s="1"/>
      <c r="D2089" s="1"/>
    </row>
    <row r="2090" spans="1:4">
      <c r="A2090" s="1"/>
      <c r="D2090" s="1"/>
    </row>
    <row r="2091" spans="1:4">
      <c r="A2091" s="1"/>
      <c r="D2091" s="1"/>
    </row>
    <row r="2092" spans="1:4">
      <c r="A2092" s="1"/>
      <c r="D2092" s="1"/>
    </row>
    <row r="2093" spans="1:4">
      <c r="A2093" s="1"/>
      <c r="D2093" s="1"/>
    </row>
    <row r="2094" spans="1:4">
      <c r="A2094" s="1"/>
      <c r="D2094" s="1"/>
    </row>
    <row r="2095" spans="1:4">
      <c r="A2095" s="1"/>
      <c r="D2095" s="1"/>
    </row>
    <row r="2096" spans="1:4">
      <c r="A2096" s="1"/>
      <c r="D2096" s="1"/>
    </row>
    <row r="2097" spans="1:4">
      <c r="A2097" s="1"/>
      <c r="D2097" s="1"/>
    </row>
    <row r="2098" spans="1:4">
      <c r="A2098" s="1"/>
      <c r="D2098" s="1"/>
    </row>
    <row r="2099" spans="1:4">
      <c r="A2099" s="1"/>
      <c r="D2099" s="1"/>
    </row>
    <row r="2100" spans="1:4">
      <c r="A2100" s="1"/>
      <c r="D2100" s="1"/>
    </row>
    <row r="2101" spans="1:4">
      <c r="A2101" s="1"/>
      <c r="D2101" s="1"/>
    </row>
    <row r="2102" spans="1:4">
      <c r="A2102" s="1"/>
      <c r="D2102" s="1"/>
    </row>
    <row r="2103" spans="1:4">
      <c r="A2103" s="1"/>
      <c r="D2103" s="1"/>
    </row>
    <row r="2104" spans="1:4">
      <c r="A2104" s="1"/>
      <c r="D2104" s="1"/>
    </row>
    <row r="2105" spans="1:4">
      <c r="A2105" s="1"/>
      <c r="D2105" s="1"/>
    </row>
    <row r="2106" spans="1:4">
      <c r="A2106" s="1"/>
      <c r="D2106" s="1"/>
    </row>
    <row r="2107" spans="1:4">
      <c r="A2107" s="1"/>
      <c r="D2107" s="1"/>
    </row>
    <row r="2108" spans="1:4">
      <c r="A2108" s="1"/>
      <c r="D2108" s="1"/>
    </row>
    <row r="2109" spans="1:4">
      <c r="A2109" s="1"/>
      <c r="D2109" s="1"/>
    </row>
    <row r="2110" spans="1:4">
      <c r="A2110" s="1"/>
      <c r="D2110" s="1"/>
    </row>
    <row r="2111" spans="1:4">
      <c r="A2111" s="1"/>
      <c r="D2111" s="1"/>
    </row>
    <row r="2112" spans="1:4">
      <c r="A2112" s="1"/>
      <c r="D2112" s="1"/>
    </row>
    <row r="2113" spans="1:4">
      <c r="A2113" s="1"/>
      <c r="D2113" s="1"/>
    </row>
    <row r="2114" spans="1:4">
      <c r="A2114" s="1"/>
      <c r="D2114" s="1"/>
    </row>
    <row r="2115" spans="1:4">
      <c r="A2115" s="1"/>
      <c r="D2115" s="1"/>
    </row>
    <row r="2116" spans="1:4">
      <c r="A2116" s="1"/>
      <c r="D2116" s="1"/>
    </row>
    <row r="2117" spans="1:4">
      <c r="A2117" s="1"/>
      <c r="D2117" s="1"/>
    </row>
    <row r="2118" spans="1:4">
      <c r="A2118" s="1"/>
      <c r="D2118" s="1"/>
    </row>
    <row r="2119" spans="1:4">
      <c r="A2119" s="1"/>
      <c r="D2119" s="1"/>
    </row>
    <row r="2120" spans="1:4">
      <c r="A2120" s="1"/>
      <c r="D2120" s="1"/>
    </row>
    <row r="2121" spans="1:4">
      <c r="A2121" s="1"/>
      <c r="D2121" s="1"/>
    </row>
    <row r="2122" spans="1:4">
      <c r="A2122" s="1"/>
      <c r="D2122" s="1"/>
    </row>
    <row r="2123" spans="1:4">
      <c r="A2123" s="1"/>
      <c r="D2123" s="1"/>
    </row>
    <row r="2124" spans="1:4">
      <c r="A2124" s="1"/>
      <c r="D2124" s="1"/>
    </row>
    <row r="2125" spans="1:4">
      <c r="A2125" s="1"/>
      <c r="D2125" s="1"/>
    </row>
    <row r="2126" spans="1:4">
      <c r="A2126" s="1"/>
      <c r="D2126" s="1"/>
    </row>
    <row r="2127" spans="1:4">
      <c r="A2127" s="1"/>
      <c r="D2127" s="1"/>
    </row>
    <row r="2128" spans="1:4">
      <c r="A2128" s="1"/>
      <c r="D2128" s="1"/>
    </row>
    <row r="2129" spans="1:4">
      <c r="A2129" s="1"/>
      <c r="D2129" s="1"/>
    </row>
    <row r="2130" spans="1:4">
      <c r="A2130" s="1"/>
      <c r="D2130" s="1"/>
    </row>
    <row r="2131" spans="1:4">
      <c r="A2131" s="1"/>
      <c r="D2131" s="1"/>
    </row>
    <row r="2132" spans="1:4">
      <c r="A2132" s="1"/>
      <c r="D2132" s="1"/>
    </row>
    <row r="2133" spans="1:4">
      <c r="A2133" s="1"/>
      <c r="D2133" s="1"/>
    </row>
    <row r="2134" spans="1:4">
      <c r="A2134" s="1"/>
      <c r="D2134" s="1"/>
    </row>
    <row r="2135" spans="1:4">
      <c r="A2135" s="1"/>
      <c r="D2135" s="1"/>
    </row>
    <row r="2136" spans="1:4">
      <c r="A2136" s="1"/>
      <c r="D2136" s="1"/>
    </row>
    <row r="2137" spans="1:4">
      <c r="A2137" s="1"/>
      <c r="D2137" s="1"/>
    </row>
    <row r="2138" spans="1:4">
      <c r="A2138" s="1"/>
      <c r="D2138" s="1"/>
    </row>
    <row r="2139" spans="1:4">
      <c r="A2139" s="1"/>
      <c r="D2139" s="1"/>
    </row>
    <row r="2140" spans="1:4">
      <c r="A2140" s="1"/>
      <c r="D2140" s="1"/>
    </row>
    <row r="2141" spans="1:4">
      <c r="A2141" s="1"/>
      <c r="D2141" s="1"/>
    </row>
    <row r="2142" spans="1:4">
      <c r="A2142" s="1"/>
      <c r="D2142" s="1"/>
    </row>
    <row r="2143" spans="1:4">
      <c r="A2143" s="1"/>
      <c r="D2143" s="1"/>
    </row>
    <row r="2144" spans="1:4">
      <c r="A2144" s="1"/>
      <c r="D2144" s="1"/>
    </row>
    <row r="2145" spans="1:4">
      <c r="A2145" s="1"/>
      <c r="D2145" s="1"/>
    </row>
    <row r="2146" spans="1:4">
      <c r="A2146" s="1"/>
      <c r="D2146" s="1"/>
    </row>
    <row r="2147" spans="1:4">
      <c r="A2147" s="1"/>
      <c r="D2147" s="1"/>
    </row>
    <row r="2148" spans="1:4">
      <c r="A2148" s="1"/>
      <c r="D2148" s="1"/>
    </row>
    <row r="2149" spans="1:4">
      <c r="A2149" s="1"/>
      <c r="D2149" s="1"/>
    </row>
    <row r="2150" spans="1:4">
      <c r="A2150" s="1"/>
      <c r="D2150" s="1"/>
    </row>
    <row r="2151" spans="1:4">
      <c r="A2151" s="1"/>
      <c r="D2151" s="1"/>
    </row>
    <row r="2152" spans="1:4">
      <c r="A2152" s="1"/>
      <c r="D2152" s="1"/>
    </row>
    <row r="2153" spans="1:4">
      <c r="A2153" s="1"/>
      <c r="D2153" s="1"/>
    </row>
    <row r="2154" spans="1:4">
      <c r="A2154" s="1"/>
      <c r="D2154" s="1"/>
    </row>
    <row r="2155" spans="1:4">
      <c r="A2155" s="1"/>
      <c r="D2155" s="1"/>
    </row>
    <row r="2156" spans="1:4">
      <c r="A2156" s="1"/>
      <c r="D2156" s="1"/>
    </row>
    <row r="2157" spans="1:4">
      <c r="A2157" s="1"/>
      <c r="D2157" s="1"/>
    </row>
    <row r="2158" spans="1:4">
      <c r="A2158" s="1"/>
      <c r="D2158" s="1"/>
    </row>
    <row r="2159" spans="1:4">
      <c r="A2159" s="1"/>
      <c r="D2159" s="1"/>
    </row>
    <row r="2160" spans="1:4">
      <c r="A2160" s="1"/>
      <c r="D2160" s="1"/>
    </row>
    <row r="2161" spans="1:4">
      <c r="A2161" s="1"/>
      <c r="D2161" s="1"/>
    </row>
    <row r="2162" spans="1:4">
      <c r="A2162" s="1"/>
      <c r="D2162" s="1"/>
    </row>
    <row r="2163" spans="1:4">
      <c r="A2163" s="1"/>
      <c r="D2163" s="1"/>
    </row>
    <row r="2164" spans="1:4">
      <c r="A2164" s="1"/>
      <c r="D2164" s="1"/>
    </row>
    <row r="2165" spans="1:4">
      <c r="A2165" s="1"/>
      <c r="D2165" s="1"/>
    </row>
    <row r="2166" spans="1:4">
      <c r="A2166" s="1"/>
      <c r="D2166" s="1"/>
    </row>
    <row r="2167" spans="1:4">
      <c r="A2167" s="1"/>
      <c r="D2167" s="1"/>
    </row>
    <row r="2168" spans="1:4">
      <c r="A2168" s="1"/>
      <c r="D2168" s="1"/>
    </row>
    <row r="2169" spans="1:4">
      <c r="A2169" s="1"/>
      <c r="D2169" s="1"/>
    </row>
    <row r="2170" spans="1:4">
      <c r="A2170" s="1"/>
      <c r="D2170" s="1"/>
    </row>
    <row r="2171" spans="1:4">
      <c r="A2171" s="1"/>
      <c r="D2171" s="1"/>
    </row>
    <row r="2172" spans="1:4">
      <c r="A2172" s="1"/>
      <c r="D2172" s="1"/>
    </row>
    <row r="2173" spans="1:4">
      <c r="A2173" s="1"/>
      <c r="D2173" s="1"/>
    </row>
    <row r="2174" spans="1:4">
      <c r="A2174" s="1"/>
      <c r="D2174" s="1"/>
    </row>
    <row r="2175" spans="1:4">
      <c r="A2175" s="1"/>
      <c r="D2175" s="1"/>
    </row>
    <row r="2176" spans="1:4">
      <c r="A2176" s="1"/>
      <c r="D2176" s="1"/>
    </row>
    <row r="2177" spans="1:4">
      <c r="A2177" s="1"/>
      <c r="D2177" s="1"/>
    </row>
    <row r="2178" spans="1:4">
      <c r="A2178" s="1"/>
      <c r="D2178" s="1"/>
    </row>
    <row r="2179" spans="1:4">
      <c r="A2179" s="1"/>
      <c r="D2179" s="1"/>
    </row>
    <row r="2180" spans="1:4">
      <c r="A2180" s="1"/>
      <c r="D2180" s="1"/>
    </row>
    <row r="2181" spans="1:4">
      <c r="A2181" s="1"/>
      <c r="D2181" s="1"/>
    </row>
    <row r="2182" spans="1:4">
      <c r="A2182" s="1"/>
      <c r="D2182" s="1"/>
    </row>
    <row r="2183" spans="1:4">
      <c r="A2183" s="1"/>
      <c r="D2183" s="1"/>
    </row>
    <row r="2184" spans="1:4">
      <c r="A2184" s="1"/>
      <c r="D2184" s="1"/>
    </row>
    <row r="2185" spans="1:4">
      <c r="A2185" s="1"/>
      <c r="D2185" s="1"/>
    </row>
    <row r="2186" spans="1:4">
      <c r="A2186" s="1"/>
      <c r="D2186" s="1"/>
    </row>
    <row r="2187" spans="1:4">
      <c r="A2187" s="1"/>
      <c r="D2187" s="1"/>
    </row>
    <row r="2188" spans="1:4">
      <c r="A2188" s="1"/>
      <c r="D2188" s="1"/>
    </row>
    <row r="2189" spans="1:4">
      <c r="A2189" s="1"/>
      <c r="D2189" s="1"/>
    </row>
    <row r="2190" spans="1:4">
      <c r="A2190" s="1"/>
      <c r="D2190" s="1"/>
    </row>
    <row r="2191" spans="1:4">
      <c r="A2191" s="1"/>
      <c r="D2191" s="1"/>
    </row>
    <row r="2192" spans="1:4">
      <c r="A2192" s="1"/>
      <c r="D2192" s="1"/>
    </row>
    <row r="2193" spans="1:4">
      <c r="A2193" s="1"/>
      <c r="D2193" s="1"/>
    </row>
    <row r="2194" spans="1:4">
      <c r="A2194" s="1"/>
      <c r="D2194" s="1"/>
    </row>
    <row r="2195" spans="1:4">
      <c r="A2195" s="1"/>
      <c r="D2195" s="1"/>
    </row>
    <row r="2196" spans="1:4">
      <c r="A2196" s="1"/>
      <c r="D2196" s="1"/>
    </row>
    <row r="2197" spans="1:4">
      <c r="A2197" s="1"/>
      <c r="D2197" s="1"/>
    </row>
    <row r="2198" spans="1:4">
      <c r="A2198" s="1"/>
      <c r="D2198" s="1"/>
    </row>
    <row r="2199" spans="1:4">
      <c r="A2199" s="1"/>
      <c r="D2199" s="1"/>
    </row>
    <row r="2200" spans="1:4">
      <c r="A2200" s="1"/>
      <c r="D2200" s="1"/>
    </row>
    <row r="2201" spans="1:4">
      <c r="A2201" s="1"/>
      <c r="D2201" s="1"/>
    </row>
    <row r="2202" spans="1:4">
      <c r="A2202" s="1"/>
      <c r="D2202" s="1"/>
    </row>
    <row r="2203" spans="1:4">
      <c r="A2203" s="1"/>
      <c r="D2203" s="1"/>
    </row>
    <row r="2204" spans="1:4">
      <c r="A2204" s="1"/>
      <c r="D2204" s="1"/>
    </row>
    <row r="2205" spans="1:4">
      <c r="A2205" s="1"/>
      <c r="D2205" s="1"/>
    </row>
    <row r="2206" spans="1:4">
      <c r="A2206" s="1"/>
      <c r="D2206" s="1"/>
    </row>
    <row r="2207" spans="1:4">
      <c r="A2207" s="1"/>
      <c r="D2207" s="1"/>
    </row>
    <row r="2208" spans="1:4">
      <c r="A2208" s="1"/>
      <c r="D2208" s="1"/>
    </row>
    <row r="2209" spans="1:4">
      <c r="A2209" s="1"/>
      <c r="D2209" s="1"/>
    </row>
    <row r="2210" spans="1:4">
      <c r="A2210" s="1"/>
      <c r="D2210" s="1"/>
    </row>
    <row r="2211" spans="1:4">
      <c r="A2211" s="1"/>
      <c r="D2211" s="1"/>
    </row>
    <row r="2212" spans="1:4">
      <c r="A2212" s="1"/>
      <c r="D2212" s="1"/>
    </row>
    <row r="2213" spans="1:4">
      <c r="A2213" s="1"/>
      <c r="D2213" s="1"/>
    </row>
    <row r="2214" spans="1:4">
      <c r="A2214" s="1"/>
      <c r="D2214" s="1"/>
    </row>
    <row r="2215" spans="1:4">
      <c r="A2215" s="1"/>
      <c r="D2215" s="1"/>
    </row>
    <row r="2216" spans="1:4">
      <c r="A2216" s="1"/>
      <c r="D2216" s="1"/>
    </row>
    <row r="2217" spans="1:4">
      <c r="A2217" s="1"/>
      <c r="D2217" s="1"/>
    </row>
    <row r="2218" spans="1:4">
      <c r="A2218" s="1"/>
      <c r="D2218" s="1"/>
    </row>
    <row r="2219" spans="1:4">
      <c r="A2219" s="1"/>
      <c r="D2219" s="1"/>
    </row>
    <row r="2220" spans="1:4">
      <c r="A2220" s="1"/>
      <c r="D2220" s="1"/>
    </row>
    <row r="2221" spans="1:4">
      <c r="A2221" s="1"/>
      <c r="D2221" s="1"/>
    </row>
    <row r="2222" spans="1:4">
      <c r="A2222" s="1"/>
      <c r="D2222" s="1"/>
    </row>
    <row r="2223" spans="1:4">
      <c r="A2223" s="1"/>
      <c r="D2223" s="1"/>
    </row>
    <row r="2224" spans="1:4">
      <c r="A2224" s="1"/>
      <c r="D2224" s="1"/>
    </row>
    <row r="2225" spans="1:4">
      <c r="A2225" s="1"/>
      <c r="D2225" s="1"/>
    </row>
    <row r="2226" spans="1:4">
      <c r="A2226" s="1"/>
      <c r="D2226" s="1"/>
    </row>
    <row r="2227" spans="1:4">
      <c r="A2227" s="1"/>
      <c r="D2227" s="1"/>
    </row>
    <row r="2228" spans="1:4">
      <c r="A2228" s="1"/>
      <c r="D2228" s="1"/>
    </row>
    <row r="2229" spans="1:4">
      <c r="A2229" s="1"/>
      <c r="D2229" s="1"/>
    </row>
    <row r="2230" spans="1:4">
      <c r="A2230" s="1"/>
      <c r="D2230" s="1"/>
    </row>
    <row r="2231" spans="1:4">
      <c r="A2231" s="1"/>
      <c r="D2231" s="1"/>
    </row>
    <row r="2232" spans="1:4">
      <c r="A2232" s="1"/>
      <c r="D2232" s="1"/>
    </row>
    <row r="2233" spans="1:4">
      <c r="A2233" s="1"/>
      <c r="D2233" s="1"/>
    </row>
    <row r="2234" spans="1:4">
      <c r="A2234" s="1"/>
      <c r="D2234" s="1"/>
    </row>
    <row r="2235" spans="1:4">
      <c r="A2235" s="1"/>
      <c r="D2235" s="1"/>
    </row>
    <row r="2236" spans="1:4">
      <c r="A2236" s="1"/>
      <c r="D2236" s="1"/>
    </row>
    <row r="2237" spans="1:4">
      <c r="A2237" s="1"/>
      <c r="D2237" s="1"/>
    </row>
    <row r="2238" spans="1:4">
      <c r="A2238" s="1"/>
      <c r="D2238" s="1"/>
    </row>
    <row r="2239" spans="1:4">
      <c r="A2239" s="1"/>
      <c r="D2239" s="1"/>
    </row>
    <row r="2240" spans="1:4">
      <c r="A2240" s="1"/>
      <c r="D2240" s="1"/>
    </row>
    <row r="2241" spans="1:4">
      <c r="A2241" s="1"/>
      <c r="D2241" s="1"/>
    </row>
    <row r="2242" spans="1:4">
      <c r="A2242" s="1"/>
      <c r="D2242" s="1"/>
    </row>
    <row r="2243" spans="1:4">
      <c r="A2243" s="1"/>
      <c r="D2243" s="1"/>
    </row>
    <row r="2244" spans="1:4">
      <c r="A2244" s="1"/>
      <c r="D2244" s="1"/>
    </row>
    <row r="2245" spans="1:4">
      <c r="A2245" s="1"/>
      <c r="D2245" s="1"/>
    </row>
    <row r="2246" spans="1:4">
      <c r="A2246" s="1"/>
      <c r="D2246" s="1"/>
    </row>
    <row r="2247" spans="1:4">
      <c r="A2247" s="1"/>
      <c r="D2247" s="1"/>
    </row>
    <row r="2248" spans="1:4">
      <c r="A2248" s="1"/>
      <c r="D2248" s="1"/>
    </row>
    <row r="2249" spans="1:4">
      <c r="A2249" s="1"/>
      <c r="D2249" s="1"/>
    </row>
    <row r="2250" spans="1:4">
      <c r="A2250" s="1"/>
      <c r="D2250" s="1"/>
    </row>
    <row r="2251" spans="1:4">
      <c r="A2251" s="1"/>
      <c r="D2251" s="1"/>
    </row>
    <row r="2252" spans="1:4">
      <c r="A2252" s="1"/>
      <c r="D2252" s="1"/>
    </row>
    <row r="2253" spans="1:4">
      <c r="A2253" s="1"/>
      <c r="D2253" s="1"/>
    </row>
    <row r="2254" spans="1:4">
      <c r="A2254" s="1"/>
      <c r="D2254" s="1"/>
    </row>
    <row r="2255" spans="1:4">
      <c r="A2255" s="1"/>
      <c r="D2255" s="1"/>
    </row>
    <row r="2256" spans="1:4">
      <c r="A2256" s="1"/>
      <c r="D2256" s="1"/>
    </row>
    <row r="2257" spans="1:4">
      <c r="A2257" s="1"/>
      <c r="D2257" s="1"/>
    </row>
    <row r="2258" spans="1:4">
      <c r="A2258" s="1"/>
      <c r="D2258" s="1"/>
    </row>
    <row r="2259" spans="1:4">
      <c r="A2259" s="1"/>
      <c r="D2259" s="1"/>
    </row>
    <row r="2260" spans="1:4">
      <c r="A2260" s="1"/>
      <c r="D2260" s="1"/>
    </row>
    <row r="2261" spans="1:4">
      <c r="A2261" s="1"/>
      <c r="D2261" s="1"/>
    </row>
    <row r="2262" spans="1:4">
      <c r="A2262" s="1"/>
      <c r="D2262" s="1"/>
    </row>
    <row r="2263" spans="1:4">
      <c r="A2263" s="1"/>
      <c r="D2263" s="1"/>
    </row>
    <row r="2264" spans="1:4">
      <c r="A2264" s="1"/>
      <c r="D2264" s="1"/>
    </row>
    <row r="2265" spans="1:4">
      <c r="A2265" s="1"/>
      <c r="D2265" s="1"/>
    </row>
    <row r="2266" spans="1:4">
      <c r="A2266" s="1"/>
      <c r="D2266" s="1"/>
    </row>
    <row r="2267" spans="1:4">
      <c r="A2267" s="1"/>
      <c r="D2267" s="1"/>
    </row>
    <row r="2268" spans="1:4">
      <c r="A2268" s="1"/>
      <c r="D2268" s="1"/>
    </row>
    <row r="2269" spans="1:4">
      <c r="A2269" s="1"/>
      <c r="D2269" s="1"/>
    </row>
    <row r="2270" spans="1:4">
      <c r="A2270" s="1"/>
      <c r="D2270" s="1"/>
    </row>
    <row r="2271" spans="1:4">
      <c r="A2271" s="1"/>
      <c r="D2271" s="1"/>
    </row>
    <row r="2272" spans="1:4">
      <c r="A2272" s="1"/>
      <c r="D2272" s="1"/>
    </row>
    <row r="2273" spans="1:4">
      <c r="A2273" s="1"/>
      <c r="D2273" s="1"/>
    </row>
    <row r="2274" spans="1:4">
      <c r="A2274" s="1"/>
      <c r="D2274" s="1"/>
    </row>
    <row r="2275" spans="1:4">
      <c r="A2275" s="1"/>
      <c r="D2275" s="1"/>
    </row>
    <row r="2276" spans="1:4">
      <c r="A2276" s="1"/>
      <c r="D2276" s="1"/>
    </row>
    <row r="2277" spans="1:4">
      <c r="A2277" s="1"/>
      <c r="D2277" s="1"/>
    </row>
    <row r="2278" spans="1:4">
      <c r="A2278" s="1"/>
      <c r="D2278" s="1"/>
    </row>
    <row r="2279" spans="1:4">
      <c r="A2279" s="1"/>
      <c r="D2279" s="1"/>
    </row>
    <row r="2280" spans="1:4">
      <c r="A2280" s="1"/>
      <c r="D2280" s="1"/>
    </row>
    <row r="2281" spans="1:4">
      <c r="A2281" s="1"/>
      <c r="D2281" s="1"/>
    </row>
    <row r="2282" spans="1:4">
      <c r="A2282" s="1"/>
      <c r="D2282" s="1"/>
    </row>
    <row r="2283" spans="1:4">
      <c r="A2283" s="1"/>
      <c r="D2283" s="1"/>
    </row>
    <row r="2284" spans="1:4">
      <c r="A2284" s="1"/>
      <c r="D2284" s="1"/>
    </row>
    <row r="2285" spans="1:4">
      <c r="A2285" s="1"/>
      <c r="D2285" s="1"/>
    </row>
    <row r="2286" spans="1:4">
      <c r="A2286" s="1"/>
      <c r="D2286" s="1"/>
    </row>
    <row r="2287" spans="1:4">
      <c r="A2287" s="1"/>
      <c r="D2287" s="1"/>
    </row>
    <row r="2288" spans="1:4">
      <c r="A2288" s="1"/>
      <c r="D2288" s="1"/>
    </row>
    <row r="2289" spans="1:4">
      <c r="A2289" s="1"/>
      <c r="D2289" s="1"/>
    </row>
    <row r="2290" spans="1:4">
      <c r="A2290" s="1"/>
      <c r="D2290" s="1"/>
    </row>
    <row r="2291" spans="1:4">
      <c r="A2291" s="1"/>
      <c r="D2291" s="1"/>
    </row>
    <row r="2292" spans="1:4">
      <c r="A2292" s="1"/>
      <c r="D2292" s="1"/>
    </row>
    <row r="2293" spans="1:4">
      <c r="A2293" s="1"/>
      <c r="D2293" s="1"/>
    </row>
    <row r="2294" spans="1:4">
      <c r="A2294" s="1"/>
      <c r="D2294" s="1"/>
    </row>
    <row r="2295" spans="1:4">
      <c r="A2295" s="1"/>
      <c r="D2295" s="1"/>
    </row>
    <row r="2296" spans="1:4">
      <c r="A2296" s="1"/>
      <c r="D2296" s="1"/>
    </row>
    <row r="2297" spans="1:4">
      <c r="A2297" s="1"/>
      <c r="D2297" s="1"/>
    </row>
    <row r="2298" spans="1:4">
      <c r="A2298" s="1"/>
      <c r="D2298" s="1"/>
    </row>
    <row r="2299" spans="1:4">
      <c r="A2299" s="1"/>
      <c r="D2299" s="1"/>
    </row>
    <row r="2300" spans="1:4">
      <c r="A2300" s="1"/>
      <c r="D2300" s="1"/>
    </row>
    <row r="2301" spans="1:4">
      <c r="A2301" s="1"/>
      <c r="D2301" s="1"/>
    </row>
    <row r="2302" spans="1:4">
      <c r="A2302" s="1"/>
      <c r="D2302" s="1"/>
    </row>
    <row r="2303" spans="1:4">
      <c r="A2303" s="1"/>
      <c r="D2303" s="1"/>
    </row>
    <row r="2304" spans="1:4">
      <c r="A2304" s="1"/>
      <c r="D2304" s="1"/>
    </row>
    <row r="2305" spans="1:4">
      <c r="A2305" s="1"/>
      <c r="D2305" s="1"/>
    </row>
    <row r="2306" spans="1:4">
      <c r="A2306" s="1"/>
      <c r="D2306" s="1"/>
    </row>
    <row r="2307" spans="1:4">
      <c r="A2307" s="1"/>
      <c r="D2307" s="1"/>
    </row>
    <row r="2308" spans="1:4">
      <c r="A2308" s="1"/>
      <c r="D2308" s="1"/>
    </row>
    <row r="2309" spans="1:4">
      <c r="A2309" s="1"/>
      <c r="D2309" s="1"/>
    </row>
    <row r="2310" spans="1:4">
      <c r="A2310" s="1"/>
      <c r="D2310" s="1"/>
    </row>
    <row r="2311" spans="1:4">
      <c r="A2311" s="1"/>
      <c r="D2311" s="1"/>
    </row>
    <row r="2312" spans="1:4">
      <c r="A2312" s="1"/>
      <c r="D2312" s="1"/>
    </row>
    <row r="2313" spans="1:4">
      <c r="A2313" s="1"/>
      <c r="D2313" s="1"/>
    </row>
    <row r="2314" spans="1:4">
      <c r="A2314" s="1"/>
      <c r="D2314" s="1"/>
    </row>
    <row r="2315" spans="1:4">
      <c r="A2315" s="1"/>
      <c r="D2315" s="1"/>
    </row>
    <row r="2316" spans="1:4">
      <c r="A2316" s="1"/>
      <c r="D2316" s="1"/>
    </row>
    <row r="2317" spans="1:4">
      <c r="A2317" s="1"/>
      <c r="D2317" s="1"/>
    </row>
    <row r="2318" spans="1:4">
      <c r="A2318" s="1"/>
      <c r="D2318" s="1"/>
    </row>
    <row r="2319" spans="1:4">
      <c r="A2319" s="1"/>
      <c r="D2319" s="1"/>
    </row>
    <row r="2320" spans="1:4">
      <c r="A2320" s="1"/>
      <c r="D2320" s="1"/>
    </row>
    <row r="2321" spans="1:4">
      <c r="A2321" s="1"/>
      <c r="D2321" s="1"/>
    </row>
    <row r="2322" spans="1:4">
      <c r="A2322" s="1"/>
      <c r="D2322" s="1"/>
    </row>
    <row r="2323" spans="1:4">
      <c r="A2323" s="1"/>
      <c r="D2323" s="1"/>
    </row>
    <row r="2324" spans="1:4">
      <c r="A2324" s="1"/>
      <c r="D2324" s="1"/>
    </row>
    <row r="2325" spans="1:4">
      <c r="A2325" s="1"/>
      <c r="D2325" s="1"/>
    </row>
    <row r="2326" spans="1:4">
      <c r="A2326" s="1"/>
      <c r="D2326" s="1"/>
    </row>
    <row r="2327" spans="1:4">
      <c r="A2327" s="1"/>
      <c r="D2327" s="1"/>
    </row>
    <row r="2328" spans="1:4">
      <c r="A2328" s="1"/>
      <c r="D2328" s="1"/>
    </row>
    <row r="2329" spans="1:4">
      <c r="A2329" s="1"/>
      <c r="D2329" s="1"/>
    </row>
    <row r="2330" spans="1:4">
      <c r="A2330" s="1"/>
      <c r="D2330" s="1"/>
    </row>
    <row r="2331" spans="1:4">
      <c r="A2331" s="1"/>
      <c r="D2331" s="1"/>
    </row>
    <row r="2332" spans="1:4">
      <c r="A2332" s="1"/>
      <c r="D2332" s="1"/>
    </row>
    <row r="2333" spans="1:4">
      <c r="A2333" s="1"/>
      <c r="D2333" s="1"/>
    </row>
    <row r="2334" spans="1:4">
      <c r="A2334" s="1"/>
      <c r="D2334" s="1"/>
    </row>
    <row r="2335" spans="1:4">
      <c r="A2335" s="1"/>
      <c r="D2335" s="1"/>
    </row>
    <row r="2336" spans="1:4">
      <c r="A2336" s="1"/>
      <c r="D2336" s="1"/>
    </row>
    <row r="2337" spans="1:4">
      <c r="A2337" s="1"/>
      <c r="D2337" s="1"/>
    </row>
    <row r="2338" spans="1:4">
      <c r="A2338" s="1"/>
      <c r="D2338" s="1"/>
    </row>
    <row r="2339" spans="1:4">
      <c r="A2339" s="1"/>
      <c r="D2339" s="1"/>
    </row>
    <row r="2340" spans="1:4">
      <c r="A2340" s="1"/>
      <c r="D2340" s="1"/>
    </row>
    <row r="2341" spans="1:4">
      <c r="A2341" s="1"/>
      <c r="D2341" s="1"/>
    </row>
    <row r="2342" spans="1:4">
      <c r="A2342" s="1"/>
      <c r="D2342" s="1"/>
    </row>
    <row r="2343" spans="1:4">
      <c r="A2343" s="1"/>
      <c r="D2343" s="1"/>
    </row>
    <row r="2344" spans="1:4">
      <c r="A2344" s="1"/>
      <c r="D2344" s="1"/>
    </row>
    <row r="2345" spans="1:4">
      <c r="A2345" s="1"/>
      <c r="D2345" s="1"/>
    </row>
    <row r="2346" spans="1:4">
      <c r="A2346" s="1"/>
      <c r="D2346" s="1"/>
    </row>
    <row r="2347" spans="1:4">
      <c r="A2347" s="1"/>
      <c r="D2347" s="1"/>
    </row>
    <row r="2348" spans="1:4">
      <c r="A2348" s="1"/>
      <c r="D2348" s="1"/>
    </row>
    <row r="2349" spans="1:4">
      <c r="A2349" s="1"/>
      <c r="D2349" s="1"/>
    </row>
    <row r="2350" spans="1:4">
      <c r="A2350" s="1"/>
      <c r="D2350" s="1"/>
    </row>
    <row r="2351" spans="1:4">
      <c r="A2351" s="1"/>
      <c r="D2351" s="1"/>
    </row>
    <row r="2352" spans="1:4">
      <c r="A2352" s="1"/>
      <c r="D2352" s="1"/>
    </row>
    <row r="2353" spans="1:4">
      <c r="A2353" s="1"/>
      <c r="D2353" s="1"/>
    </row>
    <row r="2354" spans="1:4">
      <c r="A2354" s="1"/>
      <c r="D2354" s="1"/>
    </row>
    <row r="2355" spans="1:4">
      <c r="A2355" s="1"/>
      <c r="D2355" s="1"/>
    </row>
    <row r="2356" spans="1:4">
      <c r="A2356" s="1"/>
      <c r="D2356" s="1"/>
    </row>
    <row r="2357" spans="1:4">
      <c r="A2357" s="1"/>
      <c r="D2357" s="1"/>
    </row>
    <row r="2358" spans="1:4">
      <c r="A2358" s="1"/>
      <c r="D2358" s="1"/>
    </row>
    <row r="2359" spans="1:4">
      <c r="A2359" s="1"/>
      <c r="D2359" s="1"/>
    </row>
    <row r="2360" spans="1:4">
      <c r="A2360" s="1"/>
      <c r="D2360" s="1"/>
    </row>
    <row r="2361" spans="1:4">
      <c r="A2361" s="1"/>
      <c r="D2361" s="1"/>
    </row>
    <row r="2362" spans="1:4">
      <c r="A2362" s="1"/>
      <c r="D2362" s="1"/>
    </row>
    <row r="2363" spans="1:4">
      <c r="A2363" s="1"/>
      <c r="D2363" s="1"/>
    </row>
    <row r="2364" spans="1:4">
      <c r="A2364" s="1"/>
      <c r="D2364" s="1"/>
    </row>
    <row r="2365" spans="1:4">
      <c r="A2365" s="1"/>
      <c r="D2365" s="1"/>
    </row>
    <row r="2366" spans="1:4">
      <c r="A2366" s="1"/>
      <c r="D2366" s="1"/>
    </row>
    <row r="2367" spans="1:4">
      <c r="A2367" s="1"/>
      <c r="D2367" s="1"/>
    </row>
    <row r="2368" spans="1:4">
      <c r="A2368" s="1"/>
      <c r="D2368" s="1"/>
    </row>
    <row r="2369" spans="1:4">
      <c r="A2369" s="1"/>
      <c r="D2369" s="1"/>
    </row>
    <row r="2370" spans="1:4">
      <c r="A2370" s="1"/>
      <c r="D2370" s="1"/>
    </row>
    <row r="2371" spans="1:4">
      <c r="A2371" s="1"/>
      <c r="D2371" s="1"/>
    </row>
    <row r="2372" spans="1:4">
      <c r="A2372" s="1"/>
      <c r="D2372" s="1"/>
    </row>
    <row r="2373" spans="1:4">
      <c r="A2373" s="1"/>
      <c r="D2373" s="1"/>
    </row>
    <row r="2374" spans="1:4">
      <c r="A2374" s="1"/>
      <c r="D2374" s="1"/>
    </row>
    <row r="2375" spans="1:4">
      <c r="A2375" s="1"/>
      <c r="D2375" s="1"/>
    </row>
    <row r="2376" spans="1:4">
      <c r="A2376" s="1"/>
      <c r="D2376" s="1"/>
    </row>
    <row r="2377" spans="1:4">
      <c r="A2377" s="1"/>
      <c r="D2377" s="1"/>
    </row>
    <row r="2378" spans="1:4">
      <c r="A2378" s="1"/>
      <c r="D2378" s="1"/>
    </row>
    <row r="2379" spans="1:4">
      <c r="A2379" s="1"/>
      <c r="D2379" s="1"/>
    </row>
    <row r="2380" spans="1:4">
      <c r="A2380" s="1"/>
      <c r="D2380" s="1"/>
    </row>
    <row r="2381" spans="1:4">
      <c r="A2381" s="1"/>
      <c r="D2381" s="1"/>
    </row>
    <row r="2382" spans="1:4">
      <c r="A2382" s="1"/>
      <c r="D2382" s="1"/>
    </row>
    <row r="2383" spans="1:4">
      <c r="A2383" s="1"/>
      <c r="D2383" s="1"/>
    </row>
    <row r="2384" spans="1:4">
      <c r="A2384" s="1"/>
      <c r="D2384" s="1"/>
    </row>
    <row r="2385" spans="1:4">
      <c r="A2385" s="1"/>
      <c r="D2385" s="1"/>
    </row>
    <row r="2386" spans="1:4">
      <c r="A2386" s="1"/>
      <c r="D2386" s="1"/>
    </row>
    <row r="2387" spans="1:4">
      <c r="A2387" s="1"/>
      <c r="D2387" s="1"/>
    </row>
    <row r="2388" spans="1:4">
      <c r="A2388" s="1"/>
      <c r="D2388" s="1"/>
    </row>
    <row r="2389" spans="1:4">
      <c r="A2389" s="1"/>
      <c r="D2389" s="1"/>
    </row>
    <row r="2390" spans="1:4">
      <c r="A2390" s="1"/>
      <c r="D2390" s="1"/>
    </row>
    <row r="2391" spans="1:4">
      <c r="A2391" s="1"/>
      <c r="D2391" s="1"/>
    </row>
    <row r="2392" spans="1:4">
      <c r="A2392" s="1"/>
      <c r="D2392" s="1"/>
    </row>
    <row r="2393" spans="1:4">
      <c r="A2393" s="1"/>
      <c r="D2393" s="1"/>
    </row>
    <row r="2394" spans="1:4">
      <c r="A2394" s="1"/>
      <c r="D2394" s="1"/>
    </row>
    <row r="2395" spans="1:4">
      <c r="A2395" s="1"/>
      <c r="D2395" s="1"/>
    </row>
    <row r="2396" spans="1:4">
      <c r="A2396" s="1"/>
      <c r="D2396" s="1"/>
    </row>
    <row r="2397" spans="1:4">
      <c r="A2397" s="1"/>
      <c r="D2397" s="1"/>
    </row>
    <row r="2398" spans="1:4">
      <c r="A2398" s="1"/>
      <c r="D2398" s="1"/>
    </row>
    <row r="2399" spans="1:4">
      <c r="A2399" s="1"/>
      <c r="D2399" s="1"/>
    </row>
    <row r="2400" spans="1:4">
      <c r="A2400" s="1"/>
      <c r="D2400" s="1"/>
    </row>
    <row r="2401" spans="1:4">
      <c r="A2401" s="1"/>
      <c r="D2401" s="1"/>
    </row>
    <row r="2402" spans="1:4">
      <c r="A2402" s="1"/>
      <c r="D2402" s="1"/>
    </row>
    <row r="2403" spans="1:4">
      <c r="A2403" s="1"/>
      <c r="D2403" s="1"/>
    </row>
    <row r="2404" spans="1:4">
      <c r="A2404" s="1"/>
      <c r="D2404" s="1"/>
    </row>
    <row r="2405" spans="1:4">
      <c r="A2405" s="1"/>
      <c r="D2405" s="1"/>
    </row>
    <row r="2406" spans="1:4">
      <c r="A2406" s="1"/>
      <c r="D2406" s="1"/>
    </row>
    <row r="2407" spans="1:4">
      <c r="A2407" s="1"/>
      <c r="D2407" s="1"/>
    </row>
    <row r="2408" spans="1:4">
      <c r="A2408" s="1"/>
      <c r="D2408" s="1"/>
    </row>
    <row r="2409" spans="1:4">
      <c r="A2409" s="1"/>
      <c r="D2409" s="1"/>
    </row>
    <row r="2410" spans="1:4">
      <c r="A2410" s="1"/>
      <c r="D2410" s="1"/>
    </row>
    <row r="2411" spans="1:4">
      <c r="A2411" s="1"/>
      <c r="D2411" s="1"/>
    </row>
    <row r="2412" spans="1:4">
      <c r="A2412" s="1"/>
      <c r="D2412" s="1"/>
    </row>
    <row r="2413" spans="1:4">
      <c r="A2413" s="1"/>
      <c r="D2413" s="1"/>
    </row>
    <row r="2414" spans="1:4">
      <c r="A2414" s="1"/>
      <c r="D2414" s="1"/>
    </row>
    <row r="2415" spans="1:4">
      <c r="A2415" s="1"/>
      <c r="D2415" s="1"/>
    </row>
    <row r="2416" spans="1:4">
      <c r="A2416" s="1"/>
      <c r="D2416" s="1"/>
    </row>
    <row r="2417" spans="1:4">
      <c r="A2417" s="1"/>
      <c r="D2417" s="1"/>
    </row>
    <row r="2418" spans="1:4">
      <c r="A2418" s="1"/>
      <c r="D2418" s="1"/>
    </row>
    <row r="2419" spans="1:4">
      <c r="A2419" s="1"/>
      <c r="D2419" s="1"/>
    </row>
    <row r="2420" spans="1:4">
      <c r="A2420" s="1"/>
      <c r="D2420" s="1"/>
    </row>
    <row r="2421" spans="1:4">
      <c r="A2421" s="1"/>
      <c r="D2421" s="1"/>
    </row>
    <row r="2422" spans="1:4">
      <c r="A2422" s="1"/>
      <c r="D2422" s="1"/>
    </row>
    <row r="2423" spans="1:4">
      <c r="A2423" s="1"/>
      <c r="D2423" s="1"/>
    </row>
    <row r="2424" spans="1:4">
      <c r="A2424" s="1"/>
      <c r="D2424" s="1"/>
    </row>
    <row r="2425" spans="1:4">
      <c r="A2425" s="1"/>
      <c r="D2425" s="1"/>
    </row>
    <row r="2426" spans="1:4">
      <c r="A2426" s="1"/>
      <c r="D2426" s="1"/>
    </row>
    <row r="2427" spans="1:4">
      <c r="A2427" s="1"/>
      <c r="D2427" s="1"/>
    </row>
    <row r="2428" spans="1:4">
      <c r="A2428" s="1"/>
      <c r="D2428" s="1"/>
    </row>
    <row r="2429" spans="1:4">
      <c r="A2429" s="1"/>
      <c r="D2429" s="1"/>
    </row>
    <row r="2430" spans="1:4">
      <c r="A2430" s="1"/>
      <c r="D2430" s="1"/>
    </row>
    <row r="2431" spans="1:4">
      <c r="A2431" s="1"/>
      <c r="D2431" s="1"/>
    </row>
    <row r="2432" spans="1:4">
      <c r="A2432" s="1"/>
      <c r="D2432" s="1"/>
    </row>
    <row r="2433" spans="1:4">
      <c r="A2433" s="1"/>
      <c r="D2433" s="1"/>
    </row>
    <row r="2434" spans="1:4">
      <c r="A2434" s="1"/>
      <c r="D2434" s="1"/>
    </row>
    <row r="2435" spans="1:4">
      <c r="A2435" s="1"/>
      <c r="D2435" s="1"/>
    </row>
    <row r="2436" spans="1:4">
      <c r="A2436" s="1"/>
      <c r="D2436" s="1"/>
    </row>
    <row r="2437" spans="1:4">
      <c r="A2437" s="1"/>
      <c r="D2437" s="1"/>
    </row>
    <row r="2438" spans="1:4">
      <c r="A2438" s="1"/>
      <c r="D2438" s="1"/>
    </row>
    <row r="2439" spans="1:4">
      <c r="A2439" s="1"/>
      <c r="D2439" s="1"/>
    </row>
    <row r="2440" spans="1:4">
      <c r="A2440" s="1"/>
      <c r="D2440" s="1"/>
    </row>
    <row r="2441" spans="1:4">
      <c r="A2441" s="1"/>
      <c r="D2441" s="1"/>
    </row>
    <row r="2442" spans="1:4">
      <c r="A2442" s="1"/>
      <c r="D2442" s="1"/>
    </row>
    <row r="2443" spans="1:4">
      <c r="A2443" s="1"/>
      <c r="D2443" s="1"/>
    </row>
    <row r="2444" spans="1:4">
      <c r="A2444" s="1"/>
      <c r="D2444" s="1"/>
    </row>
    <row r="2445" spans="1:4">
      <c r="A2445" s="1"/>
      <c r="D2445" s="1"/>
    </row>
    <row r="2446" spans="1:4">
      <c r="A2446" s="1"/>
      <c r="D2446" s="1"/>
    </row>
    <row r="2447" spans="1:4">
      <c r="A2447" s="1"/>
      <c r="D2447" s="1"/>
    </row>
    <row r="2448" spans="1:4">
      <c r="A2448" s="1"/>
      <c r="D2448" s="1"/>
    </row>
    <row r="2449" spans="1:4">
      <c r="A2449" s="1"/>
      <c r="D2449" s="1"/>
    </row>
    <row r="2450" spans="1:4">
      <c r="A2450" s="1"/>
      <c r="D2450" s="1"/>
    </row>
    <row r="2451" spans="1:4">
      <c r="A2451" s="1"/>
      <c r="D2451" s="1"/>
    </row>
    <row r="2452" spans="1:4">
      <c r="A2452" s="1"/>
      <c r="D2452" s="1"/>
    </row>
    <row r="2453" spans="1:4">
      <c r="A2453" s="1"/>
      <c r="D2453" s="1"/>
    </row>
    <row r="2454" spans="1:4">
      <c r="A2454" s="1"/>
      <c r="D2454" s="1"/>
    </row>
    <row r="2455" spans="1:4">
      <c r="A2455" s="1"/>
      <c r="D2455" s="1"/>
    </row>
    <row r="2456" spans="1:4">
      <c r="A2456" s="1"/>
      <c r="D2456" s="1"/>
    </row>
    <row r="2457" spans="1:4">
      <c r="A2457" s="1"/>
      <c r="D2457" s="1"/>
    </row>
    <row r="2458" spans="1:4">
      <c r="A2458" s="1"/>
      <c r="D2458" s="1"/>
    </row>
    <row r="2459" spans="1:4">
      <c r="A2459" s="1"/>
      <c r="D2459" s="1"/>
    </row>
    <row r="2460" spans="1:4">
      <c r="A2460" s="1"/>
      <c r="D2460" s="1"/>
    </row>
    <row r="2461" spans="1:4">
      <c r="A2461" s="1"/>
      <c r="D2461" s="1"/>
    </row>
    <row r="2462" spans="1:4">
      <c r="A2462" s="1"/>
      <c r="D2462" s="1"/>
    </row>
    <row r="2463" spans="1:4">
      <c r="A2463" s="1"/>
      <c r="D2463" s="1"/>
    </row>
    <row r="2464" spans="1:4">
      <c r="A2464" s="1"/>
      <c r="D2464" s="1"/>
    </row>
    <row r="2465" spans="1:4">
      <c r="A2465" s="1"/>
      <c r="D2465" s="1"/>
    </row>
    <row r="2466" spans="1:4">
      <c r="A2466" s="1"/>
      <c r="D2466" s="1"/>
    </row>
    <row r="2467" spans="1:4">
      <c r="A2467" s="1"/>
      <c r="D2467" s="1"/>
    </row>
    <row r="2468" spans="1:4">
      <c r="A2468" s="1"/>
      <c r="D2468" s="1"/>
    </row>
    <row r="2469" spans="1:4">
      <c r="A2469" s="1"/>
      <c r="D2469" s="1"/>
    </row>
    <row r="2470" spans="1:4">
      <c r="A2470" s="1"/>
      <c r="D2470" s="1"/>
    </row>
    <row r="2471" spans="1:4">
      <c r="A2471" s="1"/>
      <c r="D2471" s="1"/>
    </row>
    <row r="2472" spans="1:4">
      <c r="A2472" s="1"/>
      <c r="D2472" s="1"/>
    </row>
    <row r="2473" spans="1:4">
      <c r="A2473" s="1"/>
      <c r="D2473" s="1"/>
    </row>
    <row r="2474" spans="1:4">
      <c r="A2474" s="1"/>
      <c r="D2474" s="1"/>
    </row>
    <row r="2475" spans="1:4">
      <c r="A2475" s="1"/>
      <c r="D2475" s="1"/>
    </row>
    <row r="2476" spans="1:4">
      <c r="A2476" s="1"/>
      <c r="D2476" s="1"/>
    </row>
    <row r="2477" spans="1:4">
      <c r="A2477" s="1"/>
      <c r="D2477" s="1"/>
    </row>
    <row r="2478" spans="1:4">
      <c r="A2478" s="1"/>
      <c r="D2478" s="1"/>
    </row>
    <row r="2479" spans="1:4">
      <c r="A2479" s="1"/>
      <c r="D2479" s="1"/>
    </row>
    <row r="2480" spans="1:4">
      <c r="A2480" s="1"/>
      <c r="D2480" s="1"/>
    </row>
    <row r="2481" spans="1:4">
      <c r="A2481" s="1"/>
      <c r="D2481" s="1"/>
    </row>
    <row r="2482" spans="1:4">
      <c r="A2482" s="1"/>
      <c r="D2482" s="1"/>
    </row>
    <row r="2483" spans="1:4">
      <c r="A2483" s="1"/>
      <c r="D2483" s="1"/>
    </row>
    <row r="2484" spans="1:4">
      <c r="A2484" s="1"/>
      <c r="D2484" s="1"/>
    </row>
    <row r="2485" spans="1:4">
      <c r="A2485" s="1"/>
      <c r="D2485" s="1"/>
    </row>
    <row r="2486" spans="1:4">
      <c r="A2486" s="1"/>
      <c r="D2486" s="1"/>
    </row>
    <row r="2487" spans="1:4">
      <c r="A2487" s="1"/>
      <c r="D2487" s="1"/>
    </row>
    <row r="2488" spans="1:4">
      <c r="A2488" s="1"/>
      <c r="D2488" s="1"/>
    </row>
    <row r="2489" spans="1:4">
      <c r="A2489" s="1"/>
      <c r="D2489" s="1"/>
    </row>
    <row r="2490" spans="1:4">
      <c r="A2490" s="1"/>
      <c r="D2490" s="1"/>
    </row>
    <row r="2491" spans="1:4">
      <c r="A2491" s="1"/>
      <c r="D2491" s="1"/>
    </row>
    <row r="2492" spans="1:4">
      <c r="A2492" s="1"/>
      <c r="D2492" s="1"/>
    </row>
    <row r="2493" spans="1:4">
      <c r="A2493" s="1"/>
      <c r="D2493" s="1"/>
    </row>
    <row r="2494" spans="1:4">
      <c r="A2494" s="1"/>
      <c r="D2494" s="1"/>
    </row>
    <row r="2495" spans="1:4">
      <c r="A2495" s="1"/>
      <c r="D2495" s="1"/>
    </row>
    <row r="2496" spans="1:4">
      <c r="A2496" s="1"/>
      <c r="D2496" s="1"/>
    </row>
    <row r="2497" spans="1:4">
      <c r="A2497" s="1"/>
      <c r="D2497" s="1"/>
    </row>
    <row r="2498" spans="1:4">
      <c r="A2498" s="1"/>
      <c r="D2498" s="1"/>
    </row>
    <row r="2499" spans="1:4">
      <c r="A2499" s="1"/>
      <c r="D2499" s="1"/>
    </row>
    <row r="2500" spans="1:4">
      <c r="A2500" s="1"/>
      <c r="D2500" s="1"/>
    </row>
    <row r="2501" spans="1:4">
      <c r="A2501" s="1"/>
      <c r="D2501" s="1"/>
    </row>
    <row r="2502" spans="1:4">
      <c r="A2502" s="1"/>
      <c r="D2502" s="1"/>
    </row>
    <row r="2503" spans="1:4">
      <c r="A2503" s="1"/>
      <c r="D2503" s="1"/>
    </row>
    <row r="2504" spans="1:4">
      <c r="A2504" s="1"/>
      <c r="D2504" s="1"/>
    </row>
    <row r="2505" spans="1:4">
      <c r="A2505" s="1"/>
      <c r="D2505" s="1"/>
    </row>
    <row r="2506" spans="1:4">
      <c r="A2506" s="1"/>
      <c r="D2506" s="1"/>
    </row>
    <row r="2507" spans="1:4">
      <c r="A2507" s="1"/>
      <c r="D2507" s="1"/>
    </row>
    <row r="2508" spans="1:4">
      <c r="A2508" s="1"/>
      <c r="D2508" s="1"/>
    </row>
    <row r="2509" spans="1:4">
      <c r="A2509" s="1"/>
      <c r="D2509" s="1"/>
    </row>
    <row r="2510" spans="1:4">
      <c r="A2510" s="1"/>
      <c r="D2510" s="1"/>
    </row>
    <row r="2511" spans="1:4">
      <c r="A2511" s="1"/>
      <c r="D2511" s="1"/>
    </row>
    <row r="2512" spans="1:4">
      <c r="A2512" s="1"/>
      <c r="D2512" s="1"/>
    </row>
    <row r="2513" spans="1:4">
      <c r="A2513" s="1"/>
      <c r="D2513" s="1"/>
    </row>
    <row r="2514" spans="1:4">
      <c r="A2514" s="1"/>
      <c r="D2514" s="1"/>
    </row>
    <row r="2515" spans="1:4">
      <c r="A2515" s="1"/>
      <c r="D2515" s="1"/>
    </row>
    <row r="2516" spans="1:4">
      <c r="A2516" s="1"/>
      <c r="D2516" s="1"/>
    </row>
    <row r="2517" spans="1:4">
      <c r="A2517" s="1"/>
      <c r="D2517" s="1"/>
    </row>
    <row r="2518" spans="1:4">
      <c r="A2518" s="1"/>
      <c r="D2518" s="1"/>
    </row>
    <row r="2519" spans="1:4">
      <c r="A2519" s="1"/>
      <c r="D2519" s="1"/>
    </row>
    <row r="2520" spans="1:4">
      <c r="A2520" s="1"/>
      <c r="D2520" s="1"/>
    </row>
    <row r="2521" spans="1:4">
      <c r="A2521" s="1"/>
      <c r="D2521" s="1"/>
    </row>
    <row r="2522" spans="1:4">
      <c r="A2522" s="1"/>
      <c r="D2522" s="1"/>
    </row>
    <row r="2523" spans="1:4">
      <c r="A2523" s="1"/>
      <c r="D2523" s="1"/>
    </row>
    <row r="2524" spans="1:4">
      <c r="A2524" s="1"/>
      <c r="D2524" s="1"/>
    </row>
    <row r="2525" spans="1:4">
      <c r="A2525" s="1"/>
      <c r="D2525" s="1"/>
    </row>
    <row r="2526" spans="1:4">
      <c r="A2526" s="1"/>
      <c r="D2526" s="1"/>
    </row>
    <row r="2527" spans="1:4">
      <c r="A2527" s="1"/>
      <c r="D2527" s="1"/>
    </row>
    <row r="2528" spans="1:4">
      <c r="A2528" s="1"/>
      <c r="D2528" s="1"/>
    </row>
    <row r="2529" spans="1:4">
      <c r="A2529" s="1"/>
      <c r="D2529" s="1"/>
    </row>
    <row r="2530" spans="1:4">
      <c r="A2530" s="1"/>
      <c r="D2530" s="1"/>
    </row>
    <row r="2531" spans="1:4">
      <c r="A2531" s="1"/>
      <c r="D2531" s="1"/>
    </row>
    <row r="2532" spans="1:4">
      <c r="A2532" s="1"/>
      <c r="D2532" s="1"/>
    </row>
    <row r="2533" spans="1:4">
      <c r="A2533" s="1"/>
      <c r="D2533" s="1"/>
    </row>
    <row r="2534" spans="1:4">
      <c r="A2534" s="1"/>
      <c r="D2534" s="1"/>
    </row>
    <row r="2535" spans="1:4">
      <c r="A2535" s="1"/>
      <c r="D2535" s="1"/>
    </row>
    <row r="2536" spans="1:4">
      <c r="A2536" s="1"/>
      <c r="D2536" s="1"/>
    </row>
    <row r="2537" spans="1:4">
      <c r="A2537" s="1"/>
      <c r="D2537" s="1"/>
    </row>
    <row r="2538" spans="1:4">
      <c r="A2538" s="1"/>
      <c r="D2538" s="1"/>
    </row>
    <row r="2539" spans="1:4">
      <c r="A2539" s="1"/>
      <c r="D2539" s="1"/>
    </row>
    <row r="2540" spans="1:4">
      <c r="A2540" s="1"/>
      <c r="D2540" s="1"/>
    </row>
    <row r="2541" spans="1:4">
      <c r="A2541" s="1"/>
      <c r="D2541" s="1"/>
    </row>
    <row r="2542" spans="1:4">
      <c r="A2542" s="1"/>
      <c r="D2542" s="1"/>
    </row>
    <row r="2543" spans="1:4">
      <c r="A2543" s="1"/>
      <c r="D2543" s="1"/>
    </row>
    <row r="2544" spans="1:4">
      <c r="A2544" s="1"/>
      <c r="D2544" s="1"/>
    </row>
    <row r="2545" spans="1:4">
      <c r="A2545" s="1"/>
      <c r="D2545" s="1"/>
    </row>
    <row r="2546" spans="1:4">
      <c r="A2546" s="1"/>
      <c r="D2546" s="1"/>
    </row>
    <row r="2547" spans="1:4">
      <c r="A2547" s="1"/>
      <c r="D2547" s="1"/>
    </row>
    <row r="2548" spans="1:4">
      <c r="A2548" s="1"/>
      <c r="D2548" s="1"/>
    </row>
    <row r="2549" spans="1:4">
      <c r="A2549" s="1"/>
      <c r="D2549" s="1"/>
    </row>
    <row r="2550" spans="1:4">
      <c r="A2550" s="1"/>
      <c r="D2550" s="1"/>
    </row>
    <row r="2551" spans="1:4">
      <c r="A2551" s="1"/>
      <c r="D2551" s="1"/>
    </row>
    <row r="2552" spans="1:4">
      <c r="A2552" s="1"/>
      <c r="D2552" s="1"/>
    </row>
    <row r="2553" spans="1:4">
      <c r="A2553" s="1"/>
      <c r="D2553" s="1"/>
    </row>
    <row r="2554" spans="1:4">
      <c r="A2554" s="1"/>
      <c r="D2554" s="1"/>
    </row>
    <row r="2555" spans="1:4">
      <c r="A2555" s="1"/>
      <c r="D2555" s="1"/>
    </row>
    <row r="2556" spans="1:4">
      <c r="A2556" s="1"/>
      <c r="D2556" s="1"/>
    </row>
    <row r="2557" spans="1:4">
      <c r="A2557" s="1"/>
      <c r="D2557" s="1"/>
    </row>
    <row r="2558" spans="1:4">
      <c r="A2558" s="1"/>
      <c r="D2558" s="1"/>
    </row>
    <row r="2559" spans="1:4">
      <c r="A2559" s="1"/>
      <c r="D2559" s="1"/>
    </row>
    <row r="2560" spans="1:4">
      <c r="A2560" s="1"/>
      <c r="D2560" s="1"/>
    </row>
    <row r="2561" spans="1:4">
      <c r="A2561" s="1"/>
      <c r="D2561" s="1"/>
    </row>
    <row r="2562" spans="1:4">
      <c r="A2562" s="1"/>
      <c r="D2562" s="1"/>
    </row>
    <row r="2563" spans="1:4">
      <c r="A2563" s="1"/>
      <c r="D2563" s="1"/>
    </row>
    <row r="2564" spans="1:4">
      <c r="A2564" s="1"/>
      <c r="D2564" s="1"/>
    </row>
    <row r="2565" spans="1:4">
      <c r="A2565" s="1"/>
      <c r="D2565" s="1"/>
    </row>
    <row r="2566" spans="1:4">
      <c r="A2566" s="1"/>
      <c r="D2566" s="1"/>
    </row>
    <row r="2567" spans="1:4">
      <c r="A2567" s="1"/>
      <c r="D2567" s="1"/>
    </row>
    <row r="2568" spans="1:4">
      <c r="A2568" s="1"/>
      <c r="D2568" s="1"/>
    </row>
    <row r="2569" spans="1:4">
      <c r="A2569" s="1"/>
      <c r="D2569" s="1"/>
    </row>
    <row r="2570" spans="1:4">
      <c r="A2570" s="1"/>
      <c r="D2570" s="1"/>
    </row>
    <row r="2571" spans="1:4">
      <c r="A2571" s="1"/>
      <c r="D2571" s="1"/>
    </row>
    <row r="2572" spans="1:4">
      <c r="A2572" s="1"/>
      <c r="D2572" s="1"/>
    </row>
    <row r="2573" spans="1:4">
      <c r="A2573" s="1"/>
      <c r="D2573" s="1"/>
    </row>
    <row r="2574" spans="1:4">
      <c r="A2574" s="1"/>
      <c r="D2574" s="1"/>
    </row>
    <row r="2575" spans="1:4">
      <c r="A2575" s="1"/>
      <c r="D2575" s="1"/>
    </row>
    <row r="2576" spans="1:4">
      <c r="A2576" s="1"/>
      <c r="D2576" s="1"/>
    </row>
    <row r="2577" spans="1:4">
      <c r="A2577" s="1"/>
      <c r="D2577" s="1"/>
    </row>
    <row r="2578" spans="1:4">
      <c r="A2578" s="1"/>
      <c r="D2578" s="1"/>
    </row>
    <row r="2579" spans="1:4">
      <c r="A2579" s="1"/>
      <c r="D2579" s="1"/>
    </row>
    <row r="2580" spans="1:4">
      <c r="A2580" s="1"/>
      <c r="D2580" s="1"/>
    </row>
    <row r="2581" spans="1:4">
      <c r="A2581" s="1"/>
      <c r="D2581" s="1"/>
    </row>
    <row r="2582" spans="1:4">
      <c r="A2582" s="1"/>
      <c r="D2582" s="1"/>
    </row>
    <row r="2583" spans="1:4">
      <c r="A2583" s="1"/>
      <c r="D2583" s="1"/>
    </row>
    <row r="2584" spans="1:4">
      <c r="A2584" s="1"/>
      <c r="D2584" s="1"/>
    </row>
    <row r="2585" spans="1:4">
      <c r="A2585" s="1"/>
      <c r="D2585" s="1"/>
    </row>
    <row r="2586" spans="1:4">
      <c r="A2586" s="1"/>
      <c r="D2586" s="1"/>
    </row>
    <row r="2587" spans="1:4">
      <c r="A2587" s="1"/>
      <c r="D2587" s="1"/>
    </row>
    <row r="2588" spans="1:4">
      <c r="A2588" s="1"/>
      <c r="D2588" s="1"/>
    </row>
    <row r="2589" spans="1:4">
      <c r="A2589" s="1"/>
      <c r="D2589" s="1"/>
    </row>
    <row r="2590" spans="1:4">
      <c r="A2590" s="1"/>
      <c r="D2590" s="1"/>
    </row>
    <row r="2591" spans="1:4">
      <c r="A2591" s="1"/>
      <c r="D2591" s="1"/>
    </row>
    <row r="2592" spans="1:4">
      <c r="A2592" s="1"/>
      <c r="D2592" s="1"/>
    </row>
    <row r="2593" spans="1:4">
      <c r="A2593" s="1"/>
      <c r="D2593" s="1"/>
    </row>
    <row r="2594" spans="1:4">
      <c r="A2594" s="1"/>
      <c r="D2594" s="1"/>
    </row>
    <row r="2595" spans="1:4">
      <c r="A2595" s="1"/>
      <c r="D2595" s="1"/>
    </row>
    <row r="2596" spans="1:4">
      <c r="A2596" s="1"/>
      <c r="D2596" s="1"/>
    </row>
    <row r="2597" spans="1:4">
      <c r="A2597" s="1"/>
      <c r="D2597" s="1"/>
    </row>
    <row r="2598" spans="1:4">
      <c r="A2598" s="1"/>
      <c r="D2598" s="1"/>
    </row>
    <row r="2599" spans="1:4">
      <c r="A2599" s="1"/>
      <c r="D2599" s="1"/>
    </row>
    <row r="2600" spans="1:4">
      <c r="A2600" s="1"/>
      <c r="D2600" s="1"/>
    </row>
    <row r="2601" spans="1:4">
      <c r="A2601" s="1"/>
      <c r="D2601" s="1"/>
    </row>
    <row r="2602" spans="1:4">
      <c r="A2602" s="1"/>
      <c r="D2602" s="1"/>
    </row>
    <row r="2603" spans="1:4">
      <c r="A2603" s="1"/>
      <c r="D2603" s="1"/>
    </row>
    <row r="2604" spans="1:4">
      <c r="A2604" s="1"/>
      <c r="D2604" s="1"/>
    </row>
    <row r="2605" spans="1:4">
      <c r="A2605" s="1"/>
      <c r="D2605" s="1"/>
    </row>
    <row r="2606" spans="1:4">
      <c r="A2606" s="1"/>
      <c r="D2606" s="1"/>
    </row>
    <row r="2607" spans="1:4">
      <c r="A2607" s="1"/>
      <c r="D2607" s="1"/>
    </row>
    <row r="2608" spans="1:4">
      <c r="A2608" s="1"/>
      <c r="D2608" s="1"/>
    </row>
    <row r="2609" spans="1:4">
      <c r="A2609" s="1"/>
      <c r="D2609" s="1"/>
    </row>
    <row r="2610" spans="1:4">
      <c r="A2610" s="1"/>
      <c r="D2610" s="1"/>
    </row>
    <row r="2611" spans="1:4">
      <c r="A2611" s="1"/>
      <c r="D2611" s="1"/>
    </row>
    <row r="2612" spans="1:4">
      <c r="A2612" s="1"/>
      <c r="D2612" s="1"/>
    </row>
    <row r="2613" spans="1:4">
      <c r="A2613" s="1"/>
      <c r="D2613" s="1"/>
    </row>
    <row r="2614" spans="1:4">
      <c r="A2614" s="1"/>
      <c r="D2614" s="1"/>
    </row>
    <row r="2615" spans="1:4">
      <c r="A2615" s="1"/>
      <c r="D2615" s="1"/>
    </row>
    <row r="2616" spans="1:4">
      <c r="A2616" s="1"/>
      <c r="D2616" s="1"/>
    </row>
    <row r="2617" spans="1:4">
      <c r="A2617" s="1"/>
      <c r="D2617" s="1"/>
    </row>
    <row r="2618" spans="1:4">
      <c r="A2618" s="1"/>
      <c r="D2618" s="1"/>
    </row>
    <row r="2619" spans="1:4">
      <c r="A2619" s="1"/>
      <c r="D2619" s="1"/>
    </row>
    <row r="2620" spans="1:4">
      <c r="A2620" s="1"/>
      <c r="D2620" s="1"/>
    </row>
    <row r="2621" spans="1:4">
      <c r="A2621" s="1"/>
      <c r="D2621" s="1"/>
    </row>
    <row r="2622" spans="1:4">
      <c r="A2622" s="1"/>
      <c r="D2622" s="1"/>
    </row>
    <row r="2623" spans="1:4">
      <c r="A2623" s="1"/>
      <c r="D2623" s="1"/>
    </row>
    <row r="2624" spans="1:4">
      <c r="A2624" s="1"/>
      <c r="D2624" s="1"/>
    </row>
    <row r="2625" spans="1:4">
      <c r="A2625" s="1"/>
      <c r="D2625" s="1"/>
    </row>
    <row r="2626" spans="1:4">
      <c r="A2626" s="1"/>
      <c r="D2626" s="1"/>
    </row>
    <row r="2627" spans="1:4">
      <c r="A2627" s="1"/>
      <c r="D2627" s="1"/>
    </row>
    <row r="2628" spans="1:4">
      <c r="A2628" s="1"/>
      <c r="D2628" s="1"/>
    </row>
    <row r="2629" spans="1:4">
      <c r="A2629" s="1"/>
      <c r="D2629" s="1"/>
    </row>
    <row r="2630" spans="1:4">
      <c r="A2630" s="1"/>
      <c r="D2630" s="1"/>
    </row>
    <row r="2631" spans="1:4">
      <c r="A2631" s="1"/>
      <c r="D2631" s="1"/>
    </row>
    <row r="2632" spans="1:4">
      <c r="A2632" s="1"/>
      <c r="D2632" s="1"/>
    </row>
    <row r="2633" spans="1:4">
      <c r="A2633" s="1"/>
      <c r="D2633" s="1"/>
    </row>
    <row r="2634" spans="1:4">
      <c r="A2634" s="1"/>
      <c r="D2634" s="1"/>
    </row>
    <row r="2635" spans="1:4">
      <c r="A2635" s="1"/>
      <c r="D2635" s="1"/>
    </row>
    <row r="2636" spans="1:4">
      <c r="A2636" s="1"/>
      <c r="D2636" s="1"/>
    </row>
    <row r="2637" spans="1:4">
      <c r="A2637" s="1"/>
      <c r="D2637" s="1"/>
    </row>
    <row r="2638" spans="1:4">
      <c r="A2638" s="1"/>
      <c r="D2638" s="1"/>
    </row>
    <row r="2639" spans="1:4">
      <c r="A2639" s="1"/>
      <c r="D2639" s="1"/>
    </row>
    <row r="2640" spans="1:4">
      <c r="A2640" s="1"/>
      <c r="D2640" s="1"/>
    </row>
    <row r="2641" spans="1:4">
      <c r="A2641" s="1"/>
      <c r="D2641" s="1"/>
    </row>
    <row r="2642" spans="1:4">
      <c r="A2642" s="1"/>
      <c r="D2642" s="1"/>
    </row>
    <row r="2643" spans="1:4">
      <c r="A2643" s="1"/>
      <c r="D2643" s="1"/>
    </row>
    <row r="2644" spans="1:4">
      <c r="A2644" s="1"/>
      <c r="D2644" s="1"/>
    </row>
    <row r="2645" spans="1:4">
      <c r="A2645" s="1"/>
      <c r="D2645" s="1"/>
    </row>
    <row r="2646" spans="1:4">
      <c r="A2646" s="1"/>
      <c r="D2646" s="1"/>
    </row>
    <row r="2647" spans="1:4">
      <c r="A2647" s="1"/>
      <c r="D2647" s="1"/>
    </row>
    <row r="2648" spans="1:4">
      <c r="A2648" s="1"/>
      <c r="D2648" s="1"/>
    </row>
    <row r="2649" spans="1:4">
      <c r="A2649" s="1"/>
      <c r="D2649" s="1"/>
    </row>
    <row r="2650" spans="1:4">
      <c r="A2650" s="1"/>
      <c r="D2650" s="1"/>
    </row>
    <row r="2651" spans="1:4">
      <c r="A2651" s="1"/>
      <c r="D2651" s="1"/>
    </row>
    <row r="2652" spans="1:4">
      <c r="A2652" s="1"/>
      <c r="D2652" s="1"/>
    </row>
    <row r="2653" spans="1:4">
      <c r="A2653" s="1"/>
      <c r="D2653" s="1"/>
    </row>
    <row r="2654" spans="1:4">
      <c r="A2654" s="1"/>
      <c r="D2654" s="1"/>
    </row>
    <row r="2655" spans="1:4">
      <c r="A2655" s="1"/>
      <c r="D2655" s="1"/>
    </row>
    <row r="2656" spans="1:4">
      <c r="A2656" s="1"/>
      <c r="D2656" s="1"/>
    </row>
    <row r="2657" spans="1:4">
      <c r="A2657" s="1"/>
      <c r="D2657" s="1"/>
    </row>
    <row r="2658" spans="1:4">
      <c r="A2658" s="1"/>
      <c r="D2658" s="1"/>
    </row>
    <row r="2659" spans="1:4">
      <c r="A2659" s="1"/>
      <c r="D2659" s="1"/>
    </row>
    <row r="2660" spans="1:4">
      <c r="A2660" s="1"/>
      <c r="D2660" s="1"/>
    </row>
    <row r="2661" spans="1:4">
      <c r="A2661" s="1"/>
      <c r="D2661" s="1"/>
    </row>
    <row r="2662" spans="1:4">
      <c r="A2662" s="1"/>
      <c r="D2662" s="1"/>
    </row>
    <row r="2663" spans="1:4">
      <c r="A2663" s="1"/>
      <c r="D2663" s="1"/>
    </row>
    <row r="2664" spans="1:4">
      <c r="A2664" s="1"/>
      <c r="D2664" s="1"/>
    </row>
    <row r="2665" spans="1:4">
      <c r="A2665" s="1"/>
      <c r="D2665" s="1"/>
    </row>
    <row r="2666" spans="1:4">
      <c r="A2666" s="1"/>
      <c r="D2666" s="1"/>
    </row>
    <row r="2667" spans="1:4">
      <c r="A2667" s="1"/>
      <c r="D2667" s="1"/>
    </row>
    <row r="2668" spans="1:4">
      <c r="A2668" s="1"/>
      <c r="D2668" s="1"/>
    </row>
    <row r="2669" spans="1:4">
      <c r="A2669" s="1"/>
      <c r="D2669" s="1"/>
    </row>
    <row r="2670" spans="1:4">
      <c r="A2670" s="1"/>
      <c r="D2670" s="1"/>
    </row>
    <row r="2671" spans="1:4">
      <c r="A2671" s="1"/>
      <c r="D2671" s="1"/>
    </row>
    <row r="2672" spans="1:4">
      <c r="A2672" s="1"/>
      <c r="D2672" s="1"/>
    </row>
    <row r="2673" spans="1:4">
      <c r="A2673" s="1"/>
      <c r="D2673" s="1"/>
    </row>
    <row r="2674" spans="1:4">
      <c r="A2674" s="1"/>
      <c r="D2674" s="1"/>
    </row>
    <row r="2675" spans="1:4">
      <c r="A2675" s="1"/>
      <c r="D2675" s="1"/>
    </row>
    <row r="2676" spans="1:4">
      <c r="A2676" s="1"/>
      <c r="D2676" s="1"/>
    </row>
    <row r="2677" spans="1:4">
      <c r="A2677" s="1"/>
      <c r="D2677" s="1"/>
    </row>
    <row r="2678" spans="1:4">
      <c r="A2678" s="1"/>
      <c r="D2678" s="1"/>
    </row>
    <row r="2679" spans="1:4">
      <c r="A2679" s="1"/>
      <c r="D2679" s="1"/>
    </row>
    <row r="2680" spans="1:4">
      <c r="A2680" s="1"/>
      <c r="D2680" s="1"/>
    </row>
    <row r="2681" spans="1:4">
      <c r="A2681" s="1"/>
      <c r="D2681" s="1"/>
    </row>
    <row r="2682" spans="1:4">
      <c r="A2682" s="1"/>
      <c r="D2682" s="1"/>
    </row>
    <row r="2683" spans="1:4">
      <c r="A2683" s="1"/>
      <c r="D2683" s="1"/>
    </row>
    <row r="2684" spans="1:4">
      <c r="A2684" s="1"/>
      <c r="D2684" s="1"/>
    </row>
    <row r="2685" spans="1:4">
      <c r="A2685" s="1"/>
      <c r="D2685" s="1"/>
    </row>
    <row r="2686" spans="1:4">
      <c r="A2686" s="1"/>
      <c r="D2686" s="1"/>
    </row>
    <row r="2687" spans="1:4">
      <c r="A2687" s="1"/>
      <c r="D2687" s="1"/>
    </row>
    <row r="2688" spans="1:4">
      <c r="A2688" s="1"/>
      <c r="D2688" s="1"/>
    </row>
    <row r="2689" spans="1:4">
      <c r="A2689" s="1"/>
      <c r="D2689" s="1"/>
    </row>
    <row r="2690" spans="1:4">
      <c r="A2690" s="1"/>
      <c r="D2690" s="1"/>
    </row>
    <row r="2691" spans="1:4">
      <c r="A2691" s="1"/>
      <c r="D2691" s="1"/>
    </row>
    <row r="2692" spans="1:4">
      <c r="A2692" s="1"/>
      <c r="D2692" s="1"/>
    </row>
    <row r="2693" spans="1:4">
      <c r="A2693" s="1"/>
      <c r="D2693" s="1"/>
    </row>
    <row r="2694" spans="1:4">
      <c r="A2694" s="1"/>
      <c r="D2694" s="1"/>
    </row>
    <row r="2695" spans="1:4">
      <c r="A2695" s="1"/>
      <c r="D2695" s="1"/>
    </row>
    <row r="2696" spans="1:4">
      <c r="A2696" s="1"/>
      <c r="D2696" s="1"/>
    </row>
    <row r="2697" spans="1:4">
      <c r="A2697" s="1"/>
      <c r="D2697" s="1"/>
    </row>
    <row r="2698" spans="1:4">
      <c r="A2698" s="1"/>
      <c r="D2698" s="1"/>
    </row>
    <row r="2699" spans="1:4">
      <c r="A2699" s="1"/>
      <c r="D2699" s="1"/>
    </row>
    <row r="2700" spans="1:4">
      <c r="A2700" s="1"/>
      <c r="D2700" s="1"/>
    </row>
    <row r="2701" spans="1:4">
      <c r="A2701" s="1"/>
      <c r="D2701" s="1"/>
    </row>
    <row r="2702" spans="1:4">
      <c r="A2702" s="1"/>
      <c r="D2702" s="1"/>
    </row>
    <row r="2703" spans="1:4">
      <c r="A2703" s="1"/>
      <c r="D2703" s="1"/>
    </row>
    <row r="2704" spans="1:4">
      <c r="A2704" s="1"/>
      <c r="D2704" s="1"/>
    </row>
    <row r="2705" spans="1:4">
      <c r="A2705" s="1"/>
      <c r="D2705" s="1"/>
    </row>
    <row r="2706" spans="1:4">
      <c r="A2706" s="1"/>
      <c r="D2706" s="1"/>
    </row>
    <row r="2707" spans="1:4">
      <c r="A2707" s="1"/>
      <c r="D2707" s="1"/>
    </row>
    <row r="2708" spans="1:4">
      <c r="A2708" s="1"/>
      <c r="D2708" s="1"/>
    </row>
    <row r="2709" spans="1:4">
      <c r="A2709" s="1"/>
      <c r="D2709" s="1"/>
    </row>
    <row r="2710" spans="1:4">
      <c r="A2710" s="1"/>
      <c r="D2710" s="1"/>
    </row>
    <row r="2711" spans="1:4">
      <c r="A2711" s="1"/>
      <c r="D2711" s="1"/>
    </row>
    <row r="2712" spans="1:4">
      <c r="A2712" s="1"/>
      <c r="D2712" s="1"/>
    </row>
    <row r="2713" spans="1:4">
      <c r="A2713" s="1"/>
      <c r="D2713" s="1"/>
    </row>
    <row r="2714" spans="1:4">
      <c r="A2714" s="1"/>
      <c r="D2714" s="1"/>
    </row>
    <row r="2715" spans="1:4">
      <c r="A2715" s="1"/>
      <c r="D2715" s="1"/>
    </row>
    <row r="2716" spans="1:4">
      <c r="A2716" s="1"/>
      <c r="D2716" s="1"/>
    </row>
    <row r="2717" spans="1:4">
      <c r="A2717" s="1"/>
      <c r="D2717" s="1"/>
    </row>
    <row r="2718" spans="1:4">
      <c r="A2718" s="1"/>
      <c r="D2718" s="1"/>
    </row>
    <row r="2719" spans="1:4">
      <c r="A2719" s="1"/>
      <c r="D2719" s="1"/>
    </row>
    <row r="2720" spans="1:4">
      <c r="A2720" s="1"/>
      <c r="D2720" s="1"/>
    </row>
    <row r="2721" spans="1:4">
      <c r="A2721" s="1"/>
      <c r="D2721" s="1"/>
    </row>
    <row r="2722" spans="1:4">
      <c r="A2722" s="1"/>
      <c r="D2722" s="1"/>
    </row>
    <row r="2723" spans="1:4">
      <c r="A2723" s="1"/>
      <c r="D2723" s="1"/>
    </row>
    <row r="2724" spans="1:4">
      <c r="A2724" s="1"/>
      <c r="D2724" s="1"/>
    </row>
    <row r="2725" spans="1:4">
      <c r="A2725" s="1"/>
      <c r="D2725" s="1"/>
    </row>
    <row r="2726" spans="1:4">
      <c r="A2726" s="1"/>
      <c r="D2726" s="1"/>
    </row>
    <row r="2727" spans="1:4">
      <c r="A2727" s="1"/>
      <c r="D2727" s="1"/>
    </row>
    <row r="2728" spans="1:4">
      <c r="A2728" s="1"/>
      <c r="D2728" s="1"/>
    </row>
    <row r="2729" spans="1:4">
      <c r="A2729" s="1"/>
      <c r="D2729" s="1"/>
    </row>
    <row r="2730" spans="1:4">
      <c r="A2730" s="1"/>
      <c r="D2730" s="1"/>
    </row>
    <row r="2731" spans="1:4">
      <c r="A2731" s="1"/>
      <c r="D2731" s="1"/>
    </row>
    <row r="2732" spans="1:4">
      <c r="A2732" s="1"/>
      <c r="D2732" s="1"/>
    </row>
    <row r="2733" spans="1:4">
      <c r="A2733" s="1"/>
      <c r="D2733" s="1"/>
    </row>
    <row r="2734" spans="1:4">
      <c r="A2734" s="1"/>
      <c r="D2734" s="1"/>
    </row>
    <row r="2735" spans="1:4">
      <c r="A2735" s="1"/>
      <c r="D2735" s="1"/>
    </row>
    <row r="2736" spans="1:4">
      <c r="A2736" s="1"/>
      <c r="D2736" s="1"/>
    </row>
    <row r="2737" spans="1:4">
      <c r="A2737" s="1"/>
      <c r="D2737" s="1"/>
    </row>
    <row r="2738" spans="1:4">
      <c r="A2738" s="1"/>
      <c r="D2738" s="1"/>
    </row>
    <row r="2739" spans="1:4">
      <c r="A2739" s="1"/>
      <c r="D2739" s="1"/>
    </row>
    <row r="2740" spans="1:4">
      <c r="A2740" s="1"/>
      <c r="D2740" s="1"/>
    </row>
    <row r="2741" spans="1:4">
      <c r="A2741" s="1"/>
      <c r="D2741" s="1"/>
    </row>
    <row r="2742" spans="1:4">
      <c r="A2742" s="1"/>
      <c r="D2742" s="1"/>
    </row>
    <row r="2743" spans="1:4">
      <c r="A2743" s="1"/>
      <c r="D2743" s="1"/>
    </row>
    <row r="2744" spans="1:4">
      <c r="A2744" s="1"/>
      <c r="D2744" s="1"/>
    </row>
    <row r="2745" spans="1:4">
      <c r="A2745" s="1"/>
      <c r="D2745" s="1"/>
    </row>
    <row r="2746" spans="1:4">
      <c r="A2746" s="1"/>
      <c r="D2746" s="1"/>
    </row>
    <row r="2747" spans="1:4">
      <c r="A2747" s="1"/>
      <c r="D2747" s="1"/>
    </row>
    <row r="2748" spans="1:4">
      <c r="A2748" s="1"/>
      <c r="D2748" s="1"/>
    </row>
    <row r="2749" spans="1:4">
      <c r="A2749" s="1"/>
      <c r="D2749" s="1"/>
    </row>
    <row r="2750" spans="1:4">
      <c r="A2750" s="1"/>
      <c r="D2750" s="1"/>
    </row>
    <row r="2751" spans="1:4">
      <c r="A2751" s="1"/>
      <c r="D2751" s="1"/>
    </row>
    <row r="2752" spans="1:4">
      <c r="A2752" s="1"/>
      <c r="D2752" s="1"/>
    </row>
    <row r="2753" spans="1:4">
      <c r="A2753" s="1"/>
      <c r="D2753" s="1"/>
    </row>
    <row r="2754" spans="1:4">
      <c r="A2754" s="1"/>
      <c r="D2754" s="1"/>
    </row>
    <row r="2755" spans="1:4">
      <c r="A2755" s="1"/>
      <c r="D2755" s="1"/>
    </row>
    <row r="2756" spans="1:4">
      <c r="A2756" s="1"/>
      <c r="D2756" s="1"/>
    </row>
    <row r="2757" spans="1:4">
      <c r="A2757" s="1"/>
      <c r="D2757" s="1"/>
    </row>
    <row r="2758" spans="1:4">
      <c r="A2758" s="1"/>
      <c r="D2758" s="1"/>
    </row>
    <row r="2759" spans="1:4">
      <c r="A2759" s="1"/>
      <c r="D2759" s="1"/>
    </row>
    <row r="2760" spans="1:4">
      <c r="A2760" s="1"/>
      <c r="D2760" s="1"/>
    </row>
    <row r="2761" spans="1:4">
      <c r="A2761" s="1"/>
      <c r="D2761" s="1"/>
    </row>
    <row r="2762" spans="1:4">
      <c r="A2762" s="1"/>
      <c r="D2762" s="1"/>
    </row>
    <row r="2763" spans="1:4">
      <c r="A2763" s="1"/>
      <c r="D2763" s="1"/>
    </row>
    <row r="2764" spans="1:4">
      <c r="A2764" s="1"/>
      <c r="D2764" s="1"/>
    </row>
    <row r="2765" spans="1:4">
      <c r="A2765" s="1"/>
      <c r="D2765" s="1"/>
    </row>
    <row r="2766" spans="1:4">
      <c r="A2766" s="1"/>
      <c r="D2766" s="1"/>
    </row>
    <row r="2767" spans="1:4">
      <c r="A2767" s="1"/>
      <c r="D2767" s="1"/>
    </row>
    <row r="2768" spans="1:4">
      <c r="A2768" s="1"/>
      <c r="D2768" s="1"/>
    </row>
    <row r="2769" spans="1:4">
      <c r="A2769" s="1"/>
      <c r="D2769" s="1"/>
    </row>
    <row r="2770" spans="1:4">
      <c r="A2770" s="1"/>
      <c r="D2770" s="1"/>
    </row>
    <row r="2771" spans="1:4">
      <c r="A2771" s="1"/>
      <c r="D2771" s="1"/>
    </row>
    <row r="2772" spans="1:4">
      <c r="A2772" s="1"/>
      <c r="D2772" s="1"/>
    </row>
    <row r="2773" spans="1:4">
      <c r="A2773" s="1"/>
      <c r="D2773" s="1"/>
    </row>
    <row r="2774" spans="1:4">
      <c r="A2774" s="1"/>
      <c r="D2774" s="1"/>
    </row>
    <row r="2775" spans="1:4">
      <c r="A2775" s="1"/>
      <c r="D2775" s="1"/>
    </row>
    <row r="2776" spans="1:4">
      <c r="A2776" s="1"/>
      <c r="D2776" s="1"/>
    </row>
    <row r="2777" spans="1:4">
      <c r="A2777" s="1"/>
      <c r="D2777" s="1"/>
    </row>
    <row r="2778" spans="1:4">
      <c r="A2778" s="1"/>
      <c r="D2778" s="1"/>
    </row>
    <row r="2779" spans="1:4">
      <c r="A2779" s="1"/>
      <c r="D2779" s="1"/>
    </row>
    <row r="2780" spans="1:4">
      <c r="A2780" s="1"/>
      <c r="D2780" s="1"/>
    </row>
    <row r="2781" spans="1:4">
      <c r="A2781" s="1"/>
      <c r="D2781" s="1"/>
    </row>
  </sheetData>
  <pageMargins left="0.75" right="0.75" top="1" bottom="1" header="0.5" footer="0.5"/>
  <headerFooter alignWithMargins="0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6"/>
  <dimension ref="A1:K2781"/>
  <sheetViews>
    <sheetView workbookViewId="0">
      <selection activeCell="I4" sqref="I4"/>
    </sheetView>
  </sheetViews>
  <sheetFormatPr defaultRowHeight="13.2"/>
  <cols>
    <col min="1" max="1" width="9.77734375" bestFit="1" customWidth="1"/>
    <col min="4" max="4" width="9.77734375" bestFit="1" customWidth="1"/>
    <col min="16" max="16" width="11.21875" bestFit="1" customWidth="1"/>
    <col min="17" max="17" width="10.109375" bestFit="1" customWidth="1"/>
    <col min="18" max="20" width="10.109375" customWidth="1"/>
    <col min="21" max="21" width="12.5546875" bestFit="1" customWidth="1"/>
    <col min="22" max="22" width="9.5546875" bestFit="1" customWidth="1"/>
    <col min="23" max="23" width="9.5546875" customWidth="1"/>
    <col min="24" max="24" width="9.33203125" bestFit="1" customWidth="1"/>
    <col min="27" max="27" width="9.33203125" bestFit="1" customWidth="1"/>
    <col min="28" max="28" width="9.33203125" customWidth="1"/>
    <col min="30" max="30" width="10.109375" bestFit="1" customWidth="1"/>
    <col min="31" max="34" width="10.109375" customWidth="1"/>
    <col min="40" max="40" width="9.33203125" bestFit="1" customWidth="1"/>
    <col min="41" max="41" width="9.33203125" customWidth="1"/>
    <col min="52" max="52" width="10.109375" bestFit="1" customWidth="1"/>
    <col min="53" max="53" width="12.33203125" bestFit="1" customWidth="1"/>
  </cols>
  <sheetData>
    <row r="1" spans="1:11">
      <c r="A1" t="s">
        <v>8</v>
      </c>
      <c r="B1">
        <v>-15.78</v>
      </c>
    </row>
    <row r="3" spans="1:11">
      <c r="A3" t="s">
        <v>9</v>
      </c>
      <c r="B3" t="s">
        <v>6</v>
      </c>
      <c r="C3" t="s">
        <v>7</v>
      </c>
      <c r="D3" t="s">
        <v>11</v>
      </c>
      <c r="E3" t="s">
        <v>0</v>
      </c>
      <c r="F3" t="s">
        <v>1</v>
      </c>
      <c r="G3" t="s">
        <v>2</v>
      </c>
      <c r="H3" t="s">
        <v>3</v>
      </c>
      <c r="I3" s="3" t="s">
        <v>88</v>
      </c>
      <c r="J3" t="s">
        <v>4</v>
      </c>
      <c r="K3" s="3"/>
    </row>
    <row r="4" spans="1:11">
      <c r="A4" s="1">
        <f>DATE(E4,1,1)+F4-1</f>
        <v>32629</v>
      </c>
      <c r="B4">
        <f>J4</f>
        <v>11.699211133574613</v>
      </c>
      <c r="C4">
        <f>day_length(F4,$B$1,Fitting!$B$4)</f>
        <v>12.286604881286621</v>
      </c>
      <c r="D4" s="1">
        <f>A4</f>
        <v>32629</v>
      </c>
      <c r="E4" s="5">
        <v>1989</v>
      </c>
      <c r="F4" s="5">
        <v>121</v>
      </c>
      <c r="G4">
        <v>35.1</v>
      </c>
      <c r="H4">
        <v>24.2</v>
      </c>
      <c r="I4">
        <f>MAX(0,1-Fitting!$B$7*(Fitting!$B$6-Herm8889!C4)^2)</f>
        <v>0.49649376843153181</v>
      </c>
      <c r="J4">
        <f>tt(G4,H4,Fitting!$B$1:$E$1,Fitting!$B$2:$E$2)*I4</f>
        <v>11.699211133574613</v>
      </c>
      <c r="K4" s="3"/>
    </row>
    <row r="5" spans="1:11">
      <c r="A5" s="1">
        <f>A4+1</f>
        <v>32630</v>
      </c>
      <c r="B5">
        <f t="shared" ref="B5:B68" si="0">B4+J5</f>
        <v>23.217766176173718</v>
      </c>
      <c r="C5">
        <f>day_length(F5,$B$1,Fitting!$B$4)</f>
        <v>12.275136947631836</v>
      </c>
      <c r="D5" s="1">
        <f t="shared" ref="D5:D68" si="1">A5</f>
        <v>32630</v>
      </c>
      <c r="E5">
        <f>YEAR(A5)</f>
        <v>1989</v>
      </c>
      <c r="F5" s="6">
        <f>A5-DATE(E5,1,1)+1</f>
        <v>122</v>
      </c>
      <c r="G5">
        <v>35</v>
      </c>
      <c r="H5">
        <v>22.2</v>
      </c>
      <c r="I5">
        <f>MAX(0,1-Fitting!$B$7*(Fitting!$B$6-Herm8889!C5)^2)</f>
        <v>0.49401934509080636</v>
      </c>
      <c r="J5">
        <f>tt(G5,H5,Fitting!$B$1:$E$1,Fitting!$B$2:$E$2)*I5</f>
        <v>11.518555042599104</v>
      </c>
    </row>
    <row r="6" spans="1:11">
      <c r="A6" s="1">
        <f t="shared" ref="A6:A69" si="2">A5+1</f>
        <v>32631</v>
      </c>
      <c r="B6">
        <f t="shared" si="0"/>
        <v>34.590371729559621</v>
      </c>
      <c r="C6">
        <f>day_length(F6,$B$1,Fitting!$B$4)</f>
        <v>12.263820648193359</v>
      </c>
      <c r="D6" s="1">
        <f t="shared" si="1"/>
        <v>32631</v>
      </c>
      <c r="E6">
        <f t="shared" ref="E6:E69" si="3">YEAR(A6)</f>
        <v>1989</v>
      </c>
      <c r="F6" s="6">
        <f t="shared" ref="F6:F69" si="4">A6-DATE(E6,1,1)+1</f>
        <v>123</v>
      </c>
      <c r="G6">
        <v>35.1</v>
      </c>
      <c r="H6">
        <v>21.9</v>
      </c>
      <c r="I6">
        <f>MAX(0,1-Fitting!$B$7*(Fitting!$B$6-Herm8889!C6)^2)</f>
        <v>0.49157046102295321</v>
      </c>
      <c r="J6">
        <f>tt(G6,H6,Fitting!$B$1:$E$1,Fitting!$B$2:$E$2)*I6</f>
        <v>11.372605553385899</v>
      </c>
    </row>
    <row r="7" spans="1:11">
      <c r="A7" s="1">
        <f t="shared" si="2"/>
        <v>32632</v>
      </c>
      <c r="B7">
        <f t="shared" si="0"/>
        <v>45.707540167453416</v>
      </c>
      <c r="C7">
        <f>day_length(F7,$B$1,Fitting!$B$4)</f>
        <v>12.252659797668457</v>
      </c>
      <c r="D7" s="1">
        <f t="shared" si="1"/>
        <v>32632</v>
      </c>
      <c r="E7">
        <f t="shared" si="3"/>
        <v>1989</v>
      </c>
      <c r="F7" s="6">
        <f t="shared" si="4"/>
        <v>124</v>
      </c>
      <c r="G7">
        <v>35</v>
      </c>
      <c r="H7">
        <v>20.399999999999999</v>
      </c>
      <c r="I7">
        <f>MAX(0,1-Fitting!$B$7*(Fitting!$B$6-Herm8889!C7)^2)</f>
        <v>0.4891478728250731</v>
      </c>
      <c r="J7">
        <f>tt(G7,H7,Fitting!$B$1:$E$1,Fitting!$B$2:$E$2)*I7</f>
        <v>11.117168437893795</v>
      </c>
    </row>
    <row r="8" spans="1:11">
      <c r="A8" s="1">
        <f t="shared" si="2"/>
        <v>32633</v>
      </c>
      <c r="B8">
        <f t="shared" si="0"/>
        <v>56.626129757850094</v>
      </c>
      <c r="C8">
        <f>day_length(F8,$B$1,Fitting!$B$4)</f>
        <v>12.241658210754395</v>
      </c>
      <c r="D8" s="1">
        <f t="shared" si="1"/>
        <v>32633</v>
      </c>
      <c r="E8">
        <f t="shared" si="3"/>
        <v>1989</v>
      </c>
      <c r="F8" s="6">
        <f t="shared" si="4"/>
        <v>125</v>
      </c>
      <c r="G8">
        <v>35.200000000000003</v>
      </c>
      <c r="H8">
        <v>20</v>
      </c>
      <c r="I8">
        <f>MAX(0,1-Fitting!$B$7*(Fitting!$B$6-Herm8889!C8)^2)</f>
        <v>0.48675255078453661</v>
      </c>
      <c r="J8">
        <f>tt(G8,H8,Fitting!$B$1:$E$1,Fitting!$B$2:$E$2)*I8</f>
        <v>10.91858959039668</v>
      </c>
    </row>
    <row r="9" spans="1:11">
      <c r="A9" s="1">
        <f t="shared" si="2"/>
        <v>32634</v>
      </c>
      <c r="B9">
        <f t="shared" si="0"/>
        <v>68.281474727103941</v>
      </c>
      <c r="C9">
        <f>day_length(F9,$B$1,Fitting!$B$4)</f>
        <v>12.230817794799805</v>
      </c>
      <c r="D9" s="1">
        <f t="shared" si="1"/>
        <v>32634</v>
      </c>
      <c r="E9">
        <f t="shared" si="3"/>
        <v>1989</v>
      </c>
      <c r="F9" s="6">
        <f t="shared" si="4"/>
        <v>126</v>
      </c>
      <c r="G9">
        <v>33.9</v>
      </c>
      <c r="H9">
        <v>21.7</v>
      </c>
      <c r="I9">
        <f>MAX(0,1-Fitting!$B$7*(Fitting!$B$6-Herm8889!C9)^2)</f>
        <v>0.4843855750608782</v>
      </c>
      <c r="J9">
        <f>tt(G9,H9,Fitting!$B$1:$E$1,Fitting!$B$2:$E$2)*I9</f>
        <v>11.655344969253841</v>
      </c>
    </row>
    <row r="10" spans="1:11">
      <c r="A10" s="1">
        <f t="shared" si="2"/>
        <v>32635</v>
      </c>
      <c r="B10">
        <f t="shared" si="0"/>
        <v>80.596173258898446</v>
      </c>
      <c r="C10">
        <f>day_length(F10,$B$1,Fitting!$B$4)</f>
        <v>12.220141410827637</v>
      </c>
      <c r="D10" s="1">
        <f t="shared" si="1"/>
        <v>32635</v>
      </c>
      <c r="E10">
        <f t="shared" si="3"/>
        <v>1989</v>
      </c>
      <c r="F10" s="6">
        <f t="shared" si="4"/>
        <v>127</v>
      </c>
      <c r="G10">
        <v>32.5</v>
      </c>
      <c r="H10">
        <v>22.7</v>
      </c>
      <c r="I10">
        <f>MAX(0,1-Fitting!$B$7*(Fitting!$B$6-Herm8889!C10)^2)</f>
        <v>0.48204792398846619</v>
      </c>
      <c r="J10">
        <f>tt(G10,H10,Fitting!$B$1:$E$1,Fitting!$B$2:$E$2)*I10</f>
        <v>12.314698531794507</v>
      </c>
    </row>
    <row r="11" spans="1:11">
      <c r="A11" s="1">
        <f t="shared" si="2"/>
        <v>32636</v>
      </c>
      <c r="B11">
        <f t="shared" si="0"/>
        <v>92.961275131639439</v>
      </c>
      <c r="C11">
        <f>day_length(F11,$B$1,Fitting!$B$4)</f>
        <v>12.209633827209473</v>
      </c>
      <c r="D11" s="1">
        <f t="shared" si="1"/>
        <v>32636</v>
      </c>
      <c r="E11">
        <f t="shared" si="3"/>
        <v>1989</v>
      </c>
      <c r="F11" s="6">
        <f t="shared" si="4"/>
        <v>128</v>
      </c>
      <c r="G11">
        <v>30.9</v>
      </c>
      <c r="H11">
        <v>21.3</v>
      </c>
      <c r="I11">
        <f>MAX(0,1-Fitting!$B$7*(Fitting!$B$6-Herm8889!C11)^2)</f>
        <v>0.47974057917609025</v>
      </c>
      <c r="J11">
        <f>tt(G11,H11,Fitting!$B$1:$E$1,Fitting!$B$2:$E$2)*I11</f>
        <v>12.365101872740988</v>
      </c>
    </row>
    <row r="12" spans="1:11">
      <c r="A12" s="1">
        <f t="shared" si="2"/>
        <v>32637</v>
      </c>
      <c r="B12">
        <f t="shared" si="0"/>
        <v>104.53216738280008</v>
      </c>
      <c r="C12">
        <f>day_length(F12,$B$1,Fitting!$B$4)</f>
        <v>12.199295997619629</v>
      </c>
      <c r="D12" s="1">
        <f t="shared" si="1"/>
        <v>32637</v>
      </c>
      <c r="E12">
        <f t="shared" si="3"/>
        <v>1989</v>
      </c>
      <c r="F12" s="6">
        <f t="shared" si="4"/>
        <v>129</v>
      </c>
      <c r="G12">
        <v>31.3</v>
      </c>
      <c r="H12">
        <v>18.2</v>
      </c>
      <c r="I12">
        <f>MAX(0,1-Fitting!$B$7*(Fitting!$B$6-Herm8889!C12)^2)</f>
        <v>0.47746452525446692</v>
      </c>
      <c r="J12">
        <f>tt(G12,H12,Fitting!$B$1:$E$1,Fitting!$B$2:$E$2)*I12</f>
        <v>11.570892251160638</v>
      </c>
    </row>
    <row r="13" spans="1:11">
      <c r="A13" s="1">
        <f t="shared" si="2"/>
        <v>32638</v>
      </c>
      <c r="B13">
        <f t="shared" si="0"/>
        <v>115.84558933371898</v>
      </c>
      <c r="C13">
        <f>day_length(F13,$B$1,Fitting!$B$4)</f>
        <v>12.189130783081055</v>
      </c>
      <c r="D13" s="1">
        <f t="shared" si="1"/>
        <v>32638</v>
      </c>
      <c r="E13">
        <f t="shared" si="3"/>
        <v>1989</v>
      </c>
      <c r="F13" s="6">
        <f t="shared" si="4"/>
        <v>130</v>
      </c>
      <c r="G13">
        <v>31</v>
      </c>
      <c r="H13">
        <v>17.2</v>
      </c>
      <c r="I13">
        <f>MAX(0,1-Fitting!$B$7*(Fitting!$B$6-Herm8889!C13)^2)</f>
        <v>0.47522096367271294</v>
      </c>
      <c r="J13">
        <f>tt(G13,H13,Fitting!$B$1:$E$1,Fitting!$B$2:$E$2)*I13</f>
        <v>11.313421950918899</v>
      </c>
    </row>
    <row r="14" spans="1:11">
      <c r="A14" s="1">
        <f t="shared" si="2"/>
        <v>32639</v>
      </c>
      <c r="B14">
        <f t="shared" si="0"/>
        <v>126.18428875666511</v>
      </c>
      <c r="C14">
        <f>day_length(F14,$B$1,Fitting!$B$4)</f>
        <v>12.179143905639648</v>
      </c>
      <c r="D14" s="1">
        <f t="shared" si="1"/>
        <v>32639</v>
      </c>
      <c r="E14">
        <f t="shared" si="3"/>
        <v>1989</v>
      </c>
      <c r="F14" s="6">
        <f t="shared" si="4"/>
        <v>131</v>
      </c>
      <c r="G14">
        <v>33.9</v>
      </c>
      <c r="H14">
        <v>15.4</v>
      </c>
      <c r="I14">
        <f>MAX(0,1-Fitting!$B$7*(Fitting!$B$6-Herm8889!C14)^2)</f>
        <v>0.47301056392056673</v>
      </c>
      <c r="J14">
        <f>tt(G14,H14,Fitting!$B$1:$E$1,Fitting!$B$2:$E$2)*I14</f>
        <v>10.338699422946137</v>
      </c>
    </row>
    <row r="15" spans="1:11">
      <c r="A15" s="1">
        <f t="shared" si="2"/>
        <v>32640</v>
      </c>
      <c r="B15">
        <f t="shared" si="0"/>
        <v>136.71594913684623</v>
      </c>
      <c r="C15">
        <f>day_length(F15,$B$1,Fitting!$B$4)</f>
        <v>12.169334411621094</v>
      </c>
      <c r="D15" s="1">
        <f t="shared" si="1"/>
        <v>32640</v>
      </c>
      <c r="E15">
        <f t="shared" si="3"/>
        <v>1989</v>
      </c>
      <c r="F15" s="6">
        <f t="shared" si="4"/>
        <v>132</v>
      </c>
      <c r="G15">
        <v>35</v>
      </c>
      <c r="H15">
        <v>19.3</v>
      </c>
      <c r="I15">
        <f>MAX(0,1-Fitting!$B$7*(Fitting!$B$6-Herm8889!C15)^2)</f>
        <v>0.47083474733279762</v>
      </c>
      <c r="J15">
        <f>tt(G15,H15,Fitting!$B$1:$E$1,Fitting!$B$2:$E$2)*I15</f>
        <v>10.531660380181124</v>
      </c>
    </row>
    <row r="16" spans="1:11">
      <c r="A16" s="1">
        <f t="shared" si="2"/>
        <v>32641</v>
      </c>
      <c r="B16">
        <f t="shared" si="0"/>
        <v>148.54078414713217</v>
      </c>
      <c r="C16">
        <f>day_length(F16,$B$1,Fitting!$B$4)</f>
        <v>12.159708023071289</v>
      </c>
      <c r="D16" s="1">
        <f t="shared" si="1"/>
        <v>32641</v>
      </c>
      <c r="E16">
        <f t="shared" si="3"/>
        <v>1989</v>
      </c>
      <c r="F16" s="6">
        <f t="shared" si="4"/>
        <v>133</v>
      </c>
      <c r="G16">
        <v>33.200000000000003</v>
      </c>
      <c r="H16">
        <v>23.5</v>
      </c>
      <c r="I16">
        <f>MAX(0,1-Fitting!$B$7*(Fitting!$B$6-Herm8889!C16)^2)</f>
        <v>0.46869429455683898</v>
      </c>
      <c r="J16">
        <f>tt(G16,H16,Fitting!$B$1:$E$1,Fitting!$B$2:$E$2)*I16</f>
        <v>11.824835010285931</v>
      </c>
    </row>
    <row r="17" spans="1:10">
      <c r="A17" s="1">
        <f t="shared" si="2"/>
        <v>32642</v>
      </c>
      <c r="B17">
        <f t="shared" si="0"/>
        <v>160.26768623918031</v>
      </c>
      <c r="C17">
        <f>day_length(F17,$B$1,Fitting!$B$4)</f>
        <v>12.1502685546875</v>
      </c>
      <c r="D17" s="1">
        <f t="shared" si="1"/>
        <v>32642</v>
      </c>
      <c r="E17">
        <f t="shared" si="3"/>
        <v>1989</v>
      </c>
      <c r="F17" s="6">
        <f t="shared" si="4"/>
        <v>134</v>
      </c>
      <c r="G17">
        <v>33</v>
      </c>
      <c r="H17">
        <v>22.7</v>
      </c>
      <c r="I17">
        <f>MAX(0,1-Fitting!$B$7*(Fitting!$B$6-Herm8889!C17)^2)</f>
        <v>0.4665903098517683</v>
      </c>
      <c r="J17">
        <f>tt(G17,H17,Fitting!$B$1:$E$1,Fitting!$B$2:$E$2)*I17</f>
        <v>11.726902092048142</v>
      </c>
    </row>
    <row r="18" spans="1:10">
      <c r="A18" s="1">
        <f t="shared" si="2"/>
        <v>32643</v>
      </c>
      <c r="B18">
        <f t="shared" si="0"/>
        <v>171.60145875395901</v>
      </c>
      <c r="C18">
        <f>day_length(F18,$B$1,Fitting!$B$4)</f>
        <v>12.141016006469727</v>
      </c>
      <c r="D18" s="1">
        <f t="shared" si="1"/>
        <v>32643</v>
      </c>
      <c r="E18">
        <f t="shared" si="3"/>
        <v>1989</v>
      </c>
      <c r="F18" s="6">
        <f t="shared" si="4"/>
        <v>135</v>
      </c>
      <c r="G18">
        <v>32.9</v>
      </c>
      <c r="H18">
        <v>20.2</v>
      </c>
      <c r="I18">
        <f>MAX(0,1-Fitting!$B$7*(Fitting!$B$6-Herm8889!C18)^2)</f>
        <v>0.46452389968027452</v>
      </c>
      <c r="J18">
        <f>tt(G18,H18,Fitting!$B$1:$E$1,Fitting!$B$2:$E$2)*I18</f>
        <v>11.333772514778694</v>
      </c>
    </row>
    <row r="19" spans="1:10">
      <c r="A19" s="1">
        <f t="shared" si="2"/>
        <v>32644</v>
      </c>
      <c r="B19">
        <f t="shared" si="0"/>
        <v>182.36175327417294</v>
      </c>
      <c r="C19">
        <f>day_length(F19,$B$1,Fitting!$B$4)</f>
        <v>12.131955146789551</v>
      </c>
      <c r="D19" s="1">
        <f t="shared" si="1"/>
        <v>32644</v>
      </c>
      <c r="E19">
        <f t="shared" si="3"/>
        <v>1989</v>
      </c>
      <c r="F19" s="6">
        <f t="shared" si="4"/>
        <v>136</v>
      </c>
      <c r="G19">
        <v>33.4</v>
      </c>
      <c r="H19">
        <v>18.100000000000001</v>
      </c>
      <c r="I19">
        <f>MAX(0,1-Fitting!$B$7*(Fitting!$B$6-Herm8889!C19)^2)</f>
        <v>0.46249595574117297</v>
      </c>
      <c r="J19">
        <f>tt(G19,H19,Fitting!$B$1:$E$1,Fitting!$B$2:$E$2)*I19</f>
        <v>10.76029452021394</v>
      </c>
    </row>
    <row r="20" spans="1:10">
      <c r="A20" s="1">
        <f t="shared" si="2"/>
        <v>32645</v>
      </c>
      <c r="B20">
        <f t="shared" si="0"/>
        <v>192.8122884077973</v>
      </c>
      <c r="C20">
        <f>day_length(F20,$B$1,Fitting!$B$4)</f>
        <v>12.123089790344238</v>
      </c>
      <c r="D20" s="1">
        <f t="shared" si="1"/>
        <v>32645</v>
      </c>
      <c r="E20">
        <f t="shared" si="3"/>
        <v>1989</v>
      </c>
      <c r="F20" s="6">
        <f t="shared" si="4"/>
        <v>137</v>
      </c>
      <c r="G20">
        <v>33.700000000000003</v>
      </c>
      <c r="H20">
        <v>17.100000000000001</v>
      </c>
      <c r="I20">
        <f>MAX(0,1-Fitting!$B$7*(Fitting!$B$6-Herm8889!C20)^2)</f>
        <v>0.46050769521310575</v>
      </c>
      <c r="J20">
        <f>tt(G20,H20,Fitting!$B$1:$E$1,Fitting!$B$2:$E$2)*I20</f>
        <v>10.45053513362436</v>
      </c>
    </row>
    <row r="21" spans="1:10">
      <c r="A21" s="1">
        <f t="shared" si="2"/>
        <v>32646</v>
      </c>
      <c r="B21">
        <f t="shared" si="0"/>
        <v>203.38682295311798</v>
      </c>
      <c r="C21">
        <f>day_length(F21,$B$1,Fitting!$B$4)</f>
        <v>12.114420890808105</v>
      </c>
      <c r="D21" s="1">
        <f t="shared" si="1"/>
        <v>32646</v>
      </c>
      <c r="E21">
        <f t="shared" si="3"/>
        <v>1989</v>
      </c>
      <c r="F21" s="6">
        <f t="shared" si="4"/>
        <v>138</v>
      </c>
      <c r="G21">
        <v>34.4</v>
      </c>
      <c r="H21">
        <v>19.899999999999999</v>
      </c>
      <c r="I21">
        <f>MAX(0,1-Fitting!$B$7*(Fitting!$B$6-Herm8889!C21)^2)</f>
        <v>0.4585599024417697</v>
      </c>
      <c r="J21">
        <f>tt(G21,H21,Fitting!$B$1:$E$1,Fitting!$B$2:$E$2)*I21</f>
        <v>10.57453454532069</v>
      </c>
    </row>
    <row r="22" spans="1:10">
      <c r="A22" s="1">
        <f t="shared" si="2"/>
        <v>32647</v>
      </c>
      <c r="B22">
        <f t="shared" si="0"/>
        <v>213.97008962714628</v>
      </c>
      <c r="C22">
        <f>day_length(F22,$B$1,Fitting!$B$4)</f>
        <v>12.105952262878418</v>
      </c>
      <c r="D22" s="1">
        <f t="shared" si="1"/>
        <v>32647</v>
      </c>
      <c r="E22">
        <f t="shared" si="3"/>
        <v>1989</v>
      </c>
      <c r="F22" s="6">
        <f t="shared" si="4"/>
        <v>139</v>
      </c>
      <c r="G22">
        <v>34.299999999999997</v>
      </c>
      <c r="H22">
        <v>20</v>
      </c>
      <c r="I22">
        <f>MAX(0,1-Fitting!$B$7*(Fitting!$B$6-Herm8889!C22)^2)</f>
        <v>0.45665379595054578</v>
      </c>
      <c r="J22">
        <f>tt(G22,H22,Fitting!$B$1:$E$1,Fitting!$B$2:$E$2)*I22</f>
        <v>10.583266674028303</v>
      </c>
    </row>
    <row r="23" spans="1:10">
      <c r="A23" s="1">
        <f t="shared" si="2"/>
        <v>32648</v>
      </c>
      <c r="B23">
        <f t="shared" si="0"/>
        <v>225.03153090851214</v>
      </c>
      <c r="C23">
        <f>day_length(F23,$B$1,Fitting!$B$4)</f>
        <v>12.097686767578125</v>
      </c>
      <c r="D23" s="1">
        <f t="shared" si="1"/>
        <v>32648</v>
      </c>
      <c r="E23">
        <f t="shared" si="3"/>
        <v>1989</v>
      </c>
      <c r="F23" s="6">
        <f t="shared" si="4"/>
        <v>140</v>
      </c>
      <c r="G23">
        <v>31.9</v>
      </c>
      <c r="H23">
        <v>19</v>
      </c>
      <c r="I23">
        <f>MAX(0,1-Fitting!$B$7*(Fitting!$B$6-Herm8889!C23)^2)</f>
        <v>0.45479037740610695</v>
      </c>
      <c r="J23">
        <f>tt(G23,H23,Fitting!$B$1:$E$1,Fitting!$B$2:$E$2)*I23</f>
        <v>11.061441281365854</v>
      </c>
    </row>
    <row r="24" spans="1:10">
      <c r="A24" s="1">
        <f t="shared" si="2"/>
        <v>32649</v>
      </c>
      <c r="B24">
        <f t="shared" si="0"/>
        <v>235.49046167545393</v>
      </c>
      <c r="C24">
        <f>day_length(F24,$B$1,Fitting!$B$4)</f>
        <v>12.089627265930176</v>
      </c>
      <c r="D24" s="1">
        <f t="shared" si="1"/>
        <v>32649</v>
      </c>
      <c r="E24">
        <f t="shared" si="3"/>
        <v>1989</v>
      </c>
      <c r="F24" s="6">
        <f t="shared" si="4"/>
        <v>141</v>
      </c>
      <c r="G24">
        <v>31.6</v>
      </c>
      <c r="H24">
        <v>15.9</v>
      </c>
      <c r="I24">
        <f>MAX(0,1-Fitting!$B$7*(Fitting!$B$6-Herm8889!C24)^2)</f>
        <v>0.45297064793264874</v>
      </c>
      <c r="J24">
        <f>tt(G24,H24,Fitting!$B$1:$E$1,Fitting!$B$2:$E$2)*I24</f>
        <v>10.458930766941785</v>
      </c>
    </row>
    <row r="25" spans="1:10">
      <c r="A25" s="1">
        <f t="shared" si="2"/>
        <v>32650</v>
      </c>
      <c r="B25">
        <f t="shared" si="0"/>
        <v>245.78925305892207</v>
      </c>
      <c r="C25">
        <f>day_length(F25,$B$1,Fitting!$B$4)</f>
        <v>12.08177661895752</v>
      </c>
      <c r="D25" s="1">
        <f t="shared" si="1"/>
        <v>32650</v>
      </c>
      <c r="E25">
        <f t="shared" si="3"/>
        <v>1989</v>
      </c>
      <c r="F25" s="6">
        <f t="shared" si="4"/>
        <v>142</v>
      </c>
      <c r="G25">
        <v>32.4</v>
      </c>
      <c r="H25">
        <v>16.100000000000001</v>
      </c>
      <c r="I25">
        <f>MAX(0,1-Fitting!$B$7*(Fitting!$B$6-Herm8889!C25)^2)</f>
        <v>0.45119560778681811</v>
      </c>
      <c r="J25">
        <f>tt(G25,H25,Fitting!$B$1:$E$1,Fitting!$B$2:$E$2)*I25</f>
        <v>10.298791383468142</v>
      </c>
    </row>
    <row r="26" spans="1:10">
      <c r="A26" s="1">
        <f t="shared" si="2"/>
        <v>32651</v>
      </c>
      <c r="B26">
        <f t="shared" si="0"/>
        <v>256.12770307120485</v>
      </c>
      <c r="C26">
        <f>day_length(F26,$B$1,Fitting!$B$4)</f>
        <v>12.074137687683105</v>
      </c>
      <c r="D26" s="1">
        <f t="shared" si="1"/>
        <v>32651</v>
      </c>
      <c r="E26">
        <f t="shared" si="3"/>
        <v>1989</v>
      </c>
      <c r="F26" s="6">
        <f t="shared" si="4"/>
        <v>143</v>
      </c>
      <c r="G26">
        <v>33.200000000000003</v>
      </c>
      <c r="H26">
        <v>17.3</v>
      </c>
      <c r="I26">
        <f>MAX(0,1-Fitting!$B$7*(Fitting!$B$6-Herm8889!C26)^2)</f>
        <v>0.44946625602729362</v>
      </c>
      <c r="J26">
        <f>tt(G26,H26,Fitting!$B$1:$E$1,Fitting!$B$2:$E$2)*I26</f>
        <v>10.338450012282797</v>
      </c>
    </row>
    <row r="27" spans="1:10">
      <c r="A27" s="1">
        <f t="shared" si="2"/>
        <v>32652</v>
      </c>
      <c r="B27">
        <f t="shared" si="0"/>
        <v>266.07268324988218</v>
      </c>
      <c r="C27">
        <f>day_length(F27,$B$1,Fitting!$B$4)</f>
        <v>12.066714286804199</v>
      </c>
      <c r="D27" s="1">
        <f t="shared" si="1"/>
        <v>32652</v>
      </c>
      <c r="E27">
        <f t="shared" si="3"/>
        <v>1989</v>
      </c>
      <c r="F27" s="6">
        <f t="shared" si="4"/>
        <v>144</v>
      </c>
      <c r="G27">
        <v>33.700000000000003</v>
      </c>
      <c r="H27">
        <v>16</v>
      </c>
      <c r="I27">
        <f>MAX(0,1-Fitting!$B$7*(Fitting!$B$6-Herm8889!C27)^2)</f>
        <v>0.44778359017901859</v>
      </c>
      <c r="J27">
        <f>tt(G27,H27,Fitting!$B$1:$E$1,Fitting!$B$2:$E$2)*I27</f>
        <v>9.9449801786773282</v>
      </c>
    </row>
    <row r="28" spans="1:10">
      <c r="A28" s="1">
        <f t="shared" si="2"/>
        <v>32653</v>
      </c>
      <c r="B28">
        <f t="shared" si="0"/>
        <v>276.02645082604664</v>
      </c>
      <c r="C28">
        <f>day_length(F28,$B$1,Fitting!$B$4)</f>
        <v>12.059507369995117</v>
      </c>
      <c r="D28" s="1">
        <f t="shared" si="1"/>
        <v>32653</v>
      </c>
      <c r="E28">
        <f t="shared" si="3"/>
        <v>1989</v>
      </c>
      <c r="F28" s="6">
        <f t="shared" si="4"/>
        <v>145</v>
      </c>
      <c r="G28">
        <v>34.200000000000003</v>
      </c>
      <c r="H28">
        <v>17.100000000000001</v>
      </c>
      <c r="I28">
        <f>MAX(0,1-Fitting!$B$7*(Fitting!$B$6-Herm8889!C28)^2)</f>
        <v>0.44614849594028239</v>
      </c>
      <c r="J28">
        <f>tt(G28,H28,Fitting!$B$1:$E$1,Fitting!$B$2:$E$2)*I28</f>
        <v>9.9537675761644397</v>
      </c>
    </row>
    <row r="29" spans="1:10">
      <c r="A29" s="1">
        <f t="shared" si="2"/>
        <v>32654</v>
      </c>
      <c r="B29">
        <f t="shared" si="0"/>
        <v>286.37566380763218</v>
      </c>
      <c r="C29">
        <f>day_length(F29,$B$1,Fitting!$B$4)</f>
        <v>12.052520751953125</v>
      </c>
      <c r="D29" s="1">
        <f t="shared" si="1"/>
        <v>32654</v>
      </c>
      <c r="E29">
        <f t="shared" si="3"/>
        <v>1989</v>
      </c>
      <c r="F29" s="6">
        <f t="shared" si="4"/>
        <v>146</v>
      </c>
      <c r="G29">
        <v>33.700000000000003</v>
      </c>
      <c r="H29">
        <v>18.8</v>
      </c>
      <c r="I29">
        <f>MAX(0,1-Fitting!$B$7*(Fitting!$B$6-Herm8889!C29)^2)</f>
        <v>0.44456218648612411</v>
      </c>
      <c r="J29">
        <f>tt(G29,H29,Fitting!$B$1:$E$1,Fitting!$B$2:$E$2)*I29</f>
        <v>10.34921298158552</v>
      </c>
    </row>
    <row r="30" spans="1:10">
      <c r="A30" s="1">
        <f t="shared" si="2"/>
        <v>32655</v>
      </c>
      <c r="B30">
        <f t="shared" si="0"/>
        <v>296.48796050781556</v>
      </c>
      <c r="C30">
        <f>day_length(F30,$B$1,Fitting!$B$4)</f>
        <v>12.045757293701172</v>
      </c>
      <c r="D30" s="1">
        <f t="shared" si="1"/>
        <v>32655</v>
      </c>
      <c r="E30">
        <f t="shared" si="3"/>
        <v>1989</v>
      </c>
      <c r="F30" s="6">
        <f t="shared" si="4"/>
        <v>147</v>
      </c>
      <c r="G30">
        <v>33</v>
      </c>
      <c r="H30">
        <v>16.7</v>
      </c>
      <c r="I30">
        <f>MAX(0,1-Fitting!$B$7*(Fitting!$B$6-Herm8889!C30)^2)</f>
        <v>0.44302521209875156</v>
      </c>
      <c r="J30">
        <f>tt(G30,H30,Fitting!$B$1:$E$1,Fitting!$B$2:$E$2)*I30</f>
        <v>10.112296700183403</v>
      </c>
    </row>
    <row r="31" spans="1:10">
      <c r="A31" s="1">
        <f t="shared" si="2"/>
        <v>32656</v>
      </c>
      <c r="B31">
        <f t="shared" si="0"/>
        <v>306.46915915432425</v>
      </c>
      <c r="C31">
        <f>day_length(F31,$B$1,Fitting!$B$4)</f>
        <v>12.039218902587891</v>
      </c>
      <c r="D31" s="1">
        <f t="shared" si="1"/>
        <v>32656</v>
      </c>
      <c r="E31">
        <f t="shared" si="3"/>
        <v>1989</v>
      </c>
      <c r="F31" s="6">
        <f t="shared" si="4"/>
        <v>148</v>
      </c>
      <c r="G31">
        <v>32.700000000000003</v>
      </c>
      <c r="H31">
        <v>15.9</v>
      </c>
      <c r="I31">
        <f>MAX(0,1-Fitting!$B$7*(Fitting!$B$6-Herm8889!C31)^2)</f>
        <v>0.44153889060571239</v>
      </c>
      <c r="J31">
        <f>tt(G31,H31,Fitting!$B$1:$E$1,Fitting!$B$2:$E$2)*I31</f>
        <v>9.9811986465086964</v>
      </c>
    </row>
    <row r="32" spans="1:10">
      <c r="A32" s="1">
        <f t="shared" si="2"/>
        <v>32657</v>
      </c>
      <c r="B32">
        <f t="shared" si="0"/>
        <v>315.91427043704653</v>
      </c>
      <c r="C32">
        <f>day_length(F32,$B$1,Fitting!$B$4)</f>
        <v>12.03290843963623</v>
      </c>
      <c r="D32" s="1">
        <f t="shared" si="1"/>
        <v>32657</v>
      </c>
      <c r="E32">
        <f t="shared" si="3"/>
        <v>1989</v>
      </c>
      <c r="F32" s="6">
        <f t="shared" si="4"/>
        <v>149</v>
      </c>
      <c r="G32">
        <v>32.799999999999997</v>
      </c>
      <c r="H32">
        <v>13.4</v>
      </c>
      <c r="I32">
        <f>MAX(0,1-Fitting!$B$7*(Fitting!$B$6-Herm8889!C32)^2)</f>
        <v>0.4401039855869967</v>
      </c>
      <c r="J32">
        <f>tt(G32,H32,Fitting!$B$1:$E$1,Fitting!$B$2:$E$2)*I32</f>
        <v>9.4451112827222534</v>
      </c>
    </row>
    <row r="33" spans="1:10">
      <c r="A33" s="1">
        <f t="shared" si="2"/>
        <v>32658</v>
      </c>
      <c r="B33">
        <f t="shared" si="0"/>
        <v>325.48418911826093</v>
      </c>
      <c r="C33">
        <f>day_length(F33,$B$1,Fitting!$B$4)</f>
        <v>12.026828765869141</v>
      </c>
      <c r="D33" s="1">
        <f t="shared" si="1"/>
        <v>32658</v>
      </c>
      <c r="E33">
        <f t="shared" si="3"/>
        <v>1989</v>
      </c>
      <c r="F33" s="6">
        <f t="shared" si="4"/>
        <v>150</v>
      </c>
      <c r="G33">
        <v>32.5</v>
      </c>
      <c r="H33">
        <v>13.9</v>
      </c>
      <c r="I33">
        <f>MAX(0,1-Fitting!$B$7*(Fitting!$B$6-Herm8889!C33)^2)</f>
        <v>0.43872125587173649</v>
      </c>
      <c r="J33">
        <f>tt(G33,H33,Fitting!$B$1:$E$1,Fitting!$B$2:$E$2)*I33</f>
        <v>9.5699186812144301</v>
      </c>
    </row>
    <row r="34" spans="1:10">
      <c r="A34" s="1">
        <f t="shared" si="2"/>
        <v>32659</v>
      </c>
      <c r="B34">
        <f t="shared" si="0"/>
        <v>334.83258860562876</v>
      </c>
      <c r="C34">
        <f>day_length(F34,$B$1,Fitting!$B$4)</f>
        <v>12.020980834960938</v>
      </c>
      <c r="D34" s="1">
        <f t="shared" si="1"/>
        <v>32659</v>
      </c>
      <c r="E34">
        <f t="shared" si="3"/>
        <v>1989</v>
      </c>
      <c r="F34" s="6">
        <f t="shared" si="4"/>
        <v>151</v>
      </c>
      <c r="G34">
        <v>33.1</v>
      </c>
      <c r="H34">
        <v>13.5</v>
      </c>
      <c r="I34">
        <f>MAX(0,1-Fitting!$B$7*(Fitting!$B$6-Herm8889!C34)^2)</f>
        <v>0.43739167690851355</v>
      </c>
      <c r="J34">
        <f>tt(G34,H34,Fitting!$B$1:$E$1,Fitting!$B$2:$E$2)*I34</f>
        <v>9.3483994873678515</v>
      </c>
    </row>
    <row r="35" spans="1:10">
      <c r="A35" s="1">
        <f t="shared" si="2"/>
        <v>32660</v>
      </c>
      <c r="B35">
        <f t="shared" si="0"/>
        <v>344.34568067060394</v>
      </c>
      <c r="C35">
        <f>day_length(F35,$B$1,Fitting!$B$4)</f>
        <v>12.015368461608887</v>
      </c>
      <c r="D35" s="1">
        <f t="shared" si="1"/>
        <v>32660</v>
      </c>
      <c r="E35">
        <f t="shared" si="3"/>
        <v>1989</v>
      </c>
      <c r="F35" s="6">
        <f t="shared" si="4"/>
        <v>152</v>
      </c>
      <c r="G35">
        <v>33.4</v>
      </c>
      <c r="H35">
        <v>14.8</v>
      </c>
      <c r="I35">
        <f>MAX(0,1-Fitting!$B$7*(Fitting!$B$6-Herm8889!C35)^2)</f>
        <v>0.43611610892389763</v>
      </c>
      <c r="J35">
        <f>tt(G35,H35,Fitting!$B$1:$E$1,Fitting!$B$2:$E$2)*I35</f>
        <v>9.5130920649751634</v>
      </c>
    </row>
    <row r="36" spans="1:10">
      <c r="A36" s="1">
        <f t="shared" si="2"/>
        <v>32661</v>
      </c>
      <c r="B36">
        <f t="shared" si="0"/>
        <v>353.85128844429624</v>
      </c>
      <c r="C36">
        <f>day_length(F36,$B$1,Fitting!$B$4)</f>
        <v>12.009993553161621</v>
      </c>
      <c r="D36" s="1">
        <f t="shared" si="1"/>
        <v>32661</v>
      </c>
      <c r="E36">
        <f t="shared" si="3"/>
        <v>1989</v>
      </c>
      <c r="F36" s="6">
        <f t="shared" si="4"/>
        <v>153</v>
      </c>
      <c r="G36">
        <v>34</v>
      </c>
      <c r="H36">
        <v>15.5</v>
      </c>
      <c r="I36">
        <f>MAX(0,1-Fitting!$B$7*(Fitting!$B$6-Herm8889!C36)^2)</f>
        <v>0.43489540700474749</v>
      </c>
      <c r="J36">
        <f>tt(G36,H36,Fitting!$B$1:$E$1,Fitting!$B$2:$E$2)*I36</f>
        <v>9.5056077736922795</v>
      </c>
    </row>
    <row r="37" spans="1:10">
      <c r="A37" s="1">
        <f t="shared" si="2"/>
        <v>32662</v>
      </c>
      <c r="B37">
        <f t="shared" si="0"/>
        <v>363.59138170576489</v>
      </c>
      <c r="C37">
        <f>day_length(F37,$B$1,Fitting!$B$4)</f>
        <v>12.00485897064209</v>
      </c>
      <c r="D37" s="1">
        <f t="shared" si="1"/>
        <v>32662</v>
      </c>
      <c r="E37">
        <f t="shared" si="3"/>
        <v>1989</v>
      </c>
      <c r="F37" s="6">
        <f t="shared" si="4"/>
        <v>154</v>
      </c>
      <c r="G37">
        <v>34.299999999999997</v>
      </c>
      <c r="H37">
        <v>17.8</v>
      </c>
      <c r="I37">
        <f>MAX(0,1-Fitting!$B$7*(Fitting!$B$6-Herm8889!C37)^2)</f>
        <v>0.4337303095905608</v>
      </c>
      <c r="J37">
        <f>tt(G37,H37,Fitting!$B$1:$E$1,Fitting!$B$2:$E$2)*I37</f>
        <v>9.7400932614686244</v>
      </c>
    </row>
    <row r="38" spans="1:10">
      <c r="A38" s="1">
        <f t="shared" si="2"/>
        <v>32663</v>
      </c>
      <c r="B38">
        <f t="shared" si="0"/>
        <v>373.65513530949357</v>
      </c>
      <c r="C38">
        <f>day_length(F38,$B$1,Fitting!$B$4)</f>
        <v>11.999965667724609</v>
      </c>
      <c r="D38" s="1">
        <f t="shared" si="1"/>
        <v>32663</v>
      </c>
      <c r="E38">
        <f t="shared" si="3"/>
        <v>1989</v>
      </c>
      <c r="F38" s="6">
        <f t="shared" si="4"/>
        <v>155</v>
      </c>
      <c r="G38">
        <v>33.799999999999997</v>
      </c>
      <c r="H38">
        <v>19</v>
      </c>
      <c r="I38">
        <f>MAX(0,1-Fitting!$B$7*(Fitting!$B$6-Herm8889!C38)^2)</f>
        <v>0.43262166016842818</v>
      </c>
      <c r="J38">
        <f>tt(G38,H38,Fitting!$B$1:$E$1,Fitting!$B$2:$E$2)*I38</f>
        <v>10.063753603728696</v>
      </c>
    </row>
    <row r="39" spans="1:10">
      <c r="A39" s="1">
        <f t="shared" si="2"/>
        <v>32664</v>
      </c>
      <c r="B39">
        <f t="shared" si="0"/>
        <v>383.39198811626812</v>
      </c>
      <c r="C39">
        <f>day_length(F39,$B$1,Fitting!$B$4)</f>
        <v>11.995316505432129</v>
      </c>
      <c r="D39" s="1">
        <f t="shared" si="1"/>
        <v>32664</v>
      </c>
      <c r="E39">
        <f t="shared" si="3"/>
        <v>1989</v>
      </c>
      <c r="F39" s="6">
        <f t="shared" si="4"/>
        <v>156</v>
      </c>
      <c r="G39">
        <v>33</v>
      </c>
      <c r="H39">
        <v>16.100000000000001</v>
      </c>
      <c r="I39">
        <f>MAX(0,1-Fitting!$B$7*(Fitting!$B$6-Herm8889!C39)^2)</f>
        <v>0.43157007333923869</v>
      </c>
      <c r="J39">
        <f>tt(G39,H39,Fitting!$B$1:$E$1,Fitting!$B$2:$E$2)*I39</f>
        <v>9.7368528067745572</v>
      </c>
    </row>
    <row r="40" spans="1:10">
      <c r="A40" s="1">
        <f t="shared" si="2"/>
        <v>32665</v>
      </c>
      <c r="B40">
        <f t="shared" si="0"/>
        <v>394.35015364319122</v>
      </c>
      <c r="C40">
        <f>day_length(F40,$B$1,Fitting!$B$4)</f>
        <v>11.990912437438965</v>
      </c>
      <c r="D40" s="1">
        <f t="shared" si="1"/>
        <v>32665</v>
      </c>
      <c r="E40">
        <f t="shared" si="3"/>
        <v>1989</v>
      </c>
      <c r="F40" s="6">
        <f t="shared" si="4"/>
        <v>157</v>
      </c>
      <c r="G40">
        <v>29.9</v>
      </c>
      <c r="H40">
        <v>21</v>
      </c>
      <c r="I40">
        <f>MAX(0,1-Fitting!$B$7*(Fitting!$B$6-Herm8889!C40)^2)</f>
        <v>0.43057626796379367</v>
      </c>
      <c r="J40">
        <f>tt(G40,H40,Fitting!$B$1:$E$1,Fitting!$B$2:$E$2)*I40</f>
        <v>10.958165526923116</v>
      </c>
    </row>
    <row r="41" spans="1:10">
      <c r="A41" s="1">
        <f t="shared" si="2"/>
        <v>32666</v>
      </c>
      <c r="B41">
        <f t="shared" si="0"/>
        <v>404.76536956647857</v>
      </c>
      <c r="C41">
        <f>day_length(F41,$B$1,Fitting!$B$4)</f>
        <v>11.986757278442383</v>
      </c>
      <c r="D41" s="1">
        <f t="shared" si="1"/>
        <v>32666</v>
      </c>
      <c r="E41">
        <f t="shared" si="3"/>
        <v>1989</v>
      </c>
      <c r="F41" s="6">
        <f t="shared" si="4"/>
        <v>158</v>
      </c>
      <c r="G41">
        <v>30.9</v>
      </c>
      <c r="H41">
        <v>18.100000000000001</v>
      </c>
      <c r="I41">
        <f>MAX(0,1-Fitting!$B$7*(Fitting!$B$6-Herm8889!C41)^2)</f>
        <v>0.42964084423505844</v>
      </c>
      <c r="J41">
        <f>tt(G41,H41,Fitting!$B$1:$E$1,Fitting!$B$2:$E$2)*I41</f>
        <v>10.415215923287338</v>
      </c>
    </row>
    <row r="42" spans="1:10">
      <c r="A42" s="1">
        <f t="shared" si="2"/>
        <v>32667</v>
      </c>
      <c r="B42">
        <f t="shared" si="0"/>
        <v>415.00509284273664</v>
      </c>
      <c r="C42">
        <f>day_length(F42,$B$1,Fitting!$B$4)</f>
        <v>11.982851028442383</v>
      </c>
      <c r="D42" s="1">
        <f t="shared" si="1"/>
        <v>32667</v>
      </c>
      <c r="E42">
        <f t="shared" si="3"/>
        <v>1989</v>
      </c>
      <c r="F42" s="6">
        <f t="shared" si="4"/>
        <v>159</v>
      </c>
      <c r="G42">
        <v>31.9</v>
      </c>
      <c r="H42">
        <v>18</v>
      </c>
      <c r="I42">
        <f>MAX(0,1-Fitting!$B$7*(Fitting!$B$6-Herm8889!C42)^2)</f>
        <v>0.4287647296169107</v>
      </c>
      <c r="J42">
        <f>tt(G42,H42,Fitting!$B$1:$E$1,Fitting!$B$2:$E$2)*I42</f>
        <v>10.239723276258083</v>
      </c>
    </row>
    <row r="43" spans="1:10">
      <c r="A43" s="1">
        <f t="shared" si="2"/>
        <v>32668</v>
      </c>
      <c r="B43">
        <f t="shared" si="0"/>
        <v>425.16880647319164</v>
      </c>
      <c r="C43">
        <f>day_length(F43,$B$1,Fitting!$B$4)</f>
        <v>11.979196548461914</v>
      </c>
      <c r="D43" s="1">
        <f t="shared" si="1"/>
        <v>32668</v>
      </c>
      <c r="E43">
        <f t="shared" si="3"/>
        <v>1989</v>
      </c>
      <c r="F43" s="6">
        <f t="shared" si="4"/>
        <v>160</v>
      </c>
      <c r="G43">
        <v>32.6</v>
      </c>
      <c r="H43">
        <v>18.399999999999999</v>
      </c>
      <c r="I43">
        <f>MAX(0,1-Fitting!$B$7*(Fitting!$B$6-Herm8889!C43)^2)</f>
        <v>0.42794817411401342</v>
      </c>
      <c r="J43">
        <f>tt(G43,H43,Fitting!$B$1:$E$1,Fitting!$B$2:$E$2)*I43</f>
        <v>10.163713630455012</v>
      </c>
    </row>
    <row r="44" spans="1:10">
      <c r="A44" s="1">
        <f t="shared" si="2"/>
        <v>32669</v>
      </c>
      <c r="B44">
        <f t="shared" si="0"/>
        <v>435.61540300585153</v>
      </c>
      <c r="C44">
        <f>day_length(F44,$B$1,Fitting!$B$4)</f>
        <v>11.975794792175293</v>
      </c>
      <c r="D44" s="1">
        <f t="shared" si="1"/>
        <v>32669</v>
      </c>
      <c r="E44">
        <f t="shared" si="3"/>
        <v>1989</v>
      </c>
      <c r="F44" s="6">
        <f t="shared" si="4"/>
        <v>161</v>
      </c>
      <c r="G44">
        <v>32</v>
      </c>
      <c r="H44">
        <v>19.399999999999999</v>
      </c>
      <c r="I44">
        <f>MAX(0,1-Fitting!$B$7*(Fitting!$B$6-Herm8889!C44)^2)</f>
        <v>0.42719186582034485</v>
      </c>
      <c r="J44">
        <f>tt(G44,H44,Fitting!$B$1:$E$1,Fitting!$B$2:$E$2)*I44</f>
        <v>10.44659653265987</v>
      </c>
    </row>
    <row r="45" spans="1:10">
      <c r="A45" s="1">
        <f t="shared" si="2"/>
        <v>32670</v>
      </c>
      <c r="B45">
        <f t="shared" si="0"/>
        <v>445.91529376156802</v>
      </c>
      <c r="C45">
        <f>day_length(F45,$B$1,Fitting!$B$4)</f>
        <v>11.972647666931152</v>
      </c>
      <c r="D45" s="1">
        <f t="shared" si="1"/>
        <v>32670</v>
      </c>
      <c r="E45">
        <f t="shared" si="3"/>
        <v>1989</v>
      </c>
      <c r="F45" s="6">
        <f t="shared" si="4"/>
        <v>162</v>
      </c>
      <c r="G45">
        <v>29</v>
      </c>
      <c r="H45">
        <v>19.3</v>
      </c>
      <c r="I45">
        <f>MAX(0,1-Fitting!$B$7*(Fitting!$B$6-Herm8889!C45)^2)</f>
        <v>0.42649648467637602</v>
      </c>
      <c r="J45">
        <f>tt(G45,H45,Fitting!$B$1:$E$1,Fitting!$B$2:$E$2)*I45</f>
        <v>10.29989075571647</v>
      </c>
    </row>
    <row r="46" spans="1:10">
      <c r="A46" s="1">
        <f t="shared" si="2"/>
        <v>32671</v>
      </c>
      <c r="B46">
        <f t="shared" si="0"/>
        <v>455.19909139444752</v>
      </c>
      <c r="C46">
        <f>day_length(F46,$B$1,Fitting!$B$4)</f>
        <v>11.969756126403809</v>
      </c>
      <c r="D46" s="1">
        <f t="shared" si="1"/>
        <v>32671</v>
      </c>
      <c r="E46">
        <f t="shared" si="3"/>
        <v>1989</v>
      </c>
      <c r="F46" s="6">
        <f t="shared" si="4"/>
        <v>163</v>
      </c>
      <c r="G46">
        <v>26.8</v>
      </c>
      <c r="H46">
        <v>16.8</v>
      </c>
      <c r="I46">
        <f>MAX(0,1-Fitting!$B$7*(Fitting!$B$6-Herm8889!C46)^2)</f>
        <v>0.42586225438159631</v>
      </c>
      <c r="J46">
        <f>tt(G46,H46,Fitting!$B$1:$E$1,Fitting!$B$2:$E$2)*I46</f>
        <v>9.2837976328794731</v>
      </c>
    </row>
    <row r="47" spans="1:10">
      <c r="A47" s="1">
        <f t="shared" si="2"/>
        <v>32672</v>
      </c>
      <c r="B47">
        <f t="shared" si="0"/>
        <v>463.51350738338738</v>
      </c>
      <c r="C47">
        <f>day_length(F47,$B$1,Fitting!$B$4)</f>
        <v>11.967122077941895</v>
      </c>
      <c r="D47" s="1">
        <f t="shared" si="1"/>
        <v>32672</v>
      </c>
      <c r="E47">
        <f t="shared" si="3"/>
        <v>1989</v>
      </c>
      <c r="F47" s="6">
        <f t="shared" si="4"/>
        <v>164</v>
      </c>
      <c r="G47">
        <v>26.8</v>
      </c>
      <c r="H47">
        <v>12.3</v>
      </c>
      <c r="I47">
        <f>MAX(0,1-Fitting!$B$7*(Fitting!$B$6-Herm8889!C47)^2)</f>
        <v>0.42528983700308343</v>
      </c>
      <c r="J47">
        <f>tt(G47,H47,Fitting!$B$1:$E$1,Fitting!$B$2:$E$2)*I47</f>
        <v>8.314415988939885</v>
      </c>
    </row>
    <row r="48" spans="1:10">
      <c r="A48" s="1">
        <f t="shared" si="2"/>
        <v>32673</v>
      </c>
      <c r="B48">
        <f t="shared" si="0"/>
        <v>471.66927209702482</v>
      </c>
      <c r="C48">
        <f>day_length(F48,$B$1,Fitting!$B$4)</f>
        <v>11.964746475219727</v>
      </c>
      <c r="D48" s="1">
        <f t="shared" si="1"/>
        <v>32673</v>
      </c>
      <c r="E48">
        <f t="shared" si="3"/>
        <v>1989</v>
      </c>
      <c r="F48" s="6">
        <f t="shared" si="4"/>
        <v>165</v>
      </c>
      <c r="G48">
        <v>29.2</v>
      </c>
      <c r="H48">
        <v>9.1999999999999993</v>
      </c>
      <c r="I48">
        <f>MAX(0,1-Fitting!$B$7*(Fitting!$B$6-Herm8889!C48)^2)</f>
        <v>0.42477943748744473</v>
      </c>
      <c r="J48">
        <f>tt(G48,H48,Fitting!$B$1:$E$1,Fitting!$B$2:$E$2)*I48</f>
        <v>8.1557647136374509</v>
      </c>
    </row>
    <row r="49" spans="1:10">
      <c r="A49" s="1">
        <f t="shared" si="2"/>
        <v>32674</v>
      </c>
      <c r="B49">
        <f t="shared" si="0"/>
        <v>481.09340114249426</v>
      </c>
      <c r="C49">
        <f>day_length(F49,$B$1,Fitting!$B$4)</f>
        <v>11.962630271911621</v>
      </c>
      <c r="D49" s="1">
        <f t="shared" si="1"/>
        <v>32674</v>
      </c>
      <c r="E49">
        <f t="shared" si="3"/>
        <v>1989</v>
      </c>
      <c r="F49" s="6">
        <f t="shared" si="4"/>
        <v>166</v>
      </c>
      <c r="G49">
        <v>32.1</v>
      </c>
      <c r="H49">
        <v>14.4</v>
      </c>
      <c r="I49">
        <f>MAX(0,1-Fitting!$B$7*(Fitting!$B$6-Herm8889!C49)^2)</f>
        <v>0.42433169925653058</v>
      </c>
      <c r="J49">
        <f>tt(G49,H49,Fitting!$B$1:$E$1,Fitting!$B$2:$E$2)*I49</f>
        <v>9.4241290454694226</v>
      </c>
    </row>
    <row r="50" spans="1:10">
      <c r="A50" s="1">
        <f t="shared" si="2"/>
        <v>32675</v>
      </c>
      <c r="B50">
        <f t="shared" si="0"/>
        <v>490.84486003957539</v>
      </c>
      <c r="C50">
        <f>day_length(F50,$B$1,Fitting!$B$4)</f>
        <v>11.960774421691895</v>
      </c>
      <c r="D50" s="1">
        <f t="shared" si="1"/>
        <v>32675</v>
      </c>
      <c r="E50">
        <f t="shared" si="3"/>
        <v>1989</v>
      </c>
      <c r="F50" s="6">
        <f t="shared" si="4"/>
        <v>167</v>
      </c>
      <c r="G50">
        <v>33.299999999999997</v>
      </c>
      <c r="H50">
        <v>17.399999999999999</v>
      </c>
      <c r="I50">
        <f>MAX(0,1-Fitting!$B$7*(Fitting!$B$6-Herm8889!C50)^2)</f>
        <v>0.42394669569112009</v>
      </c>
      <c r="J50">
        <f>tt(G50,H50,Fitting!$B$1:$E$1,Fitting!$B$2:$E$2)*I50</f>
        <v>9.7514588970811609</v>
      </c>
    </row>
    <row r="51" spans="1:10">
      <c r="A51" s="1">
        <f t="shared" si="2"/>
        <v>32676</v>
      </c>
      <c r="B51">
        <f t="shared" si="0"/>
        <v>500.55162121724834</v>
      </c>
      <c r="C51">
        <f>day_length(F51,$B$1,Fitting!$B$4)</f>
        <v>11.959178924560547</v>
      </c>
      <c r="D51" s="1">
        <f t="shared" si="1"/>
        <v>32676</v>
      </c>
      <c r="E51">
        <f t="shared" si="3"/>
        <v>1989</v>
      </c>
      <c r="F51" s="6">
        <f t="shared" si="4"/>
        <v>168</v>
      </c>
      <c r="G51">
        <v>33.299999999999997</v>
      </c>
      <c r="H51">
        <v>17.2</v>
      </c>
      <c r="I51">
        <f>MAX(0,1-Fitting!$B$7*(Fitting!$B$6-Herm8889!C51)^2)</f>
        <v>0.42362471419800751</v>
      </c>
      <c r="J51">
        <f>tt(G51,H51,Fitting!$B$1:$E$1,Fitting!$B$2:$E$2)*I51</f>
        <v>9.7067611776729184</v>
      </c>
    </row>
    <row r="52" spans="1:10">
      <c r="A52" s="1">
        <f t="shared" si="2"/>
        <v>32677</v>
      </c>
      <c r="B52">
        <f t="shared" si="0"/>
        <v>510.12201447781445</v>
      </c>
      <c r="C52">
        <f>day_length(F52,$B$1,Fitting!$B$4)</f>
        <v>11.957846641540527</v>
      </c>
      <c r="D52" s="1">
        <f t="shared" si="1"/>
        <v>32677</v>
      </c>
      <c r="E52">
        <f t="shared" si="3"/>
        <v>1989</v>
      </c>
      <c r="F52" s="6">
        <f t="shared" si="4"/>
        <v>169</v>
      </c>
      <c r="G52">
        <v>33.799999999999997</v>
      </c>
      <c r="H52">
        <v>17</v>
      </c>
      <c r="I52">
        <f>MAX(0,1-Fitting!$B$7*(Fitting!$B$6-Herm8889!C52)^2)</f>
        <v>0.42336603208105406</v>
      </c>
      <c r="J52">
        <f>tt(G52,H52,Fitting!$B$1:$E$1,Fitting!$B$2:$E$2)*I52</f>
        <v>9.5703932605661226</v>
      </c>
    </row>
    <row r="53" spans="1:10">
      <c r="A53" s="1">
        <f t="shared" si="2"/>
        <v>32678</v>
      </c>
      <c r="B53">
        <f t="shared" si="0"/>
        <v>520.15364261546165</v>
      </c>
      <c r="C53">
        <f>day_length(F53,$B$1,Fitting!$B$4)</f>
        <v>11.956775665283203</v>
      </c>
      <c r="D53" s="1">
        <f t="shared" si="1"/>
        <v>32678</v>
      </c>
      <c r="E53">
        <f t="shared" si="3"/>
        <v>1989</v>
      </c>
      <c r="F53" s="6">
        <f t="shared" si="4"/>
        <v>170</v>
      </c>
      <c r="G53">
        <v>32.5</v>
      </c>
      <c r="H53">
        <v>18.2</v>
      </c>
      <c r="I53">
        <f>MAX(0,1-Fitting!$B$7*(Fitting!$B$6-Herm8889!C53)^2)</f>
        <v>0.42317091641807925</v>
      </c>
      <c r="J53">
        <f>tt(G53,H53,Fitting!$B$1:$E$1,Fitting!$B$2:$E$2)*I53</f>
        <v>10.031628137647246</v>
      </c>
    </row>
    <row r="54" spans="1:10">
      <c r="A54" s="1">
        <f t="shared" si="2"/>
        <v>32679</v>
      </c>
      <c r="B54">
        <f t="shared" si="0"/>
        <v>530.22198347841197</v>
      </c>
      <c r="C54">
        <f>day_length(F54,$B$1,Fitting!$B$4)</f>
        <v>11.955968856811523</v>
      </c>
      <c r="D54" s="1">
        <f t="shared" si="1"/>
        <v>32679</v>
      </c>
      <c r="E54">
        <f t="shared" si="3"/>
        <v>1989</v>
      </c>
      <c r="F54" s="6">
        <f t="shared" si="4"/>
        <v>171</v>
      </c>
      <c r="G54">
        <v>29.2</v>
      </c>
      <c r="H54">
        <v>18.399999999999999</v>
      </c>
      <c r="I54">
        <f>MAX(0,1-Fitting!$B$7*(Fitting!$B$6-Herm8889!C54)^2)</f>
        <v>0.42303951171512921</v>
      </c>
      <c r="J54">
        <f>tt(G54,H54,Fitting!$B$1:$E$1,Fitting!$B$2:$E$2)*I54</f>
        <v>10.068340862950375</v>
      </c>
    </row>
    <row r="55" spans="1:10">
      <c r="A55" s="1">
        <f t="shared" si="2"/>
        <v>32680</v>
      </c>
      <c r="B55">
        <f t="shared" si="0"/>
        <v>538.82945601095776</v>
      </c>
      <c r="C55">
        <f>day_length(F55,$B$1,Fitting!$B$4)</f>
        <v>11.955423355102539</v>
      </c>
      <c r="D55" s="1">
        <f t="shared" si="1"/>
        <v>32680</v>
      </c>
      <c r="E55">
        <f t="shared" si="3"/>
        <v>1989</v>
      </c>
      <c r="F55" s="6">
        <f t="shared" si="4"/>
        <v>172</v>
      </c>
      <c r="G55">
        <v>24.9</v>
      </c>
      <c r="H55">
        <v>15.8</v>
      </c>
      <c r="I55">
        <f>MAX(0,1-Fitting!$B$7*(Fitting!$B$6-Herm8889!C55)^2)</f>
        <v>0.4229716152921319</v>
      </c>
      <c r="J55">
        <f>tt(G55,H55,Fitting!$B$1:$E$1,Fitting!$B$2:$E$2)*I55</f>
        <v>8.6074725325457511</v>
      </c>
    </row>
    <row r="56" spans="1:10">
      <c r="A56" s="1">
        <f t="shared" si="2"/>
        <v>32681</v>
      </c>
      <c r="B56">
        <f t="shared" si="0"/>
        <v>546.37942858346651</v>
      </c>
      <c r="C56">
        <f>day_length(F56,$B$1,Fitting!$B$4)</f>
        <v>11.955142974853516</v>
      </c>
      <c r="D56" s="1">
        <f t="shared" si="1"/>
        <v>32681</v>
      </c>
      <c r="E56">
        <f t="shared" si="3"/>
        <v>1989</v>
      </c>
      <c r="F56" s="6">
        <f t="shared" si="4"/>
        <v>173</v>
      </c>
      <c r="G56">
        <v>24.3</v>
      </c>
      <c r="H56">
        <v>11.4</v>
      </c>
      <c r="I56">
        <f>MAX(0,1-Fitting!$B$7*(Fitting!$B$6-Herm8889!C56)^2)</f>
        <v>0.42296768727765632</v>
      </c>
      <c r="J56">
        <f>tt(G56,H56,Fitting!$B$1:$E$1,Fitting!$B$2:$E$2)*I56</f>
        <v>7.5499725725086932</v>
      </c>
    </row>
    <row r="57" spans="1:10">
      <c r="A57" s="1">
        <f t="shared" si="2"/>
        <v>32682</v>
      </c>
      <c r="B57">
        <f t="shared" si="0"/>
        <v>554.20543821207423</v>
      </c>
      <c r="C57">
        <f>day_length(F57,$B$1,Fitting!$B$4)</f>
        <v>11.955126762390137</v>
      </c>
      <c r="D57" s="1">
        <f t="shared" si="1"/>
        <v>32682</v>
      </c>
      <c r="E57">
        <f t="shared" si="3"/>
        <v>1989</v>
      </c>
      <c r="F57" s="6">
        <f t="shared" si="4"/>
        <v>174</v>
      </c>
      <c r="G57">
        <v>25.5</v>
      </c>
      <c r="H57">
        <v>11.5</v>
      </c>
      <c r="I57">
        <f>MAX(0,1-Fitting!$B$7*(Fitting!$B$6-Herm8889!C57)^2)</f>
        <v>0.42302750387820565</v>
      </c>
      <c r="J57">
        <f>tt(G57,H57,Fitting!$B$1:$E$1,Fitting!$B$2:$E$2)*I57</f>
        <v>7.8260096286077356</v>
      </c>
    </row>
    <row r="58" spans="1:10">
      <c r="A58" s="1">
        <f t="shared" si="2"/>
        <v>32683</v>
      </c>
      <c r="B58">
        <f t="shared" si="0"/>
        <v>561.97026104316865</v>
      </c>
      <c r="C58">
        <f>day_length(F58,$B$1,Fitting!$B$4)</f>
        <v>11.955374717712402</v>
      </c>
      <c r="D58" s="1">
        <f t="shared" si="1"/>
        <v>32683</v>
      </c>
      <c r="E58">
        <f t="shared" si="3"/>
        <v>1989</v>
      </c>
      <c r="F58" s="6">
        <f t="shared" si="4"/>
        <v>175</v>
      </c>
      <c r="G58">
        <v>25.2</v>
      </c>
      <c r="H58">
        <v>11.5</v>
      </c>
      <c r="I58">
        <f>MAX(0,1-Fitting!$B$7*(Fitting!$B$6-Herm8889!C58)^2)</f>
        <v>0.42315105518139351</v>
      </c>
      <c r="J58">
        <f>tt(G58,H58,Fitting!$B$1:$E$1,Fitting!$B$2:$E$2)*I58</f>
        <v>7.7648228310944747</v>
      </c>
    </row>
    <row r="59" spans="1:10">
      <c r="A59" s="1">
        <f t="shared" si="2"/>
        <v>32684</v>
      </c>
      <c r="B59">
        <f t="shared" si="0"/>
        <v>570.50052497587035</v>
      </c>
      <c r="C59">
        <f>day_length(F59,$B$1,Fitting!$B$4)</f>
        <v>11.955885887145996</v>
      </c>
      <c r="D59" s="1">
        <f t="shared" si="1"/>
        <v>32684</v>
      </c>
      <c r="E59">
        <f t="shared" si="3"/>
        <v>1989</v>
      </c>
      <c r="F59" s="6">
        <f t="shared" si="4"/>
        <v>176</v>
      </c>
      <c r="G59">
        <v>27.3</v>
      </c>
      <c r="H59">
        <v>13</v>
      </c>
      <c r="I59">
        <f>MAX(0,1-Fitting!$B$7*(Fitting!$B$6-Herm8889!C59)^2)</f>
        <v>0.42333820851840753</v>
      </c>
      <c r="J59">
        <f>tt(G59,H59,Fitting!$B$1:$E$1,Fitting!$B$2:$E$2)*I59</f>
        <v>8.5302639327016472</v>
      </c>
    </row>
    <row r="60" spans="1:10">
      <c r="A60" s="1">
        <f t="shared" si="2"/>
        <v>32685</v>
      </c>
      <c r="B60">
        <f t="shared" si="0"/>
        <v>581.01240245685347</v>
      </c>
      <c r="C60">
        <f>day_length(F60,$B$1,Fitting!$B$4)</f>
        <v>11.956660270690918</v>
      </c>
      <c r="D60" s="1">
        <f t="shared" si="1"/>
        <v>32685</v>
      </c>
      <c r="E60">
        <f t="shared" si="3"/>
        <v>1989</v>
      </c>
      <c r="F60" s="6">
        <f t="shared" si="4"/>
        <v>177</v>
      </c>
      <c r="G60">
        <v>30.4</v>
      </c>
      <c r="H60">
        <v>19.3</v>
      </c>
      <c r="I60">
        <f>MAX(0,1-Fitting!$B$7*(Fitting!$B$6-Herm8889!C60)^2)</f>
        <v>0.4235889329234851</v>
      </c>
      <c r="J60">
        <f>tt(G60,H60,Fitting!$B$1:$E$1,Fitting!$B$2:$E$2)*I60</f>
        <v>10.511877480983086</v>
      </c>
    </row>
    <row r="61" spans="1:10">
      <c r="A61" s="1">
        <f t="shared" si="2"/>
        <v>32686</v>
      </c>
      <c r="B61">
        <f t="shared" si="0"/>
        <v>591.77038940886007</v>
      </c>
      <c r="C61">
        <f>day_length(F61,$B$1,Fitting!$B$4)</f>
        <v>11.957697868347168</v>
      </c>
      <c r="D61" s="1">
        <f t="shared" si="1"/>
        <v>32686</v>
      </c>
      <c r="E61">
        <f t="shared" si="3"/>
        <v>1989</v>
      </c>
      <c r="F61" s="6">
        <f t="shared" si="4"/>
        <v>178</v>
      </c>
      <c r="G61">
        <v>31.2</v>
      </c>
      <c r="H61">
        <v>20.7</v>
      </c>
      <c r="I61">
        <f>MAX(0,1-Fitting!$B$7*(Fitting!$B$6-Herm8889!C61)^2)</f>
        <v>0.42390285049018894</v>
      </c>
      <c r="J61">
        <f>tt(G61,H61,Fitting!$B$1:$E$1,Fitting!$B$2:$E$2)*I61</f>
        <v>10.757986952006645</v>
      </c>
    </row>
    <row r="62" spans="1:10">
      <c r="A62" s="1">
        <f t="shared" si="2"/>
        <v>32687</v>
      </c>
      <c r="B62">
        <f t="shared" si="0"/>
        <v>600.78634225070937</v>
      </c>
      <c r="C62">
        <f>day_length(F62,$B$1,Fitting!$B$4)</f>
        <v>11.958998680114746</v>
      </c>
      <c r="D62" s="1">
        <f t="shared" si="1"/>
        <v>32687</v>
      </c>
      <c r="E62">
        <f t="shared" si="3"/>
        <v>1989</v>
      </c>
      <c r="F62" s="6">
        <f t="shared" si="4"/>
        <v>179</v>
      </c>
      <c r="G62">
        <v>27.8</v>
      </c>
      <c r="H62">
        <v>14.7</v>
      </c>
      <c r="I62">
        <f>MAX(0,1-Fitting!$B$7*(Fitting!$B$6-Herm8889!C62)^2)</f>
        <v>0.42428013373408613</v>
      </c>
      <c r="J62">
        <f>tt(G62,H62,Fitting!$B$1:$E$1,Fitting!$B$2:$E$2)*I62</f>
        <v>9.0159528418493302</v>
      </c>
    </row>
    <row r="63" spans="1:10">
      <c r="A63" s="1">
        <f t="shared" si="2"/>
        <v>32688</v>
      </c>
      <c r="B63">
        <f t="shared" si="0"/>
        <v>609.34445105475993</v>
      </c>
      <c r="C63">
        <f>day_length(F63,$B$1,Fitting!$B$4)</f>
        <v>11.960559844970703</v>
      </c>
      <c r="D63" s="1">
        <f t="shared" si="1"/>
        <v>32688</v>
      </c>
      <c r="E63">
        <f t="shared" si="3"/>
        <v>1989</v>
      </c>
      <c r="F63" s="6">
        <f t="shared" si="4"/>
        <v>180</v>
      </c>
      <c r="G63">
        <v>27.9</v>
      </c>
      <c r="H63">
        <v>12.4</v>
      </c>
      <c r="I63">
        <f>MAX(0,1-Fitting!$B$7*(Fitting!$B$6-Herm8889!C63)^2)</f>
        <v>0.42472004794384155</v>
      </c>
      <c r="J63">
        <f>tt(G63,H63,Fitting!$B$1:$E$1,Fitting!$B$2:$E$2)*I63</f>
        <v>8.5581088040505673</v>
      </c>
    </row>
    <row r="64" spans="1:10">
      <c r="A64" s="1">
        <f t="shared" si="2"/>
        <v>32689</v>
      </c>
      <c r="B64">
        <f t="shared" si="0"/>
        <v>617.93394856906434</v>
      </c>
      <c r="C64">
        <f>day_length(F64,$B$1,Fitting!$B$4)</f>
        <v>11.962383270263672</v>
      </c>
      <c r="D64" s="1">
        <f t="shared" si="1"/>
        <v>32689</v>
      </c>
      <c r="E64">
        <f t="shared" si="3"/>
        <v>1989</v>
      </c>
      <c r="F64" s="6">
        <f t="shared" si="4"/>
        <v>181</v>
      </c>
      <c r="G64">
        <v>28.4</v>
      </c>
      <c r="H64">
        <v>12</v>
      </c>
      <c r="I64">
        <f>MAX(0,1-Fitting!$B$7*(Fitting!$B$6-Herm8889!C64)^2)</f>
        <v>0.42522263316263886</v>
      </c>
      <c r="J64">
        <f>tt(G64,H64,Fitting!$B$1:$E$1,Fitting!$B$2:$E$2)*I64</f>
        <v>8.5894975143044281</v>
      </c>
    </row>
    <row r="65" spans="1:10">
      <c r="A65" s="1">
        <f t="shared" si="2"/>
        <v>32690</v>
      </c>
      <c r="B65">
        <f t="shared" si="0"/>
        <v>626.89677296692003</v>
      </c>
      <c r="C65">
        <f>day_length(F65,$B$1,Fitting!$B$4)</f>
        <v>11.964468002319336</v>
      </c>
      <c r="D65" s="1">
        <f t="shared" si="1"/>
        <v>32690</v>
      </c>
      <c r="E65">
        <f t="shared" si="3"/>
        <v>1989</v>
      </c>
      <c r="F65" s="6">
        <f t="shared" si="4"/>
        <v>182</v>
      </c>
      <c r="G65">
        <v>30</v>
      </c>
      <c r="H65">
        <v>12.1</v>
      </c>
      <c r="I65">
        <f>MAX(0,1-Fitting!$B$7*(Fitting!$B$6-Herm8889!C65)^2)</f>
        <v>0.42578735917247834</v>
      </c>
      <c r="J65">
        <f>tt(G65,H65,Fitting!$B$1:$E$1,Fitting!$B$2:$E$2)*I65</f>
        <v>8.9628243978556323</v>
      </c>
    </row>
    <row r="66" spans="1:10">
      <c r="A66" s="1">
        <f t="shared" si="2"/>
        <v>32691</v>
      </c>
      <c r="B66">
        <f t="shared" si="0"/>
        <v>636.19822731110833</v>
      </c>
      <c r="C66">
        <f>day_length(F66,$B$1,Fitting!$B$4)</f>
        <v>11.966811180114746</v>
      </c>
      <c r="D66" s="1">
        <f t="shared" si="1"/>
        <v>32691</v>
      </c>
      <c r="E66">
        <f t="shared" si="3"/>
        <v>1989</v>
      </c>
      <c r="F66" s="6">
        <f t="shared" si="4"/>
        <v>183</v>
      </c>
      <c r="G66">
        <v>32.1</v>
      </c>
      <c r="H66">
        <v>13.5</v>
      </c>
      <c r="I66">
        <f>MAX(0,1-Fitting!$B$7*(Fitting!$B$6-Herm8889!C66)^2)</f>
        <v>0.42641379832261916</v>
      </c>
      <c r="J66">
        <f>tt(G66,H66,Fitting!$B$1:$E$1,Fitting!$B$2:$E$2)*I66</f>
        <v>9.3014543441882953</v>
      </c>
    </row>
    <row r="67" spans="1:10">
      <c r="A67" s="1">
        <f t="shared" si="2"/>
        <v>32692</v>
      </c>
      <c r="B67">
        <f t="shared" si="0"/>
        <v>645.74027155503893</v>
      </c>
      <c r="C67">
        <f>day_length(F67,$B$1,Fitting!$B$4)</f>
        <v>11.969412803649902</v>
      </c>
      <c r="D67" s="1">
        <f t="shared" si="1"/>
        <v>32692</v>
      </c>
      <c r="E67">
        <f t="shared" si="3"/>
        <v>1989</v>
      </c>
      <c r="F67" s="6">
        <f t="shared" si="4"/>
        <v>184</v>
      </c>
      <c r="G67">
        <v>33.799999999999997</v>
      </c>
      <c r="H67">
        <v>16.399999999999999</v>
      </c>
      <c r="I67">
        <f>MAX(0,1-Fitting!$B$7*(Fitting!$B$6-Herm8889!C67)^2)</f>
        <v>0.42710162543642949</v>
      </c>
      <c r="J67">
        <f>tt(G67,H67,Fitting!$B$1:$E$1,Fitting!$B$2:$E$2)*I67</f>
        <v>9.5420442439306541</v>
      </c>
    </row>
    <row r="68" spans="1:10">
      <c r="A68" s="1">
        <f t="shared" si="2"/>
        <v>32693</v>
      </c>
      <c r="B68">
        <f t="shared" si="0"/>
        <v>655.2224497412675</v>
      </c>
      <c r="C68">
        <f>day_length(F68,$B$1,Fitting!$B$4)</f>
        <v>11.972272872924805</v>
      </c>
      <c r="D68" s="1">
        <f t="shared" si="1"/>
        <v>32693</v>
      </c>
      <c r="E68">
        <f t="shared" si="3"/>
        <v>1989</v>
      </c>
      <c r="F68" s="6">
        <f t="shared" si="4"/>
        <v>185</v>
      </c>
      <c r="G68">
        <v>34.299999999999997</v>
      </c>
      <c r="H68">
        <v>16.899999999999999</v>
      </c>
      <c r="I68">
        <f>MAX(0,1-Fitting!$B$7*(Fitting!$B$6-Herm8889!C68)^2)</f>
        <v>0.42785028236677503</v>
      </c>
      <c r="J68">
        <f>tt(G68,H68,Fitting!$B$1:$E$1,Fitting!$B$2:$E$2)*I68</f>
        <v>9.482178186228607</v>
      </c>
    </row>
    <row r="69" spans="1:10">
      <c r="A69" s="1">
        <f t="shared" si="2"/>
        <v>32694</v>
      </c>
      <c r="B69">
        <f t="shared" ref="B69:B132" si="5">B68+J69</f>
        <v>665.66719659021419</v>
      </c>
      <c r="C69">
        <f>day_length(F69,$B$1,Fitting!$B$4)</f>
        <v>11.975387573242188</v>
      </c>
      <c r="D69" s="1">
        <f t="shared" ref="D69:D132" si="6">A69</f>
        <v>32694</v>
      </c>
      <c r="E69">
        <f t="shared" si="3"/>
        <v>1989</v>
      </c>
      <c r="F69" s="6">
        <f t="shared" si="4"/>
        <v>186</v>
      </c>
      <c r="G69">
        <v>32.799999999999997</v>
      </c>
      <c r="H69">
        <v>20</v>
      </c>
      <c r="I69">
        <f>MAX(0,1-Fitting!$B$7*(Fitting!$B$6-Herm8889!C69)^2)</f>
        <v>0.42865931392977108</v>
      </c>
      <c r="J69">
        <f>tt(G69,H69,Fitting!$B$1:$E$1,Fitting!$B$2:$E$2)*I69</f>
        <v>10.444746848946645</v>
      </c>
    </row>
    <row r="70" spans="1:10">
      <c r="A70" s="1">
        <f t="shared" ref="A70:A133" si="7">A69+1</f>
        <v>32695</v>
      </c>
      <c r="B70">
        <f t="shared" si="5"/>
        <v>675.71815500859145</v>
      </c>
      <c r="C70">
        <f>day_length(F70,$B$1,Fitting!$B$4)</f>
        <v>11.978757858276367</v>
      </c>
      <c r="D70" s="1">
        <f t="shared" si="6"/>
        <v>32695</v>
      </c>
      <c r="E70">
        <f t="shared" ref="E70:E133" si="8">YEAR(A70)</f>
        <v>1989</v>
      </c>
      <c r="F70" s="6">
        <f t="shared" ref="F70:F133" si="9">A70-DATE(E70,1,1)+1</f>
        <v>187</v>
      </c>
      <c r="G70">
        <v>28.3</v>
      </c>
      <c r="H70">
        <v>18.5</v>
      </c>
      <c r="I70">
        <f>MAX(0,1-Fitting!$B$7*(Fitting!$B$6-Herm8889!C70)^2)</f>
        <v>0.42952814453971222</v>
      </c>
      <c r="J70">
        <f>tt(G70,H70,Fitting!$B$1:$E$1,Fitting!$B$2:$E$2)*I70</f>
        <v>10.050958418377283</v>
      </c>
    </row>
    <row r="71" spans="1:10">
      <c r="A71" s="1">
        <f t="shared" si="7"/>
        <v>32696</v>
      </c>
      <c r="B71">
        <f t="shared" si="5"/>
        <v>684.06900195287301</v>
      </c>
      <c r="C71">
        <f>day_length(F71,$B$1,Fitting!$B$4)</f>
        <v>11.982380867004395</v>
      </c>
      <c r="D71" s="1">
        <f t="shared" si="6"/>
        <v>32696</v>
      </c>
      <c r="E71">
        <f t="shared" si="8"/>
        <v>1989</v>
      </c>
      <c r="F71" s="6">
        <f t="shared" si="9"/>
        <v>188</v>
      </c>
      <c r="G71">
        <v>24.7</v>
      </c>
      <c r="H71">
        <v>14.1</v>
      </c>
      <c r="I71">
        <f>MAX(0,1-Fitting!$B$7*(Fitting!$B$6-Herm8889!C71)^2)</f>
        <v>0.43045607884109816</v>
      </c>
      <c r="J71">
        <f>tt(G71,H71,Fitting!$B$1:$E$1,Fitting!$B$2:$E$2)*I71</f>
        <v>8.3508469442815283</v>
      </c>
    </row>
    <row r="72" spans="1:10">
      <c r="A72" s="1">
        <f t="shared" si="7"/>
        <v>32697</v>
      </c>
      <c r="B72">
        <f t="shared" si="5"/>
        <v>692.50370516988119</v>
      </c>
      <c r="C72">
        <f>day_length(F72,$B$1,Fitting!$B$4)</f>
        <v>11.986255645751953</v>
      </c>
      <c r="D72" s="1">
        <f t="shared" si="6"/>
        <v>32697</v>
      </c>
      <c r="E72">
        <f t="shared" si="8"/>
        <v>1989</v>
      </c>
      <c r="F72" s="6">
        <f t="shared" si="9"/>
        <v>189</v>
      </c>
      <c r="G72">
        <v>28.6</v>
      </c>
      <c r="H72">
        <v>10.5</v>
      </c>
      <c r="I72">
        <f>MAX(0,1-Fitting!$B$7*(Fitting!$B$6-Herm8889!C72)^2)</f>
        <v>0.43144263663287896</v>
      </c>
      <c r="J72">
        <f>tt(G72,H72,Fitting!$B$1:$E$1,Fitting!$B$2:$E$2)*I72</f>
        <v>8.4347032170081739</v>
      </c>
    </row>
    <row r="73" spans="1:10">
      <c r="A73" s="1">
        <f t="shared" si="7"/>
        <v>32698</v>
      </c>
      <c r="B73">
        <f t="shared" si="5"/>
        <v>700.56959037418994</v>
      </c>
      <c r="C73">
        <f>day_length(F73,$B$1,Fitting!$B$4)</f>
        <v>11.990379333496094</v>
      </c>
      <c r="D73" s="1">
        <f t="shared" si="6"/>
        <v>32698</v>
      </c>
      <c r="E73">
        <f t="shared" si="8"/>
        <v>1989</v>
      </c>
      <c r="F73" s="6">
        <f t="shared" si="9"/>
        <v>190</v>
      </c>
      <c r="G73">
        <v>29.4</v>
      </c>
      <c r="H73">
        <v>7.9</v>
      </c>
      <c r="I73">
        <f>MAX(0,1-Fitting!$B$7*(Fitting!$B$6-Herm8889!C73)^2)</f>
        <v>0.43248710693757497</v>
      </c>
      <c r="J73">
        <f>tt(G73,H73,Fitting!$B$1:$E$1,Fitting!$B$2:$E$2)*I73</f>
        <v>8.0658852043087261</v>
      </c>
    </row>
    <row r="74" spans="1:10">
      <c r="A74" s="1">
        <f t="shared" si="7"/>
        <v>32699</v>
      </c>
      <c r="B74">
        <f t="shared" si="5"/>
        <v>710.04350277037645</v>
      </c>
      <c r="C74">
        <f>day_length(F74,$B$1,Fitting!$B$4)</f>
        <v>11.994751930236816</v>
      </c>
      <c r="D74" s="1">
        <f t="shared" si="6"/>
        <v>32699</v>
      </c>
      <c r="E74">
        <f t="shared" si="8"/>
        <v>1989</v>
      </c>
      <c r="F74" s="6">
        <f t="shared" si="9"/>
        <v>191</v>
      </c>
      <c r="G74">
        <v>30.2</v>
      </c>
      <c r="H74">
        <v>13.5</v>
      </c>
      <c r="I74">
        <f>MAX(0,1-Fitting!$B$7*(Fitting!$B$6-Herm8889!C74)^2)</f>
        <v>0.43358866044785283</v>
      </c>
      <c r="J74">
        <f>tt(G74,H74,Fitting!$B$1:$E$1,Fitting!$B$2:$E$2)*I74</f>
        <v>9.4739123961865328</v>
      </c>
    </row>
    <row r="75" spans="1:10">
      <c r="A75" s="1">
        <f t="shared" si="7"/>
        <v>32700</v>
      </c>
      <c r="B75">
        <f t="shared" si="5"/>
        <v>720.49815038112661</v>
      </c>
      <c r="C75">
        <f>day_length(F75,$B$1,Fitting!$B$4)</f>
        <v>11.999370574951172</v>
      </c>
      <c r="D75" s="1">
        <f t="shared" si="6"/>
        <v>32700</v>
      </c>
      <c r="E75">
        <f t="shared" si="8"/>
        <v>1989</v>
      </c>
      <c r="F75" s="6">
        <f t="shared" si="9"/>
        <v>192</v>
      </c>
      <c r="G75">
        <v>30.9</v>
      </c>
      <c r="H75">
        <v>17.7</v>
      </c>
      <c r="I75">
        <f>MAX(0,1-Fitting!$B$7*(Fitting!$B$6-Herm8889!C75)^2)</f>
        <v>0.43474679469309196</v>
      </c>
      <c r="J75">
        <f>tt(G75,H75,Fitting!$B$1:$E$1,Fitting!$B$2:$E$2)*I75</f>
        <v>10.454647610750213</v>
      </c>
    </row>
    <row r="76" spans="1:10">
      <c r="A76" s="1">
        <f t="shared" si="7"/>
        <v>32701</v>
      </c>
      <c r="B76">
        <f t="shared" si="5"/>
        <v>731.10161421148678</v>
      </c>
      <c r="C76">
        <f>day_length(F76,$B$1,Fitting!$B$4)</f>
        <v>12.004234313964844</v>
      </c>
      <c r="D76" s="1">
        <f t="shared" si="6"/>
        <v>32701</v>
      </c>
      <c r="E76">
        <f t="shared" si="8"/>
        <v>1989</v>
      </c>
      <c r="F76" s="6">
        <f t="shared" si="9"/>
        <v>193</v>
      </c>
      <c r="G76">
        <v>32.299999999999997</v>
      </c>
      <c r="H76">
        <v>19.399999999999999</v>
      </c>
      <c r="I76">
        <f>MAX(0,1-Fitting!$B$7*(Fitting!$B$6-Herm8889!C76)^2)</f>
        <v>0.43596066683871326</v>
      </c>
      <c r="J76">
        <f>tt(G76,H76,Fitting!$B$1:$E$1,Fitting!$B$2:$E$2)*I76</f>
        <v>10.603463830360218</v>
      </c>
    </row>
    <row r="77" spans="1:10">
      <c r="A77" s="1">
        <f t="shared" si="7"/>
        <v>32702</v>
      </c>
      <c r="B77">
        <f t="shared" si="5"/>
        <v>741.02388128844927</v>
      </c>
      <c r="C77">
        <f>day_length(F77,$B$1,Fitting!$B$4)</f>
        <v>12.00933837890625</v>
      </c>
      <c r="D77" s="1">
        <f t="shared" si="6"/>
        <v>32702</v>
      </c>
      <c r="E77">
        <f t="shared" si="8"/>
        <v>1989</v>
      </c>
      <c r="F77" s="6">
        <f t="shared" si="9"/>
        <v>194</v>
      </c>
      <c r="G77">
        <v>33.200000000000003</v>
      </c>
      <c r="H77">
        <v>16.600000000000001</v>
      </c>
      <c r="I77">
        <f>MAX(0,1-Fitting!$B$7*(Fitting!$B$6-Herm8889!C77)^2)</f>
        <v>0.4372293173963262</v>
      </c>
      <c r="J77">
        <f>tt(G77,H77,Fitting!$B$1:$E$1,Fitting!$B$2:$E$2)*I77</f>
        <v>9.9222670769625498</v>
      </c>
    </row>
    <row r="78" spans="1:10">
      <c r="A78" s="1">
        <f t="shared" si="7"/>
        <v>32703</v>
      </c>
      <c r="B78">
        <f t="shared" si="5"/>
        <v>751.19017689213945</v>
      </c>
      <c r="C78">
        <f>day_length(F78,$B$1,Fitting!$B$4)</f>
        <v>12.014683723449707</v>
      </c>
      <c r="D78" s="1">
        <f t="shared" si="6"/>
        <v>32703</v>
      </c>
      <c r="E78">
        <f t="shared" si="8"/>
        <v>1989</v>
      </c>
      <c r="F78" s="6">
        <f t="shared" si="9"/>
        <v>195</v>
      </c>
      <c r="G78">
        <v>33.700000000000003</v>
      </c>
      <c r="H78">
        <v>18.5</v>
      </c>
      <c r="I78">
        <f>MAX(0,1-Fitting!$B$7*(Fitting!$B$6-Herm8889!C78)^2)</f>
        <v>0.43855211402240823</v>
      </c>
      <c r="J78">
        <f>tt(G78,H78,Fitting!$B$1:$E$1,Fitting!$B$2:$E$2)*I78</f>
        <v>10.166295603690134</v>
      </c>
    </row>
    <row r="79" spans="1:10">
      <c r="A79" s="1">
        <f t="shared" si="7"/>
        <v>32704</v>
      </c>
      <c r="B79">
        <f t="shared" si="5"/>
        <v>762.08377334223439</v>
      </c>
      <c r="C79">
        <f>day_length(F79,$B$1,Fitting!$B$4)</f>
        <v>12.020265579223633</v>
      </c>
      <c r="D79" s="1">
        <f t="shared" si="6"/>
        <v>32704</v>
      </c>
      <c r="E79">
        <f t="shared" si="8"/>
        <v>1989</v>
      </c>
      <c r="F79" s="6">
        <f t="shared" si="9"/>
        <v>196</v>
      </c>
      <c r="G79">
        <v>31.6</v>
      </c>
      <c r="H79">
        <v>19.7</v>
      </c>
      <c r="I79">
        <f>MAX(0,1-Fitting!$B$7*(Fitting!$B$6-Herm8889!C79)^2)</f>
        <v>0.43992819702869745</v>
      </c>
      <c r="J79">
        <f>tt(G79,H79,Fitting!$B$1:$E$1,Fitting!$B$2:$E$2)*I79</f>
        <v>10.893596450094927</v>
      </c>
    </row>
    <row r="80" spans="1:10">
      <c r="A80" s="1">
        <f t="shared" si="7"/>
        <v>32705</v>
      </c>
      <c r="B80">
        <f t="shared" si="5"/>
        <v>772.63219919025312</v>
      </c>
      <c r="C80">
        <f>day_length(F80,$B$1,Fitting!$B$4)</f>
        <v>12.026083946228027</v>
      </c>
      <c r="D80" s="1">
        <f t="shared" si="6"/>
        <v>32705</v>
      </c>
      <c r="E80">
        <f t="shared" si="8"/>
        <v>1989</v>
      </c>
      <c r="F80" s="6">
        <f t="shared" si="9"/>
        <v>197</v>
      </c>
      <c r="G80">
        <v>28.4</v>
      </c>
      <c r="H80">
        <v>19.399999999999999</v>
      </c>
      <c r="I80">
        <f>MAX(0,1-Fitting!$B$7*(Fitting!$B$6-Herm8889!C80)^2)</f>
        <v>0.4413567018645117</v>
      </c>
      <c r="J80">
        <f>tt(G80,H80,Fitting!$B$1:$E$1,Fitting!$B$2:$E$2)*I80</f>
        <v>10.548425848018711</v>
      </c>
    </row>
    <row r="81" spans="1:10">
      <c r="A81" s="1">
        <f t="shared" si="7"/>
        <v>32706</v>
      </c>
      <c r="B81">
        <f t="shared" si="5"/>
        <v>782.48531378940879</v>
      </c>
      <c r="C81">
        <f>day_length(F81,$B$1,Fitting!$B$4)</f>
        <v>12.032135963439941</v>
      </c>
      <c r="D81" s="1">
        <f t="shared" si="6"/>
        <v>32706</v>
      </c>
      <c r="E81">
        <f t="shared" si="8"/>
        <v>1989</v>
      </c>
      <c r="F81" s="6">
        <f t="shared" si="9"/>
        <v>198</v>
      </c>
      <c r="G81">
        <v>28.3</v>
      </c>
      <c r="H81">
        <v>16.2</v>
      </c>
      <c r="I81">
        <f>MAX(0,1-Fitting!$B$7*(Fitting!$B$6-Herm8889!C81)^2)</f>
        <v>0.44283664915953158</v>
      </c>
      <c r="J81">
        <f>tt(G81,H81,Fitting!$B$1:$E$1,Fitting!$B$2:$E$2)*I81</f>
        <v>9.8531145991557008</v>
      </c>
    </row>
    <row r="82" spans="1:10">
      <c r="A82" s="1">
        <f t="shared" si="7"/>
        <v>32707</v>
      </c>
      <c r="B82">
        <f t="shared" si="5"/>
        <v>792.30582991506958</v>
      </c>
      <c r="C82">
        <f>day_length(F82,$B$1,Fitting!$B$4)</f>
        <v>12.038417816162109</v>
      </c>
      <c r="D82" s="1">
        <f t="shared" si="6"/>
        <v>32707</v>
      </c>
      <c r="E82">
        <f t="shared" si="8"/>
        <v>1989</v>
      </c>
      <c r="F82" s="6">
        <f t="shared" si="9"/>
        <v>199</v>
      </c>
      <c r="G82">
        <v>29.6</v>
      </c>
      <c r="H82">
        <v>14.6</v>
      </c>
      <c r="I82">
        <f>MAX(0,1-Fitting!$B$7*(Fitting!$B$6-Herm8889!C82)^2)</f>
        <v>0.44436727618603622</v>
      </c>
      <c r="J82">
        <f>tt(G82,H82,Fitting!$B$1:$E$1,Fitting!$B$2:$E$2)*I82</f>
        <v>9.8205161256607472</v>
      </c>
    </row>
    <row r="83" spans="1:10">
      <c r="A83" s="1">
        <f t="shared" si="7"/>
        <v>32708</v>
      </c>
      <c r="B83">
        <f t="shared" si="5"/>
        <v>801.9828930835331</v>
      </c>
      <c r="C83">
        <f>day_length(F83,$B$1,Fitting!$B$4)</f>
        <v>12.044927597045898</v>
      </c>
      <c r="D83" s="1">
        <f t="shared" si="6"/>
        <v>32708</v>
      </c>
      <c r="E83">
        <f t="shared" si="8"/>
        <v>1989</v>
      </c>
      <c r="F83" s="6">
        <f t="shared" si="9"/>
        <v>200</v>
      </c>
      <c r="G83">
        <v>28.2</v>
      </c>
      <c r="H83">
        <v>15.2</v>
      </c>
      <c r="I83">
        <f>MAX(0,1-Fitting!$B$7*(Fitting!$B$6-Herm8889!C83)^2)</f>
        <v>0.44594759577108201</v>
      </c>
      <c r="J83">
        <f>tt(G83,H83,Fitting!$B$1:$E$1,Fitting!$B$2:$E$2)*I83</f>
        <v>9.6770631684634942</v>
      </c>
    </row>
    <row r="84" spans="1:10">
      <c r="A84" s="1">
        <f t="shared" si="7"/>
        <v>32709</v>
      </c>
      <c r="B84">
        <f t="shared" si="5"/>
        <v>811.31486573527548</v>
      </c>
      <c r="C84">
        <f>day_length(F84,$B$1,Fitting!$B$4)</f>
        <v>12.051664352416992</v>
      </c>
      <c r="D84" s="1">
        <f t="shared" si="6"/>
        <v>32709</v>
      </c>
      <c r="E84">
        <f t="shared" si="8"/>
        <v>1989</v>
      </c>
      <c r="F84" s="6">
        <f t="shared" si="9"/>
        <v>201</v>
      </c>
      <c r="G84">
        <v>28.1</v>
      </c>
      <c r="H84">
        <v>13.6</v>
      </c>
      <c r="I84">
        <f>MAX(0,1-Fitting!$B$7*(Fitting!$B$6-Herm8889!C84)^2)</f>
        <v>0.44757661779402402</v>
      </c>
      <c r="J84">
        <f>tt(G84,H84,Fitting!$B$1:$E$1,Fitting!$B$2:$E$2)*I84</f>
        <v>9.3319726517423316</v>
      </c>
    </row>
    <row r="85" spans="1:10">
      <c r="A85" s="1">
        <f t="shared" si="7"/>
        <v>32710</v>
      </c>
      <c r="B85">
        <f t="shared" si="5"/>
        <v>821.41839351830674</v>
      </c>
      <c r="C85">
        <f>day_length(F85,$B$1,Fitting!$B$4)</f>
        <v>12.058622360229492</v>
      </c>
      <c r="D85" s="1">
        <f t="shared" si="6"/>
        <v>32710</v>
      </c>
      <c r="E85">
        <f t="shared" si="8"/>
        <v>1989</v>
      </c>
      <c r="F85" s="6">
        <f t="shared" si="9"/>
        <v>202</v>
      </c>
      <c r="G85">
        <v>30.5</v>
      </c>
      <c r="H85">
        <v>14.5</v>
      </c>
      <c r="I85">
        <f>MAX(0,1-Fitting!$B$7*(Fitting!$B$6-Herm8889!C85)^2)</f>
        <v>0.44925334954367457</v>
      </c>
      <c r="J85">
        <f>tt(G85,H85,Fitting!$B$1:$E$1,Fitting!$B$2:$E$2)*I85</f>
        <v>10.103527783031282</v>
      </c>
    </row>
    <row r="86" spans="1:10">
      <c r="A86" s="1">
        <f t="shared" si="7"/>
        <v>32711</v>
      </c>
      <c r="B86">
        <f t="shared" si="5"/>
        <v>831.83129034442175</v>
      </c>
      <c r="C86">
        <f>day_length(F86,$B$1,Fitting!$B$4)</f>
        <v>12.065801620483398</v>
      </c>
      <c r="D86" s="1">
        <f t="shared" si="6"/>
        <v>32711</v>
      </c>
      <c r="E86">
        <f t="shared" si="8"/>
        <v>1989</v>
      </c>
      <c r="F86" s="6">
        <f t="shared" si="9"/>
        <v>203</v>
      </c>
      <c r="G86">
        <v>32.5</v>
      </c>
      <c r="H86">
        <v>16.8</v>
      </c>
      <c r="I86">
        <f>MAX(0,1-Fitting!$B$7*(Fitting!$B$6-Herm8889!C86)^2)</f>
        <v>0.45097690554160541</v>
      </c>
      <c r="J86">
        <f>tt(G86,H86,Fitting!$B$1:$E$1,Fitting!$B$2:$E$2)*I86</f>
        <v>10.41289682611502</v>
      </c>
    </row>
    <row r="87" spans="1:10">
      <c r="A87" s="1">
        <f t="shared" si="7"/>
        <v>32712</v>
      </c>
      <c r="B87">
        <f t="shared" si="5"/>
        <v>842.28223327754029</v>
      </c>
      <c r="C87">
        <f>day_length(F87,$B$1,Fitting!$B$4)</f>
        <v>12.073198318481445</v>
      </c>
      <c r="D87" s="1">
        <f t="shared" si="6"/>
        <v>32712</v>
      </c>
      <c r="E87">
        <f t="shared" si="8"/>
        <v>1989</v>
      </c>
      <c r="F87" s="6">
        <f t="shared" si="9"/>
        <v>204</v>
      </c>
      <c r="G87">
        <v>33.700000000000003</v>
      </c>
      <c r="H87">
        <v>18.2</v>
      </c>
      <c r="I87">
        <f>MAX(0,1-Fitting!$B$7*(Fitting!$B$6-Herm8889!C87)^2)</f>
        <v>0.45274639771096548</v>
      </c>
      <c r="J87">
        <f>tt(G87,H87,Fitting!$B$1:$E$1,Fitting!$B$2:$E$2)*I87</f>
        <v>10.450942933118553</v>
      </c>
    </row>
    <row r="88" spans="1:10">
      <c r="A88" s="1">
        <f t="shared" si="7"/>
        <v>32713</v>
      </c>
      <c r="B88">
        <f t="shared" si="5"/>
        <v>853.5381623712683</v>
      </c>
      <c r="C88">
        <f>day_length(F88,$B$1,Fitting!$B$4)</f>
        <v>12.080810546875</v>
      </c>
      <c r="D88" s="1">
        <f t="shared" si="6"/>
        <v>32713</v>
      </c>
      <c r="E88">
        <f t="shared" si="8"/>
        <v>1989</v>
      </c>
      <c r="F88" s="6">
        <f t="shared" si="9"/>
        <v>205</v>
      </c>
      <c r="G88">
        <v>32.6</v>
      </c>
      <c r="H88">
        <v>20.7</v>
      </c>
      <c r="I88">
        <f>MAX(0,1-Fitting!$B$7*(Fitting!$B$6-Herm8889!C88)^2)</f>
        <v>0.45456060832904222</v>
      </c>
      <c r="J88">
        <f>tt(G88,H88,Fitting!$B$1:$E$1,Fitting!$B$2:$E$2)*I88</f>
        <v>11.255929093728016</v>
      </c>
    </row>
    <row r="89" spans="1:10">
      <c r="A89" s="1">
        <f t="shared" si="7"/>
        <v>32714</v>
      </c>
      <c r="B89">
        <f t="shared" si="5"/>
        <v>864.2183559803924</v>
      </c>
      <c r="C89">
        <f>day_length(F89,$B$1,Fitting!$B$4)</f>
        <v>12.088634490966797</v>
      </c>
      <c r="D89" s="1">
        <f t="shared" si="6"/>
        <v>32714</v>
      </c>
      <c r="E89">
        <f t="shared" si="8"/>
        <v>1989</v>
      </c>
      <c r="F89" s="6">
        <f t="shared" si="9"/>
        <v>206</v>
      </c>
      <c r="G89">
        <v>29.5</v>
      </c>
      <c r="H89">
        <v>17.3</v>
      </c>
      <c r="I89">
        <f>MAX(0,1-Fitting!$B$7*(Fitting!$B$6-Herm8889!C89)^2)</f>
        <v>0.45641853774504304</v>
      </c>
      <c r="J89">
        <f>tt(G89,H89,Fitting!$B$1:$E$1,Fitting!$B$2:$E$2)*I89</f>
        <v>10.680193609124153</v>
      </c>
    </row>
    <row r="90" spans="1:10">
      <c r="A90" s="1">
        <f t="shared" si="7"/>
        <v>32715</v>
      </c>
      <c r="B90">
        <f t="shared" si="5"/>
        <v>874.14097175247718</v>
      </c>
      <c r="C90">
        <f>day_length(F90,$B$1,Fitting!$B$4)</f>
        <v>12.096667289733887</v>
      </c>
      <c r="D90" s="1">
        <f t="shared" si="6"/>
        <v>32715</v>
      </c>
      <c r="E90">
        <f t="shared" si="8"/>
        <v>1989</v>
      </c>
      <c r="F90" s="6">
        <f t="shared" si="9"/>
        <v>207</v>
      </c>
      <c r="G90">
        <v>29</v>
      </c>
      <c r="H90">
        <v>14.3</v>
      </c>
      <c r="I90">
        <f>MAX(0,1-Fitting!$B$7*(Fitting!$B$6-Herm8889!C90)^2)</f>
        <v>0.45831940289814699</v>
      </c>
      <c r="J90">
        <f>tt(G90,H90,Fitting!$B$1:$E$1,Fitting!$B$2:$E$2)*I90</f>
        <v>9.9226157720847912</v>
      </c>
    </row>
    <row r="91" spans="1:10">
      <c r="A91" s="1">
        <f t="shared" si="7"/>
        <v>32716</v>
      </c>
      <c r="B91">
        <f t="shared" si="5"/>
        <v>884.05961716600598</v>
      </c>
      <c r="C91">
        <f>day_length(F91,$B$1,Fitting!$B$4)</f>
        <v>12.104907035827637</v>
      </c>
      <c r="D91" s="1">
        <f t="shared" si="6"/>
        <v>32716</v>
      </c>
      <c r="E91">
        <f t="shared" si="8"/>
        <v>1989</v>
      </c>
      <c r="F91" s="6">
        <f t="shared" si="9"/>
        <v>208</v>
      </c>
      <c r="G91">
        <v>30.4</v>
      </c>
      <c r="H91">
        <v>12.7</v>
      </c>
      <c r="I91">
        <f>MAX(0,1-Fitting!$B$7*(Fitting!$B$6-Herm8889!C91)^2)</f>
        <v>0.46026198443994504</v>
      </c>
      <c r="J91">
        <f>tt(G91,H91,Fitting!$B$1:$E$1,Fitting!$B$2:$E$2)*I91</f>
        <v>9.9186454135287896</v>
      </c>
    </row>
    <row r="92" spans="1:10">
      <c r="A92" s="1">
        <f t="shared" si="7"/>
        <v>32717</v>
      </c>
      <c r="B92">
        <f t="shared" si="5"/>
        <v>894.01384880631099</v>
      </c>
      <c r="C92">
        <f>day_length(F92,$B$1,Fitting!$B$4)</f>
        <v>12.113350868225098</v>
      </c>
      <c r="D92" s="1">
        <f t="shared" si="6"/>
        <v>32717</v>
      </c>
      <c r="E92">
        <f t="shared" si="8"/>
        <v>1989</v>
      </c>
      <c r="F92" s="6">
        <f t="shared" si="9"/>
        <v>209</v>
      </c>
      <c r="G92">
        <v>31.5</v>
      </c>
      <c r="H92">
        <v>12.5</v>
      </c>
      <c r="I92">
        <f>MAX(0,1-Fitting!$B$7*(Fitting!$B$6-Herm8889!C92)^2)</f>
        <v>0.46224528101064244</v>
      </c>
      <c r="J92">
        <f>tt(G92,H92,Fitting!$B$1:$E$1,Fitting!$B$2:$E$2)*I92</f>
        <v>9.9542316403049629</v>
      </c>
    </row>
    <row r="93" spans="1:10">
      <c r="A93" s="1">
        <f t="shared" si="7"/>
        <v>32718</v>
      </c>
      <c r="B93">
        <f t="shared" si="5"/>
        <v>903.65059664452383</v>
      </c>
      <c r="C93">
        <f>day_length(F93,$B$1,Fitting!$B$4)</f>
        <v>12.121994972229004</v>
      </c>
      <c r="D93" s="1">
        <f t="shared" si="6"/>
        <v>32718</v>
      </c>
      <c r="E93">
        <f t="shared" si="8"/>
        <v>1989</v>
      </c>
      <c r="F93" s="6">
        <f t="shared" si="9"/>
        <v>210</v>
      </c>
      <c r="G93">
        <v>32</v>
      </c>
      <c r="H93">
        <v>11</v>
      </c>
      <c r="I93">
        <f>MAX(0,1-Fitting!$B$7*(Fitting!$B$6-Herm8889!C93)^2)</f>
        <v>0.46426829132617597</v>
      </c>
      <c r="J93">
        <f>tt(G93,H93,Fitting!$B$1:$E$1,Fitting!$B$2:$E$2)*I93</f>
        <v>9.6367478382128144</v>
      </c>
    </row>
    <row r="94" spans="1:10">
      <c r="A94" s="1">
        <f t="shared" si="7"/>
        <v>32719</v>
      </c>
      <c r="B94">
        <f t="shared" si="5"/>
        <v>912.94015384704687</v>
      </c>
      <c r="C94">
        <f>day_length(F94,$B$1,Fitting!$B$4)</f>
        <v>12.130836486816406</v>
      </c>
      <c r="D94" s="1">
        <f t="shared" si="6"/>
        <v>32719</v>
      </c>
      <c r="E94">
        <f t="shared" si="8"/>
        <v>1989</v>
      </c>
      <c r="F94" s="6">
        <f t="shared" si="9"/>
        <v>211</v>
      </c>
      <c r="G94">
        <v>33.5</v>
      </c>
      <c r="H94">
        <v>10.6</v>
      </c>
      <c r="I94">
        <f>MAX(0,1-Fitting!$B$7*(Fitting!$B$6-Herm8889!C94)^2)</f>
        <v>0.46633001448724276</v>
      </c>
      <c r="J94">
        <f>tt(G94,H94,Fitting!$B$1:$E$1,Fitting!$B$2:$E$2)*I94</f>
        <v>9.2895572025230422</v>
      </c>
    </row>
    <row r="95" spans="1:10">
      <c r="A95" s="1">
        <f t="shared" si="7"/>
        <v>32720</v>
      </c>
      <c r="B95">
        <f t="shared" si="5"/>
        <v>922.20967764181864</v>
      </c>
      <c r="C95">
        <f>day_length(F95,$B$1,Fitting!$B$4)</f>
        <v>12.139872550964355</v>
      </c>
      <c r="D95" s="1">
        <f t="shared" si="6"/>
        <v>32720</v>
      </c>
      <c r="E95">
        <f t="shared" si="8"/>
        <v>1989</v>
      </c>
      <c r="F95" s="6">
        <f t="shared" si="9"/>
        <v>212</v>
      </c>
      <c r="G95">
        <v>33.700000000000003</v>
      </c>
      <c r="H95">
        <v>10.5</v>
      </c>
      <c r="I95">
        <f>MAX(0,1-Fitting!$B$7*(Fitting!$B$6-Herm8889!C95)^2)</f>
        <v>0.46842934256549962</v>
      </c>
      <c r="J95">
        <f>tt(G95,H95,Fitting!$B$1:$E$1,Fitting!$B$2:$E$2)*I95</f>
        <v>9.269523794771807</v>
      </c>
    </row>
    <row r="96" spans="1:10">
      <c r="A96" s="1">
        <f t="shared" si="7"/>
        <v>32721</v>
      </c>
      <c r="B96">
        <f t="shared" si="5"/>
        <v>932.80560789463425</v>
      </c>
      <c r="C96">
        <f>day_length(F96,$B$1,Fitting!$B$4)</f>
        <v>12.149101257324219</v>
      </c>
      <c r="D96" s="1">
        <f t="shared" si="6"/>
        <v>32721</v>
      </c>
      <c r="E96">
        <f t="shared" si="8"/>
        <v>1989</v>
      </c>
      <c r="F96" s="6">
        <f t="shared" si="9"/>
        <v>213</v>
      </c>
      <c r="G96">
        <v>32.5</v>
      </c>
      <c r="H96">
        <v>15.5</v>
      </c>
      <c r="I96">
        <f>MAX(0,1-Fitting!$B$7*(Fitting!$B$6-Herm8889!C96)^2)</f>
        <v>0.47056527698678108</v>
      </c>
      <c r="J96">
        <f>tt(G96,H96,Fitting!$B$1:$E$1,Fitting!$B$2:$E$2)*I96</f>
        <v>10.595930252815581</v>
      </c>
    </row>
    <row r="97" spans="1:10">
      <c r="A97" s="1">
        <f t="shared" si="7"/>
        <v>32722</v>
      </c>
      <c r="B97">
        <f t="shared" si="5"/>
        <v>943.40882081341829</v>
      </c>
      <c r="C97">
        <f>day_length(F97,$B$1,Fitting!$B$4)</f>
        <v>12.158517837524414</v>
      </c>
      <c r="D97" s="1">
        <f t="shared" si="6"/>
        <v>32722</v>
      </c>
      <c r="E97">
        <f t="shared" si="8"/>
        <v>1989</v>
      </c>
      <c r="F97" s="6">
        <f t="shared" si="9"/>
        <v>214</v>
      </c>
      <c r="G97">
        <v>32.5</v>
      </c>
      <c r="H97">
        <v>15.3</v>
      </c>
      <c r="I97">
        <f>MAX(0,1-Fitting!$B$7*(Fitting!$B$6-Herm8889!C97)^2)</f>
        <v>0.4727368204810718</v>
      </c>
      <c r="J97">
        <f>tt(G97,H97,Fitting!$B$1:$E$1,Fitting!$B$2:$E$2)*I97</f>
        <v>10.603212918784088</v>
      </c>
    </row>
    <row r="98" spans="1:10">
      <c r="A98" s="1">
        <f t="shared" si="7"/>
        <v>32723</v>
      </c>
      <c r="B98">
        <f t="shared" si="5"/>
        <v>953.41346772806708</v>
      </c>
      <c r="C98">
        <f>day_length(F98,$B$1,Fitting!$B$4)</f>
        <v>12.168121337890625</v>
      </c>
      <c r="D98" s="1">
        <f t="shared" si="6"/>
        <v>32723</v>
      </c>
      <c r="E98">
        <f t="shared" si="8"/>
        <v>1989</v>
      </c>
      <c r="F98" s="6">
        <f t="shared" si="9"/>
        <v>215</v>
      </c>
      <c r="G98">
        <v>33.6</v>
      </c>
      <c r="H98">
        <v>13.3</v>
      </c>
      <c r="I98">
        <f>MAX(0,1-Fitting!$B$7*(Fitting!$B$6-Herm8889!C98)^2)</f>
        <v>0.47494276325837748</v>
      </c>
      <c r="J98">
        <f>tt(G98,H98,Fitting!$B$1:$E$1,Fitting!$B$2:$E$2)*I98</f>
        <v>10.004646914648768</v>
      </c>
    </row>
    <row r="99" spans="1:10">
      <c r="A99" s="1">
        <f t="shared" si="7"/>
        <v>32724</v>
      </c>
      <c r="B99">
        <f t="shared" si="5"/>
        <v>963.59131073002447</v>
      </c>
      <c r="C99">
        <f>day_length(F99,$B$1,Fitting!$B$4)</f>
        <v>12.177907943725586</v>
      </c>
      <c r="D99" s="1">
        <f t="shared" si="6"/>
        <v>32724</v>
      </c>
      <c r="E99">
        <f t="shared" si="8"/>
        <v>1989</v>
      </c>
      <c r="F99" s="6">
        <f t="shared" si="9"/>
        <v>216</v>
      </c>
      <c r="G99">
        <v>33.299999999999997</v>
      </c>
      <c r="H99">
        <v>13.6</v>
      </c>
      <c r="I99">
        <f>MAX(0,1-Fitting!$B$7*(Fitting!$B$6-Herm8889!C99)^2)</f>
        <v>0.47718232653753689</v>
      </c>
      <c r="J99">
        <f>tt(G99,H99,Fitting!$B$1:$E$1,Fitting!$B$2:$E$2)*I99</f>
        <v>10.17784300195742</v>
      </c>
    </row>
    <row r="100" spans="1:10">
      <c r="A100" s="1">
        <f t="shared" si="7"/>
        <v>32725</v>
      </c>
      <c r="B100">
        <f t="shared" si="5"/>
        <v>974.73619537108061</v>
      </c>
      <c r="C100">
        <f>day_length(F100,$B$1,Fitting!$B$4)</f>
        <v>12.187872886657715</v>
      </c>
      <c r="D100" s="1">
        <f t="shared" si="6"/>
        <v>32725</v>
      </c>
      <c r="E100">
        <f t="shared" si="8"/>
        <v>1989</v>
      </c>
      <c r="F100" s="6">
        <f t="shared" si="9"/>
        <v>217</v>
      </c>
      <c r="G100">
        <v>33.9</v>
      </c>
      <c r="H100">
        <v>19.2</v>
      </c>
      <c r="I100">
        <f>MAX(0,1-Fitting!$B$7*(Fitting!$B$6-Herm8889!C100)^2)</f>
        <v>0.47945430549466983</v>
      </c>
      <c r="J100">
        <f>tt(G100,H100,Fitting!$B$1:$E$1,Fitting!$B$2:$E$2)*I100</f>
        <v>11.144884641056187</v>
      </c>
    </row>
    <row r="101" spans="1:10">
      <c r="A101" s="1">
        <f t="shared" si="7"/>
        <v>32726</v>
      </c>
      <c r="B101">
        <f t="shared" si="5"/>
        <v>986.03097696018415</v>
      </c>
      <c r="C101">
        <f>day_length(F101,$B$1,Fitting!$B$4)</f>
        <v>12.198016166687012</v>
      </c>
      <c r="D101" s="1">
        <f t="shared" si="6"/>
        <v>32726</v>
      </c>
      <c r="E101">
        <f t="shared" si="8"/>
        <v>1989</v>
      </c>
      <c r="F101" s="6">
        <f t="shared" si="9"/>
        <v>218</v>
      </c>
      <c r="G101">
        <v>33.5</v>
      </c>
      <c r="H101">
        <v>18.8</v>
      </c>
      <c r="I101">
        <f>MAX(0,1-Fitting!$B$7*(Fitting!$B$6-Herm8889!C101)^2)</f>
        <v>0.48175781868919876</v>
      </c>
      <c r="J101">
        <f>tt(G101,H101,Fitting!$B$1:$E$1,Fitting!$B$2:$E$2)*I101</f>
        <v>11.294781589103591</v>
      </c>
    </row>
    <row r="102" spans="1:10">
      <c r="A102" s="1">
        <f t="shared" si="7"/>
        <v>32727</v>
      </c>
      <c r="B102">
        <f t="shared" si="5"/>
        <v>997.06957001737965</v>
      </c>
      <c r="C102">
        <f>day_length(F102,$B$1,Fitting!$B$4)</f>
        <v>12.208332061767578</v>
      </c>
      <c r="D102" s="1">
        <f t="shared" si="6"/>
        <v>32727</v>
      </c>
      <c r="E102">
        <f t="shared" si="8"/>
        <v>1989</v>
      </c>
      <c r="F102" s="6">
        <f t="shared" si="9"/>
        <v>219</v>
      </c>
      <c r="G102">
        <v>34</v>
      </c>
      <c r="H102">
        <v>18.100000000000001</v>
      </c>
      <c r="I102">
        <f>MAX(0,1-Fitting!$B$7*(Fitting!$B$6-Herm8889!C102)^2)</f>
        <v>0.48409177421249661</v>
      </c>
      <c r="J102">
        <f>tt(G102,H102,Fitting!$B$1:$E$1,Fitting!$B$2:$E$2)*I102</f>
        <v>11.038593057195442</v>
      </c>
    </row>
    <row r="103" spans="1:10">
      <c r="A103" s="1">
        <f t="shared" si="7"/>
        <v>32728</v>
      </c>
      <c r="B103">
        <f t="shared" si="5"/>
        <v>1009.3768859524907</v>
      </c>
      <c r="C103">
        <f>day_length(F103,$B$1,Fitting!$B$4)</f>
        <v>12.218819618225098</v>
      </c>
      <c r="D103" s="1">
        <f t="shared" si="6"/>
        <v>32728</v>
      </c>
      <c r="E103">
        <f t="shared" si="8"/>
        <v>1989</v>
      </c>
      <c r="F103" s="6">
        <f t="shared" si="9"/>
        <v>220</v>
      </c>
      <c r="G103">
        <v>29.9</v>
      </c>
      <c r="H103">
        <v>20.7</v>
      </c>
      <c r="I103">
        <f>MAX(0,1-Fitting!$B$7*(Fitting!$B$6-Herm8889!C103)^2)</f>
        <v>0.48645518997023462</v>
      </c>
      <c r="J103">
        <f>tt(G103,H103,Fitting!$B$1:$E$1,Fitting!$B$2:$E$2)*I103</f>
        <v>12.307315935111079</v>
      </c>
    </row>
    <row r="104" spans="1:10">
      <c r="A104" s="1">
        <f t="shared" si="7"/>
        <v>32729</v>
      </c>
      <c r="B104">
        <f t="shared" si="5"/>
        <v>1020.1559591920592</v>
      </c>
      <c r="C104">
        <f>day_length(F104,$B$1,Fitting!$B$4)</f>
        <v>12.229475021362305</v>
      </c>
      <c r="D104" s="1">
        <f t="shared" si="6"/>
        <v>32729</v>
      </c>
      <c r="E104">
        <f t="shared" si="8"/>
        <v>1989</v>
      </c>
      <c r="F104" s="6">
        <f t="shared" si="9"/>
        <v>221</v>
      </c>
      <c r="G104">
        <v>26.1</v>
      </c>
      <c r="H104">
        <v>18</v>
      </c>
      <c r="I104">
        <f>MAX(0,1-Fitting!$B$7*(Fitting!$B$6-Herm8889!C104)^2)</f>
        <v>0.48884687585165376</v>
      </c>
      <c r="J104">
        <f>tt(G104,H104,Fitting!$B$1:$E$1,Fitting!$B$2:$E$2)*I104</f>
        <v>10.779073239568397</v>
      </c>
    </row>
    <row r="105" spans="1:10">
      <c r="A105" s="1">
        <f t="shared" si="7"/>
        <v>32730</v>
      </c>
      <c r="B105">
        <f t="shared" si="5"/>
        <v>1030.6936180648929</v>
      </c>
      <c r="C105" t="e">
        <f>day_length(F105,$B$1,Fitting!$B$4)</f>
        <v>#VALUE!</v>
      </c>
      <c r="D105" s="1">
        <f t="shared" si="6"/>
        <v>32730</v>
      </c>
      <c r="E105">
        <f t="shared" si="8"/>
        <v>1989</v>
      </c>
      <c r="F105" s="6">
        <f t="shared" si="9"/>
        <v>222</v>
      </c>
      <c r="G105">
        <v>29.5</v>
      </c>
      <c r="H105">
        <v>13.4</v>
      </c>
      <c r="I105">
        <f>MAX(0,1-Fitting!$B$7*(Fitting!$B$6-Herm8889!C105)^2)</f>
        <v>0.49126617412789531</v>
      </c>
      <c r="J105">
        <f>tt(G105,H105,Fitting!$B$1:$E$1,Fitting!$B$2:$E$2)*I105</f>
        <v>10.537658872833836</v>
      </c>
    </row>
    <row r="106" spans="1:10">
      <c r="A106" s="1">
        <f t="shared" si="7"/>
        <v>32731</v>
      </c>
      <c r="B106">
        <f t="shared" si="5"/>
        <v>1041.8006955523649</v>
      </c>
      <c r="C106">
        <f>day_length(F106,$B$1,Fitting!$B$4)</f>
        <v>12.251276016235352</v>
      </c>
      <c r="D106" s="1">
        <f t="shared" si="6"/>
        <v>32731</v>
      </c>
      <c r="E106">
        <f t="shared" si="8"/>
        <v>1989</v>
      </c>
      <c r="F106" s="6">
        <f t="shared" si="9"/>
        <v>223</v>
      </c>
      <c r="G106">
        <v>31</v>
      </c>
      <c r="H106">
        <v>14.5</v>
      </c>
      <c r="I106">
        <f>MAX(0,1-Fitting!$B$7*(Fitting!$B$6-Herm8889!C106)^2)</f>
        <v>0.49371179705012214</v>
      </c>
      <c r="J106">
        <f>tt(G106,H106,Fitting!$B$1:$E$1,Fitting!$B$2:$E$2)*I106</f>
        <v>11.107077487472019</v>
      </c>
    </row>
    <row r="107" spans="1:10">
      <c r="A107" s="1">
        <f t="shared" si="7"/>
        <v>32732</v>
      </c>
      <c r="B107">
        <f t="shared" si="5"/>
        <v>1053.7835154754512</v>
      </c>
      <c r="C107">
        <f>day_length(F107,$B$1,Fitting!$B$4)</f>
        <v>12.262416839599609</v>
      </c>
      <c r="D107" s="1">
        <f t="shared" si="6"/>
        <v>32732</v>
      </c>
      <c r="E107">
        <f t="shared" si="8"/>
        <v>1989</v>
      </c>
      <c r="F107" s="6">
        <f t="shared" si="9"/>
        <v>224</v>
      </c>
      <c r="G107">
        <v>29.9</v>
      </c>
      <c r="H107">
        <v>18.399999999999999</v>
      </c>
      <c r="I107">
        <f>MAX(0,1-Fitting!$B$7*(Fitting!$B$6-Herm8889!C107)^2)</f>
        <v>0.49618298823896656</v>
      </c>
      <c r="J107">
        <f>tt(G107,H107,Fitting!$B$1:$E$1,Fitting!$B$2:$E$2)*I107</f>
        <v>11.982819923086199</v>
      </c>
    </row>
    <row r="108" spans="1:10">
      <c r="A108" s="1">
        <f t="shared" si="7"/>
        <v>32733</v>
      </c>
      <c r="B108">
        <f t="shared" si="5"/>
        <v>1064.7793855456168</v>
      </c>
      <c r="C108">
        <f>day_length(F108,$B$1,Fitting!$B$4)</f>
        <v>12.273713111877441</v>
      </c>
      <c r="D108" s="1">
        <f t="shared" si="6"/>
        <v>32733</v>
      </c>
      <c r="E108">
        <f t="shared" si="8"/>
        <v>1989</v>
      </c>
      <c r="F108" s="6">
        <f t="shared" si="9"/>
        <v>225</v>
      </c>
      <c r="G108">
        <v>30.3</v>
      </c>
      <c r="H108">
        <v>13.8</v>
      </c>
      <c r="I108">
        <f>MAX(0,1-Fitting!$B$7*(Fitting!$B$6-Herm8889!C108)^2)</f>
        <v>0.49867888886498435</v>
      </c>
      <c r="J108">
        <f>tt(G108,H108,Fitting!$B$1:$E$1,Fitting!$B$2:$E$2)*I108</f>
        <v>10.995870070165603</v>
      </c>
    </row>
    <row r="109" spans="1:10">
      <c r="A109" s="1">
        <f t="shared" si="7"/>
        <v>32734</v>
      </c>
      <c r="B109">
        <f t="shared" si="5"/>
        <v>1076.0312861038024</v>
      </c>
      <c r="C109">
        <f>day_length(F109,$B$1,Fitting!$B$4)</f>
        <v>12.285163879394531</v>
      </c>
      <c r="D109" s="1">
        <f t="shared" si="6"/>
        <v>32734</v>
      </c>
      <c r="E109">
        <f t="shared" si="8"/>
        <v>1989</v>
      </c>
      <c r="F109" s="6">
        <f t="shared" si="9"/>
        <v>226</v>
      </c>
      <c r="G109">
        <v>30</v>
      </c>
      <c r="H109">
        <v>14.9</v>
      </c>
      <c r="I109">
        <f>MAX(0,1-Fitting!$B$7*(Fitting!$B$6-Herm8889!C109)^2)</f>
        <v>0.50119822609361475</v>
      </c>
      <c r="J109">
        <f>tt(G109,H109,Fitting!$B$1:$E$1,Fitting!$B$2:$E$2)*I109</f>
        <v>11.251900558185552</v>
      </c>
    </row>
    <row r="110" spans="1:10">
      <c r="A110" s="1">
        <f t="shared" si="7"/>
        <v>32735</v>
      </c>
      <c r="B110">
        <f t="shared" si="5"/>
        <v>1086.2320220585611</v>
      </c>
      <c r="C110">
        <f>day_length(F110,$B$1,Fitting!$B$4)</f>
        <v>12.29676342010498</v>
      </c>
      <c r="D110" s="1">
        <f t="shared" si="6"/>
        <v>32735</v>
      </c>
      <c r="E110">
        <f t="shared" si="8"/>
        <v>1989</v>
      </c>
      <c r="F110" s="6">
        <f t="shared" si="9"/>
        <v>227</v>
      </c>
      <c r="G110">
        <v>30.5</v>
      </c>
      <c r="H110">
        <v>10</v>
      </c>
      <c r="I110">
        <f>MAX(0,1-Fitting!$B$7*(Fitting!$B$6-Herm8889!C110)^2)</f>
        <v>0.50374004714858156</v>
      </c>
      <c r="J110">
        <f>tt(G110,H110,Fitting!$B$1:$E$1,Fitting!$B$2:$E$2)*I110</f>
        <v>10.200735954758777</v>
      </c>
    </row>
    <row r="111" spans="1:10">
      <c r="A111" s="1">
        <f t="shared" si="7"/>
        <v>32736</v>
      </c>
      <c r="B111">
        <f t="shared" si="5"/>
        <v>1098.232517100073</v>
      </c>
      <c r="C111">
        <f>day_length(F111,$B$1,Fitting!$B$4)</f>
        <v>12.308509826660156</v>
      </c>
      <c r="D111" s="1">
        <f t="shared" si="6"/>
        <v>32736</v>
      </c>
      <c r="E111">
        <f t="shared" si="8"/>
        <v>1989</v>
      </c>
      <c r="F111" s="6">
        <f t="shared" si="9"/>
        <v>228</v>
      </c>
      <c r="G111">
        <v>30.5</v>
      </c>
      <c r="H111">
        <v>17</v>
      </c>
      <c r="I111">
        <f>MAX(0,1-Fitting!$B$7*(Fitting!$B$6-Herm8889!C111)^2)</f>
        <v>0.50630381938880054</v>
      </c>
      <c r="J111">
        <f>tt(G111,H111,Fitting!$B$1:$E$1,Fitting!$B$2:$E$2)*I111</f>
        <v>12.000495041511824</v>
      </c>
    </row>
    <row r="112" spans="1:10">
      <c r="A112" s="1">
        <f t="shared" si="7"/>
        <v>32737</v>
      </c>
      <c r="B112">
        <f t="shared" si="5"/>
        <v>1109.4280593957719</v>
      </c>
      <c r="C112">
        <f>day_length(F112,$B$1,Fitting!$B$4)</f>
        <v>12.320402145385742</v>
      </c>
      <c r="D112" s="1">
        <f t="shared" si="6"/>
        <v>32737</v>
      </c>
      <c r="E112">
        <f t="shared" si="8"/>
        <v>1989</v>
      </c>
      <c r="F112" s="6">
        <f t="shared" si="9"/>
        <v>229</v>
      </c>
      <c r="G112">
        <v>28.5</v>
      </c>
      <c r="H112">
        <v>15.5</v>
      </c>
      <c r="I112">
        <f>MAX(0,1-Fitting!$B$7*(Fitting!$B$6-Herm8889!C112)^2)</f>
        <v>0.50888828616813409</v>
      </c>
      <c r="J112">
        <f>tt(G112,H112,Fitting!$B$1:$E$1,Fitting!$B$2:$E$2)*I112</f>
        <v>11.195542295698949</v>
      </c>
    </row>
    <row r="113" spans="1:10">
      <c r="A113" s="1">
        <f t="shared" si="7"/>
        <v>32738</v>
      </c>
      <c r="B113">
        <f t="shared" si="5"/>
        <v>1120.3740033164972</v>
      </c>
      <c r="C113">
        <f>day_length(F113,$B$1,Fitting!$B$4)</f>
        <v>12.332433700561523</v>
      </c>
      <c r="D113" s="1">
        <f t="shared" si="6"/>
        <v>32738</v>
      </c>
      <c r="E113">
        <f t="shared" si="8"/>
        <v>1989</v>
      </c>
      <c r="F113" s="6">
        <f t="shared" si="9"/>
        <v>230</v>
      </c>
      <c r="G113">
        <v>27.5</v>
      </c>
      <c r="H113">
        <v>15.3</v>
      </c>
      <c r="I113">
        <f>MAX(0,1-Fitting!$B$7*(Fitting!$B$6-Herm8889!C113)^2)</f>
        <v>0.51149271569366106</v>
      </c>
      <c r="J113">
        <f>tt(G113,H113,Fitting!$B$1:$E$1,Fitting!$B$2:$E$2)*I113</f>
        <v>10.945943920725361</v>
      </c>
    </row>
    <row r="114" spans="1:10">
      <c r="A114" s="1">
        <f t="shared" si="7"/>
        <v>32739</v>
      </c>
      <c r="B114">
        <f t="shared" si="5"/>
        <v>1130.2707376734691</v>
      </c>
      <c r="C114">
        <f>day_length(F114,$B$1,Fitting!$B$4)</f>
        <v>12.344605445861816</v>
      </c>
      <c r="D114" s="1">
        <f t="shared" si="6"/>
        <v>32739</v>
      </c>
      <c r="E114">
        <f t="shared" si="8"/>
        <v>1989</v>
      </c>
      <c r="F114" s="6">
        <f t="shared" si="9"/>
        <v>231</v>
      </c>
      <c r="G114">
        <v>28</v>
      </c>
      <c r="H114">
        <v>10.5</v>
      </c>
      <c r="I114">
        <f>MAX(0,1-Fitting!$B$7*(Fitting!$B$6-Herm8889!C114)^2)</f>
        <v>0.51411607049204211</v>
      </c>
      <c r="J114">
        <f>tt(G114,H114,Fitting!$B$1:$E$1,Fitting!$B$2:$E$2)*I114</f>
        <v>9.8967343569718107</v>
      </c>
    </row>
    <row r="115" spans="1:10">
      <c r="A115" s="1">
        <f t="shared" si="7"/>
        <v>32740</v>
      </c>
      <c r="B115">
        <f t="shared" si="5"/>
        <v>1140.5800517602831</v>
      </c>
      <c r="C115">
        <f>day_length(F115,$B$1,Fitting!$B$4)</f>
        <v>12.356912612915039</v>
      </c>
      <c r="D115" s="1">
        <f t="shared" si="6"/>
        <v>32740</v>
      </c>
      <c r="E115">
        <f t="shared" si="8"/>
        <v>1989</v>
      </c>
      <c r="F115" s="6">
        <f t="shared" si="9"/>
        <v>232</v>
      </c>
      <c r="G115">
        <v>30.1</v>
      </c>
      <c r="H115">
        <v>9.8000000000000007</v>
      </c>
      <c r="I115">
        <f>MAX(0,1-Fitting!$B$7*(Fitting!$B$6-Herm8889!C115)^2)</f>
        <v>0.51675762797976499</v>
      </c>
      <c r="J115">
        <f>tt(G115,H115,Fitting!$B$1:$E$1,Fitting!$B$2:$E$2)*I115</f>
        <v>10.309314086814139</v>
      </c>
    </row>
    <row r="116" spans="1:10">
      <c r="A116" s="1">
        <f t="shared" si="7"/>
        <v>32741</v>
      </c>
      <c r="B116">
        <f t="shared" si="5"/>
        <v>1151.2867697915481</v>
      </c>
      <c r="C116">
        <f>day_length(F116,$B$1,Fitting!$B$4)</f>
        <v>12.369352340698242</v>
      </c>
      <c r="D116" s="1">
        <f t="shared" si="6"/>
        <v>32741</v>
      </c>
      <c r="E116">
        <f t="shared" si="8"/>
        <v>1989</v>
      </c>
      <c r="F116" s="6">
        <f t="shared" si="9"/>
        <v>233</v>
      </c>
      <c r="G116">
        <v>31.5</v>
      </c>
      <c r="H116">
        <v>10.6</v>
      </c>
      <c r="I116">
        <f>MAX(0,1-Fitting!$B$7*(Fitting!$B$6-Herm8889!C116)^2)</f>
        <v>0.51941636190749163</v>
      </c>
      <c r="J116">
        <f>tt(G116,H116,Fitting!$B$1:$E$1,Fitting!$B$2:$E$2)*I116</f>
        <v>10.706718031264961</v>
      </c>
    </row>
    <row r="117" spans="1:10">
      <c r="A117" s="1">
        <f t="shared" si="7"/>
        <v>32742</v>
      </c>
      <c r="B117">
        <f t="shared" si="5"/>
        <v>1162.9969831968992</v>
      </c>
      <c r="C117">
        <f>day_length(F117,$B$1,Fitting!$B$4)</f>
        <v>12.381922721862793</v>
      </c>
      <c r="D117" s="1">
        <f t="shared" si="6"/>
        <v>32742</v>
      </c>
      <c r="E117">
        <f t="shared" si="8"/>
        <v>1989</v>
      </c>
      <c r="F117" s="6">
        <f t="shared" si="9"/>
        <v>234</v>
      </c>
      <c r="G117">
        <v>31.7</v>
      </c>
      <c r="H117">
        <v>14.5</v>
      </c>
      <c r="I117">
        <f>MAX(0,1-Fitting!$B$7*(Fitting!$B$6-Herm8889!C117)^2)</f>
        <v>0.52209166172580446</v>
      </c>
      <c r="J117">
        <f>tt(G117,H117,Fitting!$B$1:$E$1,Fitting!$B$2:$E$2)*I117</f>
        <v>11.710213405351098</v>
      </c>
    </row>
    <row r="118" spans="1:10">
      <c r="A118" s="1">
        <f t="shared" si="7"/>
        <v>32743</v>
      </c>
      <c r="B118">
        <f t="shared" si="5"/>
        <v>1175.0145001948765</v>
      </c>
      <c r="C118">
        <f>day_length(F118,$B$1,Fitting!$B$4)</f>
        <v>12.394619941711426</v>
      </c>
      <c r="D118" s="1">
        <f t="shared" si="6"/>
        <v>32743</v>
      </c>
      <c r="E118">
        <f t="shared" si="8"/>
        <v>1989</v>
      </c>
      <c r="F118" s="6">
        <f t="shared" si="9"/>
        <v>235</v>
      </c>
      <c r="G118">
        <v>29</v>
      </c>
      <c r="H118">
        <v>16.8</v>
      </c>
      <c r="I118">
        <f>MAX(0,1-Fitting!$B$7*(Fitting!$B$6-Herm8889!C118)^2)</f>
        <v>0.52478241040025742</v>
      </c>
      <c r="J118">
        <f>tt(G118,H118,Fitting!$B$1:$E$1,Fitting!$B$2:$E$2)*I118</f>
        <v>12.017516997977292</v>
      </c>
    </row>
    <row r="119" spans="1:10">
      <c r="A119" s="1">
        <f t="shared" si="7"/>
        <v>32744</v>
      </c>
      <c r="B119">
        <f t="shared" si="5"/>
        <v>1185.5378843178194</v>
      </c>
      <c r="C119">
        <f>day_length(F119,$B$1,Fitting!$B$4)</f>
        <v>12.407441139221191</v>
      </c>
      <c r="D119" s="1">
        <f t="shared" si="6"/>
        <v>32744</v>
      </c>
      <c r="E119">
        <f t="shared" si="8"/>
        <v>1989</v>
      </c>
      <c r="F119" s="6">
        <f t="shared" si="9"/>
        <v>236</v>
      </c>
      <c r="G119">
        <v>28.4</v>
      </c>
      <c r="H119">
        <v>11.5</v>
      </c>
      <c r="I119">
        <f>MAX(0,1-Fitting!$B$7*(Fitting!$B$6-Herm8889!C119)^2)</f>
        <v>0.52748790578954496</v>
      </c>
      <c r="J119">
        <f>tt(G119,H119,Fitting!$B$1:$E$1,Fitting!$B$2:$E$2)*I119</f>
        <v>10.523384122942756</v>
      </c>
    </row>
    <row r="120" spans="1:10">
      <c r="A120" s="1">
        <f t="shared" si="7"/>
        <v>32745</v>
      </c>
      <c r="B120">
        <f t="shared" si="5"/>
        <v>1196.6695910823028</v>
      </c>
      <c r="C120">
        <f>day_length(F120,$B$1,Fitting!$B$4)</f>
        <v>12.420384407043457</v>
      </c>
      <c r="D120" s="1">
        <f t="shared" si="6"/>
        <v>32745</v>
      </c>
      <c r="E120">
        <f t="shared" si="8"/>
        <v>1989</v>
      </c>
      <c r="F120" s="6">
        <f t="shared" si="9"/>
        <v>237</v>
      </c>
      <c r="G120">
        <v>31.1</v>
      </c>
      <c r="H120">
        <v>11.4</v>
      </c>
      <c r="I120">
        <f>MAX(0,1-Fitting!$B$7*(Fitting!$B$6-Herm8889!C120)^2)</f>
        <v>0.53020734868515862</v>
      </c>
      <c r="J120">
        <f>tt(G120,H120,Fitting!$B$1:$E$1,Fitting!$B$2:$E$2)*I120</f>
        <v>11.131706764483406</v>
      </c>
    </row>
    <row r="121" spans="1:10">
      <c r="A121" s="1">
        <f t="shared" si="7"/>
        <v>32746</v>
      </c>
      <c r="B121">
        <f t="shared" si="5"/>
        <v>1207.2860557195017</v>
      </c>
      <c r="C121">
        <f>day_length(F121,$B$1,Fitting!$B$4)</f>
        <v>12.43344783782959</v>
      </c>
      <c r="D121" s="1">
        <f t="shared" si="6"/>
        <v>32746</v>
      </c>
      <c r="E121">
        <f t="shared" si="8"/>
        <v>1989</v>
      </c>
      <c r="F121" s="6">
        <f t="shared" si="9"/>
        <v>238</v>
      </c>
      <c r="G121">
        <v>32.9</v>
      </c>
      <c r="H121">
        <v>10</v>
      </c>
      <c r="I121">
        <f>MAX(0,1-Fitting!$B$7*(Fitting!$B$6-Herm8889!C121)^2)</f>
        <v>0.53293994537476097</v>
      </c>
      <c r="J121">
        <f>tt(G121,H121,Fitting!$B$1:$E$1,Fitting!$B$2:$E$2)*I121</f>
        <v>10.61646463719908</v>
      </c>
    </row>
    <row r="122" spans="1:10">
      <c r="A122" s="1">
        <f t="shared" si="7"/>
        <v>32747</v>
      </c>
      <c r="B122">
        <f t="shared" si="5"/>
        <v>1218.4051855487462</v>
      </c>
      <c r="C122">
        <f>day_length(F122,$B$1,Fitting!$B$4)</f>
        <v>12.446626663208008</v>
      </c>
      <c r="D122" s="1">
        <f t="shared" si="6"/>
        <v>32747</v>
      </c>
      <c r="E122">
        <f t="shared" si="8"/>
        <v>1989</v>
      </c>
      <c r="F122" s="6">
        <f t="shared" si="9"/>
        <v>239</v>
      </c>
      <c r="G122">
        <v>34.4</v>
      </c>
      <c r="H122">
        <v>13.4</v>
      </c>
      <c r="I122">
        <f>MAX(0,1-Fitting!$B$7*(Fitting!$B$6-Herm8889!C122)^2)</f>
        <v>0.53568480710756017</v>
      </c>
      <c r="J122">
        <f>tt(G122,H122,Fitting!$B$1:$E$1,Fitting!$B$2:$E$2)*I122</f>
        <v>11.119129829244436</v>
      </c>
    </row>
    <row r="123" spans="1:10">
      <c r="A123" s="1">
        <f t="shared" si="7"/>
        <v>32748</v>
      </c>
      <c r="B123">
        <f t="shared" si="5"/>
        <v>1229.2118389069226</v>
      </c>
      <c r="C123">
        <f>day_length(F123,$B$1,Fitting!$B$4)</f>
        <v>12.459918975830078</v>
      </c>
      <c r="D123" s="1">
        <f t="shared" si="6"/>
        <v>32748</v>
      </c>
      <c r="E123">
        <f t="shared" si="8"/>
        <v>1989</v>
      </c>
      <c r="F123" s="6">
        <f t="shared" si="9"/>
        <v>240</v>
      </c>
      <c r="G123">
        <v>36</v>
      </c>
      <c r="H123">
        <v>14.8</v>
      </c>
      <c r="I123">
        <f>MAX(0,1-Fitting!$B$7*(Fitting!$B$6-Herm8889!C123)^2)</f>
        <v>0.53844135321901732</v>
      </c>
      <c r="J123">
        <f>tt(G123,H123,Fitting!$B$1:$E$1,Fitting!$B$2:$E$2)*I123</f>
        <v>10.806653358176433</v>
      </c>
    </row>
    <row r="124" spans="1:10">
      <c r="A124" s="1">
        <f t="shared" si="7"/>
        <v>32749</v>
      </c>
      <c r="B124">
        <f t="shared" si="5"/>
        <v>1239.3444495356937</v>
      </c>
      <c r="C124">
        <f>day_length(F124,$B$1,Fitting!$B$4)</f>
        <v>12.473322868347168</v>
      </c>
      <c r="D124" s="1">
        <f t="shared" si="6"/>
        <v>32749</v>
      </c>
      <c r="E124">
        <f t="shared" si="8"/>
        <v>1989</v>
      </c>
      <c r="F124" s="6">
        <f t="shared" si="9"/>
        <v>241</v>
      </c>
      <c r="G124">
        <v>38.5</v>
      </c>
      <c r="H124">
        <v>17</v>
      </c>
      <c r="I124">
        <f>MAX(0,1-Fitting!$B$7*(Fitting!$B$6-Herm8889!C124)^2)</f>
        <v>0.54120870632861084</v>
      </c>
      <c r="J124">
        <f>tt(G124,H124,Fitting!$B$1:$E$1,Fitting!$B$2:$E$2)*I124</f>
        <v>10.132610628771005</v>
      </c>
    </row>
    <row r="125" spans="1:10">
      <c r="A125" s="1">
        <f t="shared" si="7"/>
        <v>32750</v>
      </c>
      <c r="B125">
        <f t="shared" si="5"/>
        <v>1250.911936851501</v>
      </c>
      <c r="C125">
        <f>day_length(F125,$B$1,Fitting!$B$4)</f>
        <v>12.486834526062012</v>
      </c>
      <c r="D125" s="1">
        <f t="shared" si="6"/>
        <v>32750</v>
      </c>
      <c r="E125">
        <f t="shared" si="8"/>
        <v>1989</v>
      </c>
      <c r="F125" s="6">
        <f t="shared" si="9"/>
        <v>242</v>
      </c>
      <c r="G125">
        <v>35.9</v>
      </c>
      <c r="H125">
        <v>18.2</v>
      </c>
      <c r="I125">
        <f>MAX(0,1-Fitting!$B$7*(Fitting!$B$6-Herm8889!C125)^2)</f>
        <v>0.54398599628223021</v>
      </c>
      <c r="J125">
        <f>tt(G125,H125,Fitting!$B$1:$E$1,Fitting!$B$2:$E$2)*I125</f>
        <v>11.567487315807316</v>
      </c>
    </row>
    <row r="126" spans="1:10">
      <c r="A126" s="1">
        <f t="shared" si="7"/>
        <v>32751</v>
      </c>
      <c r="B126">
        <f t="shared" si="5"/>
        <v>1262.4818860896485</v>
      </c>
      <c r="C126">
        <f>day_length(F126,$B$1,Fitting!$B$4)</f>
        <v>12.500452041625977</v>
      </c>
      <c r="D126" s="1">
        <f t="shared" si="6"/>
        <v>32751</v>
      </c>
      <c r="E126">
        <f t="shared" si="8"/>
        <v>1989</v>
      </c>
      <c r="F126" s="6">
        <f t="shared" si="9"/>
        <v>243</v>
      </c>
      <c r="G126">
        <v>36.5</v>
      </c>
      <c r="H126">
        <v>19.399999999999999</v>
      </c>
      <c r="I126">
        <f>MAX(0,1-Fitting!$B$7*(Fitting!$B$6-Herm8889!C126)^2)</f>
        <v>0.54677265868522218</v>
      </c>
      <c r="J126">
        <f>tt(G126,H126,Fitting!$B$1:$E$1,Fitting!$B$2:$E$2)*I126</f>
        <v>11.569949238147505</v>
      </c>
    </row>
    <row r="127" spans="1:10">
      <c r="A127" s="1">
        <f t="shared" si="7"/>
        <v>32752</v>
      </c>
      <c r="B127">
        <f t="shared" si="5"/>
        <v>1272.7426496600588</v>
      </c>
      <c r="C127">
        <f>day_length(F127,$B$1,Fitting!$B$4)</f>
        <v>12.514171600341797</v>
      </c>
      <c r="D127" s="1">
        <f t="shared" si="6"/>
        <v>32752</v>
      </c>
      <c r="E127">
        <f t="shared" si="8"/>
        <v>1989</v>
      </c>
      <c r="F127" s="6">
        <f t="shared" si="9"/>
        <v>244</v>
      </c>
      <c r="G127">
        <v>39</v>
      </c>
      <c r="H127">
        <v>20</v>
      </c>
      <c r="I127">
        <f>MAX(0,1-Fitting!$B$7*(Fitting!$B$6-Herm8889!C127)^2)</f>
        <v>0.54956793465035481</v>
      </c>
      <c r="J127">
        <f>tt(G127,H127,Fitting!$B$1:$E$1,Fitting!$B$2:$E$2)*I127</f>
        <v>10.2607635704102</v>
      </c>
    </row>
    <row r="128" spans="1:10">
      <c r="A128" s="1">
        <f t="shared" si="7"/>
        <v>32753</v>
      </c>
      <c r="B128">
        <f t="shared" si="5"/>
        <v>1284.3567011029161</v>
      </c>
      <c r="C128">
        <f>day_length(F128,$B$1,Fitting!$B$4)</f>
        <v>12.527992248535156</v>
      </c>
      <c r="D128" s="1">
        <f t="shared" si="6"/>
        <v>32753</v>
      </c>
      <c r="E128">
        <f t="shared" si="8"/>
        <v>1989</v>
      </c>
      <c r="F128" s="6">
        <f t="shared" si="9"/>
        <v>245</v>
      </c>
      <c r="G128">
        <v>36.9</v>
      </c>
      <c r="H128">
        <v>20</v>
      </c>
      <c r="I128">
        <f>MAX(0,1-Fitting!$B$7*(Fitting!$B$6-Herm8889!C128)^2)</f>
        <v>0.55237107166008537</v>
      </c>
      <c r="J128">
        <f>tt(G128,H128,Fitting!$B$1:$E$1,Fitting!$B$2:$E$2)*I128</f>
        <v>11.614051442857413</v>
      </c>
    </row>
    <row r="129" spans="1:10">
      <c r="A129" s="1">
        <f t="shared" si="7"/>
        <v>32754</v>
      </c>
      <c r="B129">
        <f t="shared" si="5"/>
        <v>1296.6453995169861</v>
      </c>
      <c r="C129">
        <f>day_length(F129,$B$1,Fitting!$B$4)</f>
        <v>12.541911125183105</v>
      </c>
      <c r="D129" s="1">
        <f t="shared" si="6"/>
        <v>32754</v>
      </c>
      <c r="E129">
        <f t="shared" si="8"/>
        <v>1989</v>
      </c>
      <c r="F129" s="6">
        <f t="shared" si="9"/>
        <v>246</v>
      </c>
      <c r="G129">
        <v>36.1</v>
      </c>
      <c r="H129">
        <v>21.7</v>
      </c>
      <c r="I129">
        <f>MAX(0,1-Fitting!$B$7*(Fitting!$B$6-Herm8889!C129)^2)</f>
        <v>0.5551814222143967</v>
      </c>
      <c r="J129">
        <f>tt(G129,H129,Fitting!$B$1:$E$1,Fitting!$B$2:$E$2)*I129</f>
        <v>12.288698414070018</v>
      </c>
    </row>
    <row r="130" spans="1:10">
      <c r="A130" s="1">
        <f t="shared" si="7"/>
        <v>32755</v>
      </c>
      <c r="B130">
        <f t="shared" si="5"/>
        <v>1309.725859807596</v>
      </c>
      <c r="C130">
        <f>day_length(F130,$B$1,Fitting!$B$4)</f>
        <v>12.555924415588379</v>
      </c>
      <c r="D130" s="1">
        <f t="shared" si="6"/>
        <v>32755</v>
      </c>
      <c r="E130">
        <f t="shared" si="8"/>
        <v>1989</v>
      </c>
      <c r="F130" s="6">
        <f t="shared" si="9"/>
        <v>247</v>
      </c>
      <c r="G130">
        <v>32.4</v>
      </c>
      <c r="H130">
        <v>17.5</v>
      </c>
      <c r="I130">
        <f>MAX(0,1-Fitting!$B$7*(Fitting!$B$6-Herm8889!C130)^2)</f>
        <v>0.55799814770370726</v>
      </c>
      <c r="J130">
        <f>tt(G130,H130,Fitting!$B$1:$E$1,Fitting!$B$2:$E$2)*I130</f>
        <v>13.08046029060988</v>
      </c>
    </row>
    <row r="131" spans="1:10">
      <c r="A131" s="1">
        <f t="shared" si="7"/>
        <v>32756</v>
      </c>
      <c r="B131">
        <f t="shared" si="5"/>
        <v>1322.995911237542</v>
      </c>
      <c r="C131">
        <f>day_length(F131,$B$1,Fitting!$B$4)</f>
        <v>12.570029258728027</v>
      </c>
      <c r="D131" s="1">
        <f t="shared" si="6"/>
        <v>32756</v>
      </c>
      <c r="E131">
        <f t="shared" si="8"/>
        <v>1989</v>
      </c>
      <c r="F131" s="6">
        <f t="shared" si="9"/>
        <v>248</v>
      </c>
      <c r="G131">
        <v>33.200000000000003</v>
      </c>
      <c r="H131">
        <v>18.8</v>
      </c>
      <c r="I131">
        <f>MAX(0,1-Fitting!$B$7*(Fitting!$B$6-Herm8889!C131)^2)</f>
        <v>0.56082080909661636</v>
      </c>
      <c r="J131">
        <f>tt(G131,H131,Fitting!$B$1:$E$1,Fitting!$B$2:$E$2)*I131</f>
        <v>13.270051429946037</v>
      </c>
    </row>
    <row r="132" spans="1:10">
      <c r="A132" s="1">
        <f t="shared" si="7"/>
        <v>32757</v>
      </c>
      <c r="B132">
        <f t="shared" si="5"/>
        <v>1335.7326040330358</v>
      </c>
      <c r="C132">
        <f>day_length(F132,$B$1,Fitting!$B$4)</f>
        <v>12.584224700927734</v>
      </c>
      <c r="D132" s="1">
        <f t="shared" si="6"/>
        <v>32757</v>
      </c>
      <c r="E132">
        <f t="shared" si="8"/>
        <v>1989</v>
      </c>
      <c r="F132" s="6">
        <f t="shared" si="9"/>
        <v>249</v>
      </c>
      <c r="G132">
        <v>35</v>
      </c>
      <c r="H132">
        <v>20</v>
      </c>
      <c r="I132">
        <f>MAX(0,1-Fitting!$B$7*(Fitting!$B$6-Herm8889!C132)^2)</f>
        <v>0.56364848239403365</v>
      </c>
      <c r="J132">
        <f>tt(G132,H132,Fitting!$B$1:$E$1,Fitting!$B$2:$E$2)*I132</f>
        <v>12.736692795493852</v>
      </c>
    </row>
    <row r="133" spans="1:10">
      <c r="A133" s="1">
        <f t="shared" si="7"/>
        <v>32758</v>
      </c>
      <c r="B133">
        <f t="shared" ref="B133:B156" si="10">B132+J133</f>
        <v>1347.8732060122659</v>
      </c>
      <c r="C133">
        <f>day_length(F133,$B$1,Fitting!$B$4)</f>
        <v>12.598507881164551</v>
      </c>
      <c r="D133" s="1">
        <f t="shared" ref="D133:D156" si="11">A133</f>
        <v>32758</v>
      </c>
      <c r="E133">
        <f t="shared" si="8"/>
        <v>1989</v>
      </c>
      <c r="F133" s="6">
        <f t="shared" si="9"/>
        <v>250</v>
      </c>
      <c r="G133">
        <v>35.5</v>
      </c>
      <c r="H133">
        <v>17.7</v>
      </c>
      <c r="I133">
        <f>MAX(0,1-Fitting!$B$7*(Fitting!$B$6-Herm8889!C133)^2)</f>
        <v>0.56648064210262417</v>
      </c>
      <c r="J133">
        <f>tt(G133,H133,Fitting!$B$1:$E$1,Fitting!$B$2:$E$2)*I133</f>
        <v>12.140601979230137</v>
      </c>
    </row>
    <row r="134" spans="1:10">
      <c r="A134" s="1">
        <f t="shared" ref="A134:A156" si="12">A133+1</f>
        <v>32759</v>
      </c>
      <c r="B134">
        <f t="shared" si="10"/>
        <v>1359.1408002752269</v>
      </c>
      <c r="C134">
        <f>day_length(F134,$B$1,Fitting!$B$4)</f>
        <v>12.612874984741211</v>
      </c>
      <c r="D134" s="1">
        <f t="shared" si="11"/>
        <v>32759</v>
      </c>
      <c r="E134">
        <f t="shared" ref="E134:E156" si="13">YEAR(A134)</f>
        <v>1989</v>
      </c>
      <c r="F134" s="6">
        <f t="shared" ref="F134:F156" si="14">A134-DATE(E134,1,1)+1</f>
        <v>251</v>
      </c>
      <c r="G134">
        <v>36.1</v>
      </c>
      <c r="H134">
        <v>14.2</v>
      </c>
      <c r="I134">
        <f>MAX(0,1-Fitting!$B$7*(Fitting!$B$6-Herm8889!C134)^2)</f>
        <v>0.56931657323419493</v>
      </c>
      <c r="J134">
        <f>tt(G134,H134,Fitting!$B$1:$E$1,Fitting!$B$2:$E$2)*I134</f>
        <v>11.267594262961055</v>
      </c>
    </row>
    <row r="135" spans="1:10">
      <c r="A135" s="1">
        <f t="shared" si="12"/>
        <v>32760</v>
      </c>
      <c r="B135">
        <f t="shared" si="10"/>
        <v>1370.1928460936083</v>
      </c>
      <c r="C135">
        <f>day_length(F135,$B$1,Fitting!$B$4)</f>
        <v>12.627324104309082</v>
      </c>
      <c r="D135" s="1">
        <f t="shared" si="11"/>
        <v>32760</v>
      </c>
      <c r="E135">
        <f t="shared" si="13"/>
        <v>1989</v>
      </c>
      <c r="F135" s="6">
        <f t="shared" si="14"/>
        <v>252</v>
      </c>
      <c r="G135">
        <v>36.200000000000003</v>
      </c>
      <c r="H135">
        <v>13</v>
      </c>
      <c r="I135">
        <f>MAX(0,1-Fitting!$B$7*(Fitting!$B$6-Herm8889!C135)^2)</f>
        <v>0.57215566448160105</v>
      </c>
      <c r="J135">
        <f>tt(G135,H135,Fitting!$B$1:$E$1,Fitting!$B$2:$E$2)*I135</f>
        <v>11.052045818381522</v>
      </c>
    </row>
    <row r="136" spans="1:10">
      <c r="A136" s="1">
        <f t="shared" si="12"/>
        <v>32761</v>
      </c>
      <c r="B136">
        <f t="shared" si="10"/>
        <v>1381.437959461173</v>
      </c>
      <c r="C136">
        <f>day_length(F136,$B$1,Fitting!$B$4)</f>
        <v>12.641852378845215</v>
      </c>
      <c r="D136" s="1">
        <f t="shared" si="11"/>
        <v>32761</v>
      </c>
      <c r="E136">
        <f t="shared" si="13"/>
        <v>1989</v>
      </c>
      <c r="F136" s="6">
        <f t="shared" si="14"/>
        <v>253</v>
      </c>
      <c r="G136">
        <v>36.700000000000003</v>
      </c>
      <c r="H136">
        <v>15</v>
      </c>
      <c r="I136">
        <f>MAX(0,1-Fitting!$B$7*(Fitting!$B$6-Herm8889!C136)^2)</f>
        <v>0.57499731038060409</v>
      </c>
      <c r="J136">
        <f>tt(G136,H136,Fitting!$B$1:$E$1,Fitting!$B$2:$E$2)*I136</f>
        <v>11.245113367564766</v>
      </c>
    </row>
    <row r="137" spans="1:10">
      <c r="A137" s="1">
        <f t="shared" si="12"/>
        <v>32762</v>
      </c>
      <c r="B137">
        <f t="shared" si="10"/>
        <v>1392.4131090310091</v>
      </c>
      <c r="C137">
        <f>day_length(F137,$B$1,Fitting!$B$4)</f>
        <v>12.656457901000977</v>
      </c>
      <c r="D137" s="1">
        <f t="shared" si="11"/>
        <v>32762</v>
      </c>
      <c r="E137">
        <f t="shared" si="13"/>
        <v>1989</v>
      </c>
      <c r="F137" s="6">
        <f t="shared" si="14"/>
        <v>254</v>
      </c>
      <c r="G137">
        <v>37.5</v>
      </c>
      <c r="H137">
        <v>15.3</v>
      </c>
      <c r="I137">
        <f>MAX(0,1-Fitting!$B$7*(Fitting!$B$6-Herm8889!C137)^2)</f>
        <v>0.57784091137890392</v>
      </c>
      <c r="J137">
        <f>tt(G137,H137,Fitting!$B$1:$E$1,Fitting!$B$2:$E$2)*I137</f>
        <v>10.97514956983607</v>
      </c>
    </row>
    <row r="138" spans="1:10">
      <c r="A138" s="1">
        <f t="shared" si="12"/>
        <v>32763</v>
      </c>
      <c r="B138">
        <f t="shared" si="10"/>
        <v>1403.355187778069</v>
      </c>
      <c r="C138">
        <f>day_length(F138,$B$1,Fitting!$B$4)</f>
        <v>12.671136856079102</v>
      </c>
      <c r="D138" s="1">
        <f t="shared" si="11"/>
        <v>32763</v>
      </c>
      <c r="E138">
        <f t="shared" si="13"/>
        <v>1989</v>
      </c>
      <c r="F138" s="6">
        <f t="shared" si="14"/>
        <v>255</v>
      </c>
      <c r="G138">
        <v>37.799999999999997</v>
      </c>
      <c r="H138">
        <v>15.6</v>
      </c>
      <c r="I138">
        <f>MAX(0,1-Fitting!$B$7*(Fitting!$B$6-Herm8889!C138)^2)</f>
        <v>0.58068568256255815</v>
      </c>
      <c r="J138">
        <f>tt(G138,H138,Fitting!$B$1:$E$1,Fitting!$B$2:$E$2)*I138</f>
        <v>10.94207874705983</v>
      </c>
    </row>
    <row r="139" spans="1:10">
      <c r="A139" s="1">
        <f t="shared" si="12"/>
        <v>32764</v>
      </c>
      <c r="B139">
        <f t="shared" si="10"/>
        <v>1416.2550568738229</v>
      </c>
      <c r="C139">
        <f>day_length(F139,$B$1,Fitting!$B$4)</f>
        <v>12.685887336730957</v>
      </c>
      <c r="D139" s="1">
        <f t="shared" si="11"/>
        <v>32764</v>
      </c>
      <c r="E139">
        <f t="shared" si="13"/>
        <v>1989</v>
      </c>
      <c r="F139" s="6">
        <f t="shared" si="14"/>
        <v>256</v>
      </c>
      <c r="G139">
        <v>35</v>
      </c>
      <c r="H139">
        <v>18.5</v>
      </c>
      <c r="I139">
        <f>MAX(0,1-Fitting!$B$7*(Fitting!$B$6-Herm8889!C139)^2)</f>
        <v>0.58353122903992327</v>
      </c>
      <c r="J139">
        <f>tt(G139,H139,Fitting!$B$1:$E$1,Fitting!$B$2:$E$2)*I139</f>
        <v>12.899869095753983</v>
      </c>
    </row>
    <row r="140" spans="1:10">
      <c r="A140" s="1">
        <f t="shared" si="12"/>
        <v>32765</v>
      </c>
      <c r="B140">
        <f t="shared" si="10"/>
        <v>1429.0982830159467</v>
      </c>
      <c r="C140">
        <f>day_length(F140,$B$1,Fitting!$B$4)</f>
        <v>12.700706481933594</v>
      </c>
      <c r="D140" s="1">
        <f t="shared" si="11"/>
        <v>32765</v>
      </c>
      <c r="E140">
        <f t="shared" si="13"/>
        <v>1989</v>
      </c>
      <c r="F140" s="6">
        <f t="shared" si="14"/>
        <v>257</v>
      </c>
      <c r="G140">
        <v>35.799999999999997</v>
      </c>
      <c r="H140">
        <v>19.899999999999999</v>
      </c>
      <c r="I140">
        <f>MAX(0,1-Fitting!$B$7*(Fitting!$B$6-Herm8889!C140)^2)</f>
        <v>0.58637668433274115</v>
      </c>
      <c r="J140">
        <f>tt(G140,H140,Fitting!$B$1:$E$1,Fitting!$B$2:$E$2)*I140</f>
        <v>12.843226142123795</v>
      </c>
    </row>
    <row r="141" spans="1:10">
      <c r="A141" s="1">
        <f t="shared" si="12"/>
        <v>32766</v>
      </c>
      <c r="B141">
        <f t="shared" si="10"/>
        <v>1442.0729443601374</v>
      </c>
      <c r="C141">
        <f>day_length(F141,$B$1,Fitting!$B$4)</f>
        <v>12.715592384338379</v>
      </c>
      <c r="D141" s="1">
        <f t="shared" si="11"/>
        <v>32766</v>
      </c>
      <c r="E141">
        <f t="shared" si="13"/>
        <v>1989</v>
      </c>
      <c r="F141" s="6">
        <f t="shared" si="14"/>
        <v>258</v>
      </c>
      <c r="G141">
        <v>35.5</v>
      </c>
      <c r="H141">
        <v>19.5</v>
      </c>
      <c r="I141">
        <f>MAX(0,1-Fitting!$B$7*(Fitting!$B$6-Herm8889!C141)^2)</f>
        <v>0.58922166550710242</v>
      </c>
      <c r="J141">
        <f>tt(G141,H141,Fitting!$B$1:$E$1,Fitting!$B$2:$E$2)*I141</f>
        <v>12.974661344190668</v>
      </c>
    </row>
    <row r="142" spans="1:10">
      <c r="A142" s="1">
        <f t="shared" si="12"/>
        <v>32767</v>
      </c>
      <c r="B142">
        <f t="shared" si="10"/>
        <v>1454.9622119163566</v>
      </c>
      <c r="C142">
        <f>day_length(F142,$B$1,Fitting!$B$4)</f>
        <v>12.730541229248047</v>
      </c>
      <c r="D142" s="1">
        <f t="shared" si="11"/>
        <v>32767</v>
      </c>
      <c r="E142">
        <f t="shared" si="13"/>
        <v>1989</v>
      </c>
      <c r="F142" s="6">
        <f t="shared" si="14"/>
        <v>259</v>
      </c>
      <c r="G142">
        <v>36</v>
      </c>
      <c r="H142">
        <v>20</v>
      </c>
      <c r="I142">
        <f>MAX(0,1-Fitting!$B$7*(Fitting!$B$6-Herm8889!C142)^2)</f>
        <v>0.59206551014781317</v>
      </c>
      <c r="J142">
        <f>tt(G142,H142,Fitting!$B$1:$E$1,Fitting!$B$2:$E$2)*I142</f>
        <v>12.889267556219316</v>
      </c>
    </row>
    <row r="143" spans="1:10">
      <c r="A143" s="1">
        <f t="shared" si="12"/>
        <v>32768</v>
      </c>
      <c r="B143">
        <f t="shared" si="10"/>
        <v>1467.247576776349</v>
      </c>
      <c r="C143">
        <f>day_length(F143,$B$1,Fitting!$B$4)</f>
        <v>12.745550155639648</v>
      </c>
      <c r="D143" s="1">
        <f t="shared" si="11"/>
        <v>32768</v>
      </c>
      <c r="E143">
        <f t="shared" si="13"/>
        <v>1989</v>
      </c>
      <c r="F143" s="6">
        <f t="shared" si="14"/>
        <v>260</v>
      </c>
      <c r="G143">
        <v>36.799999999999997</v>
      </c>
      <c r="H143">
        <v>18.600000000000001</v>
      </c>
      <c r="I143">
        <f>MAX(0,1-Fitting!$B$7*(Fitting!$B$6-Herm8889!C143)^2)</f>
        <v>0.59490765746394203</v>
      </c>
      <c r="J143">
        <f>tt(G143,H143,Fitting!$B$1:$E$1,Fitting!$B$2:$E$2)*I143</f>
        <v>12.285364859992415</v>
      </c>
    </row>
    <row r="144" spans="1:10">
      <c r="A144" s="1">
        <f t="shared" si="12"/>
        <v>32769</v>
      </c>
      <c r="B144">
        <f t="shared" si="10"/>
        <v>1478.7946962127223</v>
      </c>
      <c r="C144">
        <f>day_length(F144,$B$1,Fitting!$B$4)</f>
        <v>12.760617256164551</v>
      </c>
      <c r="D144" s="1">
        <f t="shared" si="11"/>
        <v>32769</v>
      </c>
      <c r="E144">
        <f t="shared" si="13"/>
        <v>1989</v>
      </c>
      <c r="F144" s="6">
        <f t="shared" si="14"/>
        <v>261</v>
      </c>
      <c r="G144">
        <v>38.5</v>
      </c>
      <c r="H144">
        <v>20.7</v>
      </c>
      <c r="I144">
        <f>MAX(0,1-Fitting!$B$7*(Fitting!$B$6-Herm8889!C144)^2)</f>
        <v>0.59774745928953044</v>
      </c>
      <c r="J144">
        <f>tt(G144,H144,Fitting!$B$1:$E$1,Fitting!$B$2:$E$2)*I144</f>
        <v>11.547119436373384</v>
      </c>
    </row>
    <row r="145" spans="1:10">
      <c r="A145" s="1">
        <f t="shared" si="12"/>
        <v>32770</v>
      </c>
      <c r="B145">
        <f t="shared" si="10"/>
        <v>1490.4334331170965</v>
      </c>
      <c r="C145">
        <f>day_length(F145,$B$1,Fitting!$B$4)</f>
        <v>12.775739669799805</v>
      </c>
      <c r="D145" s="1">
        <f t="shared" si="11"/>
        <v>32770</v>
      </c>
      <c r="E145">
        <f t="shared" si="13"/>
        <v>1989</v>
      </c>
      <c r="F145" s="6">
        <f t="shared" si="14"/>
        <v>262</v>
      </c>
      <c r="G145">
        <v>38.5</v>
      </c>
      <c r="H145">
        <v>21.2</v>
      </c>
      <c r="I145">
        <f>MAX(0,1-Fitting!$B$7*(Fitting!$B$6-Herm8889!C145)^2)</f>
        <v>0.60058436852944763</v>
      </c>
      <c r="J145">
        <f>tt(G145,H145,Fitting!$B$1:$E$1,Fitting!$B$2:$E$2)*I145</f>
        <v>11.638736904374069</v>
      </c>
    </row>
    <row r="146" spans="1:10">
      <c r="A146" s="1">
        <f t="shared" si="12"/>
        <v>32771</v>
      </c>
      <c r="B146">
        <f t="shared" si="10"/>
        <v>1501.0716749089047</v>
      </c>
      <c r="C146">
        <f>day_length(F146,$B$1,Fitting!$B$4)</f>
        <v>12.790914535522461</v>
      </c>
      <c r="D146" s="1">
        <f t="shared" si="11"/>
        <v>32771</v>
      </c>
      <c r="E146">
        <f t="shared" si="13"/>
        <v>1989</v>
      </c>
      <c r="F146" s="6">
        <f t="shared" si="14"/>
        <v>263</v>
      </c>
      <c r="G146">
        <v>40.200000000000003</v>
      </c>
      <c r="H146">
        <v>22.5</v>
      </c>
      <c r="I146">
        <f>MAX(0,1-Fitting!$B$7*(Fitting!$B$6-Herm8889!C146)^2)</f>
        <v>0.60341775147049337</v>
      </c>
      <c r="J146">
        <f>tt(G146,H146,Fitting!$B$1:$E$1,Fitting!$B$2:$E$2)*I146</f>
        <v>10.638241791808213</v>
      </c>
    </row>
    <row r="147" spans="1:10">
      <c r="A147" s="1">
        <f t="shared" si="12"/>
        <v>32772</v>
      </c>
      <c r="B147">
        <f t="shared" si="10"/>
        <v>1512.7880933676372</v>
      </c>
      <c r="C147">
        <f>day_length(F147,$B$1,Fitting!$B$4)</f>
        <v>12.806138038635254</v>
      </c>
      <c r="D147" s="1">
        <f t="shared" si="11"/>
        <v>32772</v>
      </c>
      <c r="E147">
        <f t="shared" si="13"/>
        <v>1989</v>
      </c>
      <c r="F147" s="6">
        <f t="shared" si="14"/>
        <v>264</v>
      </c>
      <c r="G147">
        <v>38.700000000000003</v>
      </c>
      <c r="H147">
        <v>22.6</v>
      </c>
      <c r="I147">
        <f>MAX(0,1-Fitting!$B$7*(Fitting!$B$6-Herm8889!C147)^2)</f>
        <v>0.60624716760818598</v>
      </c>
      <c r="J147">
        <f>tt(G147,H147,Fitting!$B$1:$E$1,Fitting!$B$2:$E$2)*I147</f>
        <v>11.716418458732434</v>
      </c>
    </row>
    <row r="148" spans="1:10">
      <c r="A148" s="1">
        <f t="shared" si="12"/>
        <v>32773</v>
      </c>
      <c r="B148">
        <f t="shared" si="10"/>
        <v>1523.8615951807494</v>
      </c>
      <c r="C148">
        <f>day_length(F148,$B$1,Fitting!$B$4)</f>
        <v>12.821409225463867</v>
      </c>
      <c r="D148" s="1">
        <f t="shared" si="11"/>
        <v>32773</v>
      </c>
      <c r="E148">
        <f t="shared" si="13"/>
        <v>1989</v>
      </c>
      <c r="F148" s="6">
        <f t="shared" si="14"/>
        <v>265</v>
      </c>
      <c r="G148">
        <v>39.6</v>
      </c>
      <c r="H148">
        <v>21.5</v>
      </c>
      <c r="I148">
        <f>MAX(0,1-Fitting!$B$7*(Fitting!$B$6-Herm8889!C148)^2)</f>
        <v>0.60907199685954394</v>
      </c>
      <c r="J148">
        <f>tt(G148,H148,Fitting!$B$1:$E$1,Fitting!$B$2:$E$2)*I148</f>
        <v>11.073501813112294</v>
      </c>
    </row>
    <row r="149" spans="1:10">
      <c r="A149" s="1">
        <f t="shared" si="12"/>
        <v>32774</v>
      </c>
      <c r="B149">
        <f t="shared" si="10"/>
        <v>1535.2111124656308</v>
      </c>
      <c r="C149">
        <f>day_length(F149,$B$1,Fitting!$B$4)</f>
        <v>12.836723327636719</v>
      </c>
      <c r="D149" s="1">
        <f t="shared" si="11"/>
        <v>32774</v>
      </c>
      <c r="E149">
        <f t="shared" si="13"/>
        <v>1989</v>
      </c>
      <c r="F149" s="6">
        <f t="shared" si="14"/>
        <v>266</v>
      </c>
      <c r="G149">
        <v>39.5</v>
      </c>
      <c r="H149">
        <v>23.9</v>
      </c>
      <c r="I149">
        <f>MAX(0,1-Fitting!$B$7*(Fitting!$B$6-Herm8889!C149)^2)</f>
        <v>0.61189153496982174</v>
      </c>
      <c r="J149">
        <f>tt(G149,H149,Fitting!$B$1:$E$1,Fitting!$B$2:$E$2)*I149</f>
        <v>11.349517284881406</v>
      </c>
    </row>
    <row r="150" spans="1:10">
      <c r="A150" s="1">
        <f t="shared" si="12"/>
        <v>32775</v>
      </c>
      <c r="B150">
        <f t="shared" si="10"/>
        <v>1546.4485066039717</v>
      </c>
      <c r="C150">
        <f>day_length(F150,$B$1,Fitting!$B$4)</f>
        <v>12.852078437805176</v>
      </c>
      <c r="D150" s="1">
        <f t="shared" si="11"/>
        <v>32775</v>
      </c>
      <c r="E150">
        <f t="shared" si="13"/>
        <v>1989</v>
      </c>
      <c r="F150" s="6">
        <f t="shared" si="14"/>
        <v>267</v>
      </c>
      <c r="G150">
        <v>39.5</v>
      </c>
      <c r="H150">
        <v>21.4</v>
      </c>
      <c r="I150">
        <f>MAX(0,1-Fitting!$B$7*(Fitting!$B$6-Herm8889!C150)^2)</f>
        <v>0.61470545375579966</v>
      </c>
      <c r="J150">
        <f>tt(G150,H150,Fitting!$B$1:$E$1,Fitting!$B$2:$E$2)*I150</f>
        <v>11.23739413834091</v>
      </c>
    </row>
    <row r="151" spans="1:10">
      <c r="A151" s="1">
        <f t="shared" si="12"/>
        <v>32776</v>
      </c>
      <c r="B151">
        <f t="shared" si="10"/>
        <v>1556.9660603147386</v>
      </c>
      <c r="C151">
        <f>day_length(F151,$B$1,Fitting!$B$4)</f>
        <v>12.867471694946289</v>
      </c>
      <c r="D151" s="1">
        <f t="shared" si="11"/>
        <v>32776</v>
      </c>
      <c r="E151">
        <f t="shared" si="13"/>
        <v>1989</v>
      </c>
      <c r="F151" s="6">
        <f t="shared" si="14"/>
        <v>268</v>
      </c>
      <c r="G151">
        <v>40.6</v>
      </c>
      <c r="H151">
        <v>24.5</v>
      </c>
      <c r="I151">
        <f>MAX(0,1-Fitting!$B$7*(Fitting!$B$6-Herm8889!C151)^2)</f>
        <v>0.61751297209945188</v>
      </c>
      <c r="J151">
        <f>tt(G151,H151,Fitting!$B$1:$E$1,Fitting!$B$2:$E$2)*I151</f>
        <v>10.517553710766791</v>
      </c>
    </row>
    <row r="152" spans="1:10">
      <c r="A152" s="1">
        <f t="shared" si="12"/>
        <v>32777</v>
      </c>
      <c r="B152">
        <f t="shared" si="10"/>
        <v>1569.5195053879577</v>
      </c>
      <c r="C152">
        <f>day_length(F152,$B$1,Fitting!$B$4)</f>
        <v>12.882899284362793</v>
      </c>
      <c r="D152" s="1">
        <f t="shared" si="11"/>
        <v>32777</v>
      </c>
      <c r="E152">
        <f t="shared" si="13"/>
        <v>1989</v>
      </c>
      <c r="F152" s="6">
        <f t="shared" si="14"/>
        <v>269</v>
      </c>
      <c r="G152">
        <v>37.799999999999997</v>
      </c>
      <c r="H152">
        <v>27</v>
      </c>
      <c r="I152">
        <f>MAX(0,1-Fitting!$B$7*(Fitting!$B$6-Herm8889!C152)^2)</f>
        <v>0.62031368367662798</v>
      </c>
      <c r="J152">
        <f>tt(G152,H152,Fitting!$B$1:$E$1,Fitting!$B$2:$E$2)*I152</f>
        <v>12.553445073219091</v>
      </c>
    </row>
    <row r="153" spans="1:10">
      <c r="A153" s="1">
        <f t="shared" si="12"/>
        <v>32778</v>
      </c>
      <c r="B153">
        <f t="shared" si="10"/>
        <v>1582.8196622036237</v>
      </c>
      <c r="C153">
        <f>day_length(F153,$B$1,Fitting!$B$4)</f>
        <v>12.898358345031738</v>
      </c>
      <c r="D153" s="1">
        <f t="shared" si="11"/>
        <v>32778</v>
      </c>
      <c r="E153">
        <f t="shared" si="13"/>
        <v>1989</v>
      </c>
      <c r="F153" s="6">
        <f t="shared" si="14"/>
        <v>270</v>
      </c>
      <c r="G153">
        <v>37</v>
      </c>
      <c r="H153">
        <v>23.5</v>
      </c>
      <c r="I153">
        <f>MAX(0,1-Fitting!$B$7*(Fitting!$B$6-Herm8889!C153)^2)</f>
        <v>0.62310700607163749</v>
      </c>
      <c r="J153">
        <f>tt(G153,H153,Fitting!$B$1:$E$1,Fitting!$B$2:$E$2)*I153</f>
        <v>13.300156815666076</v>
      </c>
    </row>
    <row r="154" spans="1:10">
      <c r="A154" s="1">
        <f t="shared" si="12"/>
        <v>32779</v>
      </c>
      <c r="B154">
        <f t="shared" si="10"/>
        <v>1595.0893678998066</v>
      </c>
      <c r="C154">
        <f>day_length(F154,$B$1,Fitting!$B$4)</f>
        <v>12.913846969604492</v>
      </c>
      <c r="D154" s="1">
        <f t="shared" si="11"/>
        <v>32779</v>
      </c>
      <c r="E154">
        <f t="shared" si="13"/>
        <v>1989</v>
      </c>
      <c r="F154" s="6">
        <f t="shared" si="14"/>
        <v>271</v>
      </c>
      <c r="G154">
        <v>38.299999999999997</v>
      </c>
      <c r="H154">
        <v>21.2</v>
      </c>
      <c r="I154">
        <f>MAX(0,1-Fitting!$B$7*(Fitting!$B$6-Herm8889!C154)^2)</f>
        <v>0.62589227451676011</v>
      </c>
      <c r="J154">
        <f>tt(G154,H154,Fitting!$B$1:$E$1,Fitting!$B$2:$E$2)*I154</f>
        <v>12.269705696182934</v>
      </c>
    </row>
    <row r="155" spans="1:10">
      <c r="A155" s="1">
        <f t="shared" si="12"/>
        <v>32780</v>
      </c>
      <c r="B155">
        <f t="shared" si="10"/>
        <v>1606.6383959223785</v>
      </c>
      <c r="C155">
        <f>day_length(F155,$B$1,Fitting!$B$4)</f>
        <v>12.929359436035156</v>
      </c>
      <c r="D155" s="1">
        <f t="shared" si="11"/>
        <v>32780</v>
      </c>
      <c r="E155">
        <f t="shared" si="13"/>
        <v>1989</v>
      </c>
      <c r="F155" s="6">
        <f t="shared" si="14"/>
        <v>272</v>
      </c>
      <c r="G155">
        <v>39.299999999999997</v>
      </c>
      <c r="H155">
        <v>20.3</v>
      </c>
      <c r="I155">
        <f>MAX(0,1-Fitting!$B$7*(Fitting!$B$6-Herm8889!C155)^2)</f>
        <v>0.62866901368057004</v>
      </c>
      <c r="J155">
        <f>tt(G155,H155,Fitting!$B$1:$E$1,Fitting!$B$2:$E$2)*I155</f>
        <v>11.549028022571981</v>
      </c>
    </row>
    <row r="156" spans="1:10">
      <c r="A156" s="1">
        <f t="shared" si="12"/>
        <v>32781</v>
      </c>
      <c r="B156">
        <f t="shared" si="10"/>
        <v>1618.4354395765911</v>
      </c>
      <c r="C156">
        <f>day_length(F156,$B$1,Fitting!$B$4)</f>
        <v>12.944894790649414</v>
      </c>
      <c r="D156" s="1">
        <f t="shared" si="11"/>
        <v>32781</v>
      </c>
      <c r="E156">
        <f t="shared" si="13"/>
        <v>1989</v>
      </c>
      <c r="F156" s="6">
        <f t="shared" si="14"/>
        <v>273</v>
      </c>
      <c r="G156">
        <v>39</v>
      </c>
      <c r="H156">
        <v>20.100000000000001</v>
      </c>
      <c r="I156">
        <f>MAX(0,1-Fitting!$B$7*(Fitting!$B$6-Herm8889!C156)^2)</f>
        <v>0.63143666524213948</v>
      </c>
      <c r="J156">
        <f>tt(G156,H156,Fitting!$B$1:$E$1,Fitting!$B$2:$E$2)*I156</f>
        <v>11.79704365421258</v>
      </c>
    </row>
    <row r="157" spans="1:10">
      <c r="A157" s="1"/>
      <c r="D157" s="1"/>
      <c r="F157" s="6"/>
    </row>
    <row r="158" spans="1:10">
      <c r="A158" s="1"/>
      <c r="D158" s="1"/>
      <c r="F158" s="6"/>
    </row>
    <row r="159" spans="1:10">
      <c r="A159" s="1"/>
      <c r="D159" s="1"/>
      <c r="F159" s="6"/>
    </row>
    <row r="160" spans="1:10">
      <c r="A160" s="1"/>
      <c r="D160" s="1"/>
      <c r="F160" s="6"/>
    </row>
    <row r="161" spans="1:6">
      <c r="A161" s="1"/>
      <c r="D161" s="1"/>
      <c r="F161" s="6"/>
    </row>
    <row r="162" spans="1:6">
      <c r="A162" s="1"/>
      <c r="D162" s="1"/>
      <c r="F162" s="6"/>
    </row>
    <row r="163" spans="1:6">
      <c r="A163" s="1"/>
      <c r="D163" s="1"/>
      <c r="F163" s="6"/>
    </row>
    <row r="164" spans="1:6">
      <c r="A164" s="1"/>
      <c r="D164" s="1"/>
      <c r="F164" s="6"/>
    </row>
    <row r="165" spans="1:6">
      <c r="A165" s="1"/>
      <c r="D165" s="1"/>
      <c r="F165" s="6"/>
    </row>
    <row r="166" spans="1:6">
      <c r="A166" s="1"/>
      <c r="D166" s="1"/>
      <c r="F166" s="6"/>
    </row>
    <row r="167" spans="1:6">
      <c r="A167" s="1"/>
      <c r="D167" s="1"/>
      <c r="F167" s="6"/>
    </row>
    <row r="168" spans="1:6">
      <c r="A168" s="1"/>
      <c r="D168" s="1"/>
      <c r="F168" s="6"/>
    </row>
    <row r="169" spans="1:6">
      <c r="A169" s="1"/>
      <c r="D169" s="1"/>
      <c r="F169" s="6"/>
    </row>
    <row r="170" spans="1:6">
      <c r="A170" s="1"/>
      <c r="D170" s="1"/>
      <c r="F170" s="6"/>
    </row>
    <row r="171" spans="1:6">
      <c r="A171" s="1"/>
      <c r="D171" s="1"/>
      <c r="F171" s="6"/>
    </row>
    <row r="172" spans="1:6">
      <c r="A172" s="1"/>
      <c r="D172" s="1"/>
      <c r="F172" s="6"/>
    </row>
    <row r="173" spans="1:6">
      <c r="A173" s="1"/>
      <c r="D173" s="1"/>
      <c r="F173" s="6"/>
    </row>
    <row r="174" spans="1:6">
      <c r="A174" s="1"/>
      <c r="D174" s="1"/>
      <c r="F174" s="6"/>
    </row>
    <row r="175" spans="1:6">
      <c r="A175" s="1"/>
      <c r="D175" s="1"/>
      <c r="F175" s="6"/>
    </row>
    <row r="176" spans="1:6">
      <c r="A176" s="1"/>
      <c r="D176" s="1"/>
      <c r="F176" s="6"/>
    </row>
    <row r="177" spans="1:6">
      <c r="A177" s="1"/>
      <c r="D177" s="1"/>
      <c r="F177" s="6"/>
    </row>
    <row r="178" spans="1:6">
      <c r="A178" s="1"/>
      <c r="D178" s="1"/>
      <c r="F178" s="6"/>
    </row>
    <row r="179" spans="1:6">
      <c r="A179" s="1"/>
      <c r="D179" s="1"/>
      <c r="F179" s="6"/>
    </row>
    <row r="180" spans="1:6">
      <c r="A180" s="1"/>
      <c r="D180" s="1"/>
      <c r="F180" s="6"/>
    </row>
    <row r="181" spans="1:6">
      <c r="A181" s="1"/>
      <c r="D181" s="1"/>
      <c r="F181" s="6"/>
    </row>
    <row r="182" spans="1:6">
      <c r="A182" s="1"/>
      <c r="D182" s="1"/>
      <c r="F182" s="6"/>
    </row>
    <row r="183" spans="1:6">
      <c r="A183" s="1"/>
      <c r="D183" s="1"/>
      <c r="F183" s="6"/>
    </row>
    <row r="184" spans="1:6">
      <c r="A184" s="1"/>
      <c r="D184" s="1"/>
      <c r="F184" s="6"/>
    </row>
    <row r="185" spans="1:6">
      <c r="A185" s="1"/>
      <c r="D185" s="1"/>
      <c r="F185" s="6"/>
    </row>
    <row r="186" spans="1:6">
      <c r="A186" s="1"/>
      <c r="D186" s="1"/>
      <c r="F186" s="6"/>
    </row>
    <row r="187" spans="1:6">
      <c r="A187" s="1"/>
      <c r="D187" s="1"/>
      <c r="F187" s="6"/>
    </row>
    <row r="188" spans="1:6">
      <c r="A188" s="1"/>
      <c r="D188" s="1"/>
      <c r="F188" s="6"/>
    </row>
    <row r="189" spans="1:6">
      <c r="A189" s="1"/>
      <c r="D189" s="1"/>
      <c r="F189" s="6"/>
    </row>
    <row r="190" spans="1:6">
      <c r="A190" s="1"/>
      <c r="D190" s="1"/>
      <c r="F190" s="6"/>
    </row>
    <row r="191" spans="1:6">
      <c r="A191" s="1"/>
      <c r="D191" s="1"/>
      <c r="F191" s="6"/>
    </row>
    <row r="192" spans="1:6">
      <c r="A192" s="1"/>
      <c r="D192" s="1"/>
      <c r="F192" s="6"/>
    </row>
    <row r="193" spans="1:6">
      <c r="A193" s="1"/>
      <c r="D193" s="1"/>
      <c r="F193" s="6"/>
    </row>
    <row r="194" spans="1:6">
      <c r="A194" s="1"/>
      <c r="D194" s="1"/>
      <c r="F194" s="6"/>
    </row>
    <row r="195" spans="1:6">
      <c r="A195" s="1"/>
      <c r="D195" s="1"/>
      <c r="F195" s="6"/>
    </row>
    <row r="196" spans="1:6">
      <c r="A196" s="1"/>
      <c r="D196" s="1"/>
      <c r="F196" s="6"/>
    </row>
    <row r="197" spans="1:6">
      <c r="A197" s="1"/>
      <c r="D197" s="1"/>
      <c r="F197" s="6"/>
    </row>
    <row r="198" spans="1:6">
      <c r="A198" s="1"/>
      <c r="D198" s="1"/>
      <c r="F198" s="6"/>
    </row>
    <row r="199" spans="1:6">
      <c r="A199" s="1"/>
      <c r="D199" s="1"/>
      <c r="F199" s="6"/>
    </row>
    <row r="200" spans="1:6">
      <c r="A200" s="1"/>
      <c r="D200" s="1"/>
      <c r="F200" s="6"/>
    </row>
    <row r="201" spans="1:6">
      <c r="A201" s="1"/>
      <c r="D201" s="1"/>
      <c r="F201" s="6"/>
    </row>
    <row r="202" spans="1:6">
      <c r="A202" s="1"/>
      <c r="D202" s="1"/>
      <c r="F202" s="6"/>
    </row>
    <row r="203" spans="1:6">
      <c r="A203" s="1"/>
      <c r="D203" s="1"/>
      <c r="F203" s="6"/>
    </row>
    <row r="204" spans="1:6">
      <c r="A204" s="1"/>
      <c r="D204" s="1"/>
      <c r="F204" s="6"/>
    </row>
    <row r="205" spans="1:6">
      <c r="A205" s="1"/>
      <c r="D205" s="1"/>
      <c r="F205" s="6"/>
    </row>
    <row r="206" spans="1:6">
      <c r="A206" s="1"/>
      <c r="D206" s="1"/>
      <c r="F206" s="6"/>
    </row>
    <row r="207" spans="1:6">
      <c r="A207" s="1"/>
      <c r="D207" s="1"/>
      <c r="F207" s="6"/>
    </row>
    <row r="208" spans="1:6">
      <c r="A208" s="1"/>
      <c r="D208" s="1"/>
      <c r="F208" s="6"/>
    </row>
    <row r="209" spans="1:6">
      <c r="A209" s="1"/>
      <c r="D209" s="1"/>
      <c r="F209" s="6"/>
    </row>
    <row r="210" spans="1:6">
      <c r="A210" s="1"/>
      <c r="D210" s="1"/>
      <c r="F210" s="6"/>
    </row>
    <row r="211" spans="1:6">
      <c r="A211" s="1"/>
      <c r="D211" s="1"/>
      <c r="F211" s="6"/>
    </row>
    <row r="212" spans="1:6">
      <c r="A212" s="1"/>
      <c r="D212" s="1"/>
      <c r="F212" s="6"/>
    </row>
    <row r="213" spans="1:6">
      <c r="A213" s="1"/>
      <c r="D213" s="1"/>
      <c r="F213" s="6"/>
    </row>
    <row r="214" spans="1:6">
      <c r="A214" s="1"/>
      <c r="D214" s="1"/>
      <c r="F214" s="6"/>
    </row>
    <row r="215" spans="1:6">
      <c r="A215" s="1"/>
      <c r="D215" s="1"/>
      <c r="F215" s="6"/>
    </row>
    <row r="216" spans="1:6">
      <c r="A216" s="1"/>
      <c r="D216" s="1"/>
      <c r="F216" s="6"/>
    </row>
    <row r="217" spans="1:6">
      <c r="A217" s="1"/>
      <c r="D217" s="1"/>
      <c r="F217" s="6"/>
    </row>
    <row r="218" spans="1:6">
      <c r="A218" s="1"/>
      <c r="D218" s="1"/>
      <c r="F218" s="6"/>
    </row>
    <row r="219" spans="1:6">
      <c r="A219" s="1"/>
      <c r="D219" s="1"/>
      <c r="F219" s="6"/>
    </row>
    <row r="220" spans="1:6">
      <c r="A220" s="1"/>
      <c r="D220" s="1"/>
      <c r="F220" s="6"/>
    </row>
    <row r="221" spans="1:6">
      <c r="A221" s="1"/>
      <c r="D221" s="1"/>
      <c r="F221" s="6"/>
    </row>
    <row r="222" spans="1:6">
      <c r="A222" s="1"/>
      <c r="D222" s="1"/>
      <c r="F222" s="6"/>
    </row>
    <row r="223" spans="1:6">
      <c r="A223" s="1"/>
      <c r="D223" s="1"/>
      <c r="F223" s="6"/>
    </row>
    <row r="224" spans="1:6">
      <c r="A224" s="1"/>
      <c r="D224" s="1"/>
      <c r="F224" s="6"/>
    </row>
    <row r="225" spans="1:6">
      <c r="A225" s="1"/>
      <c r="D225" s="1"/>
      <c r="F225" s="6"/>
    </row>
    <row r="226" spans="1:6">
      <c r="A226" s="1"/>
      <c r="D226" s="1"/>
      <c r="F226" s="6"/>
    </row>
    <row r="227" spans="1:6">
      <c r="A227" s="1"/>
      <c r="D227" s="1"/>
      <c r="F227" s="6"/>
    </row>
    <row r="228" spans="1:6">
      <c r="A228" s="1"/>
      <c r="D228" s="1"/>
      <c r="F228" s="6"/>
    </row>
    <row r="229" spans="1:6">
      <c r="A229" s="1"/>
      <c r="D229" s="1"/>
      <c r="F229" s="6"/>
    </row>
    <row r="230" spans="1:6">
      <c r="A230" s="1"/>
      <c r="D230" s="1"/>
      <c r="F230" s="6"/>
    </row>
    <row r="231" spans="1:6">
      <c r="A231" s="1"/>
      <c r="D231" s="1"/>
      <c r="F231" s="6"/>
    </row>
    <row r="232" spans="1:6">
      <c r="A232" s="1"/>
      <c r="D232" s="1"/>
      <c r="F232" s="6"/>
    </row>
    <row r="233" spans="1:6">
      <c r="A233" s="1"/>
      <c r="D233" s="1"/>
      <c r="F233" s="6"/>
    </row>
    <row r="234" spans="1:6">
      <c r="A234" s="1"/>
      <c r="D234" s="1"/>
      <c r="F234" s="6"/>
    </row>
    <row r="235" spans="1:6">
      <c r="A235" s="1"/>
      <c r="D235" s="1"/>
      <c r="F235" s="6"/>
    </row>
    <row r="236" spans="1:6">
      <c r="A236" s="1"/>
      <c r="D236" s="1"/>
      <c r="F236" s="6"/>
    </row>
    <row r="237" spans="1:6">
      <c r="A237" s="1"/>
      <c r="D237" s="1"/>
      <c r="F237" s="6"/>
    </row>
    <row r="238" spans="1:6">
      <c r="A238" s="1"/>
      <c r="D238" s="1"/>
      <c r="F238" s="6"/>
    </row>
    <row r="239" spans="1:6">
      <c r="A239" s="1"/>
      <c r="D239" s="1"/>
      <c r="F239" s="6"/>
    </row>
    <row r="240" spans="1:6">
      <c r="A240" s="1"/>
      <c r="D240" s="1"/>
      <c r="F240" s="6"/>
    </row>
    <row r="241" spans="1:6">
      <c r="A241" s="1"/>
      <c r="D241" s="1"/>
      <c r="F241" s="6"/>
    </row>
    <row r="242" spans="1:6">
      <c r="A242" s="1"/>
      <c r="D242" s="1"/>
      <c r="F242" s="6"/>
    </row>
    <row r="243" spans="1:6">
      <c r="A243" s="1"/>
      <c r="D243" s="1"/>
      <c r="F243" s="6"/>
    </row>
    <row r="244" spans="1:6">
      <c r="A244" s="1"/>
      <c r="D244" s="1"/>
      <c r="F244" s="6"/>
    </row>
    <row r="245" spans="1:6">
      <c r="A245" s="1"/>
      <c r="D245" s="1"/>
      <c r="F245" s="6"/>
    </row>
    <row r="246" spans="1:6">
      <c r="A246" s="1"/>
      <c r="D246" s="1"/>
      <c r="F246" s="6"/>
    </row>
    <row r="247" spans="1:6">
      <c r="A247" s="1"/>
      <c r="D247" s="1"/>
      <c r="F247" s="6"/>
    </row>
    <row r="248" spans="1:6">
      <c r="A248" s="1"/>
      <c r="D248" s="1"/>
      <c r="F248" s="6"/>
    </row>
    <row r="249" spans="1:6">
      <c r="A249" s="1"/>
      <c r="D249" s="1"/>
      <c r="F249" s="6"/>
    </row>
    <row r="250" spans="1:6">
      <c r="A250" s="1"/>
      <c r="D250" s="1"/>
      <c r="F250" s="6"/>
    </row>
    <row r="251" spans="1:6">
      <c r="A251" s="1"/>
      <c r="D251" s="1"/>
      <c r="F251" s="6"/>
    </row>
    <row r="252" spans="1:6">
      <c r="A252" s="1"/>
      <c r="D252" s="1"/>
      <c r="F252" s="6"/>
    </row>
    <row r="253" spans="1:6">
      <c r="A253" s="1"/>
      <c r="D253" s="1"/>
      <c r="F253" s="6"/>
    </row>
    <row r="254" spans="1:6">
      <c r="A254" s="1"/>
      <c r="D254" s="1"/>
      <c r="F254" s="6"/>
    </row>
    <row r="255" spans="1:6">
      <c r="A255" s="1"/>
      <c r="D255" s="1"/>
      <c r="F255" s="6"/>
    </row>
    <row r="256" spans="1:6">
      <c r="A256" s="1"/>
      <c r="D256" s="1"/>
      <c r="F256" s="6"/>
    </row>
    <row r="257" spans="1:6">
      <c r="A257" s="1"/>
      <c r="D257" s="1"/>
      <c r="F257" s="6"/>
    </row>
    <row r="258" spans="1:6">
      <c r="A258" s="1"/>
      <c r="D258" s="1"/>
      <c r="F258" s="6"/>
    </row>
    <row r="259" spans="1:6">
      <c r="A259" s="1"/>
      <c r="D259" s="1"/>
      <c r="F259" s="6"/>
    </row>
    <row r="260" spans="1:6">
      <c r="A260" s="1"/>
      <c r="D260" s="1"/>
      <c r="F260" s="6"/>
    </row>
    <row r="261" spans="1:6">
      <c r="A261" s="1"/>
      <c r="D261" s="1"/>
      <c r="F261" s="6"/>
    </row>
    <row r="262" spans="1:6">
      <c r="A262" s="1"/>
      <c r="D262" s="1"/>
      <c r="F262" s="6"/>
    </row>
    <row r="263" spans="1:6">
      <c r="A263" s="1"/>
      <c r="D263" s="1"/>
      <c r="F263" s="6"/>
    </row>
    <row r="264" spans="1:6">
      <c r="A264" s="1"/>
      <c r="D264" s="1"/>
      <c r="F264" s="6"/>
    </row>
    <row r="265" spans="1:6">
      <c r="A265" s="1"/>
      <c r="D265" s="1"/>
      <c r="F265" s="6"/>
    </row>
    <row r="266" spans="1:6">
      <c r="A266" s="1"/>
      <c r="D266" s="1"/>
      <c r="F266" s="6"/>
    </row>
    <row r="267" spans="1:6">
      <c r="A267" s="1"/>
      <c r="D267" s="1"/>
      <c r="F267" s="6"/>
    </row>
    <row r="268" spans="1:6">
      <c r="A268" s="1"/>
      <c r="D268" s="1"/>
      <c r="F268" s="6"/>
    </row>
    <row r="269" spans="1:6">
      <c r="A269" s="1"/>
      <c r="D269" s="1"/>
      <c r="F269" s="6"/>
    </row>
    <row r="270" spans="1:6">
      <c r="A270" s="1"/>
      <c r="D270" s="1"/>
      <c r="F270" s="6"/>
    </row>
    <row r="271" spans="1:6">
      <c r="A271" s="1"/>
      <c r="D271" s="1"/>
      <c r="F271" s="6"/>
    </row>
    <row r="272" spans="1:6">
      <c r="A272" s="1"/>
      <c r="D272" s="1"/>
      <c r="F272" s="6"/>
    </row>
    <row r="273" spans="1:6">
      <c r="A273" s="1"/>
      <c r="D273" s="1"/>
      <c r="F273" s="6"/>
    </row>
    <row r="274" spans="1:6">
      <c r="A274" s="1"/>
      <c r="D274" s="1"/>
      <c r="F274" s="6"/>
    </row>
    <row r="275" spans="1:6">
      <c r="A275" s="1"/>
      <c r="D275" s="1"/>
      <c r="F275" s="6"/>
    </row>
    <row r="276" spans="1:6">
      <c r="A276" s="1"/>
      <c r="D276" s="1"/>
      <c r="F276" s="6"/>
    </row>
    <row r="277" spans="1:6">
      <c r="A277" s="1"/>
      <c r="D277" s="1"/>
      <c r="F277" s="6"/>
    </row>
    <row r="278" spans="1:6">
      <c r="A278" s="1"/>
      <c r="D278" s="1"/>
      <c r="F278" s="6"/>
    </row>
    <row r="279" spans="1:6">
      <c r="A279" s="1"/>
      <c r="D279" s="1"/>
      <c r="F279" s="6"/>
    </row>
    <row r="280" spans="1:6">
      <c r="A280" s="1"/>
      <c r="D280" s="1"/>
      <c r="F280" s="6"/>
    </row>
    <row r="281" spans="1:6">
      <c r="A281" s="1"/>
      <c r="D281" s="1"/>
      <c r="F281" s="6"/>
    </row>
    <row r="282" spans="1:6">
      <c r="A282" s="1"/>
      <c r="D282" s="1"/>
      <c r="F282" s="6"/>
    </row>
    <row r="283" spans="1:6">
      <c r="A283" s="1"/>
      <c r="D283" s="1"/>
      <c r="F283" s="6"/>
    </row>
    <row r="284" spans="1:6">
      <c r="A284" s="1"/>
      <c r="D284" s="1"/>
      <c r="F284" s="6"/>
    </row>
    <row r="285" spans="1:6">
      <c r="A285" s="1"/>
      <c r="D285" s="1"/>
      <c r="F285" s="6"/>
    </row>
    <row r="286" spans="1:6">
      <c r="A286" s="1"/>
      <c r="D286" s="1"/>
      <c r="F286" s="6"/>
    </row>
    <row r="287" spans="1:6">
      <c r="A287" s="1"/>
      <c r="D287" s="1"/>
      <c r="F287" s="6"/>
    </row>
    <row r="288" spans="1:6">
      <c r="A288" s="1"/>
      <c r="D288" s="1"/>
      <c r="F288" s="6"/>
    </row>
    <row r="289" spans="1:6">
      <c r="A289" s="1"/>
      <c r="D289" s="1"/>
      <c r="F289" s="6"/>
    </row>
    <row r="290" spans="1:6">
      <c r="A290" s="1"/>
      <c r="D290" s="1"/>
      <c r="F290" s="6"/>
    </row>
    <row r="291" spans="1:6">
      <c r="A291" s="1"/>
      <c r="D291" s="1"/>
      <c r="F291" s="6"/>
    </row>
    <row r="292" spans="1:6">
      <c r="A292" s="1"/>
      <c r="D292" s="1"/>
      <c r="F292" s="6"/>
    </row>
    <row r="293" spans="1:6">
      <c r="A293" s="1"/>
      <c r="D293" s="1"/>
      <c r="F293" s="6"/>
    </row>
    <row r="294" spans="1:6">
      <c r="A294" s="1"/>
      <c r="D294" s="1"/>
      <c r="F294" s="6"/>
    </row>
    <row r="295" spans="1:6">
      <c r="A295" s="1"/>
      <c r="D295" s="1"/>
      <c r="F295" s="6"/>
    </row>
    <row r="296" spans="1:6">
      <c r="A296" s="1"/>
      <c r="D296" s="1"/>
      <c r="F296" s="6"/>
    </row>
    <row r="297" spans="1:6">
      <c r="A297" s="1"/>
      <c r="D297" s="1"/>
      <c r="F297" s="6"/>
    </row>
    <row r="298" spans="1:6">
      <c r="A298" s="1"/>
      <c r="D298" s="1"/>
      <c r="F298" s="6"/>
    </row>
    <row r="299" spans="1:6">
      <c r="A299" s="1"/>
      <c r="D299" s="1"/>
      <c r="F299" s="6"/>
    </row>
    <row r="300" spans="1:6">
      <c r="A300" s="1"/>
      <c r="D300" s="1"/>
      <c r="F300" s="6"/>
    </row>
    <row r="301" spans="1:6">
      <c r="A301" s="1"/>
      <c r="D301" s="1"/>
      <c r="F301" s="6"/>
    </row>
    <row r="302" spans="1:6">
      <c r="A302" s="1"/>
      <c r="D302" s="1"/>
      <c r="F302" s="6"/>
    </row>
    <row r="303" spans="1:6">
      <c r="A303" s="1"/>
      <c r="D303" s="1"/>
      <c r="F303" s="6"/>
    </row>
    <row r="304" spans="1:6">
      <c r="A304" s="1"/>
      <c r="D304" s="1"/>
      <c r="F304" s="6"/>
    </row>
    <row r="305" spans="1:6">
      <c r="A305" s="1"/>
      <c r="D305" s="1"/>
      <c r="F305" s="6"/>
    </row>
    <row r="306" spans="1:6">
      <c r="A306" s="1"/>
      <c r="D306" s="1"/>
      <c r="F306" s="6"/>
    </row>
    <row r="307" spans="1:6">
      <c r="A307" s="1"/>
      <c r="D307" s="1"/>
      <c r="F307" s="6"/>
    </row>
    <row r="308" spans="1:6">
      <c r="A308" s="1"/>
      <c r="D308" s="1"/>
      <c r="F308" s="6"/>
    </row>
    <row r="309" spans="1:6">
      <c r="A309" s="1"/>
      <c r="D309" s="1"/>
      <c r="F309" s="6"/>
    </row>
    <row r="310" spans="1:6">
      <c r="A310" s="1"/>
      <c r="D310" s="1"/>
      <c r="F310" s="6"/>
    </row>
    <row r="311" spans="1:6">
      <c r="A311" s="1"/>
      <c r="D311" s="1"/>
      <c r="F311" s="6"/>
    </row>
    <row r="312" spans="1:6">
      <c r="A312" s="1"/>
      <c r="D312" s="1"/>
      <c r="F312" s="6"/>
    </row>
    <row r="313" spans="1:6">
      <c r="A313" s="1"/>
      <c r="D313" s="1"/>
      <c r="F313" s="6"/>
    </row>
    <row r="314" spans="1:6">
      <c r="A314" s="1"/>
      <c r="D314" s="1"/>
      <c r="F314" s="6"/>
    </row>
    <row r="315" spans="1:6">
      <c r="A315" s="1"/>
      <c r="D315" s="1"/>
      <c r="F315" s="6"/>
    </row>
    <row r="316" spans="1:6">
      <c r="A316" s="1"/>
      <c r="D316" s="1"/>
      <c r="F316" s="6"/>
    </row>
    <row r="317" spans="1:6">
      <c r="A317" s="1"/>
      <c r="D317" s="1"/>
      <c r="F317" s="6"/>
    </row>
    <row r="318" spans="1:6">
      <c r="A318" s="1"/>
      <c r="D318" s="1"/>
      <c r="F318" s="6"/>
    </row>
    <row r="319" spans="1:6">
      <c r="A319" s="1"/>
      <c r="D319" s="1"/>
      <c r="F319" s="6"/>
    </row>
    <row r="320" spans="1:6">
      <c r="A320" s="1"/>
      <c r="D320" s="1"/>
      <c r="F320" s="6"/>
    </row>
    <row r="321" spans="1:6">
      <c r="A321" s="1"/>
      <c r="D321" s="1"/>
      <c r="F321" s="6"/>
    </row>
    <row r="322" spans="1:6">
      <c r="A322" s="1"/>
      <c r="D322" s="1"/>
      <c r="F322" s="6"/>
    </row>
    <row r="323" spans="1:6">
      <c r="A323" s="1"/>
      <c r="D323" s="1"/>
      <c r="F323" s="6"/>
    </row>
    <row r="324" spans="1:6">
      <c r="A324" s="1"/>
      <c r="D324" s="1"/>
      <c r="F324" s="6"/>
    </row>
    <row r="325" spans="1:6">
      <c r="A325" s="1"/>
      <c r="D325" s="1"/>
      <c r="F325" s="6"/>
    </row>
    <row r="326" spans="1:6">
      <c r="A326" s="1"/>
      <c r="D326" s="1"/>
      <c r="F326" s="6"/>
    </row>
    <row r="327" spans="1:6">
      <c r="A327" s="1"/>
      <c r="D327" s="1"/>
      <c r="F327" s="6"/>
    </row>
    <row r="328" spans="1:6">
      <c r="A328" s="1"/>
      <c r="D328" s="1"/>
      <c r="F328" s="6"/>
    </row>
    <row r="329" spans="1:6">
      <c r="A329" s="1"/>
      <c r="D329" s="1"/>
      <c r="F329" s="6"/>
    </row>
    <row r="330" spans="1:6">
      <c r="A330" s="1"/>
      <c r="D330" s="1"/>
      <c r="F330" s="6"/>
    </row>
    <row r="331" spans="1:6">
      <c r="A331" s="1"/>
      <c r="D331" s="1"/>
      <c r="F331" s="6"/>
    </row>
    <row r="332" spans="1:6">
      <c r="A332" s="1"/>
      <c r="D332" s="1"/>
      <c r="F332" s="6"/>
    </row>
    <row r="333" spans="1:6">
      <c r="A333" s="1"/>
      <c r="D333" s="1"/>
      <c r="F333" s="6"/>
    </row>
    <row r="334" spans="1:6">
      <c r="A334" s="1"/>
      <c r="D334" s="1"/>
      <c r="F334" s="6"/>
    </row>
    <row r="335" spans="1:6">
      <c r="A335" s="1"/>
      <c r="D335" s="1"/>
      <c r="F335" s="6"/>
    </row>
    <row r="336" spans="1:6">
      <c r="A336" s="1"/>
      <c r="D336" s="1"/>
      <c r="F336" s="6"/>
    </row>
    <row r="337" spans="1:6">
      <c r="A337" s="1"/>
      <c r="D337" s="1"/>
      <c r="F337" s="6"/>
    </row>
    <row r="338" spans="1:6">
      <c r="A338" s="1"/>
      <c r="D338" s="1"/>
      <c r="F338" s="6"/>
    </row>
    <row r="339" spans="1:6">
      <c r="A339" s="1"/>
      <c r="D339" s="1"/>
      <c r="F339" s="6"/>
    </row>
    <row r="340" spans="1:6">
      <c r="A340" s="1"/>
      <c r="D340" s="1"/>
      <c r="F340" s="6"/>
    </row>
    <row r="341" spans="1:6">
      <c r="A341" s="1"/>
      <c r="D341" s="1"/>
      <c r="F341" s="6"/>
    </row>
    <row r="342" spans="1:6">
      <c r="A342" s="1"/>
      <c r="D342" s="1"/>
      <c r="F342" s="6"/>
    </row>
    <row r="343" spans="1:6">
      <c r="A343" s="1"/>
      <c r="D343" s="1"/>
      <c r="F343" s="6"/>
    </row>
    <row r="344" spans="1:6">
      <c r="A344" s="1"/>
      <c r="D344" s="1"/>
      <c r="F344" s="6"/>
    </row>
    <row r="345" spans="1:6">
      <c r="A345" s="1"/>
      <c r="D345" s="1"/>
      <c r="F345" s="6"/>
    </row>
    <row r="346" spans="1:6">
      <c r="A346" s="1"/>
      <c r="D346" s="1"/>
      <c r="F346" s="6"/>
    </row>
    <row r="347" spans="1:6">
      <c r="A347" s="1"/>
      <c r="D347" s="1"/>
      <c r="F347" s="6"/>
    </row>
    <row r="348" spans="1:6">
      <c r="A348" s="1"/>
      <c r="D348" s="1"/>
      <c r="F348" s="6"/>
    </row>
    <row r="349" spans="1:6">
      <c r="A349" s="1"/>
      <c r="D349" s="1"/>
      <c r="F349" s="6"/>
    </row>
    <row r="350" spans="1:6">
      <c r="A350" s="1"/>
      <c r="D350" s="1"/>
      <c r="F350" s="6"/>
    </row>
    <row r="351" spans="1:6">
      <c r="A351" s="1"/>
      <c r="D351" s="1"/>
      <c r="F351" s="6"/>
    </row>
    <row r="352" spans="1:6">
      <c r="A352" s="1"/>
      <c r="D352" s="1"/>
      <c r="F352" s="6"/>
    </row>
    <row r="353" spans="1:6">
      <c r="A353" s="1"/>
      <c r="D353" s="1"/>
      <c r="F353" s="6"/>
    </row>
    <row r="354" spans="1:6">
      <c r="A354" s="1"/>
      <c r="D354" s="1"/>
      <c r="F354" s="6"/>
    </row>
    <row r="355" spans="1:6">
      <c r="A355" s="1"/>
      <c r="D355" s="1"/>
      <c r="F355" s="6"/>
    </row>
    <row r="356" spans="1:6">
      <c r="A356" s="1"/>
      <c r="D356" s="1"/>
      <c r="F356" s="6"/>
    </row>
    <row r="357" spans="1:6">
      <c r="A357" s="1"/>
      <c r="D357" s="1"/>
      <c r="F357" s="6"/>
    </row>
    <row r="358" spans="1:6">
      <c r="A358" s="1"/>
      <c r="D358" s="1"/>
      <c r="F358" s="6"/>
    </row>
    <row r="359" spans="1:6">
      <c r="A359" s="1"/>
      <c r="D359" s="1"/>
      <c r="F359" s="6"/>
    </row>
    <row r="360" spans="1:6">
      <c r="A360" s="1"/>
      <c r="D360" s="1"/>
      <c r="F360" s="6"/>
    </row>
    <row r="361" spans="1:6">
      <c r="A361" s="1"/>
      <c r="D361" s="1"/>
      <c r="F361" s="6"/>
    </row>
    <row r="362" spans="1:6">
      <c r="A362" s="1"/>
      <c r="D362" s="1"/>
      <c r="F362" s="6"/>
    </row>
    <row r="363" spans="1:6">
      <c r="A363" s="1"/>
      <c r="D363" s="1"/>
      <c r="F363" s="6"/>
    </row>
    <row r="364" spans="1:6">
      <c r="A364" s="1"/>
      <c r="D364" s="1"/>
      <c r="F364" s="6"/>
    </row>
    <row r="365" spans="1:6">
      <c r="A365" s="1"/>
      <c r="D365" s="1"/>
      <c r="F365" s="6"/>
    </row>
    <row r="366" spans="1:6">
      <c r="A366" s="1"/>
      <c r="D366" s="1"/>
      <c r="F366" s="6"/>
    </row>
    <row r="367" spans="1:6">
      <c r="A367" s="1"/>
      <c r="D367" s="1"/>
      <c r="F367" s="6"/>
    </row>
    <row r="368" spans="1:6">
      <c r="A368" s="1"/>
      <c r="D368" s="1"/>
      <c r="F368" s="6"/>
    </row>
    <row r="369" spans="1:6">
      <c r="A369" s="1"/>
      <c r="D369" s="1"/>
      <c r="F369" s="6"/>
    </row>
    <row r="370" spans="1:6">
      <c r="A370" s="1"/>
      <c r="D370" s="1"/>
      <c r="F370" s="6"/>
    </row>
    <row r="371" spans="1:6">
      <c r="A371" s="1"/>
      <c r="D371" s="1"/>
      <c r="F371" s="6"/>
    </row>
    <row r="372" spans="1:6">
      <c r="A372" s="1"/>
      <c r="D372" s="1"/>
      <c r="F372" s="6"/>
    </row>
    <row r="373" spans="1:6">
      <c r="A373" s="1"/>
      <c r="D373" s="1"/>
      <c r="F373" s="6"/>
    </row>
    <row r="374" spans="1:6">
      <c r="A374" s="1"/>
      <c r="D374" s="1"/>
      <c r="F374" s="6"/>
    </row>
    <row r="375" spans="1:6">
      <c r="A375" s="1"/>
      <c r="D375" s="1"/>
      <c r="F375" s="6"/>
    </row>
    <row r="376" spans="1:6">
      <c r="A376" s="1"/>
      <c r="D376" s="1"/>
      <c r="F376" s="6"/>
    </row>
    <row r="377" spans="1:6">
      <c r="A377" s="1"/>
      <c r="D377" s="1"/>
      <c r="F377" s="6"/>
    </row>
    <row r="378" spans="1:6">
      <c r="A378" s="1"/>
      <c r="D378" s="1"/>
      <c r="F378" s="6"/>
    </row>
    <row r="379" spans="1:6">
      <c r="A379" s="1"/>
      <c r="D379" s="1"/>
      <c r="F379" s="6"/>
    </row>
    <row r="380" spans="1:6">
      <c r="A380" s="1"/>
      <c r="D380" s="1"/>
      <c r="F380" s="6"/>
    </row>
    <row r="381" spans="1:6">
      <c r="A381" s="1"/>
      <c r="D381" s="1"/>
      <c r="F381" s="6"/>
    </row>
    <row r="382" spans="1:6">
      <c r="A382" s="1"/>
      <c r="D382" s="1"/>
      <c r="F382" s="6"/>
    </row>
    <row r="383" spans="1:6">
      <c r="A383" s="1"/>
      <c r="D383" s="1"/>
      <c r="F383" s="6"/>
    </row>
    <row r="384" spans="1:6">
      <c r="A384" s="1"/>
      <c r="D384" s="1"/>
      <c r="F384" s="6"/>
    </row>
    <row r="385" spans="1:6">
      <c r="A385" s="1"/>
      <c r="D385" s="1"/>
      <c r="F385" s="6"/>
    </row>
    <row r="386" spans="1:6">
      <c r="A386" s="1"/>
      <c r="D386" s="1"/>
      <c r="F386" s="6"/>
    </row>
    <row r="387" spans="1:6">
      <c r="A387" s="1"/>
      <c r="D387" s="1"/>
      <c r="F387" s="6"/>
    </row>
    <row r="388" spans="1:6">
      <c r="A388" s="1"/>
      <c r="D388" s="1"/>
      <c r="F388" s="6"/>
    </row>
    <row r="389" spans="1:6">
      <c r="A389" s="1"/>
      <c r="D389" s="1"/>
      <c r="F389" s="6"/>
    </row>
    <row r="390" spans="1:6">
      <c r="A390" s="1"/>
      <c r="D390" s="1"/>
      <c r="F390" s="6"/>
    </row>
    <row r="391" spans="1:6">
      <c r="A391" s="1"/>
      <c r="D391" s="1"/>
      <c r="F391" s="6"/>
    </row>
    <row r="392" spans="1:6">
      <c r="A392" s="1"/>
      <c r="D392" s="1"/>
      <c r="F392" s="6"/>
    </row>
    <row r="393" spans="1:6">
      <c r="A393" s="1"/>
      <c r="D393" s="1"/>
      <c r="F393" s="6"/>
    </row>
    <row r="394" spans="1:6">
      <c r="A394" s="1"/>
      <c r="D394" s="1"/>
      <c r="F394" s="6"/>
    </row>
    <row r="395" spans="1:6">
      <c r="A395" s="1"/>
      <c r="D395" s="1"/>
      <c r="F395" s="6"/>
    </row>
    <row r="396" spans="1:6">
      <c r="A396" s="1"/>
      <c r="D396" s="1"/>
      <c r="F396" s="6"/>
    </row>
    <row r="397" spans="1:6">
      <c r="A397" s="1"/>
      <c r="D397" s="1"/>
      <c r="F397" s="6"/>
    </row>
    <row r="398" spans="1:6">
      <c r="A398" s="1"/>
      <c r="D398" s="1"/>
      <c r="F398" s="6"/>
    </row>
    <row r="399" spans="1:6">
      <c r="A399" s="1"/>
      <c r="D399" s="1"/>
      <c r="F399" s="6"/>
    </row>
    <row r="400" spans="1:6">
      <c r="A400" s="1"/>
      <c r="D400" s="1"/>
      <c r="F400" s="6"/>
    </row>
    <row r="401" spans="1:6">
      <c r="A401" s="1"/>
      <c r="D401" s="1"/>
      <c r="F401" s="6"/>
    </row>
    <row r="402" spans="1:6">
      <c r="A402" s="1"/>
      <c r="D402" s="1"/>
      <c r="F402" s="6"/>
    </row>
    <row r="403" spans="1:6">
      <c r="A403" s="1"/>
      <c r="D403" s="1"/>
      <c r="F403" s="6"/>
    </row>
    <row r="404" spans="1:6">
      <c r="A404" s="1"/>
      <c r="D404" s="1"/>
      <c r="F404" s="6"/>
    </row>
    <row r="405" spans="1:6">
      <c r="A405" s="1"/>
      <c r="D405" s="1"/>
      <c r="F405" s="6"/>
    </row>
    <row r="406" spans="1:6">
      <c r="A406" s="1"/>
      <c r="D406" s="1"/>
      <c r="F406" s="6"/>
    </row>
    <row r="407" spans="1:6">
      <c r="A407" s="1"/>
      <c r="D407" s="1"/>
      <c r="F407" s="6"/>
    </row>
    <row r="408" spans="1:6">
      <c r="A408" s="1"/>
      <c r="D408" s="1"/>
      <c r="F408" s="6"/>
    </row>
    <row r="409" spans="1:6">
      <c r="A409" s="1"/>
      <c r="D409" s="1"/>
      <c r="F409" s="6"/>
    </row>
    <row r="410" spans="1:6">
      <c r="A410" s="1"/>
      <c r="D410" s="1"/>
      <c r="F410" s="6"/>
    </row>
    <row r="411" spans="1:6">
      <c r="A411" s="1"/>
      <c r="D411" s="1"/>
      <c r="F411" s="6"/>
    </row>
    <row r="412" spans="1:6">
      <c r="A412" s="1"/>
      <c r="D412" s="1"/>
      <c r="F412" s="6"/>
    </row>
    <row r="413" spans="1:6">
      <c r="A413" s="1"/>
      <c r="D413" s="1"/>
      <c r="F413" s="6"/>
    </row>
    <row r="414" spans="1:6">
      <c r="A414" s="1"/>
      <c r="D414" s="1"/>
      <c r="F414" s="6"/>
    </row>
    <row r="415" spans="1:6">
      <c r="A415" s="1"/>
      <c r="D415" s="1"/>
      <c r="F415" s="6"/>
    </row>
    <row r="416" spans="1:6">
      <c r="A416" s="1"/>
      <c r="D416" s="1"/>
      <c r="F416" s="6"/>
    </row>
    <row r="417" spans="1:6">
      <c r="A417" s="1"/>
      <c r="D417" s="1"/>
      <c r="F417" s="6"/>
    </row>
    <row r="418" spans="1:6">
      <c r="A418" s="1"/>
      <c r="D418" s="1"/>
      <c r="F418" s="6"/>
    </row>
    <row r="419" spans="1:6">
      <c r="A419" s="1"/>
      <c r="D419" s="1"/>
      <c r="F419" s="6"/>
    </row>
    <row r="420" spans="1:6">
      <c r="A420" s="1"/>
      <c r="D420" s="1"/>
      <c r="F420" s="6"/>
    </row>
    <row r="421" spans="1:6">
      <c r="A421" s="1"/>
      <c r="D421" s="1"/>
      <c r="F421" s="6"/>
    </row>
    <row r="422" spans="1:6">
      <c r="A422" s="1"/>
      <c r="D422" s="1"/>
      <c r="F422" s="6"/>
    </row>
    <row r="423" spans="1:6">
      <c r="A423" s="1"/>
      <c r="D423" s="1"/>
      <c r="F423" s="6"/>
    </row>
    <row r="424" spans="1:6">
      <c r="A424" s="1"/>
      <c r="D424" s="1"/>
      <c r="F424" s="6"/>
    </row>
    <row r="425" spans="1:6">
      <c r="A425" s="1"/>
      <c r="D425" s="1"/>
      <c r="F425" s="6"/>
    </row>
    <row r="426" spans="1:6">
      <c r="A426" s="1"/>
      <c r="D426" s="1"/>
      <c r="F426" s="6"/>
    </row>
    <row r="427" spans="1:6">
      <c r="A427" s="1"/>
      <c r="D427" s="1"/>
      <c r="F427" s="6"/>
    </row>
    <row r="428" spans="1:6">
      <c r="A428" s="1"/>
      <c r="D428" s="1"/>
      <c r="F428" s="6"/>
    </row>
    <row r="429" spans="1:6">
      <c r="A429" s="1"/>
      <c r="D429" s="1"/>
      <c r="F429" s="6"/>
    </row>
    <row r="430" spans="1:6">
      <c r="A430" s="1"/>
      <c r="D430" s="1"/>
      <c r="F430" s="6"/>
    </row>
    <row r="431" spans="1:6">
      <c r="A431" s="1"/>
      <c r="D431" s="1"/>
      <c r="F431" s="6"/>
    </row>
    <row r="432" spans="1:6">
      <c r="A432" s="1"/>
      <c r="D432" s="1"/>
      <c r="F432" s="6"/>
    </row>
    <row r="433" spans="1:6">
      <c r="A433" s="1"/>
      <c r="D433" s="1"/>
      <c r="F433" s="6"/>
    </row>
    <row r="434" spans="1:6">
      <c r="A434" s="1"/>
      <c r="D434" s="1"/>
      <c r="F434" s="6"/>
    </row>
    <row r="435" spans="1:6">
      <c r="A435" s="1"/>
      <c r="D435" s="1"/>
      <c r="F435" s="6"/>
    </row>
    <row r="436" spans="1:6">
      <c r="A436" s="1"/>
      <c r="D436" s="1"/>
      <c r="F436" s="6"/>
    </row>
    <row r="437" spans="1:6">
      <c r="A437" s="1"/>
      <c r="D437" s="1"/>
      <c r="F437" s="6"/>
    </row>
    <row r="438" spans="1:6">
      <c r="A438" s="1"/>
      <c r="D438" s="1"/>
      <c r="F438" s="6"/>
    </row>
    <row r="439" spans="1:6">
      <c r="A439" s="1"/>
      <c r="D439" s="1"/>
      <c r="F439" s="6"/>
    </row>
    <row r="440" spans="1:6">
      <c r="A440" s="1"/>
      <c r="D440" s="1"/>
      <c r="F440" s="6"/>
    </row>
    <row r="441" spans="1:6">
      <c r="A441" s="1"/>
      <c r="D441" s="1"/>
      <c r="F441" s="6"/>
    </row>
    <row r="442" spans="1:6">
      <c r="A442" s="1"/>
      <c r="D442" s="1"/>
      <c r="F442" s="6"/>
    </row>
    <row r="443" spans="1:6">
      <c r="A443" s="1"/>
      <c r="D443" s="1"/>
      <c r="F443" s="6"/>
    </row>
    <row r="444" spans="1:6">
      <c r="A444" s="1"/>
      <c r="D444" s="1"/>
      <c r="F444" s="6"/>
    </row>
    <row r="445" spans="1:6">
      <c r="A445" s="1"/>
      <c r="D445" s="1"/>
      <c r="F445" s="6"/>
    </row>
    <row r="446" spans="1:6">
      <c r="A446" s="1"/>
      <c r="D446" s="1"/>
      <c r="F446" s="6"/>
    </row>
    <row r="447" spans="1:6">
      <c r="A447" s="1"/>
      <c r="D447" s="1"/>
      <c r="F447" s="6"/>
    </row>
    <row r="448" spans="1:6">
      <c r="A448" s="1"/>
      <c r="D448" s="1"/>
      <c r="F448" s="6"/>
    </row>
    <row r="449" spans="1:6">
      <c r="A449" s="1"/>
      <c r="D449" s="1"/>
      <c r="F449" s="6"/>
    </row>
    <row r="450" spans="1:6">
      <c r="A450" s="1"/>
      <c r="D450" s="1"/>
      <c r="F450" s="6"/>
    </row>
    <row r="451" spans="1:6">
      <c r="A451" s="1"/>
      <c r="D451" s="1"/>
      <c r="F451" s="6"/>
    </row>
    <row r="452" spans="1:6">
      <c r="A452" s="1"/>
      <c r="D452" s="1"/>
      <c r="F452" s="6"/>
    </row>
    <row r="453" spans="1:6">
      <c r="A453" s="1"/>
      <c r="D453" s="1"/>
      <c r="F453" s="6"/>
    </row>
    <row r="454" spans="1:6">
      <c r="A454" s="1"/>
      <c r="D454" s="1"/>
      <c r="F454" s="6"/>
    </row>
    <row r="455" spans="1:6">
      <c r="A455" s="1"/>
      <c r="D455" s="1"/>
      <c r="F455" s="6"/>
    </row>
    <row r="456" spans="1:6">
      <c r="A456" s="1"/>
      <c r="D456" s="1"/>
      <c r="F456" s="6"/>
    </row>
    <row r="457" spans="1:6">
      <c r="A457" s="1"/>
      <c r="D457" s="1"/>
      <c r="F457" s="6"/>
    </row>
    <row r="458" spans="1:6">
      <c r="A458" s="1"/>
      <c r="D458" s="1"/>
      <c r="F458" s="6"/>
    </row>
    <row r="459" spans="1:6">
      <c r="A459" s="1"/>
      <c r="D459" s="1"/>
      <c r="F459" s="6"/>
    </row>
    <row r="460" spans="1:6">
      <c r="A460" s="1"/>
      <c r="D460" s="1"/>
      <c r="F460" s="6"/>
    </row>
    <row r="461" spans="1:6">
      <c r="A461" s="1"/>
      <c r="D461" s="1"/>
      <c r="F461" s="6"/>
    </row>
    <row r="462" spans="1:6">
      <c r="A462" s="1"/>
      <c r="D462" s="1"/>
      <c r="F462" s="6"/>
    </row>
    <row r="463" spans="1:6">
      <c r="A463" s="1"/>
      <c r="D463" s="1"/>
      <c r="F463" s="6"/>
    </row>
    <row r="464" spans="1:6">
      <c r="A464" s="1"/>
      <c r="D464" s="1"/>
      <c r="F464" s="6"/>
    </row>
    <row r="465" spans="1:6">
      <c r="A465" s="1"/>
      <c r="D465" s="1"/>
      <c r="F465" s="6"/>
    </row>
    <row r="466" spans="1:6">
      <c r="A466" s="1"/>
      <c r="D466" s="1"/>
      <c r="F466" s="6"/>
    </row>
    <row r="467" spans="1:6">
      <c r="A467" s="1"/>
      <c r="D467" s="1"/>
      <c r="F467" s="6"/>
    </row>
    <row r="468" spans="1:6">
      <c r="A468" s="1"/>
      <c r="D468" s="1"/>
      <c r="F468" s="6"/>
    </row>
    <row r="469" spans="1:6">
      <c r="A469" s="1"/>
      <c r="D469" s="1"/>
      <c r="F469" s="6"/>
    </row>
    <row r="470" spans="1:6">
      <c r="A470" s="1"/>
      <c r="D470" s="1"/>
      <c r="F470" s="6"/>
    </row>
    <row r="471" spans="1:6">
      <c r="A471" s="1"/>
      <c r="D471" s="1"/>
      <c r="F471" s="6"/>
    </row>
    <row r="472" spans="1:6">
      <c r="A472" s="1"/>
      <c r="D472" s="1"/>
      <c r="F472" s="6"/>
    </row>
    <row r="473" spans="1:6">
      <c r="A473" s="1"/>
      <c r="D473" s="1"/>
      <c r="F473" s="6"/>
    </row>
    <row r="474" spans="1:6">
      <c r="A474" s="1"/>
      <c r="D474" s="1"/>
      <c r="F474" s="6"/>
    </row>
    <row r="475" spans="1:6">
      <c r="A475" s="1"/>
      <c r="D475" s="1"/>
      <c r="F475" s="6"/>
    </row>
    <row r="476" spans="1:6">
      <c r="A476" s="1"/>
      <c r="D476" s="1"/>
      <c r="F476" s="6"/>
    </row>
    <row r="477" spans="1:6">
      <c r="A477" s="1"/>
      <c r="D477" s="1"/>
      <c r="F477" s="6"/>
    </row>
    <row r="478" spans="1:6">
      <c r="A478" s="1"/>
      <c r="D478" s="1"/>
      <c r="F478" s="6"/>
    </row>
    <row r="479" spans="1:6">
      <c r="A479" s="1"/>
      <c r="D479" s="1"/>
      <c r="F479" s="6"/>
    </row>
    <row r="480" spans="1:6">
      <c r="A480" s="1"/>
      <c r="D480" s="1"/>
      <c r="F480" s="6"/>
    </row>
    <row r="481" spans="1:6">
      <c r="A481" s="1"/>
      <c r="D481" s="1"/>
      <c r="F481" s="6"/>
    </row>
    <row r="482" spans="1:6">
      <c r="A482" s="1"/>
      <c r="D482" s="1"/>
      <c r="F482" s="6"/>
    </row>
    <row r="483" spans="1:6">
      <c r="A483" s="1"/>
      <c r="D483" s="1"/>
      <c r="F483" s="6"/>
    </row>
    <row r="484" spans="1:6">
      <c r="A484" s="1"/>
      <c r="D484" s="1"/>
      <c r="F484" s="6"/>
    </row>
    <row r="485" spans="1:6">
      <c r="A485" s="1"/>
      <c r="D485" s="1"/>
      <c r="F485" s="6"/>
    </row>
    <row r="486" spans="1:6">
      <c r="A486" s="1"/>
      <c r="D486" s="1"/>
      <c r="F486" s="6"/>
    </row>
    <row r="487" spans="1:6">
      <c r="A487" s="1"/>
      <c r="D487" s="1"/>
      <c r="F487" s="6"/>
    </row>
    <row r="488" spans="1:6">
      <c r="A488" s="1"/>
      <c r="D488" s="1"/>
      <c r="F488" s="6"/>
    </row>
    <row r="489" spans="1:6">
      <c r="A489" s="1"/>
      <c r="D489" s="1"/>
      <c r="F489" s="6"/>
    </row>
    <row r="490" spans="1:6">
      <c r="A490" s="1"/>
      <c r="D490" s="1"/>
      <c r="F490" s="6"/>
    </row>
    <row r="491" spans="1:6">
      <c r="A491" s="1"/>
      <c r="D491" s="1"/>
      <c r="F491" s="6"/>
    </row>
    <row r="492" spans="1:6">
      <c r="A492" s="1"/>
      <c r="D492" s="1"/>
      <c r="F492" s="6"/>
    </row>
    <row r="493" spans="1:6">
      <c r="A493" s="1"/>
      <c r="D493" s="1"/>
      <c r="F493" s="6"/>
    </row>
    <row r="494" spans="1:6">
      <c r="A494" s="1"/>
      <c r="D494" s="1"/>
      <c r="F494" s="6"/>
    </row>
    <row r="495" spans="1:6">
      <c r="A495" s="1"/>
      <c r="D495" s="1"/>
      <c r="F495" s="6"/>
    </row>
    <row r="496" spans="1:6">
      <c r="A496" s="1"/>
      <c r="D496" s="1"/>
      <c r="F496" s="6"/>
    </row>
    <row r="497" spans="1:6">
      <c r="A497" s="1"/>
      <c r="D497" s="1"/>
      <c r="F497" s="6"/>
    </row>
    <row r="498" spans="1:6">
      <c r="A498" s="1"/>
      <c r="D498" s="1"/>
      <c r="F498" s="6"/>
    </row>
    <row r="499" spans="1:6">
      <c r="A499" s="1"/>
      <c r="D499" s="1"/>
      <c r="F499" s="6"/>
    </row>
    <row r="500" spans="1:6">
      <c r="A500" s="1"/>
      <c r="D500" s="1"/>
      <c r="F500" s="6"/>
    </row>
    <row r="501" spans="1:6">
      <c r="A501" s="1"/>
      <c r="D501" s="1"/>
      <c r="F501" s="6"/>
    </row>
    <row r="502" spans="1:6">
      <c r="A502" s="1"/>
      <c r="D502" s="1"/>
      <c r="F502" s="6"/>
    </row>
    <row r="503" spans="1:6">
      <c r="A503" s="1"/>
      <c r="D503" s="1"/>
      <c r="F503" s="6"/>
    </row>
    <row r="504" spans="1:6">
      <c r="A504" s="1"/>
      <c r="D504" s="1"/>
      <c r="F504" s="6"/>
    </row>
    <row r="505" spans="1:6">
      <c r="A505" s="1"/>
      <c r="D505" s="1"/>
      <c r="F505" s="6"/>
    </row>
    <row r="506" spans="1:6">
      <c r="A506" s="1"/>
      <c r="D506" s="1"/>
      <c r="F506" s="6"/>
    </row>
    <row r="507" spans="1:6">
      <c r="A507" s="1"/>
      <c r="D507" s="1"/>
      <c r="F507" s="6"/>
    </row>
    <row r="508" spans="1:6">
      <c r="A508" s="1"/>
      <c r="D508" s="1"/>
      <c r="F508" s="6"/>
    </row>
    <row r="509" spans="1:6">
      <c r="A509" s="1"/>
      <c r="D509" s="1"/>
      <c r="F509" s="6"/>
    </row>
    <row r="510" spans="1:6">
      <c r="A510" s="1"/>
      <c r="D510" s="1"/>
      <c r="F510" s="6"/>
    </row>
    <row r="511" spans="1:6">
      <c r="A511" s="1"/>
      <c r="D511" s="1"/>
      <c r="F511" s="6"/>
    </row>
    <row r="512" spans="1:6">
      <c r="A512" s="1"/>
      <c r="D512" s="1"/>
      <c r="F512" s="6"/>
    </row>
    <row r="513" spans="1:6">
      <c r="A513" s="1"/>
      <c r="D513" s="1"/>
      <c r="F513" s="6"/>
    </row>
    <row r="514" spans="1:6">
      <c r="A514" s="1"/>
      <c r="D514" s="1"/>
      <c r="F514" s="6"/>
    </row>
    <row r="515" spans="1:6">
      <c r="A515" s="1"/>
      <c r="D515" s="1"/>
      <c r="F515" s="6"/>
    </row>
    <row r="516" spans="1:6">
      <c r="A516" s="1"/>
      <c r="D516" s="1"/>
      <c r="F516" s="6"/>
    </row>
    <row r="517" spans="1:6">
      <c r="A517" s="1"/>
      <c r="D517" s="1"/>
      <c r="F517" s="6"/>
    </row>
    <row r="518" spans="1:6">
      <c r="A518" s="1"/>
      <c r="D518" s="1"/>
      <c r="F518" s="6"/>
    </row>
    <row r="519" spans="1:6">
      <c r="A519" s="1"/>
      <c r="D519" s="1"/>
      <c r="F519" s="6"/>
    </row>
    <row r="520" spans="1:6">
      <c r="A520" s="1"/>
      <c r="D520" s="1"/>
      <c r="F520" s="6"/>
    </row>
    <row r="521" spans="1:6">
      <c r="A521" s="1"/>
      <c r="D521" s="1"/>
      <c r="F521" s="6"/>
    </row>
    <row r="522" spans="1:6">
      <c r="A522" s="1"/>
      <c r="D522" s="1"/>
      <c r="F522" s="6"/>
    </row>
    <row r="523" spans="1:6">
      <c r="A523" s="1"/>
      <c r="D523" s="1"/>
      <c r="F523" s="6"/>
    </row>
    <row r="524" spans="1:6">
      <c r="A524" s="1"/>
      <c r="D524" s="1"/>
      <c r="F524" s="6"/>
    </row>
    <row r="525" spans="1:6">
      <c r="A525" s="1"/>
      <c r="D525" s="1"/>
      <c r="F525" s="6"/>
    </row>
    <row r="526" spans="1:6">
      <c r="A526" s="1"/>
      <c r="D526" s="1"/>
      <c r="F526" s="6"/>
    </row>
    <row r="527" spans="1:6">
      <c r="A527" s="1"/>
      <c r="D527" s="1"/>
      <c r="F527" s="6"/>
    </row>
    <row r="528" spans="1:6">
      <c r="A528" s="1"/>
      <c r="D528" s="1"/>
      <c r="F528" s="6"/>
    </row>
    <row r="529" spans="1:6">
      <c r="A529" s="1"/>
      <c r="D529" s="1"/>
      <c r="F529" s="6"/>
    </row>
    <row r="530" spans="1:6">
      <c r="A530" s="1"/>
      <c r="D530" s="1"/>
      <c r="F530" s="6"/>
    </row>
    <row r="531" spans="1:6">
      <c r="A531" s="1"/>
      <c r="D531" s="1"/>
      <c r="F531" s="6"/>
    </row>
    <row r="532" spans="1:6">
      <c r="A532" s="1"/>
      <c r="D532" s="1"/>
      <c r="F532" s="6"/>
    </row>
    <row r="533" spans="1:6">
      <c r="A533" s="1"/>
      <c r="D533" s="1"/>
      <c r="F533" s="6"/>
    </row>
    <row r="534" spans="1:6">
      <c r="A534" s="1"/>
      <c r="D534" s="1"/>
      <c r="F534" s="6"/>
    </row>
    <row r="535" spans="1:6">
      <c r="A535" s="1"/>
      <c r="D535" s="1"/>
      <c r="F535" s="6"/>
    </row>
    <row r="536" spans="1:6">
      <c r="A536" s="1"/>
      <c r="D536" s="1"/>
      <c r="F536" s="6"/>
    </row>
    <row r="537" spans="1:6">
      <c r="A537" s="1"/>
      <c r="D537" s="1"/>
      <c r="F537" s="6"/>
    </row>
    <row r="538" spans="1:6">
      <c r="A538" s="1"/>
      <c r="D538" s="1"/>
      <c r="F538" s="6"/>
    </row>
    <row r="539" spans="1:6">
      <c r="A539" s="1"/>
      <c r="D539" s="1"/>
      <c r="F539" s="6"/>
    </row>
    <row r="540" spans="1:6">
      <c r="A540" s="1"/>
      <c r="D540" s="1"/>
      <c r="F540" s="6"/>
    </row>
    <row r="541" spans="1:6">
      <c r="A541" s="1"/>
      <c r="D541" s="1"/>
      <c r="F541" s="6"/>
    </row>
    <row r="542" spans="1:6">
      <c r="A542" s="1"/>
      <c r="D542" s="1"/>
      <c r="F542" s="6"/>
    </row>
    <row r="543" spans="1:6">
      <c r="A543" s="1"/>
      <c r="D543" s="1"/>
      <c r="F543" s="6"/>
    </row>
    <row r="544" spans="1:6">
      <c r="A544" s="1"/>
      <c r="D544" s="1"/>
      <c r="F544" s="6"/>
    </row>
    <row r="545" spans="1:6">
      <c r="A545" s="1"/>
      <c r="D545" s="1"/>
      <c r="F545" s="6"/>
    </row>
    <row r="546" spans="1:6">
      <c r="A546" s="1"/>
      <c r="D546" s="1"/>
      <c r="F546" s="6"/>
    </row>
    <row r="547" spans="1:6">
      <c r="A547" s="1"/>
      <c r="D547" s="1"/>
      <c r="F547" s="6"/>
    </row>
    <row r="548" spans="1:6">
      <c r="A548" s="1"/>
      <c r="D548" s="1"/>
      <c r="F548" s="6"/>
    </row>
    <row r="549" spans="1:6">
      <c r="A549" s="1"/>
      <c r="D549" s="1"/>
      <c r="F549" s="6"/>
    </row>
    <row r="550" spans="1:6">
      <c r="A550" s="1"/>
      <c r="D550" s="1"/>
      <c r="F550" s="6"/>
    </row>
    <row r="551" spans="1:6">
      <c r="A551" s="1"/>
      <c r="D551" s="1"/>
      <c r="F551" s="6"/>
    </row>
    <row r="552" spans="1:6">
      <c r="A552" s="1"/>
      <c r="D552" s="1"/>
      <c r="F552" s="6"/>
    </row>
    <row r="553" spans="1:6">
      <c r="A553" s="1"/>
      <c r="D553" s="1"/>
      <c r="F553" s="6"/>
    </row>
    <row r="554" spans="1:6">
      <c r="A554" s="1"/>
      <c r="D554" s="1"/>
      <c r="F554" s="6"/>
    </row>
    <row r="555" spans="1:6">
      <c r="A555" s="1"/>
      <c r="D555" s="1"/>
      <c r="F555" s="6"/>
    </row>
    <row r="556" spans="1:6">
      <c r="A556" s="1"/>
      <c r="D556" s="1"/>
      <c r="F556" s="6"/>
    </row>
    <row r="557" spans="1:6">
      <c r="A557" s="1"/>
      <c r="D557" s="1"/>
      <c r="F557" s="6"/>
    </row>
    <row r="558" spans="1:6">
      <c r="A558" s="1"/>
      <c r="D558" s="1"/>
      <c r="F558" s="6"/>
    </row>
    <row r="559" spans="1:6">
      <c r="A559" s="1"/>
      <c r="D559" s="1"/>
      <c r="F559" s="6"/>
    </row>
    <row r="560" spans="1:6">
      <c r="A560" s="1"/>
      <c r="D560" s="1"/>
      <c r="F560" s="6"/>
    </row>
    <row r="561" spans="1:6">
      <c r="A561" s="1"/>
      <c r="D561" s="1"/>
      <c r="F561" s="6"/>
    </row>
    <row r="562" spans="1:6">
      <c r="A562" s="1"/>
      <c r="D562" s="1"/>
      <c r="F562" s="6"/>
    </row>
    <row r="563" spans="1:6">
      <c r="A563" s="1"/>
      <c r="D563" s="1"/>
      <c r="F563" s="6"/>
    </row>
    <row r="564" spans="1:6">
      <c r="A564" s="1"/>
      <c r="D564" s="1"/>
      <c r="F564" s="6"/>
    </row>
    <row r="565" spans="1:6">
      <c r="A565" s="1"/>
      <c r="D565" s="1"/>
      <c r="F565" s="6"/>
    </row>
    <row r="566" spans="1:6">
      <c r="A566" s="1"/>
      <c r="D566" s="1"/>
      <c r="F566" s="6"/>
    </row>
    <row r="567" spans="1:6">
      <c r="A567" s="1"/>
      <c r="D567" s="1"/>
      <c r="F567" s="6"/>
    </row>
    <row r="568" spans="1:6">
      <c r="A568" s="1"/>
      <c r="D568" s="1"/>
      <c r="F568" s="6"/>
    </row>
    <row r="569" spans="1:6">
      <c r="A569" s="1"/>
      <c r="D569" s="1"/>
      <c r="F569" s="6"/>
    </row>
    <row r="570" spans="1:6">
      <c r="A570" s="1"/>
      <c r="D570" s="1"/>
      <c r="F570" s="6"/>
    </row>
    <row r="571" spans="1:6">
      <c r="A571" s="1"/>
      <c r="D571" s="1"/>
      <c r="F571" s="6"/>
    </row>
    <row r="572" spans="1:6">
      <c r="A572" s="1"/>
      <c r="D572" s="1"/>
      <c r="F572" s="6"/>
    </row>
    <row r="573" spans="1:6">
      <c r="A573" s="1"/>
      <c r="D573" s="1"/>
      <c r="F573" s="6"/>
    </row>
    <row r="574" spans="1:6">
      <c r="A574" s="1"/>
      <c r="D574" s="1"/>
      <c r="F574" s="6"/>
    </row>
    <row r="575" spans="1:6">
      <c r="A575" s="1"/>
      <c r="D575" s="1"/>
      <c r="F575" s="6"/>
    </row>
    <row r="576" spans="1:6">
      <c r="A576" s="1"/>
      <c r="D576" s="1"/>
      <c r="F576" s="6"/>
    </row>
    <row r="577" spans="1:6">
      <c r="A577" s="1"/>
      <c r="D577" s="1"/>
      <c r="F577" s="6"/>
    </row>
    <row r="578" spans="1:6">
      <c r="A578" s="1"/>
      <c r="D578" s="1"/>
      <c r="F578" s="6"/>
    </row>
    <row r="579" spans="1:6">
      <c r="A579" s="1"/>
      <c r="D579" s="1"/>
      <c r="F579" s="6"/>
    </row>
    <row r="580" spans="1:6">
      <c r="A580" s="1"/>
      <c r="D580" s="1"/>
      <c r="F580" s="6"/>
    </row>
    <row r="581" spans="1:6">
      <c r="A581" s="1"/>
      <c r="D581" s="1"/>
      <c r="F581" s="6"/>
    </row>
    <row r="582" spans="1:6">
      <c r="A582" s="1"/>
      <c r="D582" s="1"/>
      <c r="F582" s="6"/>
    </row>
    <row r="583" spans="1:6">
      <c r="A583" s="1"/>
      <c r="D583" s="1"/>
      <c r="F583" s="6"/>
    </row>
    <row r="584" spans="1:6">
      <c r="A584" s="1"/>
      <c r="D584" s="1"/>
      <c r="F584" s="6"/>
    </row>
    <row r="585" spans="1:6">
      <c r="A585" s="1"/>
      <c r="D585" s="1"/>
      <c r="F585" s="6"/>
    </row>
    <row r="586" spans="1:6">
      <c r="A586" s="1"/>
      <c r="D586" s="1"/>
      <c r="F586" s="6"/>
    </row>
    <row r="587" spans="1:6">
      <c r="A587" s="1"/>
      <c r="D587" s="1"/>
      <c r="F587" s="6"/>
    </row>
    <row r="588" spans="1:6">
      <c r="A588" s="1"/>
      <c r="D588" s="1"/>
      <c r="F588" s="6"/>
    </row>
    <row r="589" spans="1:6">
      <c r="A589" s="1"/>
      <c r="D589" s="1"/>
      <c r="F589" s="6"/>
    </row>
    <row r="590" spans="1:6">
      <c r="A590" s="1"/>
      <c r="D590" s="1"/>
      <c r="F590" s="6"/>
    </row>
    <row r="591" spans="1:6">
      <c r="A591" s="1"/>
      <c r="D591" s="1"/>
      <c r="F591" s="6"/>
    </row>
    <row r="592" spans="1:6">
      <c r="A592" s="1"/>
      <c r="D592" s="1"/>
      <c r="F592" s="6"/>
    </row>
    <row r="593" spans="1:6">
      <c r="A593" s="1"/>
      <c r="D593" s="1"/>
      <c r="F593" s="6"/>
    </row>
    <row r="594" spans="1:6">
      <c r="A594" s="1"/>
      <c r="D594" s="1"/>
      <c r="F594" s="6"/>
    </row>
    <row r="595" spans="1:6">
      <c r="A595" s="1"/>
      <c r="D595" s="1"/>
      <c r="F595" s="6"/>
    </row>
    <row r="596" spans="1:6">
      <c r="A596" s="1"/>
      <c r="D596" s="1"/>
      <c r="F596" s="6"/>
    </row>
    <row r="597" spans="1:6">
      <c r="A597" s="1"/>
      <c r="D597" s="1"/>
      <c r="F597" s="6"/>
    </row>
    <row r="598" spans="1:6">
      <c r="A598" s="1"/>
      <c r="D598" s="1"/>
      <c r="F598" s="6"/>
    </row>
    <row r="599" spans="1:6">
      <c r="A599" s="1"/>
      <c r="D599" s="1"/>
      <c r="F599" s="6"/>
    </row>
    <row r="600" spans="1:6">
      <c r="A600" s="1"/>
      <c r="D600" s="1"/>
      <c r="F600" s="6"/>
    </row>
    <row r="601" spans="1:6">
      <c r="A601" s="1"/>
      <c r="D601" s="1"/>
      <c r="F601" s="6"/>
    </row>
    <row r="602" spans="1:6">
      <c r="A602" s="1"/>
      <c r="D602" s="1"/>
      <c r="F602" s="6"/>
    </row>
    <row r="603" spans="1:6">
      <c r="A603" s="1"/>
      <c r="D603" s="1"/>
      <c r="F603" s="6"/>
    </row>
    <row r="604" spans="1:6">
      <c r="A604" s="1"/>
      <c r="D604" s="1"/>
      <c r="F604" s="6"/>
    </row>
    <row r="605" spans="1:6">
      <c r="A605" s="1"/>
      <c r="D605" s="1"/>
      <c r="F605" s="6"/>
    </row>
    <row r="606" spans="1:6">
      <c r="A606" s="1"/>
      <c r="D606" s="1"/>
      <c r="F606" s="6"/>
    </row>
    <row r="607" spans="1:6">
      <c r="A607" s="1"/>
      <c r="D607" s="1"/>
      <c r="F607" s="6"/>
    </row>
    <row r="608" spans="1:6">
      <c r="A608" s="1"/>
      <c r="D608" s="1"/>
      <c r="F608" s="6"/>
    </row>
    <row r="609" spans="1:6">
      <c r="A609" s="1"/>
      <c r="D609" s="1"/>
      <c r="F609" s="6"/>
    </row>
    <row r="610" spans="1:6">
      <c r="A610" s="1"/>
      <c r="D610" s="1"/>
      <c r="F610" s="6"/>
    </row>
    <row r="611" spans="1:6">
      <c r="A611" s="1"/>
      <c r="D611" s="1"/>
      <c r="F611" s="6"/>
    </row>
    <row r="612" spans="1:6">
      <c r="A612" s="1"/>
      <c r="D612" s="1"/>
      <c r="F612" s="6"/>
    </row>
    <row r="613" spans="1:6">
      <c r="A613" s="1"/>
      <c r="D613" s="1"/>
      <c r="F613" s="6"/>
    </row>
    <row r="614" spans="1:6">
      <c r="A614" s="1"/>
      <c r="D614" s="1"/>
      <c r="F614" s="6"/>
    </row>
    <row r="615" spans="1:6">
      <c r="A615" s="1"/>
      <c r="D615" s="1"/>
      <c r="F615" s="6"/>
    </row>
    <row r="616" spans="1:6">
      <c r="A616" s="1"/>
      <c r="D616" s="1"/>
      <c r="F616" s="6"/>
    </row>
    <row r="617" spans="1:6">
      <c r="A617" s="1"/>
      <c r="D617" s="1"/>
      <c r="F617" s="6"/>
    </row>
    <row r="618" spans="1:6">
      <c r="A618" s="1"/>
      <c r="D618" s="1"/>
      <c r="F618" s="6"/>
    </row>
    <row r="619" spans="1:6">
      <c r="A619" s="1"/>
      <c r="D619" s="1"/>
      <c r="F619" s="6"/>
    </row>
    <row r="620" spans="1:6">
      <c r="A620" s="1"/>
      <c r="D620" s="1"/>
      <c r="F620" s="6"/>
    </row>
    <row r="621" spans="1:6">
      <c r="A621" s="1"/>
      <c r="D621" s="1"/>
      <c r="F621" s="6"/>
    </row>
    <row r="622" spans="1:6">
      <c r="A622" s="1"/>
      <c r="D622" s="1"/>
      <c r="F622" s="6"/>
    </row>
    <row r="623" spans="1:6">
      <c r="A623" s="1"/>
      <c r="D623" s="1"/>
      <c r="F623" s="6"/>
    </row>
    <row r="624" spans="1:6">
      <c r="A624" s="1"/>
      <c r="D624" s="1"/>
      <c r="F624" s="6"/>
    </row>
    <row r="625" spans="1:6">
      <c r="A625" s="1"/>
      <c r="D625" s="1"/>
      <c r="F625" s="6"/>
    </row>
    <row r="626" spans="1:6">
      <c r="A626" s="1"/>
      <c r="D626" s="1"/>
      <c r="F626" s="6"/>
    </row>
    <row r="627" spans="1:6">
      <c r="A627" s="1"/>
      <c r="D627" s="1"/>
      <c r="F627" s="6"/>
    </row>
    <row r="628" spans="1:6">
      <c r="A628" s="1"/>
      <c r="D628" s="1"/>
      <c r="F628" s="6"/>
    </row>
    <row r="629" spans="1:6">
      <c r="A629" s="1"/>
      <c r="D629" s="1"/>
      <c r="F629" s="6"/>
    </row>
    <row r="630" spans="1:6">
      <c r="A630" s="1"/>
      <c r="D630" s="1"/>
      <c r="F630" s="6"/>
    </row>
    <row r="631" spans="1:6">
      <c r="A631" s="1"/>
      <c r="D631" s="1"/>
      <c r="F631" s="6"/>
    </row>
    <row r="632" spans="1:6">
      <c r="A632" s="1"/>
      <c r="D632" s="1"/>
      <c r="F632" s="6"/>
    </row>
    <row r="633" spans="1:6">
      <c r="A633" s="1"/>
      <c r="D633" s="1"/>
      <c r="F633" s="6"/>
    </row>
    <row r="634" spans="1:6">
      <c r="A634" s="1"/>
      <c r="D634" s="1"/>
      <c r="F634" s="6"/>
    </row>
    <row r="635" spans="1:6">
      <c r="A635" s="1"/>
      <c r="D635" s="1"/>
      <c r="F635" s="6"/>
    </row>
    <row r="636" spans="1:6">
      <c r="A636" s="1"/>
      <c r="D636" s="1"/>
      <c r="F636" s="6"/>
    </row>
    <row r="637" spans="1:6">
      <c r="A637" s="1"/>
      <c r="D637" s="1"/>
      <c r="F637" s="6"/>
    </row>
    <row r="638" spans="1:6">
      <c r="A638" s="1"/>
      <c r="D638" s="1"/>
      <c r="F638" s="6"/>
    </row>
    <row r="639" spans="1:6">
      <c r="A639" s="1"/>
      <c r="D639" s="1"/>
      <c r="F639" s="6"/>
    </row>
    <row r="640" spans="1:6">
      <c r="A640" s="1"/>
      <c r="D640" s="1"/>
      <c r="F640" s="6"/>
    </row>
    <row r="641" spans="1:6">
      <c r="A641" s="1"/>
      <c r="D641" s="1"/>
      <c r="F641" s="6"/>
    </row>
    <row r="642" spans="1:6">
      <c r="A642" s="1"/>
      <c r="D642" s="1"/>
      <c r="F642" s="6"/>
    </row>
    <row r="643" spans="1:6">
      <c r="A643" s="1"/>
      <c r="D643" s="1"/>
      <c r="F643" s="6"/>
    </row>
    <row r="644" spans="1:6">
      <c r="A644" s="1"/>
      <c r="D644" s="1"/>
      <c r="F644" s="6"/>
    </row>
    <row r="645" spans="1:6">
      <c r="A645" s="1"/>
      <c r="D645" s="1"/>
      <c r="F645" s="6"/>
    </row>
    <row r="646" spans="1:6">
      <c r="A646" s="1"/>
      <c r="D646" s="1"/>
      <c r="F646" s="6"/>
    </row>
    <row r="647" spans="1:6">
      <c r="A647" s="1"/>
      <c r="D647" s="1"/>
      <c r="F647" s="6"/>
    </row>
    <row r="648" spans="1:6">
      <c r="A648" s="1"/>
      <c r="D648" s="1"/>
      <c r="F648" s="6"/>
    </row>
    <row r="649" spans="1:6">
      <c r="A649" s="1"/>
      <c r="D649" s="1"/>
      <c r="F649" s="6"/>
    </row>
    <row r="650" spans="1:6">
      <c r="A650" s="1"/>
      <c r="D650" s="1"/>
      <c r="F650" s="6"/>
    </row>
    <row r="651" spans="1:6">
      <c r="A651" s="1"/>
      <c r="D651" s="1"/>
      <c r="F651" s="6"/>
    </row>
    <row r="652" spans="1:6">
      <c r="A652" s="1"/>
      <c r="D652" s="1"/>
      <c r="F652" s="6"/>
    </row>
    <row r="653" spans="1:6">
      <c r="A653" s="1"/>
      <c r="D653" s="1"/>
      <c r="F653" s="6"/>
    </row>
    <row r="654" spans="1:6">
      <c r="A654" s="1"/>
      <c r="D654" s="1"/>
      <c r="F654" s="6"/>
    </row>
    <row r="655" spans="1:6">
      <c r="A655" s="1"/>
      <c r="D655" s="1"/>
      <c r="F655" s="6"/>
    </row>
    <row r="656" spans="1:6">
      <c r="A656" s="1"/>
      <c r="D656" s="1"/>
      <c r="F656" s="6"/>
    </row>
    <row r="657" spans="1:6">
      <c r="A657" s="1"/>
      <c r="D657" s="1"/>
      <c r="F657" s="6"/>
    </row>
    <row r="658" spans="1:6">
      <c r="A658" s="1"/>
      <c r="D658" s="1"/>
      <c r="F658" s="6"/>
    </row>
    <row r="659" spans="1:6">
      <c r="A659" s="1"/>
      <c r="D659" s="1"/>
      <c r="F659" s="6"/>
    </row>
    <row r="660" spans="1:6">
      <c r="A660" s="1"/>
      <c r="D660" s="1"/>
      <c r="F660" s="6"/>
    </row>
    <row r="661" spans="1:6">
      <c r="A661" s="1"/>
      <c r="D661" s="1"/>
      <c r="F661" s="6"/>
    </row>
    <row r="662" spans="1:6">
      <c r="A662" s="1"/>
      <c r="D662" s="1"/>
      <c r="F662" s="6"/>
    </row>
    <row r="663" spans="1:6">
      <c r="A663" s="1"/>
      <c r="D663" s="1"/>
      <c r="F663" s="6"/>
    </row>
    <row r="664" spans="1:6">
      <c r="A664" s="1"/>
      <c r="D664" s="1"/>
      <c r="F664" s="6"/>
    </row>
    <row r="665" spans="1:6">
      <c r="A665" s="1"/>
      <c r="D665" s="1"/>
      <c r="F665" s="6"/>
    </row>
    <row r="666" spans="1:6">
      <c r="A666" s="1"/>
      <c r="D666" s="1"/>
      <c r="F666" s="6"/>
    </row>
    <row r="667" spans="1:6">
      <c r="A667" s="1"/>
      <c r="D667" s="1"/>
      <c r="F667" s="6"/>
    </row>
    <row r="668" spans="1:6">
      <c r="A668" s="1"/>
      <c r="D668" s="1"/>
      <c r="F668" s="6"/>
    </row>
    <row r="669" spans="1:6">
      <c r="A669" s="1"/>
      <c r="D669" s="1"/>
      <c r="F669" s="6"/>
    </row>
    <row r="670" spans="1:6">
      <c r="A670" s="1"/>
      <c r="D670" s="1"/>
      <c r="F670" s="6"/>
    </row>
    <row r="671" spans="1:6">
      <c r="A671" s="1"/>
      <c r="D671" s="1"/>
      <c r="F671" s="6"/>
    </row>
    <row r="672" spans="1:6">
      <c r="A672" s="1"/>
      <c r="D672" s="1"/>
      <c r="F672" s="6"/>
    </row>
    <row r="673" spans="1:4">
      <c r="A673" s="1"/>
      <c r="D673" s="1"/>
    </row>
    <row r="674" spans="1:4">
      <c r="A674" s="1"/>
      <c r="D674" s="1"/>
    </row>
    <row r="675" spans="1:4">
      <c r="A675" s="1"/>
      <c r="D675" s="1"/>
    </row>
    <row r="676" spans="1:4">
      <c r="A676" s="1"/>
      <c r="D676" s="1"/>
    </row>
    <row r="677" spans="1:4">
      <c r="A677" s="1"/>
      <c r="D677" s="1"/>
    </row>
    <row r="678" spans="1:4">
      <c r="A678" s="1"/>
      <c r="D678" s="1"/>
    </row>
    <row r="679" spans="1:4">
      <c r="A679" s="1"/>
      <c r="D679" s="1"/>
    </row>
    <row r="680" spans="1:4">
      <c r="A680" s="1"/>
      <c r="D680" s="1"/>
    </row>
    <row r="681" spans="1:4">
      <c r="A681" s="1"/>
      <c r="D681" s="1"/>
    </row>
    <row r="682" spans="1:4">
      <c r="A682" s="1"/>
      <c r="D682" s="1"/>
    </row>
    <row r="683" spans="1:4">
      <c r="A683" s="1"/>
      <c r="D683" s="1"/>
    </row>
    <row r="684" spans="1:4">
      <c r="A684" s="1"/>
      <c r="D684" s="1"/>
    </row>
    <row r="685" spans="1:4">
      <c r="A685" s="1"/>
      <c r="D685" s="1"/>
    </row>
    <row r="686" spans="1:4">
      <c r="A686" s="1"/>
      <c r="D686" s="1"/>
    </row>
    <row r="687" spans="1:4">
      <c r="A687" s="1"/>
      <c r="D687" s="1"/>
    </row>
    <row r="688" spans="1:4">
      <c r="A688" s="1"/>
      <c r="D688" s="1"/>
    </row>
    <row r="689" spans="1:4">
      <c r="A689" s="1"/>
      <c r="D689" s="1"/>
    </row>
    <row r="690" spans="1:4">
      <c r="A690" s="1"/>
      <c r="D690" s="1"/>
    </row>
    <row r="691" spans="1:4">
      <c r="A691" s="1"/>
      <c r="D691" s="1"/>
    </row>
    <row r="692" spans="1:4">
      <c r="A692" s="1"/>
      <c r="D692" s="1"/>
    </row>
    <row r="693" spans="1:4">
      <c r="A693" s="1"/>
      <c r="D693" s="1"/>
    </row>
    <row r="694" spans="1:4">
      <c r="A694" s="1"/>
      <c r="D694" s="1"/>
    </row>
    <row r="695" spans="1:4">
      <c r="A695" s="1"/>
      <c r="D695" s="1"/>
    </row>
    <row r="696" spans="1:4">
      <c r="A696" s="1"/>
      <c r="D696" s="1"/>
    </row>
    <row r="697" spans="1:4">
      <c r="A697" s="1"/>
      <c r="D697" s="1"/>
    </row>
    <row r="698" spans="1:4">
      <c r="A698" s="1"/>
      <c r="D698" s="1"/>
    </row>
    <row r="699" spans="1:4">
      <c r="A699" s="1"/>
      <c r="D699" s="1"/>
    </row>
    <row r="700" spans="1:4">
      <c r="A700" s="1"/>
      <c r="D700" s="1"/>
    </row>
    <row r="701" spans="1:4">
      <c r="A701" s="1"/>
      <c r="D701" s="1"/>
    </row>
    <row r="702" spans="1:4">
      <c r="A702" s="1"/>
      <c r="D702" s="1"/>
    </row>
    <row r="703" spans="1:4">
      <c r="A703" s="1"/>
      <c r="D703" s="1"/>
    </row>
    <row r="704" spans="1:4">
      <c r="A704" s="1"/>
      <c r="D704" s="1"/>
    </row>
    <row r="705" spans="1:4">
      <c r="A705" s="1"/>
      <c r="D705" s="1"/>
    </row>
    <row r="706" spans="1:4">
      <c r="A706" s="1"/>
      <c r="D706" s="1"/>
    </row>
    <row r="707" spans="1:4">
      <c r="A707" s="1"/>
      <c r="D707" s="1"/>
    </row>
    <row r="708" spans="1:4">
      <c r="A708" s="1"/>
      <c r="D708" s="1"/>
    </row>
    <row r="709" spans="1:4">
      <c r="A709" s="1"/>
      <c r="D709" s="1"/>
    </row>
    <row r="710" spans="1:4">
      <c r="A710" s="1"/>
      <c r="D710" s="1"/>
    </row>
    <row r="711" spans="1:4">
      <c r="A711" s="1"/>
      <c r="D711" s="1"/>
    </row>
    <row r="712" spans="1:4">
      <c r="A712" s="1"/>
      <c r="D712" s="1"/>
    </row>
    <row r="713" spans="1:4">
      <c r="A713" s="1"/>
      <c r="D713" s="1"/>
    </row>
    <row r="714" spans="1:4">
      <c r="A714" s="1"/>
      <c r="D714" s="1"/>
    </row>
    <row r="715" spans="1:4">
      <c r="A715" s="1"/>
      <c r="D715" s="1"/>
    </row>
    <row r="716" spans="1:4">
      <c r="A716" s="1"/>
      <c r="D716" s="1"/>
    </row>
    <row r="717" spans="1:4">
      <c r="A717" s="1"/>
      <c r="D717" s="1"/>
    </row>
    <row r="718" spans="1:4">
      <c r="A718" s="1"/>
      <c r="D718" s="1"/>
    </row>
    <row r="719" spans="1:4">
      <c r="A719" s="1"/>
      <c r="D719" s="1"/>
    </row>
    <row r="720" spans="1:4">
      <c r="A720" s="1"/>
      <c r="D720" s="1"/>
    </row>
    <row r="721" spans="1:4">
      <c r="A721" s="1"/>
      <c r="D721" s="1"/>
    </row>
    <row r="722" spans="1:4">
      <c r="A722" s="1"/>
      <c r="D722" s="1"/>
    </row>
    <row r="723" spans="1:4">
      <c r="A723" s="1"/>
      <c r="D723" s="1"/>
    </row>
    <row r="724" spans="1:4">
      <c r="A724" s="1"/>
      <c r="D724" s="1"/>
    </row>
    <row r="725" spans="1:4">
      <c r="A725" s="1"/>
      <c r="D725" s="1"/>
    </row>
    <row r="726" spans="1:4">
      <c r="A726" s="1"/>
      <c r="D726" s="1"/>
    </row>
    <row r="727" spans="1:4">
      <c r="A727" s="1"/>
      <c r="D727" s="1"/>
    </row>
    <row r="728" spans="1:4">
      <c r="A728" s="1"/>
      <c r="D728" s="1"/>
    </row>
    <row r="729" spans="1:4">
      <c r="A729" s="1"/>
      <c r="D729" s="1"/>
    </row>
    <row r="730" spans="1:4">
      <c r="A730" s="1"/>
      <c r="D730" s="1"/>
    </row>
    <row r="731" spans="1:4">
      <c r="A731" s="1"/>
      <c r="D731" s="1"/>
    </row>
    <row r="732" spans="1:4">
      <c r="A732" s="1"/>
      <c r="D732" s="1"/>
    </row>
    <row r="733" spans="1:4">
      <c r="A733" s="1"/>
      <c r="D733" s="1"/>
    </row>
    <row r="734" spans="1:4">
      <c r="A734" s="1"/>
      <c r="D734" s="1"/>
    </row>
    <row r="735" spans="1:4">
      <c r="A735" s="1"/>
      <c r="D735" s="1"/>
    </row>
    <row r="736" spans="1:4">
      <c r="A736" s="1"/>
      <c r="D736" s="1"/>
    </row>
    <row r="737" spans="1:4">
      <c r="A737" s="1"/>
      <c r="D737" s="1"/>
    </row>
    <row r="738" spans="1:4">
      <c r="A738" s="1"/>
      <c r="D738" s="1"/>
    </row>
    <row r="739" spans="1:4">
      <c r="A739" s="1"/>
      <c r="D739" s="1"/>
    </row>
    <row r="740" spans="1:4">
      <c r="A740" s="1"/>
      <c r="D740" s="1"/>
    </row>
    <row r="741" spans="1:4">
      <c r="A741" s="1"/>
      <c r="D741" s="1"/>
    </row>
    <row r="742" spans="1:4">
      <c r="A742" s="1"/>
      <c r="D742" s="1"/>
    </row>
    <row r="743" spans="1:4">
      <c r="A743" s="1"/>
      <c r="D743" s="1"/>
    </row>
    <row r="744" spans="1:4">
      <c r="A744" s="1"/>
      <c r="D744" s="1"/>
    </row>
    <row r="745" spans="1:4">
      <c r="A745" s="1"/>
      <c r="D745" s="1"/>
    </row>
    <row r="746" spans="1:4">
      <c r="A746" s="1"/>
      <c r="D746" s="1"/>
    </row>
    <row r="747" spans="1:4">
      <c r="A747" s="1"/>
      <c r="D747" s="1"/>
    </row>
    <row r="748" spans="1:4">
      <c r="A748" s="1"/>
      <c r="D748" s="1"/>
    </row>
    <row r="749" spans="1:4">
      <c r="A749" s="1"/>
      <c r="D749" s="1"/>
    </row>
    <row r="750" spans="1:4">
      <c r="A750" s="1"/>
      <c r="D750" s="1"/>
    </row>
    <row r="751" spans="1:4">
      <c r="A751" s="1"/>
      <c r="D751" s="1"/>
    </row>
    <row r="752" spans="1:4">
      <c r="A752" s="1"/>
      <c r="D752" s="1"/>
    </row>
    <row r="753" spans="1:4">
      <c r="A753" s="1"/>
      <c r="D753" s="1"/>
    </row>
    <row r="754" spans="1:4">
      <c r="A754" s="1"/>
      <c r="D754" s="1"/>
    </row>
    <row r="755" spans="1:4">
      <c r="A755" s="1"/>
      <c r="D755" s="1"/>
    </row>
    <row r="756" spans="1:4">
      <c r="A756" s="1"/>
      <c r="D756" s="1"/>
    </row>
    <row r="757" spans="1:4">
      <c r="A757" s="1"/>
      <c r="D757" s="1"/>
    </row>
    <row r="758" spans="1:4">
      <c r="A758" s="1"/>
      <c r="D758" s="1"/>
    </row>
    <row r="759" spans="1:4">
      <c r="A759" s="1"/>
      <c r="D759" s="1"/>
    </row>
    <row r="760" spans="1:4">
      <c r="A760" s="1"/>
      <c r="D760" s="1"/>
    </row>
    <row r="761" spans="1:4">
      <c r="A761" s="1"/>
      <c r="D761" s="1"/>
    </row>
    <row r="762" spans="1:4">
      <c r="A762" s="1"/>
      <c r="D762" s="1"/>
    </row>
    <row r="763" spans="1:4">
      <c r="A763" s="1"/>
      <c r="D763" s="1"/>
    </row>
    <row r="764" spans="1:4">
      <c r="A764" s="1"/>
      <c r="D764" s="1"/>
    </row>
    <row r="765" spans="1:4">
      <c r="A765" s="1"/>
      <c r="D765" s="1"/>
    </row>
    <row r="766" spans="1:4">
      <c r="A766" s="1"/>
      <c r="D766" s="1"/>
    </row>
    <row r="767" spans="1:4">
      <c r="A767" s="1"/>
      <c r="D767" s="1"/>
    </row>
    <row r="768" spans="1:4">
      <c r="A768" s="1"/>
      <c r="D768" s="1"/>
    </row>
    <row r="769" spans="1:4">
      <c r="A769" s="1"/>
      <c r="D769" s="1"/>
    </row>
    <row r="770" spans="1:4">
      <c r="A770" s="1"/>
      <c r="D770" s="1"/>
    </row>
    <row r="771" spans="1:4">
      <c r="A771" s="1"/>
      <c r="D771" s="1"/>
    </row>
    <row r="772" spans="1:4">
      <c r="A772" s="1"/>
      <c r="D772" s="1"/>
    </row>
    <row r="773" spans="1:4">
      <c r="A773" s="1"/>
      <c r="D773" s="1"/>
    </row>
    <row r="774" spans="1:4">
      <c r="A774" s="1"/>
      <c r="D774" s="1"/>
    </row>
    <row r="775" spans="1:4">
      <c r="A775" s="1"/>
      <c r="D775" s="1"/>
    </row>
    <row r="776" spans="1:4">
      <c r="A776" s="1"/>
      <c r="D776" s="1"/>
    </row>
    <row r="777" spans="1:4">
      <c r="A777" s="1"/>
      <c r="D777" s="1"/>
    </row>
    <row r="778" spans="1:4">
      <c r="A778" s="1"/>
      <c r="D778" s="1"/>
    </row>
    <row r="779" spans="1:4">
      <c r="A779" s="1"/>
      <c r="D779" s="1"/>
    </row>
    <row r="780" spans="1:4">
      <c r="A780" s="1"/>
      <c r="D780" s="1"/>
    </row>
    <row r="781" spans="1:4">
      <c r="A781" s="1"/>
      <c r="D781" s="1"/>
    </row>
    <row r="782" spans="1:4">
      <c r="A782" s="1"/>
      <c r="D782" s="1"/>
    </row>
    <row r="783" spans="1:4">
      <c r="A783" s="1"/>
      <c r="D783" s="1"/>
    </row>
    <row r="784" spans="1:4">
      <c r="A784" s="1"/>
      <c r="D784" s="1"/>
    </row>
    <row r="785" spans="1:4">
      <c r="A785" s="1"/>
      <c r="D785" s="1"/>
    </row>
    <row r="786" spans="1:4">
      <c r="A786" s="1"/>
      <c r="D786" s="1"/>
    </row>
    <row r="787" spans="1:4">
      <c r="A787" s="1"/>
      <c r="D787" s="1"/>
    </row>
    <row r="788" spans="1:4">
      <c r="A788" s="1"/>
      <c r="D788" s="1"/>
    </row>
    <row r="789" spans="1:4">
      <c r="A789" s="1"/>
      <c r="D789" s="1"/>
    </row>
    <row r="790" spans="1:4">
      <c r="A790" s="1"/>
      <c r="D790" s="1"/>
    </row>
    <row r="791" spans="1:4">
      <c r="A791" s="1"/>
      <c r="D791" s="1"/>
    </row>
    <row r="792" spans="1:4">
      <c r="A792" s="1"/>
      <c r="D792" s="1"/>
    </row>
    <row r="793" spans="1:4">
      <c r="A793" s="1"/>
      <c r="D793" s="1"/>
    </row>
    <row r="794" spans="1:4">
      <c r="A794" s="1"/>
      <c r="D794" s="1"/>
    </row>
    <row r="795" spans="1:4">
      <c r="A795" s="1"/>
      <c r="D795" s="1"/>
    </row>
    <row r="796" spans="1:4">
      <c r="A796" s="1"/>
      <c r="D796" s="1"/>
    </row>
    <row r="797" spans="1:4">
      <c r="A797" s="1"/>
      <c r="D797" s="1"/>
    </row>
    <row r="798" spans="1:4">
      <c r="A798" s="1"/>
      <c r="D798" s="1"/>
    </row>
    <row r="799" spans="1:4">
      <c r="A799" s="1"/>
      <c r="D799" s="1"/>
    </row>
    <row r="800" spans="1:4">
      <c r="A800" s="1"/>
      <c r="D800" s="1"/>
    </row>
    <row r="801" spans="1:4">
      <c r="A801" s="1"/>
      <c r="D801" s="1"/>
    </row>
    <row r="802" spans="1:4">
      <c r="A802" s="1"/>
      <c r="D802" s="1"/>
    </row>
    <row r="803" spans="1:4">
      <c r="A803" s="1"/>
      <c r="D803" s="1"/>
    </row>
    <row r="804" spans="1:4">
      <c r="A804" s="1"/>
      <c r="D804" s="1"/>
    </row>
    <row r="805" spans="1:4">
      <c r="A805" s="1"/>
      <c r="D805" s="1"/>
    </row>
    <row r="806" spans="1:4">
      <c r="A806" s="1"/>
      <c r="D806" s="1"/>
    </row>
    <row r="807" spans="1:4">
      <c r="A807" s="1"/>
      <c r="D807" s="1"/>
    </row>
    <row r="808" spans="1:4">
      <c r="A808" s="1"/>
      <c r="D808" s="1"/>
    </row>
    <row r="809" spans="1:4">
      <c r="A809" s="1"/>
      <c r="D809" s="1"/>
    </row>
    <row r="810" spans="1:4">
      <c r="A810" s="1"/>
      <c r="D810" s="1"/>
    </row>
    <row r="811" spans="1:4">
      <c r="A811" s="1"/>
      <c r="D811" s="1"/>
    </row>
    <row r="812" spans="1:4">
      <c r="A812" s="1"/>
      <c r="D812" s="1"/>
    </row>
    <row r="813" spans="1:4">
      <c r="A813" s="1"/>
      <c r="D813" s="1"/>
    </row>
    <row r="814" spans="1:4">
      <c r="A814" s="1"/>
      <c r="D814" s="1"/>
    </row>
    <row r="815" spans="1:4">
      <c r="A815" s="1"/>
      <c r="D815" s="1"/>
    </row>
    <row r="816" spans="1:4">
      <c r="A816" s="1"/>
      <c r="D816" s="1"/>
    </row>
    <row r="817" spans="1:4">
      <c r="A817" s="1"/>
      <c r="D817" s="1"/>
    </row>
    <row r="818" spans="1:4">
      <c r="A818" s="1"/>
      <c r="D818" s="1"/>
    </row>
    <row r="819" spans="1:4">
      <c r="A819" s="1"/>
      <c r="D819" s="1"/>
    </row>
    <row r="820" spans="1:4">
      <c r="A820" s="1"/>
      <c r="D820" s="1"/>
    </row>
    <row r="821" spans="1:4">
      <c r="A821" s="1"/>
      <c r="D821" s="1"/>
    </row>
    <row r="822" spans="1:4">
      <c r="A822" s="1"/>
      <c r="D822" s="1"/>
    </row>
    <row r="823" spans="1:4">
      <c r="A823" s="1"/>
      <c r="D823" s="1"/>
    </row>
    <row r="824" spans="1:4">
      <c r="A824" s="1"/>
      <c r="D824" s="1"/>
    </row>
    <row r="825" spans="1:4">
      <c r="A825" s="1"/>
      <c r="D825" s="1"/>
    </row>
    <row r="826" spans="1:4">
      <c r="A826" s="1"/>
      <c r="D826" s="1"/>
    </row>
    <row r="827" spans="1:4">
      <c r="A827" s="1"/>
      <c r="D827" s="1"/>
    </row>
    <row r="828" spans="1:4">
      <c r="A828" s="1"/>
      <c r="D828" s="1"/>
    </row>
    <row r="829" spans="1:4">
      <c r="A829" s="1"/>
      <c r="D829" s="1"/>
    </row>
    <row r="830" spans="1:4">
      <c r="A830" s="1"/>
      <c r="D830" s="1"/>
    </row>
    <row r="831" spans="1:4">
      <c r="A831" s="1"/>
      <c r="D831" s="1"/>
    </row>
    <row r="832" spans="1:4">
      <c r="A832" s="1"/>
      <c r="D832" s="1"/>
    </row>
    <row r="833" spans="1:4">
      <c r="A833" s="1"/>
      <c r="D833" s="1"/>
    </row>
    <row r="834" spans="1:4">
      <c r="A834" s="1"/>
      <c r="D834" s="1"/>
    </row>
    <row r="835" spans="1:4">
      <c r="A835" s="1"/>
      <c r="D835" s="1"/>
    </row>
    <row r="836" spans="1:4">
      <c r="A836" s="1"/>
      <c r="D836" s="1"/>
    </row>
    <row r="837" spans="1:4">
      <c r="A837" s="1"/>
      <c r="D837" s="1"/>
    </row>
    <row r="838" spans="1:4">
      <c r="A838" s="1"/>
      <c r="D838" s="1"/>
    </row>
    <row r="839" spans="1:4">
      <c r="A839" s="1"/>
      <c r="D839" s="1"/>
    </row>
    <row r="840" spans="1:4">
      <c r="A840" s="1"/>
      <c r="D840" s="1"/>
    </row>
    <row r="841" spans="1:4">
      <c r="A841" s="1"/>
      <c r="D841" s="1"/>
    </row>
    <row r="842" spans="1:4">
      <c r="A842" s="1"/>
      <c r="D842" s="1"/>
    </row>
    <row r="843" spans="1:4">
      <c r="A843" s="1"/>
      <c r="D843" s="1"/>
    </row>
    <row r="844" spans="1:4">
      <c r="A844" s="1"/>
      <c r="D844" s="1"/>
    </row>
    <row r="845" spans="1:4">
      <c r="A845" s="1"/>
      <c r="D845" s="1"/>
    </row>
    <row r="846" spans="1:4">
      <c r="A846" s="1"/>
      <c r="D846" s="1"/>
    </row>
    <row r="847" spans="1:4">
      <c r="A847" s="1"/>
      <c r="D847" s="1"/>
    </row>
    <row r="848" spans="1:4">
      <c r="A848" s="1"/>
      <c r="D848" s="1"/>
    </row>
    <row r="849" spans="1:4">
      <c r="A849" s="1"/>
      <c r="D849" s="1"/>
    </row>
    <row r="850" spans="1:4">
      <c r="A850" s="1"/>
      <c r="D850" s="1"/>
    </row>
    <row r="851" spans="1:4">
      <c r="A851" s="1"/>
      <c r="D851" s="1"/>
    </row>
    <row r="852" spans="1:4">
      <c r="A852" s="1"/>
      <c r="D852" s="1"/>
    </row>
    <row r="853" spans="1:4">
      <c r="A853" s="1"/>
      <c r="D853" s="1"/>
    </row>
    <row r="854" spans="1:4">
      <c r="A854" s="1"/>
      <c r="D854" s="1"/>
    </row>
    <row r="855" spans="1:4">
      <c r="A855" s="1"/>
      <c r="D855" s="1"/>
    </row>
    <row r="856" spans="1:4">
      <c r="A856" s="1"/>
      <c r="D856" s="1"/>
    </row>
    <row r="857" spans="1:4">
      <c r="A857" s="1"/>
      <c r="D857" s="1"/>
    </row>
    <row r="858" spans="1:4">
      <c r="A858" s="1"/>
      <c r="D858" s="1"/>
    </row>
    <row r="859" spans="1:4">
      <c r="A859" s="1"/>
      <c r="D859" s="1"/>
    </row>
    <row r="860" spans="1:4">
      <c r="A860" s="1"/>
      <c r="D860" s="1"/>
    </row>
    <row r="861" spans="1:4">
      <c r="A861" s="1"/>
      <c r="D861" s="1"/>
    </row>
    <row r="862" spans="1:4">
      <c r="A862" s="1"/>
      <c r="D862" s="1"/>
    </row>
    <row r="863" spans="1:4">
      <c r="A863" s="1"/>
      <c r="D863" s="1"/>
    </row>
    <row r="864" spans="1:4">
      <c r="A864" s="1"/>
      <c r="D864" s="1"/>
    </row>
    <row r="865" spans="1:4">
      <c r="A865" s="1"/>
      <c r="D865" s="1"/>
    </row>
    <row r="866" spans="1:4">
      <c r="A866" s="1"/>
      <c r="D866" s="1"/>
    </row>
    <row r="867" spans="1:4">
      <c r="A867" s="1"/>
      <c r="D867" s="1"/>
    </row>
    <row r="868" spans="1:4">
      <c r="A868" s="1"/>
      <c r="D868" s="1"/>
    </row>
    <row r="869" spans="1:4">
      <c r="A869" s="1"/>
      <c r="D869" s="1"/>
    </row>
    <row r="870" spans="1:4">
      <c r="A870" s="1"/>
      <c r="D870" s="1"/>
    </row>
    <row r="871" spans="1:4">
      <c r="A871" s="1"/>
      <c r="D871" s="1"/>
    </row>
    <row r="872" spans="1:4">
      <c r="A872" s="1"/>
      <c r="D872" s="1"/>
    </row>
    <row r="873" spans="1:4">
      <c r="A873" s="1"/>
      <c r="D873" s="1"/>
    </row>
    <row r="874" spans="1:4">
      <c r="A874" s="1"/>
      <c r="D874" s="1"/>
    </row>
    <row r="875" spans="1:4">
      <c r="A875" s="1"/>
      <c r="D875" s="1"/>
    </row>
    <row r="876" spans="1:4">
      <c r="A876" s="1"/>
      <c r="D876" s="1"/>
    </row>
    <row r="877" spans="1:4">
      <c r="A877" s="1"/>
      <c r="D877" s="1"/>
    </row>
    <row r="878" spans="1:4">
      <c r="A878" s="1"/>
      <c r="D878" s="1"/>
    </row>
    <row r="879" spans="1:4">
      <c r="A879" s="1"/>
      <c r="D879" s="1"/>
    </row>
    <row r="880" spans="1:4">
      <c r="A880" s="1"/>
      <c r="D880" s="1"/>
    </row>
    <row r="881" spans="1:4">
      <c r="A881" s="1"/>
      <c r="D881" s="1"/>
    </row>
    <row r="882" spans="1:4">
      <c r="A882" s="1"/>
      <c r="D882" s="1"/>
    </row>
    <row r="883" spans="1:4">
      <c r="A883" s="1"/>
      <c r="D883" s="1"/>
    </row>
    <row r="884" spans="1:4">
      <c r="A884" s="1"/>
      <c r="D884" s="1"/>
    </row>
    <row r="885" spans="1:4">
      <c r="A885" s="1"/>
      <c r="D885" s="1"/>
    </row>
    <row r="886" spans="1:4">
      <c r="A886" s="1"/>
      <c r="D886" s="1"/>
    </row>
    <row r="887" spans="1:4">
      <c r="A887" s="1"/>
      <c r="D887" s="1"/>
    </row>
    <row r="888" spans="1:4">
      <c r="A888" s="1"/>
      <c r="D888" s="1"/>
    </row>
    <row r="889" spans="1:4">
      <c r="A889" s="1"/>
      <c r="D889" s="1"/>
    </row>
    <row r="890" spans="1:4">
      <c r="A890" s="1"/>
      <c r="D890" s="1"/>
    </row>
    <row r="891" spans="1:4">
      <c r="A891" s="1"/>
      <c r="D891" s="1"/>
    </row>
    <row r="892" spans="1:4">
      <c r="A892" s="1"/>
      <c r="D892" s="1"/>
    </row>
    <row r="893" spans="1:4">
      <c r="A893" s="1"/>
      <c r="D893" s="1"/>
    </row>
    <row r="894" spans="1:4">
      <c r="A894" s="1"/>
      <c r="D894" s="1"/>
    </row>
    <row r="895" spans="1:4">
      <c r="A895" s="1"/>
      <c r="D895" s="1"/>
    </row>
    <row r="896" spans="1:4">
      <c r="A896" s="1"/>
      <c r="D896" s="1"/>
    </row>
    <row r="897" spans="1:4">
      <c r="A897" s="1"/>
      <c r="D897" s="1"/>
    </row>
    <row r="898" spans="1:4">
      <c r="A898" s="1"/>
      <c r="D898" s="1"/>
    </row>
    <row r="899" spans="1:4">
      <c r="A899" s="1"/>
      <c r="D899" s="1"/>
    </row>
    <row r="900" spans="1:4">
      <c r="A900" s="1"/>
      <c r="D900" s="1"/>
    </row>
    <row r="901" spans="1:4">
      <c r="A901" s="1"/>
      <c r="D901" s="1"/>
    </row>
    <row r="902" spans="1:4">
      <c r="A902" s="1"/>
      <c r="D902" s="1"/>
    </row>
    <row r="903" spans="1:4">
      <c r="A903" s="1"/>
      <c r="D903" s="1"/>
    </row>
    <row r="904" spans="1:4">
      <c r="A904" s="1"/>
      <c r="D904" s="1"/>
    </row>
    <row r="905" spans="1:4">
      <c r="A905" s="1"/>
      <c r="D905" s="1"/>
    </row>
    <row r="906" spans="1:4">
      <c r="A906" s="1"/>
      <c r="D906" s="1"/>
    </row>
    <row r="907" spans="1:4">
      <c r="A907" s="1"/>
      <c r="D907" s="1"/>
    </row>
    <row r="908" spans="1:4">
      <c r="A908" s="1"/>
      <c r="D908" s="1"/>
    </row>
    <row r="909" spans="1:4">
      <c r="A909" s="1"/>
      <c r="D909" s="1"/>
    </row>
    <row r="910" spans="1:4">
      <c r="A910" s="1"/>
      <c r="D910" s="1"/>
    </row>
    <row r="911" spans="1:4">
      <c r="A911" s="1"/>
      <c r="D911" s="1"/>
    </row>
    <row r="912" spans="1:4">
      <c r="A912" s="1"/>
      <c r="D912" s="1"/>
    </row>
    <row r="913" spans="1:4">
      <c r="A913" s="1"/>
      <c r="D913" s="1"/>
    </row>
    <row r="914" spans="1:4">
      <c r="A914" s="1"/>
      <c r="D914" s="1"/>
    </row>
    <row r="915" spans="1:4">
      <c r="A915" s="1"/>
      <c r="D915" s="1"/>
    </row>
    <row r="916" spans="1:4">
      <c r="A916" s="1"/>
      <c r="D916" s="1"/>
    </row>
    <row r="917" spans="1:4">
      <c r="A917" s="1"/>
      <c r="D917" s="1"/>
    </row>
    <row r="918" spans="1:4">
      <c r="A918" s="1"/>
      <c r="D918" s="1"/>
    </row>
    <row r="919" spans="1:4">
      <c r="A919" s="1"/>
      <c r="D919" s="1"/>
    </row>
    <row r="920" spans="1:4">
      <c r="A920" s="1"/>
      <c r="D920" s="1"/>
    </row>
    <row r="921" spans="1:4">
      <c r="A921" s="1"/>
      <c r="D921" s="1"/>
    </row>
    <row r="922" spans="1:4">
      <c r="A922" s="1"/>
      <c r="D922" s="1"/>
    </row>
    <row r="923" spans="1:4">
      <c r="A923" s="1"/>
      <c r="D923" s="1"/>
    </row>
    <row r="924" spans="1:4">
      <c r="A924" s="1"/>
      <c r="D924" s="1"/>
    </row>
    <row r="925" spans="1:4">
      <c r="A925" s="1"/>
      <c r="D925" s="1"/>
    </row>
    <row r="926" spans="1:4">
      <c r="A926" s="1"/>
      <c r="D926" s="1"/>
    </row>
    <row r="927" spans="1:4">
      <c r="A927" s="1"/>
      <c r="D927" s="1"/>
    </row>
    <row r="928" spans="1:4">
      <c r="A928" s="1"/>
      <c r="D928" s="1"/>
    </row>
    <row r="929" spans="1:4">
      <c r="A929" s="1"/>
      <c r="D929" s="1"/>
    </row>
    <row r="930" spans="1:4">
      <c r="A930" s="1"/>
      <c r="D930" s="1"/>
    </row>
    <row r="931" spans="1:4">
      <c r="A931" s="1"/>
      <c r="D931" s="1"/>
    </row>
    <row r="932" spans="1:4">
      <c r="A932" s="1"/>
      <c r="D932" s="1"/>
    </row>
    <row r="933" spans="1:4">
      <c r="A933" s="1"/>
      <c r="D933" s="1"/>
    </row>
    <row r="934" spans="1:4">
      <c r="A934" s="1"/>
      <c r="D934" s="1"/>
    </row>
    <row r="935" spans="1:4">
      <c r="A935" s="1"/>
      <c r="D935" s="1"/>
    </row>
    <row r="936" spans="1:4">
      <c r="A936" s="1"/>
      <c r="D936" s="1"/>
    </row>
    <row r="937" spans="1:4">
      <c r="A937" s="1"/>
      <c r="D937" s="1"/>
    </row>
    <row r="938" spans="1:4">
      <c r="A938" s="1"/>
      <c r="D938" s="1"/>
    </row>
    <row r="939" spans="1:4">
      <c r="A939" s="1"/>
      <c r="D939" s="1"/>
    </row>
    <row r="940" spans="1:4">
      <c r="A940" s="1"/>
      <c r="D940" s="1"/>
    </row>
    <row r="941" spans="1:4">
      <c r="A941" s="1"/>
      <c r="D941" s="1"/>
    </row>
    <row r="942" spans="1:4">
      <c r="A942" s="1"/>
      <c r="D942" s="1"/>
    </row>
    <row r="943" spans="1:4">
      <c r="A943" s="1"/>
      <c r="D943" s="1"/>
    </row>
    <row r="944" spans="1:4">
      <c r="A944" s="1"/>
      <c r="D944" s="1"/>
    </row>
    <row r="945" spans="1:4">
      <c r="A945" s="1"/>
      <c r="D945" s="1"/>
    </row>
    <row r="946" spans="1:4">
      <c r="A946" s="1"/>
      <c r="D946" s="1"/>
    </row>
    <row r="947" spans="1:4">
      <c r="A947" s="1"/>
      <c r="D947" s="1"/>
    </row>
    <row r="948" spans="1:4">
      <c r="A948" s="1"/>
      <c r="D948" s="1"/>
    </row>
    <row r="949" spans="1:4">
      <c r="A949" s="1"/>
      <c r="D949" s="1"/>
    </row>
    <row r="950" spans="1:4">
      <c r="A950" s="1"/>
      <c r="D950" s="1"/>
    </row>
    <row r="951" spans="1:4">
      <c r="A951" s="1"/>
      <c r="D951" s="1"/>
    </row>
    <row r="952" spans="1:4">
      <c r="A952" s="1"/>
      <c r="D952" s="1"/>
    </row>
    <row r="953" spans="1:4">
      <c r="A953" s="1"/>
      <c r="D953" s="1"/>
    </row>
    <row r="954" spans="1:4">
      <c r="A954" s="1"/>
      <c r="D954" s="1"/>
    </row>
    <row r="955" spans="1:4">
      <c r="A955" s="1"/>
      <c r="D955" s="1"/>
    </row>
    <row r="956" spans="1:4">
      <c r="A956" s="1"/>
      <c r="D956" s="1"/>
    </row>
    <row r="957" spans="1:4">
      <c r="A957" s="1"/>
      <c r="D957" s="1"/>
    </row>
    <row r="958" spans="1:4">
      <c r="A958" s="1"/>
      <c r="D958" s="1"/>
    </row>
    <row r="959" spans="1:4">
      <c r="A959" s="1"/>
      <c r="D959" s="1"/>
    </row>
    <row r="960" spans="1:4">
      <c r="A960" s="1"/>
      <c r="D960" s="1"/>
    </row>
    <row r="961" spans="1:4">
      <c r="A961" s="1"/>
      <c r="D961" s="1"/>
    </row>
    <row r="962" spans="1:4">
      <c r="A962" s="1"/>
      <c r="D962" s="1"/>
    </row>
    <row r="963" spans="1:4">
      <c r="A963" s="1"/>
      <c r="D963" s="1"/>
    </row>
    <row r="964" spans="1:4">
      <c r="A964" s="1"/>
      <c r="D964" s="1"/>
    </row>
    <row r="965" spans="1:4">
      <c r="A965" s="1"/>
      <c r="D965" s="1"/>
    </row>
    <row r="966" spans="1:4">
      <c r="A966" s="1"/>
      <c r="D966" s="1"/>
    </row>
    <row r="967" spans="1:4">
      <c r="A967" s="1"/>
      <c r="D967" s="1"/>
    </row>
    <row r="968" spans="1:4">
      <c r="A968" s="1"/>
      <c r="D968" s="1"/>
    </row>
    <row r="969" spans="1:4">
      <c r="A969" s="1"/>
      <c r="D969" s="1"/>
    </row>
    <row r="970" spans="1:4">
      <c r="A970" s="1"/>
      <c r="D970" s="1"/>
    </row>
    <row r="971" spans="1:4">
      <c r="A971" s="1"/>
      <c r="D971" s="1"/>
    </row>
    <row r="972" spans="1:4">
      <c r="A972" s="1"/>
      <c r="D972" s="1"/>
    </row>
    <row r="973" spans="1:4">
      <c r="A973" s="1"/>
      <c r="D973" s="1"/>
    </row>
    <row r="974" spans="1:4">
      <c r="A974" s="1"/>
      <c r="D974" s="1"/>
    </row>
    <row r="975" spans="1:4">
      <c r="A975" s="1"/>
      <c r="D975" s="1"/>
    </row>
    <row r="976" spans="1:4">
      <c r="A976" s="1"/>
      <c r="D976" s="1"/>
    </row>
    <row r="977" spans="1:4">
      <c r="A977" s="1"/>
      <c r="D977" s="1"/>
    </row>
    <row r="978" spans="1:4">
      <c r="A978" s="1"/>
      <c r="D978" s="1"/>
    </row>
    <row r="979" spans="1:4">
      <c r="A979" s="1"/>
      <c r="D979" s="1"/>
    </row>
    <row r="980" spans="1:4">
      <c r="A980" s="1"/>
      <c r="D980" s="1"/>
    </row>
    <row r="981" spans="1:4">
      <c r="A981" s="1"/>
      <c r="D981" s="1"/>
    </row>
    <row r="982" spans="1:4">
      <c r="A982" s="1"/>
      <c r="D982" s="1"/>
    </row>
    <row r="983" spans="1:4">
      <c r="A983" s="1"/>
      <c r="D983" s="1"/>
    </row>
    <row r="984" spans="1:4">
      <c r="A984" s="1"/>
      <c r="D984" s="1"/>
    </row>
    <row r="985" spans="1:4">
      <c r="A985" s="1"/>
      <c r="D985" s="1"/>
    </row>
    <row r="986" spans="1:4">
      <c r="A986" s="1"/>
      <c r="D986" s="1"/>
    </row>
    <row r="987" spans="1:4">
      <c r="A987" s="1"/>
      <c r="D987" s="1"/>
    </row>
    <row r="988" spans="1:4">
      <c r="A988" s="1"/>
      <c r="D988" s="1"/>
    </row>
    <row r="989" spans="1:4">
      <c r="A989" s="1"/>
      <c r="D989" s="1"/>
    </row>
    <row r="990" spans="1:4">
      <c r="A990" s="1"/>
      <c r="D990" s="1"/>
    </row>
    <row r="991" spans="1:4">
      <c r="A991" s="1"/>
      <c r="D991" s="1"/>
    </row>
    <row r="992" spans="1:4">
      <c r="A992" s="1"/>
      <c r="D992" s="1"/>
    </row>
    <row r="993" spans="1:4">
      <c r="A993" s="1"/>
      <c r="D993" s="1"/>
    </row>
    <row r="994" spans="1:4">
      <c r="A994" s="1"/>
      <c r="D994" s="1"/>
    </row>
    <row r="995" spans="1:4">
      <c r="A995" s="1"/>
      <c r="D995" s="1"/>
    </row>
    <row r="996" spans="1:4">
      <c r="A996" s="1"/>
      <c r="D996" s="1"/>
    </row>
    <row r="997" spans="1:4">
      <c r="A997" s="1"/>
      <c r="D997" s="1"/>
    </row>
    <row r="998" spans="1:4">
      <c r="A998" s="1"/>
      <c r="D998" s="1"/>
    </row>
    <row r="999" spans="1:4">
      <c r="A999" s="1"/>
      <c r="D999" s="1"/>
    </row>
    <row r="1000" spans="1:4">
      <c r="A1000" s="1"/>
      <c r="D1000" s="1"/>
    </row>
    <row r="1001" spans="1:4">
      <c r="A1001" s="1"/>
      <c r="D1001" s="1"/>
    </row>
    <row r="1002" spans="1:4">
      <c r="A1002" s="1"/>
      <c r="D1002" s="1"/>
    </row>
    <row r="1003" spans="1:4">
      <c r="A1003" s="1"/>
      <c r="D1003" s="1"/>
    </row>
    <row r="1004" spans="1:4">
      <c r="A1004" s="1"/>
      <c r="D1004" s="1"/>
    </row>
    <row r="1005" spans="1:4">
      <c r="A1005" s="1"/>
      <c r="D1005" s="1"/>
    </row>
    <row r="1006" spans="1:4">
      <c r="A1006" s="1"/>
      <c r="D1006" s="1"/>
    </row>
    <row r="1007" spans="1:4">
      <c r="A1007" s="1"/>
      <c r="D1007" s="1"/>
    </row>
    <row r="1008" spans="1:4">
      <c r="A1008" s="1"/>
      <c r="D1008" s="1"/>
    </row>
    <row r="1009" spans="1:4">
      <c r="A1009" s="1"/>
      <c r="D1009" s="1"/>
    </row>
    <row r="1010" spans="1:4">
      <c r="A1010" s="1"/>
      <c r="D1010" s="1"/>
    </row>
    <row r="1011" spans="1:4">
      <c r="A1011" s="1"/>
      <c r="D1011" s="1"/>
    </row>
    <row r="1012" spans="1:4">
      <c r="A1012" s="1"/>
      <c r="D1012" s="1"/>
    </row>
    <row r="1013" spans="1:4">
      <c r="A1013" s="1"/>
      <c r="D1013" s="1"/>
    </row>
    <row r="1014" spans="1:4">
      <c r="A1014" s="1"/>
      <c r="D1014" s="1"/>
    </row>
    <row r="1015" spans="1:4">
      <c r="A1015" s="1"/>
      <c r="D1015" s="1"/>
    </row>
    <row r="1016" spans="1:4">
      <c r="A1016" s="1"/>
      <c r="D1016" s="1"/>
    </row>
    <row r="1017" spans="1:4">
      <c r="A1017" s="1"/>
      <c r="D1017" s="1"/>
    </row>
    <row r="1018" spans="1:4">
      <c r="A1018" s="1"/>
      <c r="D1018" s="1"/>
    </row>
    <row r="1019" spans="1:4">
      <c r="A1019" s="1"/>
      <c r="D1019" s="1"/>
    </row>
    <row r="1020" spans="1:4">
      <c r="A1020" s="1"/>
      <c r="D1020" s="1"/>
    </row>
    <row r="1021" spans="1:4">
      <c r="A1021" s="1"/>
      <c r="D1021" s="1"/>
    </row>
    <row r="1022" spans="1:4">
      <c r="A1022" s="1"/>
      <c r="D1022" s="1"/>
    </row>
    <row r="1023" spans="1:4">
      <c r="A1023" s="1"/>
      <c r="D1023" s="1"/>
    </row>
    <row r="1024" spans="1:4">
      <c r="A1024" s="1"/>
      <c r="D1024" s="1"/>
    </row>
    <row r="1025" spans="1:4">
      <c r="A1025" s="1"/>
      <c r="D1025" s="1"/>
    </row>
    <row r="1026" spans="1:4">
      <c r="A1026" s="1"/>
      <c r="D1026" s="1"/>
    </row>
    <row r="1027" spans="1:4">
      <c r="A1027" s="1"/>
      <c r="D1027" s="1"/>
    </row>
    <row r="1028" spans="1:4">
      <c r="A1028" s="1"/>
      <c r="D1028" s="1"/>
    </row>
    <row r="1029" spans="1:4">
      <c r="A1029" s="1"/>
      <c r="D1029" s="1"/>
    </row>
    <row r="1030" spans="1:4">
      <c r="A1030" s="1"/>
      <c r="D1030" s="1"/>
    </row>
    <row r="1031" spans="1:4">
      <c r="A1031" s="1"/>
      <c r="D1031" s="1"/>
    </row>
    <row r="1032" spans="1:4">
      <c r="A1032" s="1"/>
      <c r="D1032" s="1"/>
    </row>
    <row r="1033" spans="1:4">
      <c r="A1033" s="1"/>
      <c r="D1033" s="1"/>
    </row>
    <row r="1034" spans="1:4">
      <c r="A1034" s="1"/>
      <c r="D1034" s="1"/>
    </row>
    <row r="1035" spans="1:4">
      <c r="A1035" s="1"/>
      <c r="D1035" s="1"/>
    </row>
    <row r="1036" spans="1:4">
      <c r="A1036" s="1"/>
      <c r="D1036" s="1"/>
    </row>
    <row r="1037" spans="1:4">
      <c r="A1037" s="1"/>
      <c r="D1037" s="1"/>
    </row>
    <row r="1038" spans="1:4">
      <c r="A1038" s="1"/>
      <c r="D1038" s="1"/>
    </row>
    <row r="1039" spans="1:4">
      <c r="A1039" s="1"/>
      <c r="D1039" s="1"/>
    </row>
    <row r="1040" spans="1:4">
      <c r="A1040" s="1"/>
      <c r="D1040" s="1"/>
    </row>
    <row r="1041" spans="1:4">
      <c r="A1041" s="1"/>
      <c r="D1041" s="1"/>
    </row>
    <row r="1042" spans="1:4">
      <c r="A1042" s="1"/>
      <c r="D1042" s="1"/>
    </row>
    <row r="1043" spans="1:4">
      <c r="A1043" s="1"/>
      <c r="D1043" s="1"/>
    </row>
    <row r="1044" spans="1:4">
      <c r="A1044" s="1"/>
      <c r="D1044" s="1"/>
    </row>
    <row r="1045" spans="1:4">
      <c r="A1045" s="1"/>
      <c r="D1045" s="1"/>
    </row>
    <row r="1046" spans="1:4">
      <c r="A1046" s="1"/>
      <c r="D1046" s="1"/>
    </row>
    <row r="1047" spans="1:4">
      <c r="A1047" s="1"/>
      <c r="D1047" s="1"/>
    </row>
    <row r="1048" spans="1:4">
      <c r="A1048" s="1"/>
      <c r="D1048" s="1"/>
    </row>
    <row r="1049" spans="1:4">
      <c r="A1049" s="1"/>
      <c r="D1049" s="1"/>
    </row>
    <row r="1050" spans="1:4">
      <c r="A1050" s="1"/>
      <c r="D1050" s="1"/>
    </row>
    <row r="1051" spans="1:4">
      <c r="A1051" s="1"/>
      <c r="D1051" s="1"/>
    </row>
    <row r="1052" spans="1:4">
      <c r="A1052" s="1"/>
      <c r="D1052" s="1"/>
    </row>
    <row r="1053" spans="1:4">
      <c r="A1053" s="1"/>
      <c r="D1053" s="1"/>
    </row>
    <row r="1054" spans="1:4">
      <c r="A1054" s="1"/>
      <c r="D1054" s="1"/>
    </row>
    <row r="1055" spans="1:4">
      <c r="A1055" s="1"/>
      <c r="D1055" s="1"/>
    </row>
    <row r="1056" spans="1:4">
      <c r="A1056" s="1"/>
      <c r="D1056" s="1"/>
    </row>
    <row r="1057" spans="1:4">
      <c r="A1057" s="1"/>
      <c r="D1057" s="1"/>
    </row>
    <row r="1058" spans="1:4">
      <c r="A1058" s="1"/>
      <c r="D1058" s="1"/>
    </row>
    <row r="1059" spans="1:4">
      <c r="A1059" s="1"/>
      <c r="D1059" s="1"/>
    </row>
    <row r="1060" spans="1:4">
      <c r="A1060" s="1"/>
      <c r="D1060" s="1"/>
    </row>
    <row r="1061" spans="1:4">
      <c r="A1061" s="1"/>
      <c r="D1061" s="1"/>
    </row>
    <row r="1062" spans="1:4">
      <c r="A1062" s="1"/>
      <c r="D1062" s="1"/>
    </row>
    <row r="1063" spans="1:4">
      <c r="A1063" s="1"/>
      <c r="D1063" s="1"/>
    </row>
    <row r="1064" spans="1:4">
      <c r="A1064" s="1"/>
      <c r="D1064" s="1"/>
    </row>
    <row r="1065" spans="1:4">
      <c r="A1065" s="1"/>
      <c r="D1065" s="1"/>
    </row>
    <row r="1066" spans="1:4">
      <c r="A1066" s="1"/>
      <c r="D1066" s="1"/>
    </row>
    <row r="1067" spans="1:4">
      <c r="A1067" s="1"/>
      <c r="D1067" s="1"/>
    </row>
    <row r="1068" spans="1:4">
      <c r="A1068" s="1"/>
      <c r="D1068" s="1"/>
    </row>
    <row r="1069" spans="1:4">
      <c r="A1069" s="1"/>
      <c r="D1069" s="1"/>
    </row>
    <row r="1070" spans="1:4">
      <c r="A1070" s="1"/>
      <c r="D1070" s="1"/>
    </row>
    <row r="1071" spans="1:4">
      <c r="A1071" s="1"/>
      <c r="D1071" s="1"/>
    </row>
    <row r="1072" spans="1:4">
      <c r="A1072" s="1"/>
      <c r="D1072" s="1"/>
    </row>
    <row r="1073" spans="1:4">
      <c r="A1073" s="1"/>
      <c r="D1073" s="1"/>
    </row>
    <row r="1074" spans="1:4">
      <c r="A1074" s="1"/>
      <c r="D1074" s="1"/>
    </row>
    <row r="1075" spans="1:4">
      <c r="A1075" s="1"/>
      <c r="D1075" s="1"/>
    </row>
    <row r="1076" spans="1:4">
      <c r="A1076" s="1"/>
      <c r="D1076" s="1"/>
    </row>
    <row r="1077" spans="1:4">
      <c r="A1077" s="1"/>
      <c r="D1077" s="1"/>
    </row>
    <row r="1078" spans="1:4">
      <c r="A1078" s="1"/>
      <c r="D1078" s="1"/>
    </row>
    <row r="1079" spans="1:4">
      <c r="A1079" s="1"/>
      <c r="D1079" s="1"/>
    </row>
    <row r="1080" spans="1:4">
      <c r="A1080" s="1"/>
      <c r="D1080" s="1"/>
    </row>
    <row r="1081" spans="1:4">
      <c r="A1081" s="1"/>
      <c r="D1081" s="1"/>
    </row>
    <row r="1082" spans="1:4">
      <c r="A1082" s="1"/>
      <c r="D1082" s="1"/>
    </row>
    <row r="1083" spans="1:4">
      <c r="A1083" s="1"/>
      <c r="D1083" s="1"/>
    </row>
    <row r="1084" spans="1:4">
      <c r="A1084" s="1"/>
      <c r="D1084" s="1"/>
    </row>
    <row r="1085" spans="1:4">
      <c r="A1085" s="1"/>
      <c r="D1085" s="1"/>
    </row>
    <row r="1086" spans="1:4">
      <c r="A1086" s="1"/>
      <c r="D1086" s="1"/>
    </row>
    <row r="1087" spans="1:4">
      <c r="A1087" s="1"/>
      <c r="D1087" s="1"/>
    </row>
    <row r="1088" spans="1:4">
      <c r="A1088" s="1"/>
      <c r="D1088" s="1"/>
    </row>
    <row r="1089" spans="1:4">
      <c r="A1089" s="1"/>
      <c r="D1089" s="1"/>
    </row>
    <row r="1090" spans="1:4">
      <c r="A1090" s="1"/>
      <c r="D1090" s="1"/>
    </row>
    <row r="1091" spans="1:4">
      <c r="A1091" s="1"/>
      <c r="D1091" s="1"/>
    </row>
    <row r="1092" spans="1:4">
      <c r="A1092" s="1"/>
      <c r="D1092" s="1"/>
    </row>
    <row r="1093" spans="1:4">
      <c r="A1093" s="1"/>
      <c r="D1093" s="1"/>
    </row>
    <row r="1094" spans="1:4">
      <c r="A1094" s="1"/>
      <c r="D1094" s="1"/>
    </row>
    <row r="1095" spans="1:4">
      <c r="A1095" s="1"/>
      <c r="D1095" s="1"/>
    </row>
    <row r="1096" spans="1:4">
      <c r="A1096" s="1"/>
      <c r="D1096" s="1"/>
    </row>
    <row r="1097" spans="1:4">
      <c r="A1097" s="1"/>
      <c r="D1097" s="1"/>
    </row>
    <row r="1098" spans="1:4">
      <c r="A1098" s="1"/>
      <c r="D1098" s="1"/>
    </row>
    <row r="1099" spans="1:4">
      <c r="A1099" s="1"/>
      <c r="D1099" s="1"/>
    </row>
    <row r="1100" spans="1:4">
      <c r="A1100" s="1"/>
      <c r="D1100" s="1"/>
    </row>
    <row r="1101" spans="1:4">
      <c r="A1101" s="1"/>
      <c r="D1101" s="1"/>
    </row>
    <row r="1102" spans="1:4">
      <c r="A1102" s="1"/>
      <c r="D1102" s="1"/>
    </row>
    <row r="1103" spans="1:4">
      <c r="A1103" s="1"/>
      <c r="D1103" s="1"/>
    </row>
    <row r="1104" spans="1:4">
      <c r="A1104" s="1"/>
      <c r="D1104" s="1"/>
    </row>
    <row r="1105" spans="1:4">
      <c r="A1105" s="1"/>
      <c r="D1105" s="1"/>
    </row>
    <row r="1106" spans="1:4">
      <c r="A1106" s="1"/>
      <c r="D1106" s="1"/>
    </row>
    <row r="1107" spans="1:4">
      <c r="A1107" s="1"/>
      <c r="D1107" s="1"/>
    </row>
    <row r="1108" spans="1:4">
      <c r="A1108" s="1"/>
      <c r="D1108" s="1"/>
    </row>
    <row r="1109" spans="1:4">
      <c r="A1109" s="1"/>
      <c r="D1109" s="1"/>
    </row>
    <row r="1110" spans="1:4">
      <c r="A1110" s="1"/>
      <c r="D1110" s="1"/>
    </row>
    <row r="1111" spans="1:4">
      <c r="A1111" s="1"/>
      <c r="D1111" s="1"/>
    </row>
    <row r="1112" spans="1:4">
      <c r="A1112" s="1"/>
      <c r="D1112" s="1"/>
    </row>
    <row r="1113" spans="1:4">
      <c r="A1113" s="1"/>
      <c r="D1113" s="1"/>
    </row>
    <row r="1114" spans="1:4">
      <c r="A1114" s="1"/>
      <c r="D1114" s="1"/>
    </row>
    <row r="1115" spans="1:4">
      <c r="A1115" s="1"/>
      <c r="D1115" s="1"/>
    </row>
    <row r="1116" spans="1:4">
      <c r="A1116" s="1"/>
      <c r="D1116" s="1"/>
    </row>
    <row r="1117" spans="1:4">
      <c r="A1117" s="1"/>
      <c r="D1117" s="1"/>
    </row>
    <row r="1118" spans="1:4">
      <c r="A1118" s="1"/>
      <c r="D1118" s="1"/>
    </row>
    <row r="1119" spans="1:4">
      <c r="A1119" s="1"/>
      <c r="D1119" s="1"/>
    </row>
    <row r="1120" spans="1:4">
      <c r="A1120" s="1"/>
      <c r="D1120" s="1"/>
    </row>
    <row r="1121" spans="1:4">
      <c r="A1121" s="1"/>
      <c r="D1121" s="1"/>
    </row>
    <row r="1122" spans="1:4">
      <c r="A1122" s="1"/>
      <c r="D1122" s="1"/>
    </row>
    <row r="1123" spans="1:4">
      <c r="A1123" s="1"/>
      <c r="D1123" s="1"/>
    </row>
    <row r="1124" spans="1:4">
      <c r="A1124" s="1"/>
      <c r="D1124" s="1"/>
    </row>
    <row r="1125" spans="1:4">
      <c r="A1125" s="1"/>
      <c r="D1125" s="1"/>
    </row>
    <row r="1126" spans="1:4">
      <c r="A1126" s="1"/>
      <c r="D1126" s="1"/>
    </row>
    <row r="1127" spans="1:4">
      <c r="A1127" s="1"/>
      <c r="D1127" s="1"/>
    </row>
    <row r="1128" spans="1:4">
      <c r="A1128" s="1"/>
      <c r="D1128" s="1"/>
    </row>
    <row r="1129" spans="1:4">
      <c r="A1129" s="1"/>
      <c r="D1129" s="1"/>
    </row>
    <row r="1130" spans="1:4">
      <c r="A1130" s="1"/>
      <c r="D1130" s="1"/>
    </row>
    <row r="1131" spans="1:4">
      <c r="A1131" s="1"/>
      <c r="D1131" s="1"/>
    </row>
    <row r="1132" spans="1:4">
      <c r="A1132" s="1"/>
      <c r="D1132" s="1"/>
    </row>
    <row r="1133" spans="1:4">
      <c r="A1133" s="1"/>
      <c r="D1133" s="1"/>
    </row>
    <row r="1134" spans="1:4">
      <c r="A1134" s="1"/>
      <c r="D1134" s="1"/>
    </row>
    <row r="1135" spans="1:4">
      <c r="A1135" s="1"/>
      <c r="D1135" s="1"/>
    </row>
    <row r="1136" spans="1:4">
      <c r="A1136" s="1"/>
      <c r="D1136" s="1"/>
    </row>
    <row r="1137" spans="1:4">
      <c r="A1137" s="1"/>
      <c r="D1137" s="1"/>
    </row>
    <row r="1138" spans="1:4">
      <c r="A1138" s="1"/>
      <c r="D1138" s="1"/>
    </row>
    <row r="1139" spans="1:4">
      <c r="A1139" s="1"/>
      <c r="D1139" s="1"/>
    </row>
    <row r="1140" spans="1:4">
      <c r="A1140" s="1"/>
      <c r="D1140" s="1"/>
    </row>
    <row r="1141" spans="1:4">
      <c r="A1141" s="1"/>
      <c r="D1141" s="1"/>
    </row>
    <row r="1142" spans="1:4">
      <c r="A1142" s="1"/>
      <c r="D1142" s="1"/>
    </row>
    <row r="1143" spans="1:4">
      <c r="A1143" s="1"/>
      <c r="D1143" s="1"/>
    </row>
    <row r="1144" spans="1:4">
      <c r="A1144" s="1"/>
      <c r="D1144" s="1"/>
    </row>
    <row r="1145" spans="1:4">
      <c r="A1145" s="1"/>
      <c r="D1145" s="1"/>
    </row>
    <row r="1146" spans="1:4">
      <c r="A1146" s="1"/>
      <c r="D1146" s="1"/>
    </row>
    <row r="1147" spans="1:4">
      <c r="A1147" s="1"/>
      <c r="D1147" s="1"/>
    </row>
    <row r="1148" spans="1:4">
      <c r="A1148" s="1"/>
      <c r="D1148" s="1"/>
    </row>
    <row r="1149" spans="1:4">
      <c r="A1149" s="1"/>
      <c r="D1149" s="1"/>
    </row>
    <row r="1150" spans="1:4">
      <c r="A1150" s="1"/>
      <c r="D1150" s="1"/>
    </row>
    <row r="1151" spans="1:4">
      <c r="A1151" s="1"/>
      <c r="D1151" s="1"/>
    </row>
    <row r="1152" spans="1:4">
      <c r="A1152" s="1"/>
      <c r="D1152" s="1"/>
    </row>
    <row r="1153" spans="1:4">
      <c r="A1153" s="1"/>
      <c r="D1153" s="1"/>
    </row>
    <row r="1154" spans="1:4">
      <c r="A1154" s="1"/>
      <c r="D1154" s="1"/>
    </row>
    <row r="1155" spans="1:4">
      <c r="A1155" s="1"/>
      <c r="D1155" s="1"/>
    </row>
    <row r="1156" spans="1:4">
      <c r="A1156" s="1"/>
      <c r="D1156" s="1"/>
    </row>
    <row r="1157" spans="1:4">
      <c r="A1157" s="1"/>
      <c r="D1157" s="1"/>
    </row>
    <row r="1158" spans="1:4">
      <c r="A1158" s="1"/>
      <c r="D1158" s="1"/>
    </row>
    <row r="1159" spans="1:4">
      <c r="A1159" s="1"/>
      <c r="D1159" s="1"/>
    </row>
    <row r="1160" spans="1:4">
      <c r="A1160" s="1"/>
      <c r="D1160" s="1"/>
    </row>
    <row r="1161" spans="1:4">
      <c r="A1161" s="1"/>
      <c r="D1161" s="1"/>
    </row>
    <row r="1162" spans="1:4">
      <c r="A1162" s="1"/>
      <c r="D1162" s="1"/>
    </row>
    <row r="1163" spans="1:4">
      <c r="A1163" s="1"/>
      <c r="D1163" s="1"/>
    </row>
    <row r="1164" spans="1:4">
      <c r="A1164" s="1"/>
      <c r="D1164" s="1"/>
    </row>
    <row r="1165" spans="1:4">
      <c r="A1165" s="1"/>
      <c r="D1165" s="1"/>
    </row>
    <row r="1166" spans="1:4">
      <c r="A1166" s="1"/>
      <c r="D1166" s="1"/>
    </row>
    <row r="1167" spans="1:4">
      <c r="A1167" s="1"/>
      <c r="D1167" s="1"/>
    </row>
    <row r="1168" spans="1:4">
      <c r="A1168" s="1"/>
      <c r="D1168" s="1"/>
    </row>
    <row r="1169" spans="1:4">
      <c r="A1169" s="1"/>
      <c r="D1169" s="1"/>
    </row>
    <row r="1170" spans="1:4">
      <c r="A1170" s="1"/>
      <c r="D1170" s="1"/>
    </row>
    <row r="1171" spans="1:4">
      <c r="A1171" s="1"/>
      <c r="D1171" s="1"/>
    </row>
    <row r="1172" spans="1:4">
      <c r="A1172" s="1"/>
      <c r="D1172" s="1"/>
    </row>
    <row r="1173" spans="1:4">
      <c r="A1173" s="1"/>
      <c r="D1173" s="1"/>
    </row>
    <row r="1174" spans="1:4">
      <c r="A1174" s="1"/>
      <c r="D1174" s="1"/>
    </row>
    <row r="1175" spans="1:4">
      <c r="A1175" s="1"/>
      <c r="D1175" s="1"/>
    </row>
    <row r="1176" spans="1:4">
      <c r="A1176" s="1"/>
      <c r="D1176" s="1"/>
    </row>
    <row r="1177" spans="1:4">
      <c r="A1177" s="1"/>
      <c r="D1177" s="1"/>
    </row>
    <row r="1178" spans="1:4">
      <c r="A1178" s="1"/>
      <c r="D1178" s="1"/>
    </row>
    <row r="1179" spans="1:4">
      <c r="A1179" s="1"/>
      <c r="D1179" s="1"/>
    </row>
    <row r="1180" spans="1:4">
      <c r="A1180" s="1"/>
      <c r="D1180" s="1"/>
    </row>
    <row r="1181" spans="1:4">
      <c r="A1181" s="1"/>
      <c r="D1181" s="1"/>
    </row>
    <row r="1182" spans="1:4">
      <c r="A1182" s="1"/>
      <c r="D1182" s="1"/>
    </row>
    <row r="1183" spans="1:4">
      <c r="A1183" s="1"/>
      <c r="D1183" s="1"/>
    </row>
    <row r="1184" spans="1:4">
      <c r="A1184" s="1"/>
      <c r="D1184" s="1"/>
    </row>
    <row r="1185" spans="1:4">
      <c r="A1185" s="1"/>
      <c r="D1185" s="1"/>
    </row>
    <row r="1186" spans="1:4">
      <c r="A1186" s="1"/>
      <c r="D1186" s="1"/>
    </row>
    <row r="1187" spans="1:4">
      <c r="A1187" s="1"/>
      <c r="D1187" s="1"/>
    </row>
    <row r="1188" spans="1:4">
      <c r="A1188" s="1"/>
      <c r="D1188" s="1"/>
    </row>
    <row r="1189" spans="1:4">
      <c r="A1189" s="1"/>
      <c r="D1189" s="1"/>
    </row>
    <row r="1190" spans="1:4">
      <c r="A1190" s="1"/>
      <c r="D1190" s="1"/>
    </row>
    <row r="1191" spans="1:4">
      <c r="A1191" s="1"/>
      <c r="D1191" s="1"/>
    </row>
    <row r="1192" spans="1:4">
      <c r="A1192" s="1"/>
      <c r="D1192" s="1"/>
    </row>
    <row r="1193" spans="1:4">
      <c r="A1193" s="1"/>
      <c r="D1193" s="1"/>
    </row>
    <row r="1194" spans="1:4">
      <c r="A1194" s="1"/>
      <c r="D1194" s="1"/>
    </row>
    <row r="1195" spans="1:4">
      <c r="A1195" s="1"/>
      <c r="D1195" s="1"/>
    </row>
    <row r="1196" spans="1:4">
      <c r="A1196" s="1"/>
      <c r="D1196" s="1"/>
    </row>
    <row r="1197" spans="1:4">
      <c r="A1197" s="1"/>
      <c r="D1197" s="1"/>
    </row>
    <row r="1198" spans="1:4">
      <c r="A1198" s="1"/>
      <c r="D1198" s="1"/>
    </row>
    <row r="1199" spans="1:4">
      <c r="A1199" s="1"/>
      <c r="D1199" s="1"/>
    </row>
    <row r="1200" spans="1:4">
      <c r="A1200" s="1"/>
      <c r="D1200" s="1"/>
    </row>
    <row r="1201" spans="1:4">
      <c r="A1201" s="1"/>
      <c r="D1201" s="1"/>
    </row>
    <row r="1202" spans="1:4">
      <c r="A1202" s="1"/>
      <c r="D1202" s="1"/>
    </row>
    <row r="1203" spans="1:4">
      <c r="A1203" s="1"/>
      <c r="D1203" s="1"/>
    </row>
    <row r="1204" spans="1:4">
      <c r="A1204" s="1"/>
      <c r="D1204" s="1"/>
    </row>
    <row r="1205" spans="1:4">
      <c r="A1205" s="1"/>
      <c r="D1205" s="1"/>
    </row>
    <row r="1206" spans="1:4">
      <c r="A1206" s="1"/>
      <c r="D1206" s="1"/>
    </row>
    <row r="1207" spans="1:4">
      <c r="A1207" s="1"/>
      <c r="D1207" s="1"/>
    </row>
    <row r="1208" spans="1:4">
      <c r="A1208" s="1"/>
      <c r="D1208" s="1"/>
    </row>
    <row r="1209" spans="1:4">
      <c r="A1209" s="1"/>
      <c r="D1209" s="1"/>
    </row>
    <row r="1210" spans="1:4">
      <c r="A1210" s="1"/>
      <c r="D1210" s="1"/>
    </row>
    <row r="1211" spans="1:4">
      <c r="A1211" s="1"/>
      <c r="D1211" s="1"/>
    </row>
    <row r="1212" spans="1:4">
      <c r="A1212" s="1"/>
      <c r="D1212" s="1"/>
    </row>
    <row r="1213" spans="1:4">
      <c r="A1213" s="1"/>
      <c r="D1213" s="1"/>
    </row>
    <row r="1214" spans="1:4">
      <c r="A1214" s="1"/>
      <c r="D1214" s="1"/>
    </row>
    <row r="1215" spans="1:4">
      <c r="A1215" s="1"/>
      <c r="D1215" s="1"/>
    </row>
    <row r="1216" spans="1:4">
      <c r="A1216" s="1"/>
      <c r="D1216" s="1"/>
    </row>
    <row r="1217" spans="1:4">
      <c r="A1217" s="1"/>
      <c r="D1217" s="1"/>
    </row>
    <row r="1218" spans="1:4">
      <c r="A1218" s="1"/>
      <c r="D1218" s="1"/>
    </row>
    <row r="1219" spans="1:4">
      <c r="A1219" s="1"/>
      <c r="D1219" s="1"/>
    </row>
    <row r="1220" spans="1:4">
      <c r="A1220" s="1"/>
      <c r="D1220" s="1"/>
    </row>
    <row r="1221" spans="1:4">
      <c r="A1221" s="1"/>
      <c r="D1221" s="1"/>
    </row>
    <row r="1222" spans="1:4">
      <c r="A1222" s="1"/>
      <c r="D1222" s="1"/>
    </row>
    <row r="1223" spans="1:4">
      <c r="A1223" s="1"/>
      <c r="D1223" s="1"/>
    </row>
    <row r="1224" spans="1:4">
      <c r="A1224" s="1"/>
      <c r="D1224" s="1"/>
    </row>
    <row r="1225" spans="1:4">
      <c r="A1225" s="1"/>
      <c r="D1225" s="1"/>
    </row>
    <row r="1226" spans="1:4">
      <c r="A1226" s="1"/>
      <c r="D1226" s="1"/>
    </row>
    <row r="1227" spans="1:4">
      <c r="A1227" s="1"/>
      <c r="D1227" s="1"/>
    </row>
    <row r="1228" spans="1:4">
      <c r="A1228" s="1"/>
      <c r="D1228" s="1"/>
    </row>
    <row r="1229" spans="1:4">
      <c r="A1229" s="1"/>
      <c r="D1229" s="1"/>
    </row>
    <row r="1230" spans="1:4">
      <c r="A1230" s="1"/>
      <c r="D1230" s="1"/>
    </row>
    <row r="1231" spans="1:4">
      <c r="A1231" s="1"/>
      <c r="D1231" s="1"/>
    </row>
    <row r="1232" spans="1:4">
      <c r="A1232" s="1"/>
      <c r="D1232" s="1"/>
    </row>
    <row r="1233" spans="1:4">
      <c r="A1233" s="1"/>
      <c r="D1233" s="1"/>
    </row>
    <row r="1234" spans="1:4">
      <c r="A1234" s="1"/>
      <c r="D1234" s="1"/>
    </row>
    <row r="1235" spans="1:4">
      <c r="A1235" s="1"/>
      <c r="D1235" s="1"/>
    </row>
    <row r="1236" spans="1:4">
      <c r="A1236" s="1"/>
      <c r="D1236" s="1"/>
    </row>
    <row r="1237" spans="1:4">
      <c r="A1237" s="1"/>
      <c r="D1237" s="1"/>
    </row>
    <row r="1238" spans="1:4">
      <c r="A1238" s="1"/>
      <c r="D1238" s="1"/>
    </row>
    <row r="1239" spans="1:4">
      <c r="A1239" s="1"/>
      <c r="D1239" s="1"/>
    </row>
    <row r="1240" spans="1:4">
      <c r="A1240" s="1"/>
      <c r="D1240" s="1"/>
    </row>
    <row r="1241" spans="1:4">
      <c r="A1241" s="1"/>
      <c r="D1241" s="1"/>
    </row>
    <row r="1242" spans="1:4">
      <c r="A1242" s="1"/>
      <c r="D1242" s="1"/>
    </row>
    <row r="1243" spans="1:4">
      <c r="A1243" s="1"/>
      <c r="D1243" s="1"/>
    </row>
    <row r="1244" spans="1:4">
      <c r="A1244" s="1"/>
      <c r="D1244" s="1"/>
    </row>
    <row r="1245" spans="1:4">
      <c r="A1245" s="1"/>
      <c r="D1245" s="1"/>
    </row>
    <row r="1246" spans="1:4">
      <c r="A1246" s="1"/>
      <c r="D1246" s="1"/>
    </row>
    <row r="1247" spans="1:4">
      <c r="A1247" s="1"/>
      <c r="D1247" s="1"/>
    </row>
    <row r="1248" spans="1:4">
      <c r="A1248" s="1"/>
      <c r="D1248" s="1"/>
    </row>
    <row r="1249" spans="1:4">
      <c r="A1249" s="1"/>
      <c r="D1249" s="1"/>
    </row>
    <row r="1250" spans="1:4">
      <c r="A1250" s="1"/>
      <c r="D1250" s="1"/>
    </row>
    <row r="1251" spans="1:4">
      <c r="A1251" s="1"/>
      <c r="D1251" s="1"/>
    </row>
    <row r="1252" spans="1:4">
      <c r="A1252" s="1"/>
      <c r="D1252" s="1"/>
    </row>
    <row r="1253" spans="1:4">
      <c r="A1253" s="1"/>
      <c r="D1253" s="1"/>
    </row>
    <row r="1254" spans="1:4">
      <c r="A1254" s="1"/>
      <c r="D1254" s="1"/>
    </row>
    <row r="1255" spans="1:4">
      <c r="A1255" s="1"/>
      <c r="D1255" s="1"/>
    </row>
    <row r="1256" spans="1:4">
      <c r="A1256" s="1"/>
      <c r="D1256" s="1"/>
    </row>
    <row r="1257" spans="1:4">
      <c r="A1257" s="1"/>
      <c r="D1257" s="1"/>
    </row>
    <row r="1258" spans="1:4">
      <c r="A1258" s="1"/>
      <c r="D1258" s="1"/>
    </row>
    <row r="1259" spans="1:4">
      <c r="A1259" s="1"/>
      <c r="D1259" s="1"/>
    </row>
    <row r="1260" spans="1:4">
      <c r="A1260" s="1"/>
      <c r="D1260" s="1"/>
    </row>
    <row r="1261" spans="1:4">
      <c r="A1261" s="1"/>
      <c r="D1261" s="1"/>
    </row>
    <row r="1262" spans="1:4">
      <c r="A1262" s="1"/>
      <c r="D1262" s="1"/>
    </row>
    <row r="1263" spans="1:4">
      <c r="A1263" s="1"/>
      <c r="D1263" s="1"/>
    </row>
    <row r="1264" spans="1:4">
      <c r="A1264" s="1"/>
      <c r="D1264" s="1"/>
    </row>
    <row r="1265" spans="1:4">
      <c r="A1265" s="1"/>
      <c r="D1265" s="1"/>
    </row>
    <row r="1266" spans="1:4">
      <c r="A1266" s="1"/>
      <c r="D1266" s="1"/>
    </row>
    <row r="1267" spans="1:4">
      <c r="A1267" s="1"/>
      <c r="D1267" s="1"/>
    </row>
    <row r="1268" spans="1:4">
      <c r="A1268" s="1"/>
      <c r="D1268" s="1"/>
    </row>
    <row r="1269" spans="1:4">
      <c r="A1269" s="1"/>
      <c r="D1269" s="1"/>
    </row>
    <row r="1270" spans="1:4">
      <c r="A1270" s="1"/>
      <c r="D1270" s="1"/>
    </row>
    <row r="1271" spans="1:4">
      <c r="A1271" s="1"/>
      <c r="D1271" s="1"/>
    </row>
    <row r="1272" spans="1:4">
      <c r="A1272" s="1"/>
      <c r="D1272" s="1"/>
    </row>
    <row r="1273" spans="1:4">
      <c r="A1273" s="1"/>
      <c r="D1273" s="1"/>
    </row>
    <row r="1274" spans="1:4">
      <c r="A1274" s="1"/>
      <c r="D1274" s="1"/>
    </row>
    <row r="1275" spans="1:4">
      <c r="A1275" s="1"/>
      <c r="D1275" s="1"/>
    </row>
    <row r="1276" spans="1:4">
      <c r="A1276" s="1"/>
      <c r="D1276" s="1"/>
    </row>
    <row r="1277" spans="1:4">
      <c r="A1277" s="1"/>
      <c r="D1277" s="1"/>
    </row>
    <row r="1278" spans="1:4">
      <c r="A1278" s="1"/>
      <c r="D1278" s="1"/>
    </row>
    <row r="1279" spans="1:4">
      <c r="A1279" s="1"/>
      <c r="D1279" s="1"/>
    </row>
    <row r="1280" spans="1:4">
      <c r="A1280" s="1"/>
      <c r="D1280" s="1"/>
    </row>
    <row r="1281" spans="1:4">
      <c r="A1281" s="1"/>
      <c r="D1281" s="1"/>
    </row>
    <row r="1282" spans="1:4">
      <c r="A1282" s="1"/>
      <c r="D1282" s="1"/>
    </row>
    <row r="1283" spans="1:4">
      <c r="A1283" s="1"/>
      <c r="D1283" s="1"/>
    </row>
    <row r="1284" spans="1:4">
      <c r="A1284" s="1"/>
      <c r="D1284" s="1"/>
    </row>
    <row r="1285" spans="1:4">
      <c r="A1285" s="1"/>
      <c r="D1285" s="1"/>
    </row>
    <row r="1286" spans="1:4">
      <c r="A1286" s="1"/>
      <c r="D1286" s="1"/>
    </row>
    <row r="1287" spans="1:4">
      <c r="A1287" s="1"/>
      <c r="D1287" s="1"/>
    </row>
    <row r="1288" spans="1:4">
      <c r="A1288" s="1"/>
      <c r="D1288" s="1"/>
    </row>
    <row r="1289" spans="1:4">
      <c r="A1289" s="1"/>
      <c r="D1289" s="1"/>
    </row>
    <row r="1290" spans="1:4">
      <c r="A1290" s="1"/>
      <c r="D1290" s="1"/>
    </row>
    <row r="1291" spans="1:4">
      <c r="A1291" s="1"/>
      <c r="D1291" s="1"/>
    </row>
    <row r="1292" spans="1:4">
      <c r="A1292" s="1"/>
      <c r="D1292" s="1"/>
    </row>
    <row r="1293" spans="1:4">
      <c r="A1293" s="1"/>
      <c r="D1293" s="1"/>
    </row>
    <row r="1294" spans="1:4">
      <c r="A1294" s="1"/>
      <c r="D1294" s="1"/>
    </row>
    <row r="1295" spans="1:4">
      <c r="A1295" s="1"/>
      <c r="D1295" s="1"/>
    </row>
    <row r="1296" spans="1:4">
      <c r="A1296" s="1"/>
      <c r="D1296" s="1"/>
    </row>
    <row r="1297" spans="1:4">
      <c r="A1297" s="1"/>
      <c r="D1297" s="1"/>
    </row>
    <row r="1298" spans="1:4">
      <c r="A1298" s="1"/>
      <c r="D1298" s="1"/>
    </row>
    <row r="1299" spans="1:4">
      <c r="A1299" s="1"/>
      <c r="D1299" s="1"/>
    </row>
    <row r="1300" spans="1:4">
      <c r="A1300" s="1"/>
      <c r="D1300" s="1"/>
    </row>
    <row r="1301" spans="1:4">
      <c r="A1301" s="1"/>
      <c r="D1301" s="1"/>
    </row>
    <row r="1302" spans="1:4">
      <c r="A1302" s="1"/>
      <c r="D1302" s="1"/>
    </row>
    <row r="1303" spans="1:4">
      <c r="A1303" s="1"/>
      <c r="D1303" s="1"/>
    </row>
    <row r="1304" spans="1:4">
      <c r="A1304" s="1"/>
      <c r="D1304" s="1"/>
    </row>
    <row r="1305" spans="1:4">
      <c r="A1305" s="1"/>
      <c r="D1305" s="1"/>
    </row>
    <row r="1306" spans="1:4">
      <c r="A1306" s="1"/>
      <c r="D1306" s="1"/>
    </row>
    <row r="1307" spans="1:4">
      <c r="A1307" s="1"/>
      <c r="D1307" s="1"/>
    </row>
    <row r="1308" spans="1:4">
      <c r="A1308" s="1"/>
      <c r="D1308" s="1"/>
    </row>
    <row r="1309" spans="1:4">
      <c r="A1309" s="1"/>
      <c r="D1309" s="1"/>
    </row>
    <row r="1310" spans="1:4">
      <c r="A1310" s="1"/>
      <c r="D1310" s="1"/>
    </row>
    <row r="1311" spans="1:4">
      <c r="A1311" s="1"/>
      <c r="D1311" s="1"/>
    </row>
    <row r="1312" spans="1:4">
      <c r="A1312" s="1"/>
      <c r="D1312" s="1"/>
    </row>
    <row r="1313" spans="1:4">
      <c r="A1313" s="1"/>
      <c r="D1313" s="1"/>
    </row>
    <row r="1314" spans="1:4">
      <c r="A1314" s="1"/>
      <c r="D1314" s="1"/>
    </row>
    <row r="1315" spans="1:4">
      <c r="A1315" s="1"/>
      <c r="D1315" s="1"/>
    </row>
    <row r="1316" spans="1:4">
      <c r="A1316" s="1"/>
      <c r="D1316" s="1"/>
    </row>
    <row r="1317" spans="1:4">
      <c r="A1317" s="1"/>
      <c r="D1317" s="1"/>
    </row>
    <row r="1318" spans="1:4">
      <c r="A1318" s="1"/>
      <c r="D1318" s="1"/>
    </row>
    <row r="1319" spans="1:4">
      <c r="A1319" s="1"/>
      <c r="D1319" s="1"/>
    </row>
    <row r="1320" spans="1:4">
      <c r="A1320" s="1"/>
      <c r="D1320" s="1"/>
    </row>
    <row r="1321" spans="1:4">
      <c r="A1321" s="1"/>
      <c r="D1321" s="1"/>
    </row>
    <row r="1322" spans="1:4">
      <c r="A1322" s="1"/>
      <c r="D1322" s="1"/>
    </row>
    <row r="1323" spans="1:4">
      <c r="A1323" s="1"/>
      <c r="D1323" s="1"/>
    </row>
    <row r="1324" spans="1:4">
      <c r="A1324" s="1"/>
      <c r="D1324" s="1"/>
    </row>
    <row r="1325" spans="1:4">
      <c r="A1325" s="1"/>
      <c r="D1325" s="1"/>
    </row>
    <row r="1326" spans="1:4">
      <c r="A1326" s="1"/>
      <c r="D1326" s="1"/>
    </row>
    <row r="1327" spans="1:4">
      <c r="A1327" s="1"/>
      <c r="D1327" s="1"/>
    </row>
    <row r="1328" spans="1:4">
      <c r="A1328" s="1"/>
      <c r="D1328" s="1"/>
    </row>
    <row r="1329" spans="1:4">
      <c r="A1329" s="1"/>
      <c r="D1329" s="1"/>
    </row>
    <row r="1330" spans="1:4">
      <c r="A1330" s="1"/>
      <c r="D1330" s="1"/>
    </row>
    <row r="1331" spans="1:4">
      <c r="A1331" s="1"/>
      <c r="D1331" s="1"/>
    </row>
    <row r="1332" spans="1:4">
      <c r="A1332" s="1"/>
      <c r="D1332" s="1"/>
    </row>
    <row r="1333" spans="1:4">
      <c r="A1333" s="1"/>
      <c r="D1333" s="1"/>
    </row>
    <row r="1334" spans="1:4">
      <c r="A1334" s="1"/>
      <c r="D1334" s="1"/>
    </row>
    <row r="1335" spans="1:4">
      <c r="A1335" s="1"/>
      <c r="D1335" s="1"/>
    </row>
    <row r="1336" spans="1:4">
      <c r="A1336" s="1"/>
      <c r="D1336" s="1"/>
    </row>
    <row r="1337" spans="1:4">
      <c r="A1337" s="1"/>
      <c r="D1337" s="1"/>
    </row>
    <row r="1338" spans="1:4">
      <c r="A1338" s="1"/>
      <c r="D1338" s="1"/>
    </row>
    <row r="1339" spans="1:4">
      <c r="A1339" s="1"/>
      <c r="D1339" s="1"/>
    </row>
    <row r="1340" spans="1:4">
      <c r="A1340" s="1"/>
      <c r="D1340" s="1"/>
    </row>
    <row r="1341" spans="1:4">
      <c r="A1341" s="1"/>
      <c r="D1341" s="1"/>
    </row>
    <row r="1342" spans="1:4">
      <c r="A1342" s="1"/>
      <c r="D1342" s="1"/>
    </row>
    <row r="1343" spans="1:4">
      <c r="A1343" s="1"/>
      <c r="D1343" s="1"/>
    </row>
    <row r="1344" spans="1:4">
      <c r="A1344" s="1"/>
      <c r="D1344" s="1"/>
    </row>
    <row r="1345" spans="1:4">
      <c r="A1345" s="1"/>
      <c r="D1345" s="1"/>
    </row>
    <row r="1346" spans="1:4">
      <c r="A1346" s="1"/>
      <c r="D1346" s="1"/>
    </row>
    <row r="1347" spans="1:4">
      <c r="A1347" s="1"/>
      <c r="D1347" s="1"/>
    </row>
    <row r="1348" spans="1:4">
      <c r="A1348" s="1"/>
      <c r="D1348" s="1"/>
    </row>
    <row r="1349" spans="1:4">
      <c r="A1349" s="1"/>
      <c r="D1349" s="1"/>
    </row>
    <row r="1350" spans="1:4">
      <c r="A1350" s="1"/>
      <c r="D1350" s="1"/>
    </row>
    <row r="1351" spans="1:4">
      <c r="A1351" s="1"/>
      <c r="D1351" s="1"/>
    </row>
    <row r="1352" spans="1:4">
      <c r="A1352" s="1"/>
      <c r="D1352" s="1"/>
    </row>
    <row r="1353" spans="1:4">
      <c r="A1353" s="1"/>
      <c r="D1353" s="1"/>
    </row>
    <row r="1354" spans="1:4">
      <c r="A1354" s="1"/>
      <c r="D1354" s="1"/>
    </row>
    <row r="1355" spans="1:4">
      <c r="A1355" s="1"/>
      <c r="D1355" s="1"/>
    </row>
    <row r="1356" spans="1:4">
      <c r="A1356" s="1"/>
      <c r="D1356" s="1"/>
    </row>
    <row r="1357" spans="1:4">
      <c r="A1357" s="1"/>
      <c r="D1357" s="1"/>
    </row>
    <row r="1358" spans="1:4">
      <c r="A1358" s="1"/>
      <c r="D1358" s="1"/>
    </row>
    <row r="1359" spans="1:4">
      <c r="A1359" s="1"/>
      <c r="D1359" s="1"/>
    </row>
    <row r="1360" spans="1:4">
      <c r="A1360" s="1"/>
      <c r="D1360" s="1"/>
    </row>
    <row r="1361" spans="1:4">
      <c r="A1361" s="1"/>
      <c r="D1361" s="1"/>
    </row>
    <row r="1362" spans="1:4">
      <c r="A1362" s="1"/>
      <c r="D1362" s="1"/>
    </row>
    <row r="1363" spans="1:4">
      <c r="A1363" s="1"/>
      <c r="D1363" s="1"/>
    </row>
    <row r="1364" spans="1:4">
      <c r="A1364" s="1"/>
      <c r="D1364" s="1"/>
    </row>
    <row r="1365" spans="1:4">
      <c r="A1365" s="1"/>
      <c r="D1365" s="1"/>
    </row>
    <row r="1366" spans="1:4">
      <c r="A1366" s="1"/>
      <c r="D1366" s="1"/>
    </row>
    <row r="1367" spans="1:4">
      <c r="A1367" s="1"/>
      <c r="D1367" s="1"/>
    </row>
    <row r="1368" spans="1:4">
      <c r="A1368" s="1"/>
      <c r="D1368" s="1"/>
    </row>
    <row r="1369" spans="1:4">
      <c r="A1369" s="1"/>
      <c r="D1369" s="1"/>
    </row>
    <row r="1370" spans="1:4">
      <c r="A1370" s="1"/>
      <c r="D1370" s="1"/>
    </row>
    <row r="1371" spans="1:4">
      <c r="A1371" s="1"/>
      <c r="D1371" s="1"/>
    </row>
    <row r="1372" spans="1:4">
      <c r="A1372" s="1"/>
      <c r="D1372" s="1"/>
    </row>
    <row r="1373" spans="1:4">
      <c r="A1373" s="1"/>
      <c r="D1373" s="1"/>
    </row>
    <row r="1374" spans="1:4">
      <c r="A1374" s="1"/>
      <c r="D1374" s="1"/>
    </row>
    <row r="1375" spans="1:4">
      <c r="A1375" s="1"/>
      <c r="D1375" s="1"/>
    </row>
    <row r="1376" spans="1:4">
      <c r="A1376" s="1"/>
      <c r="D1376" s="1"/>
    </row>
    <row r="1377" spans="1:4">
      <c r="A1377" s="1"/>
      <c r="D1377" s="1"/>
    </row>
    <row r="1378" spans="1:4">
      <c r="A1378" s="1"/>
      <c r="D1378" s="1"/>
    </row>
    <row r="1379" spans="1:4">
      <c r="A1379" s="1"/>
      <c r="D1379" s="1"/>
    </row>
    <row r="1380" spans="1:4">
      <c r="A1380" s="1"/>
      <c r="D1380" s="1"/>
    </row>
    <row r="1381" spans="1:4">
      <c r="A1381" s="1"/>
      <c r="D1381" s="1"/>
    </row>
    <row r="1382" spans="1:4">
      <c r="A1382" s="1"/>
      <c r="D1382" s="1"/>
    </row>
    <row r="1383" spans="1:4">
      <c r="A1383" s="1"/>
      <c r="D1383" s="1"/>
    </row>
    <row r="1384" spans="1:4">
      <c r="A1384" s="1"/>
      <c r="D1384" s="1"/>
    </row>
    <row r="1385" spans="1:4">
      <c r="A1385" s="1"/>
      <c r="D1385" s="1"/>
    </row>
    <row r="1386" spans="1:4">
      <c r="A1386" s="1"/>
      <c r="D1386" s="1"/>
    </row>
    <row r="1387" spans="1:4">
      <c r="A1387" s="1"/>
      <c r="D1387" s="1"/>
    </row>
    <row r="1388" spans="1:4">
      <c r="A1388" s="1"/>
      <c r="D1388" s="1"/>
    </row>
    <row r="1389" spans="1:4">
      <c r="A1389" s="1"/>
      <c r="D1389" s="1"/>
    </row>
    <row r="1390" spans="1:4">
      <c r="A1390" s="1"/>
      <c r="D1390" s="1"/>
    </row>
    <row r="1391" spans="1:4">
      <c r="A1391" s="1"/>
      <c r="D1391" s="1"/>
    </row>
    <row r="1392" spans="1:4">
      <c r="A1392" s="1"/>
      <c r="D1392" s="1"/>
    </row>
    <row r="1393" spans="1:4">
      <c r="A1393" s="1"/>
      <c r="D1393" s="1"/>
    </row>
    <row r="1394" spans="1:4">
      <c r="A1394" s="1"/>
      <c r="D1394" s="1"/>
    </row>
    <row r="1395" spans="1:4">
      <c r="A1395" s="1"/>
      <c r="D1395" s="1"/>
    </row>
    <row r="1396" spans="1:4">
      <c r="A1396" s="1"/>
      <c r="D1396" s="1"/>
    </row>
    <row r="1397" spans="1:4">
      <c r="A1397" s="1"/>
      <c r="D1397" s="1"/>
    </row>
    <row r="1398" spans="1:4">
      <c r="A1398" s="1"/>
      <c r="D1398" s="1"/>
    </row>
    <row r="1399" spans="1:4">
      <c r="A1399" s="1"/>
      <c r="D1399" s="1"/>
    </row>
    <row r="1400" spans="1:4">
      <c r="A1400" s="1"/>
      <c r="D1400" s="1"/>
    </row>
    <row r="1401" spans="1:4">
      <c r="A1401" s="1"/>
      <c r="D1401" s="1"/>
    </row>
    <row r="1402" spans="1:4">
      <c r="A1402" s="1"/>
      <c r="D1402" s="1"/>
    </row>
    <row r="1403" spans="1:4">
      <c r="A1403" s="1"/>
      <c r="D1403" s="1"/>
    </row>
    <row r="1404" spans="1:4">
      <c r="A1404" s="1"/>
      <c r="D1404" s="1"/>
    </row>
    <row r="1405" spans="1:4">
      <c r="A1405" s="1"/>
      <c r="D1405" s="1"/>
    </row>
    <row r="1406" spans="1:4">
      <c r="A1406" s="1"/>
      <c r="D1406" s="1"/>
    </row>
    <row r="1407" spans="1:4">
      <c r="A1407" s="1"/>
      <c r="D1407" s="1"/>
    </row>
    <row r="1408" spans="1:4">
      <c r="A1408" s="1"/>
      <c r="D1408" s="1"/>
    </row>
    <row r="1409" spans="1:4">
      <c r="A1409" s="1"/>
      <c r="D1409" s="1"/>
    </row>
    <row r="1410" spans="1:4">
      <c r="A1410" s="1"/>
      <c r="D1410" s="1"/>
    </row>
    <row r="1411" spans="1:4">
      <c r="A1411" s="1"/>
      <c r="D1411" s="1"/>
    </row>
    <row r="1412" spans="1:4">
      <c r="A1412" s="1"/>
      <c r="D1412" s="1"/>
    </row>
    <row r="1413" spans="1:4">
      <c r="A1413" s="1"/>
      <c r="D1413" s="1"/>
    </row>
    <row r="1414" spans="1:4">
      <c r="A1414" s="1"/>
      <c r="D1414" s="1"/>
    </row>
    <row r="1415" spans="1:4">
      <c r="A1415" s="1"/>
      <c r="D1415" s="1"/>
    </row>
    <row r="1416" spans="1:4">
      <c r="A1416" s="1"/>
      <c r="D1416" s="1"/>
    </row>
    <row r="1417" spans="1:4">
      <c r="A1417" s="1"/>
      <c r="D1417" s="1"/>
    </row>
    <row r="1418" spans="1:4">
      <c r="A1418" s="1"/>
      <c r="D1418" s="1"/>
    </row>
    <row r="1419" spans="1:4">
      <c r="A1419" s="1"/>
      <c r="D1419" s="1"/>
    </row>
    <row r="1420" spans="1:4">
      <c r="A1420" s="1"/>
      <c r="D1420" s="1"/>
    </row>
    <row r="1421" spans="1:4">
      <c r="A1421" s="1"/>
      <c r="D1421" s="1"/>
    </row>
    <row r="1422" spans="1:4">
      <c r="A1422" s="1"/>
      <c r="D1422" s="1"/>
    </row>
    <row r="1423" spans="1:4">
      <c r="A1423" s="1"/>
      <c r="D1423" s="1"/>
    </row>
    <row r="1424" spans="1:4">
      <c r="A1424" s="1"/>
      <c r="D1424" s="1"/>
    </row>
    <row r="1425" spans="1:4">
      <c r="A1425" s="1"/>
      <c r="D1425" s="1"/>
    </row>
    <row r="1426" spans="1:4">
      <c r="A1426" s="1"/>
      <c r="D1426" s="1"/>
    </row>
    <row r="1427" spans="1:4">
      <c r="A1427" s="1"/>
      <c r="D1427" s="1"/>
    </row>
    <row r="1428" spans="1:4">
      <c r="A1428" s="1"/>
      <c r="D1428" s="1"/>
    </row>
    <row r="1429" spans="1:4">
      <c r="A1429" s="1"/>
      <c r="D1429" s="1"/>
    </row>
    <row r="1430" spans="1:4">
      <c r="A1430" s="1"/>
      <c r="D1430" s="1"/>
    </row>
    <row r="1431" spans="1:4">
      <c r="A1431" s="1"/>
      <c r="D1431" s="1"/>
    </row>
    <row r="1432" spans="1:4">
      <c r="A1432" s="1"/>
      <c r="D1432" s="1"/>
    </row>
    <row r="1433" spans="1:4">
      <c r="A1433" s="1"/>
      <c r="D1433" s="1"/>
    </row>
    <row r="1434" spans="1:4">
      <c r="A1434" s="1"/>
      <c r="D1434" s="1"/>
    </row>
    <row r="1435" spans="1:4">
      <c r="A1435" s="1"/>
      <c r="D1435" s="1"/>
    </row>
    <row r="1436" spans="1:4">
      <c r="A1436" s="1"/>
      <c r="D1436" s="1"/>
    </row>
    <row r="1437" spans="1:4">
      <c r="A1437" s="1"/>
      <c r="D1437" s="1"/>
    </row>
    <row r="1438" spans="1:4">
      <c r="A1438" s="1"/>
      <c r="D1438" s="1"/>
    </row>
    <row r="1439" spans="1:4">
      <c r="A1439" s="1"/>
      <c r="D1439" s="1"/>
    </row>
    <row r="1440" spans="1:4">
      <c r="A1440" s="1"/>
      <c r="D1440" s="1"/>
    </row>
    <row r="1441" spans="1:4">
      <c r="A1441" s="1"/>
      <c r="D1441" s="1"/>
    </row>
    <row r="1442" spans="1:4">
      <c r="A1442" s="1"/>
      <c r="D1442" s="1"/>
    </row>
    <row r="1443" spans="1:4">
      <c r="A1443" s="1"/>
      <c r="D1443" s="1"/>
    </row>
    <row r="1444" spans="1:4">
      <c r="A1444" s="1"/>
      <c r="D1444" s="1"/>
    </row>
    <row r="1445" spans="1:4">
      <c r="A1445" s="1"/>
      <c r="D1445" s="1"/>
    </row>
    <row r="1446" spans="1:4">
      <c r="A1446" s="1"/>
      <c r="D1446" s="1"/>
    </row>
    <row r="1447" spans="1:4">
      <c r="A1447" s="1"/>
      <c r="D1447" s="1"/>
    </row>
    <row r="1448" spans="1:4">
      <c r="A1448" s="1"/>
      <c r="D1448" s="1"/>
    </row>
    <row r="1449" spans="1:4">
      <c r="A1449" s="1"/>
      <c r="D1449" s="1"/>
    </row>
    <row r="1450" spans="1:4">
      <c r="A1450" s="1"/>
      <c r="D1450" s="1"/>
    </row>
    <row r="1451" spans="1:4">
      <c r="A1451" s="1"/>
      <c r="D1451" s="1"/>
    </row>
    <row r="1452" spans="1:4">
      <c r="A1452" s="1"/>
      <c r="D1452" s="1"/>
    </row>
    <row r="1453" spans="1:4">
      <c r="A1453" s="1"/>
      <c r="D1453" s="1"/>
    </row>
    <row r="1454" spans="1:4">
      <c r="A1454" s="1"/>
      <c r="D1454" s="1"/>
    </row>
    <row r="1455" spans="1:4">
      <c r="A1455" s="1"/>
      <c r="D1455" s="1"/>
    </row>
    <row r="1456" spans="1:4">
      <c r="A1456" s="1"/>
      <c r="D1456" s="1"/>
    </row>
    <row r="1457" spans="1:4">
      <c r="A1457" s="1"/>
      <c r="D1457" s="1"/>
    </row>
    <row r="1458" spans="1:4">
      <c r="A1458" s="1"/>
      <c r="D1458" s="1"/>
    </row>
    <row r="1459" spans="1:4">
      <c r="A1459" s="1"/>
      <c r="D1459" s="1"/>
    </row>
    <row r="1460" spans="1:4">
      <c r="A1460" s="1"/>
      <c r="D1460" s="1"/>
    </row>
    <row r="1461" spans="1:4">
      <c r="A1461" s="1"/>
      <c r="D1461" s="1"/>
    </row>
    <row r="1462" spans="1:4">
      <c r="A1462" s="1"/>
      <c r="D1462" s="1"/>
    </row>
    <row r="1463" spans="1:4">
      <c r="A1463" s="1"/>
      <c r="D1463" s="1"/>
    </row>
    <row r="1464" spans="1:4">
      <c r="A1464" s="1"/>
      <c r="D1464" s="1"/>
    </row>
    <row r="1465" spans="1:4">
      <c r="A1465" s="1"/>
      <c r="D1465" s="1"/>
    </row>
    <row r="1466" spans="1:4">
      <c r="A1466" s="1"/>
      <c r="D1466" s="1"/>
    </row>
    <row r="1467" spans="1:4">
      <c r="A1467" s="1"/>
      <c r="D1467" s="1"/>
    </row>
    <row r="1468" spans="1:4">
      <c r="A1468" s="1"/>
      <c r="D1468" s="1"/>
    </row>
    <row r="1469" spans="1:4">
      <c r="A1469" s="1"/>
      <c r="D1469" s="1"/>
    </row>
    <row r="1470" spans="1:4">
      <c r="A1470" s="1"/>
      <c r="D1470" s="1"/>
    </row>
    <row r="1471" spans="1:4">
      <c r="A1471" s="1"/>
      <c r="D1471" s="1"/>
    </row>
    <row r="1472" spans="1:4">
      <c r="A1472" s="1"/>
      <c r="D1472" s="1"/>
    </row>
    <row r="1473" spans="1:4">
      <c r="A1473" s="1"/>
      <c r="D1473" s="1"/>
    </row>
    <row r="1474" spans="1:4">
      <c r="A1474" s="1"/>
      <c r="D1474" s="1"/>
    </row>
    <row r="1475" spans="1:4">
      <c r="A1475" s="1"/>
      <c r="D1475" s="1"/>
    </row>
    <row r="1476" spans="1:4">
      <c r="A1476" s="1"/>
      <c r="D1476" s="1"/>
    </row>
    <row r="1477" spans="1:4">
      <c r="A1477" s="1"/>
      <c r="D1477" s="1"/>
    </row>
    <row r="1478" spans="1:4">
      <c r="A1478" s="1"/>
      <c r="D1478" s="1"/>
    </row>
    <row r="1479" spans="1:4">
      <c r="A1479" s="1"/>
      <c r="D1479" s="1"/>
    </row>
    <row r="1480" spans="1:4">
      <c r="A1480" s="1"/>
      <c r="D1480" s="1"/>
    </row>
    <row r="1481" spans="1:4">
      <c r="A1481" s="1"/>
      <c r="D1481" s="1"/>
    </row>
    <row r="1482" spans="1:4">
      <c r="A1482" s="1"/>
      <c r="D1482" s="1"/>
    </row>
    <row r="1483" spans="1:4">
      <c r="A1483" s="1"/>
      <c r="D1483" s="1"/>
    </row>
    <row r="1484" spans="1:4">
      <c r="A1484" s="1"/>
      <c r="D1484" s="1"/>
    </row>
    <row r="1485" spans="1:4">
      <c r="A1485" s="1"/>
      <c r="D1485" s="1"/>
    </row>
    <row r="1486" spans="1:4">
      <c r="A1486" s="1"/>
      <c r="D1486" s="1"/>
    </row>
    <row r="1487" spans="1:4">
      <c r="A1487" s="1"/>
      <c r="D1487" s="1"/>
    </row>
    <row r="1488" spans="1:4">
      <c r="A1488" s="1"/>
      <c r="D1488" s="1"/>
    </row>
    <row r="1489" spans="1:4">
      <c r="A1489" s="1"/>
      <c r="D1489" s="1"/>
    </row>
    <row r="1490" spans="1:4">
      <c r="A1490" s="1"/>
      <c r="D1490" s="1"/>
    </row>
    <row r="1491" spans="1:4">
      <c r="A1491" s="1"/>
      <c r="D1491" s="1"/>
    </row>
    <row r="1492" spans="1:4">
      <c r="A1492" s="1"/>
      <c r="D1492" s="1"/>
    </row>
    <row r="1493" spans="1:4">
      <c r="A1493" s="1"/>
      <c r="D1493" s="1"/>
    </row>
    <row r="1494" spans="1:4">
      <c r="A1494" s="1"/>
      <c r="D1494" s="1"/>
    </row>
    <row r="1495" spans="1:4">
      <c r="A1495" s="1"/>
      <c r="D1495" s="1"/>
    </row>
    <row r="1496" spans="1:4">
      <c r="A1496" s="1"/>
      <c r="D1496" s="1"/>
    </row>
    <row r="1497" spans="1:4">
      <c r="A1497" s="1"/>
      <c r="D1497" s="1"/>
    </row>
    <row r="1498" spans="1:4">
      <c r="A1498" s="1"/>
      <c r="D1498" s="1"/>
    </row>
    <row r="1499" spans="1:4">
      <c r="A1499" s="1"/>
      <c r="D1499" s="1"/>
    </row>
    <row r="1500" spans="1:4">
      <c r="A1500" s="1"/>
      <c r="D1500" s="1"/>
    </row>
    <row r="1501" spans="1:4">
      <c r="A1501" s="1"/>
      <c r="D1501" s="1"/>
    </row>
    <row r="1502" spans="1:4">
      <c r="A1502" s="1"/>
      <c r="D1502" s="1"/>
    </row>
    <row r="1503" spans="1:4">
      <c r="A1503" s="1"/>
      <c r="D1503" s="1"/>
    </row>
    <row r="1504" spans="1:4">
      <c r="A1504" s="1"/>
      <c r="D1504" s="1"/>
    </row>
    <row r="1505" spans="1:4">
      <c r="A1505" s="1"/>
      <c r="D1505" s="1"/>
    </row>
    <row r="1506" spans="1:4">
      <c r="A1506" s="1"/>
      <c r="D1506" s="1"/>
    </row>
    <row r="1507" spans="1:4">
      <c r="A1507" s="1"/>
      <c r="D1507" s="1"/>
    </row>
    <row r="1508" spans="1:4">
      <c r="A1508" s="1"/>
      <c r="D1508" s="1"/>
    </row>
    <row r="1509" spans="1:4">
      <c r="A1509" s="1"/>
      <c r="D1509" s="1"/>
    </row>
    <row r="1510" spans="1:4">
      <c r="A1510" s="1"/>
      <c r="D1510" s="1"/>
    </row>
    <row r="1511" spans="1:4">
      <c r="A1511" s="1"/>
      <c r="D1511" s="1"/>
    </row>
    <row r="1512" spans="1:4">
      <c r="A1512" s="1"/>
      <c r="D1512" s="1"/>
    </row>
    <row r="1513" spans="1:4">
      <c r="A1513" s="1"/>
      <c r="D1513" s="1"/>
    </row>
    <row r="1514" spans="1:4">
      <c r="A1514" s="1"/>
      <c r="D1514" s="1"/>
    </row>
    <row r="1515" spans="1:4">
      <c r="A1515" s="1"/>
      <c r="D1515" s="1"/>
    </row>
    <row r="1516" spans="1:4">
      <c r="A1516" s="1"/>
      <c r="D1516" s="1"/>
    </row>
    <row r="1517" spans="1:4">
      <c r="A1517" s="1"/>
      <c r="D1517" s="1"/>
    </row>
    <row r="1518" spans="1:4">
      <c r="A1518" s="1"/>
      <c r="D1518" s="1"/>
    </row>
    <row r="1519" spans="1:4">
      <c r="A1519" s="1"/>
      <c r="D1519" s="1"/>
    </row>
    <row r="1520" spans="1:4">
      <c r="A1520" s="1"/>
      <c r="D1520" s="1"/>
    </row>
    <row r="1521" spans="1:4">
      <c r="A1521" s="1"/>
      <c r="D1521" s="1"/>
    </row>
    <row r="1522" spans="1:4">
      <c r="A1522" s="1"/>
      <c r="D1522" s="1"/>
    </row>
    <row r="1523" spans="1:4">
      <c r="A1523" s="1"/>
      <c r="D1523" s="1"/>
    </row>
    <row r="1524" spans="1:4">
      <c r="A1524" s="1"/>
      <c r="D1524" s="1"/>
    </row>
    <row r="1525" spans="1:4">
      <c r="A1525" s="1"/>
      <c r="D1525" s="1"/>
    </row>
    <row r="1526" spans="1:4">
      <c r="A1526" s="1"/>
      <c r="D1526" s="1"/>
    </row>
    <row r="1527" spans="1:4">
      <c r="A1527" s="1"/>
      <c r="D1527" s="1"/>
    </row>
    <row r="1528" spans="1:4">
      <c r="A1528" s="1"/>
      <c r="D1528" s="1"/>
    </row>
    <row r="1529" spans="1:4">
      <c r="A1529" s="1"/>
      <c r="D1529" s="1"/>
    </row>
    <row r="1530" spans="1:4">
      <c r="A1530" s="1"/>
      <c r="D1530" s="1"/>
    </row>
    <row r="1531" spans="1:4">
      <c r="A1531" s="1"/>
      <c r="D1531" s="1"/>
    </row>
    <row r="1532" spans="1:4">
      <c r="A1532" s="1"/>
      <c r="D1532" s="1"/>
    </row>
    <row r="1533" spans="1:4">
      <c r="A1533" s="1"/>
      <c r="D1533" s="1"/>
    </row>
    <row r="1534" spans="1:4">
      <c r="A1534" s="1"/>
      <c r="D1534" s="1"/>
    </row>
    <row r="1535" spans="1:4">
      <c r="A1535" s="1"/>
      <c r="D1535" s="1"/>
    </row>
    <row r="1536" spans="1:4">
      <c r="A1536" s="1"/>
      <c r="D1536" s="1"/>
    </row>
    <row r="1537" spans="1:4">
      <c r="A1537" s="1"/>
      <c r="D1537" s="1"/>
    </row>
    <row r="1538" spans="1:4">
      <c r="A1538" s="1"/>
      <c r="D1538" s="1"/>
    </row>
    <row r="1539" spans="1:4">
      <c r="A1539" s="1"/>
      <c r="D1539" s="1"/>
    </row>
    <row r="1540" spans="1:4">
      <c r="A1540" s="1"/>
      <c r="D1540" s="1"/>
    </row>
    <row r="1541" spans="1:4">
      <c r="A1541" s="1"/>
      <c r="D1541" s="1"/>
    </row>
    <row r="1542" spans="1:4">
      <c r="A1542" s="1"/>
      <c r="D1542" s="1"/>
    </row>
    <row r="1543" spans="1:4">
      <c r="A1543" s="1"/>
      <c r="D1543" s="1"/>
    </row>
    <row r="1544" spans="1:4">
      <c r="A1544" s="1"/>
      <c r="D1544" s="1"/>
    </row>
    <row r="1545" spans="1:4">
      <c r="A1545" s="1"/>
      <c r="D1545" s="1"/>
    </row>
    <row r="1546" spans="1:4">
      <c r="A1546" s="1"/>
      <c r="D1546" s="1"/>
    </row>
    <row r="1547" spans="1:4">
      <c r="A1547" s="1"/>
      <c r="D1547" s="1"/>
    </row>
    <row r="1548" spans="1:4">
      <c r="A1548" s="1"/>
      <c r="D1548" s="1"/>
    </row>
    <row r="1549" spans="1:4">
      <c r="A1549" s="1"/>
      <c r="D1549" s="1"/>
    </row>
    <row r="1550" spans="1:4">
      <c r="A1550" s="1"/>
      <c r="D1550" s="1"/>
    </row>
    <row r="1551" spans="1:4">
      <c r="A1551" s="1"/>
      <c r="D1551" s="1"/>
    </row>
    <row r="1552" spans="1:4">
      <c r="A1552" s="1"/>
      <c r="D1552" s="1"/>
    </row>
    <row r="1553" spans="1:4">
      <c r="A1553" s="1"/>
      <c r="D1553" s="1"/>
    </row>
    <row r="1554" spans="1:4">
      <c r="A1554" s="1"/>
      <c r="D1554" s="1"/>
    </row>
    <row r="1555" spans="1:4">
      <c r="A1555" s="1"/>
      <c r="D1555" s="1"/>
    </row>
    <row r="1556" spans="1:4">
      <c r="A1556" s="1"/>
      <c r="D1556" s="1"/>
    </row>
    <row r="1557" spans="1:4">
      <c r="A1557" s="1"/>
      <c r="D1557" s="1"/>
    </row>
    <row r="1558" spans="1:4">
      <c r="A1558" s="1"/>
      <c r="D1558" s="1"/>
    </row>
    <row r="1559" spans="1:4">
      <c r="A1559" s="1"/>
      <c r="D1559" s="1"/>
    </row>
    <row r="1560" spans="1:4">
      <c r="A1560" s="1"/>
      <c r="D1560" s="1"/>
    </row>
    <row r="1561" spans="1:4">
      <c r="A1561" s="1"/>
      <c r="D1561" s="1"/>
    </row>
    <row r="1562" spans="1:4">
      <c r="A1562" s="1"/>
      <c r="D1562" s="1"/>
    </row>
    <row r="1563" spans="1:4">
      <c r="A1563" s="1"/>
      <c r="D1563" s="1"/>
    </row>
    <row r="1564" spans="1:4">
      <c r="A1564" s="1"/>
      <c r="D1564" s="1"/>
    </row>
    <row r="1565" spans="1:4">
      <c r="A1565" s="1"/>
      <c r="D1565" s="1"/>
    </row>
    <row r="1566" spans="1:4">
      <c r="A1566" s="1"/>
      <c r="D1566" s="1"/>
    </row>
    <row r="1567" spans="1:4">
      <c r="A1567" s="1"/>
      <c r="D1567" s="1"/>
    </row>
    <row r="1568" spans="1:4">
      <c r="A1568" s="1"/>
      <c r="D1568" s="1"/>
    </row>
    <row r="1569" spans="1:4">
      <c r="A1569" s="1"/>
      <c r="D1569" s="1"/>
    </row>
    <row r="1570" spans="1:4">
      <c r="A1570" s="1"/>
      <c r="D1570" s="1"/>
    </row>
    <row r="1571" spans="1:4">
      <c r="A1571" s="1"/>
      <c r="D1571" s="1"/>
    </row>
    <row r="1572" spans="1:4">
      <c r="A1572" s="1"/>
      <c r="D1572" s="1"/>
    </row>
    <row r="1573" spans="1:4">
      <c r="A1573" s="1"/>
      <c r="D1573" s="1"/>
    </row>
    <row r="1574" spans="1:4">
      <c r="A1574" s="1"/>
      <c r="D1574" s="1"/>
    </row>
    <row r="1575" spans="1:4">
      <c r="A1575" s="1"/>
      <c r="D1575" s="1"/>
    </row>
    <row r="1576" spans="1:4">
      <c r="A1576" s="1"/>
      <c r="D1576" s="1"/>
    </row>
    <row r="1577" spans="1:4">
      <c r="A1577" s="1"/>
      <c r="D1577" s="1"/>
    </row>
    <row r="1578" spans="1:4">
      <c r="A1578" s="1"/>
      <c r="D1578" s="1"/>
    </row>
    <row r="1579" spans="1:4">
      <c r="A1579" s="1"/>
      <c r="D1579" s="1"/>
    </row>
    <row r="1580" spans="1:4">
      <c r="A1580" s="1"/>
      <c r="D1580" s="1"/>
    </row>
    <row r="1581" spans="1:4">
      <c r="A1581" s="1"/>
      <c r="D1581" s="1"/>
    </row>
    <row r="1582" spans="1:4">
      <c r="A1582" s="1"/>
      <c r="D1582" s="1"/>
    </row>
    <row r="1583" spans="1:4">
      <c r="A1583" s="1"/>
      <c r="D1583" s="1"/>
    </row>
    <row r="1584" spans="1:4">
      <c r="A1584" s="1"/>
      <c r="D1584" s="1"/>
    </row>
    <row r="1585" spans="1:4">
      <c r="A1585" s="1"/>
      <c r="D1585" s="1"/>
    </row>
    <row r="1586" spans="1:4">
      <c r="A1586" s="1"/>
      <c r="D1586" s="1"/>
    </row>
    <row r="1587" spans="1:4">
      <c r="A1587" s="1"/>
      <c r="D1587" s="1"/>
    </row>
    <row r="1588" spans="1:4">
      <c r="A1588" s="1"/>
      <c r="D1588" s="1"/>
    </row>
    <row r="1589" spans="1:4">
      <c r="A1589" s="1"/>
      <c r="D1589" s="1"/>
    </row>
    <row r="1590" spans="1:4">
      <c r="A1590" s="1"/>
      <c r="D1590" s="1"/>
    </row>
    <row r="1591" spans="1:4">
      <c r="A1591" s="1"/>
      <c r="D1591" s="1"/>
    </row>
    <row r="1592" spans="1:4">
      <c r="A1592" s="1"/>
      <c r="D1592" s="1"/>
    </row>
    <row r="1593" spans="1:4">
      <c r="A1593" s="1"/>
      <c r="D1593" s="1"/>
    </row>
    <row r="1594" spans="1:4">
      <c r="A1594" s="1"/>
      <c r="D1594" s="1"/>
    </row>
    <row r="1595" spans="1:4">
      <c r="A1595" s="1"/>
      <c r="D1595" s="1"/>
    </row>
    <row r="1596" spans="1:4">
      <c r="A1596" s="1"/>
      <c r="D1596" s="1"/>
    </row>
    <row r="1597" spans="1:4">
      <c r="A1597" s="1"/>
      <c r="D1597" s="1"/>
    </row>
    <row r="1598" spans="1:4">
      <c r="A1598" s="1"/>
      <c r="D1598" s="1"/>
    </row>
    <row r="1599" spans="1:4">
      <c r="A1599" s="1"/>
      <c r="D1599" s="1"/>
    </row>
    <row r="1600" spans="1:4">
      <c r="A1600" s="1"/>
      <c r="D1600" s="1"/>
    </row>
    <row r="1601" spans="1:4">
      <c r="A1601" s="1"/>
      <c r="D1601" s="1"/>
    </row>
    <row r="1602" spans="1:4">
      <c r="A1602" s="1"/>
      <c r="D1602" s="1"/>
    </row>
    <row r="1603" spans="1:4">
      <c r="A1603" s="1"/>
      <c r="D1603" s="1"/>
    </row>
    <row r="1604" spans="1:4">
      <c r="A1604" s="1"/>
      <c r="D1604" s="1"/>
    </row>
    <row r="1605" spans="1:4">
      <c r="A1605" s="1"/>
      <c r="D1605" s="1"/>
    </row>
    <row r="1606" spans="1:4">
      <c r="A1606" s="1"/>
      <c r="D1606" s="1"/>
    </row>
    <row r="1607" spans="1:4">
      <c r="A1607" s="1"/>
      <c r="D1607" s="1"/>
    </row>
    <row r="1608" spans="1:4">
      <c r="A1608" s="1"/>
      <c r="D1608" s="1"/>
    </row>
    <row r="1609" spans="1:4">
      <c r="A1609" s="1"/>
      <c r="D1609" s="1"/>
    </row>
    <row r="1610" spans="1:4">
      <c r="A1610" s="1"/>
      <c r="D1610" s="1"/>
    </row>
    <row r="1611" spans="1:4">
      <c r="A1611" s="1"/>
      <c r="D1611" s="1"/>
    </row>
    <row r="1612" spans="1:4">
      <c r="A1612" s="1"/>
      <c r="D1612" s="1"/>
    </row>
    <row r="1613" spans="1:4">
      <c r="A1613" s="1"/>
      <c r="D1613" s="1"/>
    </row>
    <row r="1614" spans="1:4">
      <c r="A1614" s="1"/>
      <c r="D1614" s="1"/>
    </row>
    <row r="1615" spans="1:4">
      <c r="A1615" s="1"/>
      <c r="D1615" s="1"/>
    </row>
    <row r="1616" spans="1:4">
      <c r="A1616" s="1"/>
      <c r="D1616" s="1"/>
    </row>
    <row r="1617" spans="1:4">
      <c r="A1617" s="1"/>
      <c r="D1617" s="1"/>
    </row>
    <row r="1618" spans="1:4">
      <c r="A1618" s="1"/>
      <c r="D1618" s="1"/>
    </row>
    <row r="1619" spans="1:4">
      <c r="A1619" s="1"/>
      <c r="D1619" s="1"/>
    </row>
    <row r="1620" spans="1:4">
      <c r="A1620" s="1"/>
      <c r="D1620" s="1"/>
    </row>
    <row r="1621" spans="1:4">
      <c r="A1621" s="1"/>
      <c r="D1621" s="1"/>
    </row>
    <row r="1622" spans="1:4">
      <c r="A1622" s="1"/>
      <c r="D1622" s="1"/>
    </row>
    <row r="1623" spans="1:4">
      <c r="A1623" s="1"/>
      <c r="D1623" s="1"/>
    </row>
    <row r="1624" spans="1:4">
      <c r="A1624" s="1"/>
      <c r="D1624" s="1"/>
    </row>
    <row r="1625" spans="1:4">
      <c r="A1625" s="1"/>
      <c r="D1625" s="1"/>
    </row>
    <row r="1626" spans="1:4">
      <c r="A1626" s="1"/>
      <c r="D1626" s="1"/>
    </row>
    <row r="1627" spans="1:4">
      <c r="A1627" s="1"/>
      <c r="D1627" s="1"/>
    </row>
    <row r="1628" spans="1:4">
      <c r="A1628" s="1"/>
      <c r="D1628" s="1"/>
    </row>
    <row r="1629" spans="1:4">
      <c r="A1629" s="1"/>
      <c r="D1629" s="1"/>
    </row>
    <row r="1630" spans="1:4">
      <c r="A1630" s="1"/>
      <c r="D1630" s="1"/>
    </row>
    <row r="1631" spans="1:4">
      <c r="A1631" s="1"/>
      <c r="D1631" s="1"/>
    </row>
    <row r="1632" spans="1:4">
      <c r="A1632" s="1"/>
      <c r="D1632" s="1"/>
    </row>
    <row r="1633" spans="1:4">
      <c r="A1633" s="1"/>
      <c r="D1633" s="1"/>
    </row>
    <row r="1634" spans="1:4">
      <c r="A1634" s="1"/>
      <c r="D1634" s="1"/>
    </row>
    <row r="1635" spans="1:4">
      <c r="A1635" s="1"/>
      <c r="D1635" s="1"/>
    </row>
    <row r="1636" spans="1:4">
      <c r="A1636" s="1"/>
      <c r="D1636" s="1"/>
    </row>
    <row r="1637" spans="1:4">
      <c r="A1637" s="1"/>
      <c r="D1637" s="1"/>
    </row>
    <row r="1638" spans="1:4">
      <c r="A1638" s="1"/>
      <c r="D1638" s="1"/>
    </row>
    <row r="1639" spans="1:4">
      <c r="A1639" s="1"/>
      <c r="D1639" s="1"/>
    </row>
    <row r="1640" spans="1:4">
      <c r="A1640" s="1"/>
      <c r="D1640" s="1"/>
    </row>
    <row r="1641" spans="1:4">
      <c r="A1641" s="1"/>
      <c r="D1641" s="1"/>
    </row>
    <row r="1642" spans="1:4">
      <c r="A1642" s="1"/>
      <c r="D1642" s="1"/>
    </row>
    <row r="1643" spans="1:4">
      <c r="A1643" s="1"/>
      <c r="D1643" s="1"/>
    </row>
    <row r="1644" spans="1:4">
      <c r="A1644" s="1"/>
      <c r="D1644" s="1"/>
    </row>
    <row r="1645" spans="1:4">
      <c r="A1645" s="1"/>
      <c r="D1645" s="1"/>
    </row>
    <row r="1646" spans="1:4">
      <c r="A1646" s="1"/>
      <c r="D1646" s="1"/>
    </row>
    <row r="1647" spans="1:4">
      <c r="A1647" s="1"/>
      <c r="D1647" s="1"/>
    </row>
    <row r="1648" spans="1:4">
      <c r="A1648" s="1"/>
      <c r="D1648" s="1"/>
    </row>
    <row r="1649" spans="1:4">
      <c r="A1649" s="1"/>
      <c r="D1649" s="1"/>
    </row>
    <row r="1650" spans="1:4">
      <c r="A1650" s="1"/>
      <c r="D1650" s="1"/>
    </row>
    <row r="1651" spans="1:4">
      <c r="A1651" s="1"/>
      <c r="D1651" s="1"/>
    </row>
    <row r="1652" spans="1:4">
      <c r="A1652" s="1"/>
      <c r="D1652" s="1"/>
    </row>
    <row r="1653" spans="1:4">
      <c r="A1653" s="1"/>
      <c r="D1653" s="1"/>
    </row>
    <row r="1654" spans="1:4">
      <c r="A1654" s="1"/>
      <c r="D1654" s="1"/>
    </row>
    <row r="1655" spans="1:4">
      <c r="A1655" s="1"/>
      <c r="D1655" s="1"/>
    </row>
    <row r="1656" spans="1:4">
      <c r="A1656" s="1"/>
      <c r="D1656" s="1"/>
    </row>
    <row r="1657" spans="1:4">
      <c r="A1657" s="1"/>
      <c r="D1657" s="1"/>
    </row>
    <row r="1658" spans="1:4">
      <c r="A1658" s="1"/>
      <c r="D1658" s="1"/>
    </row>
    <row r="1659" spans="1:4">
      <c r="A1659" s="1"/>
      <c r="D1659" s="1"/>
    </row>
    <row r="1660" spans="1:4">
      <c r="A1660" s="1"/>
      <c r="D1660" s="1"/>
    </row>
    <row r="1661" spans="1:4">
      <c r="A1661" s="1"/>
      <c r="D1661" s="1"/>
    </row>
    <row r="1662" spans="1:4">
      <c r="A1662" s="1"/>
      <c r="D1662" s="1"/>
    </row>
    <row r="1663" spans="1:4">
      <c r="A1663" s="1"/>
      <c r="D1663" s="1"/>
    </row>
    <row r="1664" spans="1:4">
      <c r="A1664" s="1"/>
      <c r="D1664" s="1"/>
    </row>
    <row r="1665" spans="1:4">
      <c r="A1665" s="1"/>
      <c r="D1665" s="1"/>
    </row>
    <row r="1666" spans="1:4">
      <c r="A1666" s="1"/>
      <c r="D1666" s="1"/>
    </row>
    <row r="1667" spans="1:4">
      <c r="A1667" s="1"/>
      <c r="D1667" s="1"/>
    </row>
    <row r="1668" spans="1:4">
      <c r="A1668" s="1"/>
      <c r="D1668" s="1"/>
    </row>
    <row r="1669" spans="1:4">
      <c r="A1669" s="1"/>
      <c r="D1669" s="1"/>
    </row>
    <row r="1670" spans="1:4">
      <c r="A1670" s="1"/>
      <c r="D1670" s="1"/>
    </row>
    <row r="1671" spans="1:4">
      <c r="A1671" s="1"/>
      <c r="D1671" s="1"/>
    </row>
    <row r="1672" spans="1:4">
      <c r="A1672" s="1"/>
      <c r="D1672" s="1"/>
    </row>
    <row r="1673" spans="1:4">
      <c r="A1673" s="1"/>
      <c r="D1673" s="1"/>
    </row>
    <row r="1674" spans="1:4">
      <c r="A1674" s="1"/>
      <c r="D1674" s="1"/>
    </row>
    <row r="1675" spans="1:4">
      <c r="A1675" s="1"/>
      <c r="D1675" s="1"/>
    </row>
    <row r="1676" spans="1:4">
      <c r="A1676" s="1"/>
      <c r="D1676" s="1"/>
    </row>
    <row r="1677" spans="1:4">
      <c r="A1677" s="1"/>
      <c r="D1677" s="1"/>
    </row>
    <row r="1678" spans="1:4">
      <c r="A1678" s="1"/>
      <c r="D1678" s="1"/>
    </row>
    <row r="1679" spans="1:4">
      <c r="A1679" s="1"/>
      <c r="D1679" s="1"/>
    </row>
    <row r="1680" spans="1:4">
      <c r="A1680" s="1"/>
      <c r="D1680" s="1"/>
    </row>
    <row r="1681" spans="1:4">
      <c r="A1681" s="1"/>
      <c r="D1681" s="1"/>
    </row>
    <row r="1682" spans="1:4">
      <c r="A1682" s="1"/>
      <c r="D1682" s="1"/>
    </row>
    <row r="1683" spans="1:4">
      <c r="A1683" s="1"/>
      <c r="D1683" s="1"/>
    </row>
    <row r="1684" spans="1:4">
      <c r="A1684" s="1"/>
      <c r="D1684" s="1"/>
    </row>
    <row r="1685" spans="1:4">
      <c r="A1685" s="1"/>
      <c r="D1685" s="1"/>
    </row>
    <row r="1686" spans="1:4">
      <c r="A1686" s="1"/>
      <c r="D1686" s="1"/>
    </row>
    <row r="1687" spans="1:4">
      <c r="A1687" s="1"/>
      <c r="D1687" s="1"/>
    </row>
    <row r="1688" spans="1:4">
      <c r="A1688" s="1"/>
      <c r="D1688" s="1"/>
    </row>
    <row r="1689" spans="1:4">
      <c r="A1689" s="1"/>
      <c r="D1689" s="1"/>
    </row>
    <row r="1690" spans="1:4">
      <c r="A1690" s="1"/>
      <c r="D1690" s="1"/>
    </row>
    <row r="1691" spans="1:4">
      <c r="A1691" s="1"/>
      <c r="D1691" s="1"/>
    </row>
    <row r="1692" spans="1:4">
      <c r="A1692" s="1"/>
      <c r="D1692" s="1"/>
    </row>
    <row r="1693" spans="1:4">
      <c r="A1693" s="1"/>
      <c r="D1693" s="1"/>
    </row>
    <row r="1694" spans="1:4">
      <c r="A1694" s="1"/>
      <c r="D1694" s="1"/>
    </row>
    <row r="1695" spans="1:4">
      <c r="A1695" s="1"/>
      <c r="D1695" s="1"/>
    </row>
    <row r="1696" spans="1:4">
      <c r="A1696" s="1"/>
      <c r="D1696" s="1"/>
    </row>
    <row r="1697" spans="1:4">
      <c r="A1697" s="1"/>
      <c r="D1697" s="1"/>
    </row>
    <row r="1698" spans="1:4">
      <c r="A1698" s="1"/>
      <c r="D1698" s="1"/>
    </row>
    <row r="1699" spans="1:4">
      <c r="A1699" s="1"/>
      <c r="D1699" s="1"/>
    </row>
    <row r="1700" spans="1:4">
      <c r="A1700" s="1"/>
      <c r="D1700" s="1"/>
    </row>
    <row r="1701" spans="1:4">
      <c r="A1701" s="1"/>
      <c r="D1701" s="1"/>
    </row>
    <row r="1702" spans="1:4">
      <c r="A1702" s="1"/>
      <c r="D1702" s="1"/>
    </row>
    <row r="1703" spans="1:4">
      <c r="A1703" s="1"/>
      <c r="D1703" s="1"/>
    </row>
    <row r="1704" spans="1:4">
      <c r="A1704" s="1"/>
      <c r="D1704" s="1"/>
    </row>
    <row r="1705" spans="1:4">
      <c r="A1705" s="1"/>
      <c r="D1705" s="1"/>
    </row>
    <row r="1706" spans="1:4">
      <c r="A1706" s="1"/>
      <c r="D1706" s="1"/>
    </row>
    <row r="1707" spans="1:4">
      <c r="A1707" s="1"/>
      <c r="D1707" s="1"/>
    </row>
    <row r="1708" spans="1:4">
      <c r="A1708" s="1"/>
      <c r="D1708" s="1"/>
    </row>
    <row r="1709" spans="1:4">
      <c r="A1709" s="1"/>
      <c r="D1709" s="1"/>
    </row>
    <row r="1710" spans="1:4">
      <c r="A1710" s="1"/>
      <c r="D1710" s="1"/>
    </row>
    <row r="1711" spans="1:4">
      <c r="A1711" s="1"/>
      <c r="D1711" s="1"/>
    </row>
    <row r="1712" spans="1:4">
      <c r="A1712" s="1"/>
      <c r="D1712" s="1"/>
    </row>
    <row r="1713" spans="1:4">
      <c r="A1713" s="1"/>
      <c r="D1713" s="1"/>
    </row>
    <row r="1714" spans="1:4">
      <c r="A1714" s="1"/>
      <c r="D1714" s="1"/>
    </row>
    <row r="1715" spans="1:4">
      <c r="A1715" s="1"/>
      <c r="D1715" s="1"/>
    </row>
    <row r="1716" spans="1:4">
      <c r="A1716" s="1"/>
      <c r="D1716" s="1"/>
    </row>
    <row r="1717" spans="1:4">
      <c r="A1717" s="1"/>
      <c r="D1717" s="1"/>
    </row>
    <row r="1718" spans="1:4">
      <c r="A1718" s="1"/>
      <c r="D1718" s="1"/>
    </row>
    <row r="1719" spans="1:4">
      <c r="A1719" s="1"/>
      <c r="D1719" s="1"/>
    </row>
    <row r="1720" spans="1:4">
      <c r="A1720" s="1"/>
      <c r="D1720" s="1"/>
    </row>
    <row r="1721" spans="1:4">
      <c r="A1721" s="1"/>
      <c r="D1721" s="1"/>
    </row>
    <row r="1722" spans="1:4">
      <c r="A1722" s="1"/>
      <c r="D1722" s="1"/>
    </row>
    <row r="1723" spans="1:4">
      <c r="A1723" s="1"/>
      <c r="D1723" s="1"/>
    </row>
    <row r="1724" spans="1:4">
      <c r="A1724" s="1"/>
      <c r="D1724" s="1"/>
    </row>
    <row r="1725" spans="1:4">
      <c r="A1725" s="1"/>
      <c r="D1725" s="1"/>
    </row>
    <row r="1726" spans="1:4">
      <c r="A1726" s="1"/>
      <c r="D1726" s="1"/>
    </row>
    <row r="1727" spans="1:4">
      <c r="A1727" s="1"/>
      <c r="D1727" s="1"/>
    </row>
    <row r="1728" spans="1:4">
      <c r="A1728" s="1"/>
      <c r="D1728" s="1"/>
    </row>
    <row r="1729" spans="1:4">
      <c r="A1729" s="1"/>
      <c r="D1729" s="1"/>
    </row>
    <row r="1730" spans="1:4">
      <c r="A1730" s="1"/>
      <c r="D1730" s="1"/>
    </row>
    <row r="1731" spans="1:4">
      <c r="A1731" s="1"/>
      <c r="D1731" s="1"/>
    </row>
    <row r="1732" spans="1:4">
      <c r="A1732" s="1"/>
      <c r="D1732" s="1"/>
    </row>
    <row r="1733" spans="1:4">
      <c r="A1733" s="1"/>
      <c r="D1733" s="1"/>
    </row>
    <row r="1734" spans="1:4">
      <c r="A1734" s="1"/>
      <c r="D1734" s="1"/>
    </row>
    <row r="1735" spans="1:4">
      <c r="A1735" s="1"/>
      <c r="D1735" s="1"/>
    </row>
    <row r="1736" spans="1:4">
      <c r="A1736" s="1"/>
      <c r="D1736" s="1"/>
    </row>
    <row r="1737" spans="1:4">
      <c r="A1737" s="1"/>
      <c r="D1737" s="1"/>
    </row>
    <row r="1738" spans="1:4">
      <c r="A1738" s="1"/>
      <c r="D1738" s="1"/>
    </row>
    <row r="1739" spans="1:4">
      <c r="A1739" s="1"/>
      <c r="D1739" s="1"/>
    </row>
    <row r="1740" spans="1:4">
      <c r="A1740" s="1"/>
      <c r="D1740" s="1"/>
    </row>
    <row r="1741" spans="1:4">
      <c r="A1741" s="1"/>
      <c r="D1741" s="1"/>
    </row>
    <row r="1742" spans="1:4">
      <c r="A1742" s="1"/>
      <c r="D1742" s="1"/>
    </row>
    <row r="1743" spans="1:4">
      <c r="A1743" s="1"/>
      <c r="D1743" s="1"/>
    </row>
    <row r="1744" spans="1:4">
      <c r="A1744" s="1"/>
      <c r="D1744" s="1"/>
    </row>
    <row r="1745" spans="1:4">
      <c r="A1745" s="1"/>
      <c r="D1745" s="1"/>
    </row>
    <row r="1746" spans="1:4">
      <c r="A1746" s="1"/>
      <c r="D1746" s="1"/>
    </row>
    <row r="1747" spans="1:4">
      <c r="A1747" s="1"/>
      <c r="D1747" s="1"/>
    </row>
    <row r="1748" spans="1:4">
      <c r="A1748" s="1"/>
      <c r="D1748" s="1"/>
    </row>
    <row r="1749" spans="1:4">
      <c r="A1749" s="1"/>
      <c r="D1749" s="1"/>
    </row>
    <row r="1750" spans="1:4">
      <c r="A1750" s="1"/>
      <c r="D1750" s="1"/>
    </row>
    <row r="1751" spans="1:4">
      <c r="A1751" s="1"/>
      <c r="D1751" s="1"/>
    </row>
    <row r="1752" spans="1:4">
      <c r="A1752" s="1"/>
      <c r="D1752" s="1"/>
    </row>
    <row r="1753" spans="1:4">
      <c r="A1753" s="1"/>
      <c r="D1753" s="1"/>
    </row>
    <row r="1754" spans="1:4">
      <c r="A1754" s="1"/>
      <c r="D1754" s="1"/>
    </row>
    <row r="1755" spans="1:4">
      <c r="A1755" s="1"/>
      <c r="D1755" s="1"/>
    </row>
    <row r="1756" spans="1:4">
      <c r="A1756" s="1"/>
      <c r="D1756" s="1"/>
    </row>
    <row r="1757" spans="1:4">
      <c r="A1757" s="1"/>
      <c r="D1757" s="1"/>
    </row>
    <row r="1758" spans="1:4">
      <c r="A1758" s="1"/>
      <c r="D1758" s="1"/>
    </row>
    <row r="1759" spans="1:4">
      <c r="A1759" s="1"/>
      <c r="D1759" s="1"/>
    </row>
    <row r="1760" spans="1:4">
      <c r="A1760" s="1"/>
      <c r="D1760" s="1"/>
    </row>
    <row r="1761" spans="1:4">
      <c r="A1761" s="1"/>
      <c r="D1761" s="1"/>
    </row>
    <row r="1762" spans="1:4">
      <c r="A1762" s="1"/>
      <c r="D1762" s="1"/>
    </row>
    <row r="1763" spans="1:4">
      <c r="A1763" s="1"/>
      <c r="D1763" s="1"/>
    </row>
    <row r="1764" spans="1:4">
      <c r="A1764" s="1"/>
      <c r="D1764" s="1"/>
    </row>
    <row r="1765" spans="1:4">
      <c r="A1765" s="1"/>
      <c r="D1765" s="1"/>
    </row>
    <row r="1766" spans="1:4">
      <c r="A1766" s="1"/>
      <c r="D1766" s="1"/>
    </row>
    <row r="1767" spans="1:4">
      <c r="A1767" s="1"/>
      <c r="D1767" s="1"/>
    </row>
    <row r="1768" spans="1:4">
      <c r="A1768" s="1"/>
      <c r="D1768" s="1"/>
    </row>
    <row r="1769" spans="1:4">
      <c r="A1769" s="1"/>
      <c r="D1769" s="1"/>
    </row>
    <row r="1770" spans="1:4">
      <c r="A1770" s="1"/>
      <c r="D1770" s="1"/>
    </row>
    <row r="1771" spans="1:4">
      <c r="A1771" s="1"/>
      <c r="D1771" s="1"/>
    </row>
    <row r="1772" spans="1:4">
      <c r="A1772" s="1"/>
      <c r="D1772" s="1"/>
    </row>
    <row r="1773" spans="1:4">
      <c r="A1773" s="1"/>
      <c r="D1773" s="1"/>
    </row>
    <row r="1774" spans="1:4">
      <c r="A1774" s="1"/>
      <c r="D1774" s="1"/>
    </row>
    <row r="1775" spans="1:4">
      <c r="A1775" s="1"/>
      <c r="D1775" s="1"/>
    </row>
    <row r="1776" spans="1:4">
      <c r="A1776" s="1"/>
      <c r="D1776" s="1"/>
    </row>
    <row r="1777" spans="1:4">
      <c r="A1777" s="1"/>
      <c r="D1777" s="1"/>
    </row>
    <row r="1778" spans="1:4">
      <c r="A1778" s="1"/>
      <c r="D1778" s="1"/>
    </row>
    <row r="1779" spans="1:4">
      <c r="A1779" s="1"/>
      <c r="D1779" s="1"/>
    </row>
    <row r="1780" spans="1:4">
      <c r="A1780" s="1"/>
      <c r="D1780" s="1"/>
    </row>
    <row r="1781" spans="1:4">
      <c r="A1781" s="1"/>
      <c r="D1781" s="1"/>
    </row>
    <row r="1782" spans="1:4">
      <c r="A1782" s="1"/>
      <c r="D1782" s="1"/>
    </row>
    <row r="1783" spans="1:4">
      <c r="A1783" s="1"/>
      <c r="D1783" s="1"/>
    </row>
    <row r="1784" spans="1:4">
      <c r="A1784" s="1"/>
      <c r="D1784" s="1"/>
    </row>
    <row r="1785" spans="1:4">
      <c r="A1785" s="1"/>
      <c r="D1785" s="1"/>
    </row>
    <row r="1786" spans="1:4">
      <c r="A1786" s="1"/>
      <c r="D1786" s="1"/>
    </row>
    <row r="1787" spans="1:4">
      <c r="A1787" s="1"/>
      <c r="D1787" s="1"/>
    </row>
    <row r="1788" spans="1:4">
      <c r="A1788" s="1"/>
      <c r="D1788" s="1"/>
    </row>
    <row r="1789" spans="1:4">
      <c r="A1789" s="1"/>
      <c r="D1789" s="1"/>
    </row>
    <row r="1790" spans="1:4">
      <c r="A1790" s="1"/>
      <c r="D1790" s="1"/>
    </row>
    <row r="1791" spans="1:4">
      <c r="A1791" s="1"/>
      <c r="D1791" s="1"/>
    </row>
    <row r="1792" spans="1:4">
      <c r="A1792" s="1"/>
      <c r="D1792" s="1"/>
    </row>
    <row r="1793" spans="1:4">
      <c r="A1793" s="1"/>
      <c r="D1793" s="1"/>
    </row>
    <row r="1794" spans="1:4">
      <c r="A1794" s="1"/>
      <c r="D1794" s="1"/>
    </row>
    <row r="1795" spans="1:4">
      <c r="A1795" s="1"/>
      <c r="D1795" s="1"/>
    </row>
    <row r="1796" spans="1:4">
      <c r="A1796" s="1"/>
      <c r="D1796" s="1"/>
    </row>
    <row r="1797" spans="1:4">
      <c r="A1797" s="1"/>
      <c r="D1797" s="1"/>
    </row>
    <row r="1798" spans="1:4">
      <c r="A1798" s="1"/>
      <c r="D1798" s="1"/>
    </row>
    <row r="1799" spans="1:4">
      <c r="A1799" s="1"/>
      <c r="D1799" s="1"/>
    </row>
    <row r="1800" spans="1:4">
      <c r="A1800" s="1"/>
      <c r="D1800" s="1"/>
    </row>
    <row r="1801" spans="1:4">
      <c r="A1801" s="1"/>
      <c r="D1801" s="1"/>
    </row>
    <row r="1802" spans="1:4">
      <c r="A1802" s="1"/>
      <c r="D1802" s="1"/>
    </row>
    <row r="1803" spans="1:4">
      <c r="A1803" s="1"/>
      <c r="D1803" s="1"/>
    </row>
    <row r="1804" spans="1:4">
      <c r="A1804" s="1"/>
      <c r="D1804" s="1"/>
    </row>
    <row r="1805" spans="1:4">
      <c r="A1805" s="1"/>
      <c r="D1805" s="1"/>
    </row>
    <row r="1806" spans="1:4">
      <c r="A1806" s="1"/>
      <c r="D1806" s="1"/>
    </row>
    <row r="1807" spans="1:4">
      <c r="A1807" s="1"/>
      <c r="D1807" s="1"/>
    </row>
    <row r="1808" spans="1:4">
      <c r="A1808" s="1"/>
      <c r="D1808" s="1"/>
    </row>
    <row r="1809" spans="1:4">
      <c r="A1809" s="1"/>
      <c r="D1809" s="1"/>
    </row>
    <row r="1810" spans="1:4">
      <c r="A1810" s="1"/>
      <c r="D1810" s="1"/>
    </row>
    <row r="1811" spans="1:4">
      <c r="A1811" s="1"/>
      <c r="D1811" s="1"/>
    </row>
    <row r="1812" spans="1:4">
      <c r="A1812" s="1"/>
      <c r="D1812" s="1"/>
    </row>
    <row r="1813" spans="1:4">
      <c r="A1813" s="1"/>
      <c r="D1813" s="1"/>
    </row>
    <row r="1814" spans="1:4">
      <c r="A1814" s="1"/>
      <c r="D1814" s="1"/>
    </row>
    <row r="1815" spans="1:4">
      <c r="A1815" s="1"/>
      <c r="D1815" s="1"/>
    </row>
    <row r="1816" spans="1:4">
      <c r="A1816" s="1"/>
      <c r="D1816" s="1"/>
    </row>
    <row r="1817" spans="1:4">
      <c r="A1817" s="1"/>
      <c r="D1817" s="1"/>
    </row>
    <row r="1818" spans="1:4">
      <c r="A1818" s="1"/>
      <c r="D1818" s="1"/>
    </row>
    <row r="1819" spans="1:4">
      <c r="A1819" s="1"/>
      <c r="D1819" s="1"/>
    </row>
    <row r="1820" spans="1:4">
      <c r="A1820" s="1"/>
      <c r="D1820" s="1"/>
    </row>
    <row r="1821" spans="1:4">
      <c r="A1821" s="1"/>
      <c r="D1821" s="1"/>
    </row>
    <row r="1822" spans="1:4">
      <c r="A1822" s="1"/>
      <c r="D1822" s="1"/>
    </row>
    <row r="1823" spans="1:4">
      <c r="A1823" s="1"/>
      <c r="D1823" s="1"/>
    </row>
    <row r="1824" spans="1:4">
      <c r="A1824" s="1"/>
      <c r="D1824" s="1"/>
    </row>
    <row r="1825" spans="1:4">
      <c r="A1825" s="1"/>
      <c r="D1825" s="1"/>
    </row>
    <row r="1826" spans="1:4">
      <c r="A1826" s="1"/>
      <c r="D1826" s="1"/>
    </row>
    <row r="1827" spans="1:4">
      <c r="A1827" s="1"/>
      <c r="D1827" s="1"/>
    </row>
    <row r="1828" spans="1:4">
      <c r="A1828" s="1"/>
      <c r="D1828" s="1"/>
    </row>
    <row r="1829" spans="1:4">
      <c r="A1829" s="1"/>
      <c r="D1829" s="1"/>
    </row>
    <row r="1830" spans="1:4">
      <c r="A1830" s="1"/>
      <c r="D1830" s="1"/>
    </row>
    <row r="1831" spans="1:4">
      <c r="A1831" s="1"/>
      <c r="D1831" s="1"/>
    </row>
    <row r="1832" spans="1:4">
      <c r="A1832" s="1"/>
      <c r="D1832" s="1"/>
    </row>
    <row r="1833" spans="1:4">
      <c r="A1833" s="1"/>
      <c r="D1833" s="1"/>
    </row>
    <row r="1834" spans="1:4">
      <c r="A1834" s="1"/>
      <c r="D1834" s="1"/>
    </row>
    <row r="1835" spans="1:4">
      <c r="A1835" s="1"/>
      <c r="D1835" s="1"/>
    </row>
    <row r="1836" spans="1:4">
      <c r="A1836" s="1"/>
      <c r="D1836" s="1"/>
    </row>
    <row r="1837" spans="1:4">
      <c r="A1837" s="1"/>
      <c r="D1837" s="1"/>
    </row>
    <row r="1838" spans="1:4">
      <c r="A1838" s="1"/>
      <c r="D1838" s="1"/>
    </row>
    <row r="1839" spans="1:4">
      <c r="A1839" s="1"/>
      <c r="D1839" s="1"/>
    </row>
    <row r="1840" spans="1:4">
      <c r="A1840" s="1"/>
      <c r="D1840" s="1"/>
    </row>
    <row r="1841" spans="1:4">
      <c r="A1841" s="1"/>
      <c r="D1841" s="1"/>
    </row>
    <row r="1842" spans="1:4">
      <c r="A1842" s="1"/>
      <c r="D1842" s="1"/>
    </row>
    <row r="1843" spans="1:4">
      <c r="A1843" s="1"/>
      <c r="D1843" s="1"/>
    </row>
    <row r="1844" spans="1:4">
      <c r="A1844" s="1"/>
      <c r="D1844" s="1"/>
    </row>
    <row r="1845" spans="1:4">
      <c r="A1845" s="1"/>
      <c r="D1845" s="1"/>
    </row>
    <row r="1846" spans="1:4">
      <c r="A1846" s="1"/>
      <c r="D1846" s="1"/>
    </row>
    <row r="1847" spans="1:4">
      <c r="A1847" s="1"/>
      <c r="D1847" s="1"/>
    </row>
    <row r="1848" spans="1:4">
      <c r="A1848" s="1"/>
      <c r="D1848" s="1"/>
    </row>
    <row r="1849" spans="1:4">
      <c r="A1849" s="1"/>
      <c r="D1849" s="1"/>
    </row>
    <row r="1850" spans="1:4">
      <c r="A1850" s="1"/>
      <c r="D1850" s="1"/>
    </row>
    <row r="1851" spans="1:4">
      <c r="A1851" s="1"/>
      <c r="D1851" s="1"/>
    </row>
    <row r="1852" spans="1:4">
      <c r="A1852" s="1"/>
      <c r="D1852" s="1"/>
    </row>
    <row r="1853" spans="1:4">
      <c r="A1853" s="1"/>
      <c r="D1853" s="1"/>
    </row>
    <row r="1854" spans="1:4">
      <c r="A1854" s="1"/>
      <c r="D1854" s="1"/>
    </row>
    <row r="1855" spans="1:4">
      <c r="A1855" s="1"/>
      <c r="D1855" s="1"/>
    </row>
    <row r="1856" spans="1:4">
      <c r="A1856" s="1"/>
      <c r="D1856" s="1"/>
    </row>
    <row r="1857" spans="1:4">
      <c r="A1857" s="1"/>
      <c r="D1857" s="1"/>
    </row>
    <row r="1858" spans="1:4">
      <c r="A1858" s="1"/>
      <c r="D1858" s="1"/>
    </row>
    <row r="1859" spans="1:4">
      <c r="A1859" s="1"/>
      <c r="D1859" s="1"/>
    </row>
    <row r="1860" spans="1:4">
      <c r="A1860" s="1"/>
      <c r="D1860" s="1"/>
    </row>
    <row r="1861" spans="1:4">
      <c r="A1861" s="1"/>
      <c r="D1861" s="1"/>
    </row>
    <row r="1862" spans="1:4">
      <c r="A1862" s="1"/>
      <c r="D1862" s="1"/>
    </row>
    <row r="1863" spans="1:4">
      <c r="A1863" s="1"/>
      <c r="D1863" s="1"/>
    </row>
    <row r="1864" spans="1:4">
      <c r="A1864" s="1"/>
      <c r="D1864" s="1"/>
    </row>
    <row r="1865" spans="1:4">
      <c r="A1865" s="1"/>
      <c r="D1865" s="1"/>
    </row>
    <row r="1866" spans="1:4">
      <c r="A1866" s="1"/>
      <c r="D1866" s="1"/>
    </row>
    <row r="1867" spans="1:4">
      <c r="A1867" s="1"/>
      <c r="D1867" s="1"/>
    </row>
    <row r="1868" spans="1:4">
      <c r="A1868" s="1"/>
      <c r="D1868" s="1"/>
    </row>
    <row r="1869" spans="1:4">
      <c r="A1869" s="1"/>
      <c r="D1869" s="1"/>
    </row>
    <row r="1870" spans="1:4">
      <c r="A1870" s="1"/>
      <c r="D1870" s="1"/>
    </row>
    <row r="1871" spans="1:4">
      <c r="A1871" s="1"/>
      <c r="D1871" s="1"/>
    </row>
    <row r="1872" spans="1:4">
      <c r="A1872" s="1"/>
      <c r="D1872" s="1"/>
    </row>
    <row r="1873" spans="1:4">
      <c r="A1873" s="1"/>
      <c r="D1873" s="1"/>
    </row>
    <row r="1874" spans="1:4">
      <c r="A1874" s="1"/>
      <c r="D1874" s="1"/>
    </row>
    <row r="1875" spans="1:4">
      <c r="A1875" s="1"/>
      <c r="D1875" s="1"/>
    </row>
    <row r="1876" spans="1:4">
      <c r="A1876" s="1"/>
      <c r="D1876" s="1"/>
    </row>
    <row r="1877" spans="1:4">
      <c r="A1877" s="1"/>
      <c r="D1877" s="1"/>
    </row>
    <row r="1878" spans="1:4">
      <c r="A1878" s="1"/>
      <c r="D1878" s="1"/>
    </row>
    <row r="1879" spans="1:4">
      <c r="A1879" s="1"/>
      <c r="D1879" s="1"/>
    </row>
    <row r="1880" spans="1:4">
      <c r="A1880" s="1"/>
      <c r="D1880" s="1"/>
    </row>
    <row r="1881" spans="1:4">
      <c r="A1881" s="1"/>
      <c r="D1881" s="1"/>
    </row>
    <row r="1882" spans="1:4">
      <c r="A1882" s="1"/>
      <c r="D1882" s="1"/>
    </row>
    <row r="1883" spans="1:4">
      <c r="A1883" s="1"/>
      <c r="D1883" s="1"/>
    </row>
    <row r="1884" spans="1:4">
      <c r="A1884" s="1"/>
      <c r="D1884" s="1"/>
    </row>
    <row r="1885" spans="1:4">
      <c r="A1885" s="1"/>
      <c r="D1885" s="1"/>
    </row>
    <row r="1886" spans="1:4">
      <c r="A1886" s="1"/>
      <c r="D1886" s="1"/>
    </row>
    <row r="1887" spans="1:4">
      <c r="A1887" s="1"/>
      <c r="D1887" s="1"/>
    </row>
    <row r="1888" spans="1:4">
      <c r="A1888" s="1"/>
      <c r="D1888" s="1"/>
    </row>
    <row r="1889" spans="1:4">
      <c r="A1889" s="1"/>
      <c r="D1889" s="1"/>
    </row>
    <row r="1890" spans="1:4">
      <c r="A1890" s="1"/>
      <c r="D1890" s="1"/>
    </row>
    <row r="1891" spans="1:4">
      <c r="A1891" s="1"/>
      <c r="D1891" s="1"/>
    </row>
    <row r="1892" spans="1:4">
      <c r="A1892" s="1"/>
      <c r="D1892" s="1"/>
    </row>
    <row r="1893" spans="1:4">
      <c r="A1893" s="1"/>
      <c r="D1893" s="1"/>
    </row>
    <row r="1894" spans="1:4">
      <c r="A1894" s="1"/>
      <c r="D1894" s="1"/>
    </row>
    <row r="1895" spans="1:4">
      <c r="A1895" s="1"/>
      <c r="D1895" s="1"/>
    </row>
    <row r="1896" spans="1:4">
      <c r="A1896" s="1"/>
      <c r="D1896" s="1"/>
    </row>
    <row r="1897" spans="1:4">
      <c r="A1897" s="1"/>
      <c r="D1897" s="1"/>
    </row>
    <row r="1898" spans="1:4">
      <c r="A1898" s="1"/>
      <c r="D1898" s="1"/>
    </row>
    <row r="1899" spans="1:4">
      <c r="A1899" s="1"/>
      <c r="D1899" s="1"/>
    </row>
    <row r="1900" spans="1:4">
      <c r="A1900" s="1"/>
      <c r="D1900" s="1"/>
    </row>
    <row r="1901" spans="1:4">
      <c r="A1901" s="1"/>
      <c r="D1901" s="1"/>
    </row>
    <row r="1902" spans="1:4">
      <c r="A1902" s="1"/>
      <c r="D1902" s="1"/>
    </row>
    <row r="1903" spans="1:4">
      <c r="A1903" s="1"/>
      <c r="D1903" s="1"/>
    </row>
    <row r="1904" spans="1:4">
      <c r="A1904" s="1"/>
      <c r="D1904" s="1"/>
    </row>
    <row r="1905" spans="1:4">
      <c r="A1905" s="1"/>
      <c r="D1905" s="1"/>
    </row>
    <row r="1906" spans="1:4">
      <c r="A1906" s="1"/>
      <c r="D1906" s="1"/>
    </row>
    <row r="1907" spans="1:4">
      <c r="A1907" s="1"/>
      <c r="D1907" s="1"/>
    </row>
    <row r="1908" spans="1:4">
      <c r="A1908" s="1"/>
      <c r="D1908" s="1"/>
    </row>
    <row r="1909" spans="1:4">
      <c r="A1909" s="1"/>
      <c r="D1909" s="1"/>
    </row>
    <row r="1910" spans="1:4">
      <c r="A1910" s="1"/>
      <c r="D1910" s="1"/>
    </row>
    <row r="1911" spans="1:4">
      <c r="A1911" s="1"/>
      <c r="D1911" s="1"/>
    </row>
    <row r="1912" spans="1:4">
      <c r="A1912" s="1"/>
      <c r="D1912" s="1"/>
    </row>
    <row r="1913" spans="1:4">
      <c r="A1913" s="1"/>
      <c r="D1913" s="1"/>
    </row>
    <row r="1914" spans="1:4">
      <c r="A1914" s="1"/>
      <c r="D1914" s="1"/>
    </row>
    <row r="1915" spans="1:4">
      <c r="A1915" s="1"/>
      <c r="D1915" s="1"/>
    </row>
    <row r="1916" spans="1:4">
      <c r="A1916" s="1"/>
      <c r="D1916" s="1"/>
    </row>
    <row r="1917" spans="1:4">
      <c r="A1917" s="1"/>
      <c r="D1917" s="1"/>
    </row>
    <row r="1918" spans="1:4">
      <c r="A1918" s="1"/>
      <c r="D1918" s="1"/>
    </row>
    <row r="1919" spans="1:4">
      <c r="A1919" s="1"/>
      <c r="D1919" s="1"/>
    </row>
    <row r="1920" spans="1:4">
      <c r="A1920" s="1"/>
      <c r="D1920" s="1"/>
    </row>
    <row r="1921" spans="1:4">
      <c r="A1921" s="1"/>
      <c r="D1921" s="1"/>
    </row>
    <row r="1922" spans="1:4">
      <c r="A1922" s="1"/>
      <c r="D1922" s="1"/>
    </row>
    <row r="1923" spans="1:4">
      <c r="A1923" s="1"/>
      <c r="D1923" s="1"/>
    </row>
    <row r="1924" spans="1:4">
      <c r="A1924" s="1"/>
      <c r="D1924" s="1"/>
    </row>
    <row r="1925" spans="1:4">
      <c r="A1925" s="1"/>
      <c r="D1925" s="1"/>
    </row>
    <row r="1926" spans="1:4">
      <c r="A1926" s="1"/>
      <c r="D1926" s="1"/>
    </row>
    <row r="1927" spans="1:4">
      <c r="A1927" s="1"/>
      <c r="D1927" s="1"/>
    </row>
    <row r="1928" spans="1:4">
      <c r="A1928" s="1"/>
      <c r="D1928" s="1"/>
    </row>
    <row r="1929" spans="1:4">
      <c r="A1929" s="1"/>
      <c r="D1929" s="1"/>
    </row>
    <row r="1930" spans="1:4">
      <c r="A1930" s="1"/>
      <c r="D1930" s="1"/>
    </row>
    <row r="1931" spans="1:4">
      <c r="A1931" s="1"/>
      <c r="D1931" s="1"/>
    </row>
    <row r="1932" spans="1:4">
      <c r="A1932" s="1"/>
      <c r="D1932" s="1"/>
    </row>
    <row r="1933" spans="1:4">
      <c r="A1933" s="1"/>
      <c r="D1933" s="1"/>
    </row>
    <row r="1934" spans="1:4">
      <c r="A1934" s="1"/>
      <c r="D1934" s="1"/>
    </row>
    <row r="1935" spans="1:4">
      <c r="A1935" s="1"/>
      <c r="D1935" s="1"/>
    </row>
    <row r="1936" spans="1:4">
      <c r="A1936" s="1"/>
      <c r="D1936" s="1"/>
    </row>
    <row r="1937" spans="1:4">
      <c r="A1937" s="1"/>
      <c r="D1937" s="1"/>
    </row>
    <row r="1938" spans="1:4">
      <c r="A1938" s="1"/>
      <c r="D1938" s="1"/>
    </row>
    <row r="1939" spans="1:4">
      <c r="A1939" s="1"/>
      <c r="D1939" s="1"/>
    </row>
    <row r="1940" spans="1:4">
      <c r="A1940" s="1"/>
      <c r="D1940" s="1"/>
    </row>
    <row r="1941" spans="1:4">
      <c r="A1941" s="1"/>
      <c r="D1941" s="1"/>
    </row>
    <row r="1942" spans="1:4">
      <c r="A1942" s="1"/>
      <c r="D1942" s="1"/>
    </row>
    <row r="1943" spans="1:4">
      <c r="A1943" s="1"/>
      <c r="D1943" s="1"/>
    </row>
    <row r="1944" spans="1:4">
      <c r="A1944" s="1"/>
      <c r="D1944" s="1"/>
    </row>
    <row r="1945" spans="1:4">
      <c r="A1945" s="1"/>
      <c r="D1945" s="1"/>
    </row>
    <row r="1946" spans="1:4">
      <c r="A1946" s="1"/>
      <c r="D1946" s="1"/>
    </row>
    <row r="1947" spans="1:4">
      <c r="A1947" s="1"/>
      <c r="D1947" s="1"/>
    </row>
    <row r="1948" spans="1:4">
      <c r="A1948" s="1"/>
      <c r="D1948" s="1"/>
    </row>
    <row r="1949" spans="1:4">
      <c r="A1949" s="1"/>
      <c r="D1949" s="1"/>
    </row>
    <row r="1950" spans="1:4">
      <c r="A1950" s="1"/>
      <c r="D1950" s="1"/>
    </row>
    <row r="1951" spans="1:4">
      <c r="A1951" s="1"/>
      <c r="D1951" s="1"/>
    </row>
    <row r="1952" spans="1:4">
      <c r="A1952" s="1"/>
      <c r="D1952" s="1"/>
    </row>
    <row r="1953" spans="1:4">
      <c r="A1953" s="1"/>
      <c r="D1953" s="1"/>
    </row>
    <row r="1954" spans="1:4">
      <c r="A1954" s="1"/>
      <c r="D1954" s="1"/>
    </row>
    <row r="1955" spans="1:4">
      <c r="A1955" s="1"/>
      <c r="D1955" s="1"/>
    </row>
    <row r="1956" spans="1:4">
      <c r="A1956" s="1"/>
      <c r="D1956" s="1"/>
    </row>
    <row r="1957" spans="1:4">
      <c r="A1957" s="1"/>
      <c r="D1957" s="1"/>
    </row>
    <row r="1958" spans="1:4">
      <c r="A1958" s="1"/>
      <c r="D1958" s="1"/>
    </row>
    <row r="1959" spans="1:4">
      <c r="A1959" s="1"/>
      <c r="D1959" s="1"/>
    </row>
    <row r="1960" spans="1:4">
      <c r="A1960" s="1"/>
      <c r="D1960" s="1"/>
    </row>
    <row r="1961" spans="1:4">
      <c r="A1961" s="1"/>
      <c r="D1961" s="1"/>
    </row>
    <row r="1962" spans="1:4">
      <c r="A1962" s="1"/>
      <c r="D1962" s="1"/>
    </row>
    <row r="1963" spans="1:4">
      <c r="A1963" s="1"/>
      <c r="D1963" s="1"/>
    </row>
    <row r="1964" spans="1:4">
      <c r="A1964" s="1"/>
      <c r="D1964" s="1"/>
    </row>
    <row r="1965" spans="1:4">
      <c r="A1965" s="1"/>
      <c r="D1965" s="1"/>
    </row>
    <row r="1966" spans="1:4">
      <c r="A1966" s="1"/>
      <c r="D1966" s="1"/>
    </row>
    <row r="1967" spans="1:4">
      <c r="A1967" s="1"/>
      <c r="D1967" s="1"/>
    </row>
    <row r="1968" spans="1:4">
      <c r="A1968" s="1"/>
      <c r="D1968" s="1"/>
    </row>
    <row r="1969" spans="1:4">
      <c r="A1969" s="1"/>
      <c r="D1969" s="1"/>
    </row>
    <row r="1970" spans="1:4">
      <c r="A1970" s="1"/>
      <c r="D1970" s="1"/>
    </row>
    <row r="1971" spans="1:4">
      <c r="A1971" s="1"/>
      <c r="D1971" s="1"/>
    </row>
    <row r="1972" spans="1:4">
      <c r="A1972" s="1"/>
      <c r="D1972" s="1"/>
    </row>
    <row r="1973" spans="1:4">
      <c r="A1973" s="1"/>
      <c r="D1973" s="1"/>
    </row>
    <row r="1974" spans="1:4">
      <c r="A1974" s="1"/>
      <c r="D1974" s="1"/>
    </row>
    <row r="1975" spans="1:4">
      <c r="A1975" s="1"/>
      <c r="D1975" s="1"/>
    </row>
    <row r="1976" spans="1:4">
      <c r="A1976" s="1"/>
      <c r="D1976" s="1"/>
    </row>
    <row r="1977" spans="1:4">
      <c r="A1977" s="1"/>
      <c r="D1977" s="1"/>
    </row>
    <row r="1978" spans="1:4">
      <c r="A1978" s="1"/>
      <c r="D1978" s="1"/>
    </row>
    <row r="1979" spans="1:4">
      <c r="A1979" s="1"/>
      <c r="D1979" s="1"/>
    </row>
    <row r="1980" spans="1:4">
      <c r="A1980" s="1"/>
      <c r="D1980" s="1"/>
    </row>
    <row r="1981" spans="1:4">
      <c r="A1981" s="1"/>
      <c r="D1981" s="1"/>
    </row>
    <row r="1982" spans="1:4">
      <c r="A1982" s="1"/>
      <c r="D1982" s="1"/>
    </row>
    <row r="1983" spans="1:4">
      <c r="A1983" s="1"/>
      <c r="D1983" s="1"/>
    </row>
    <row r="1984" spans="1:4">
      <c r="A1984" s="1"/>
      <c r="D1984" s="1"/>
    </row>
    <row r="1985" spans="1:4">
      <c r="A1985" s="1"/>
      <c r="D1985" s="1"/>
    </row>
    <row r="1986" spans="1:4">
      <c r="A1986" s="1"/>
      <c r="D1986" s="1"/>
    </row>
    <row r="1987" spans="1:4">
      <c r="A1987" s="1"/>
      <c r="D1987" s="1"/>
    </row>
    <row r="1988" spans="1:4">
      <c r="A1988" s="1"/>
      <c r="D1988" s="1"/>
    </row>
    <row r="1989" spans="1:4">
      <c r="A1989" s="1"/>
      <c r="D1989" s="1"/>
    </row>
    <row r="1990" spans="1:4">
      <c r="A1990" s="1"/>
      <c r="D1990" s="1"/>
    </row>
    <row r="1991" spans="1:4">
      <c r="A1991" s="1"/>
      <c r="D1991" s="1"/>
    </row>
    <row r="1992" spans="1:4">
      <c r="A1992" s="1"/>
      <c r="D1992" s="1"/>
    </row>
    <row r="1993" spans="1:4">
      <c r="A1993" s="1"/>
      <c r="D1993" s="1"/>
    </row>
    <row r="1994" spans="1:4">
      <c r="A1994" s="1"/>
      <c r="D1994" s="1"/>
    </row>
    <row r="1995" spans="1:4">
      <c r="A1995" s="1"/>
      <c r="D1995" s="1"/>
    </row>
    <row r="1996" spans="1:4">
      <c r="A1996" s="1"/>
      <c r="D1996" s="1"/>
    </row>
    <row r="1997" spans="1:4">
      <c r="A1997" s="1"/>
      <c r="D1997" s="1"/>
    </row>
    <row r="1998" spans="1:4">
      <c r="A1998" s="1"/>
      <c r="D1998" s="1"/>
    </row>
    <row r="1999" spans="1:4">
      <c r="A1999" s="1"/>
      <c r="D1999" s="1"/>
    </row>
    <row r="2000" spans="1:4">
      <c r="A2000" s="1"/>
      <c r="D2000" s="1"/>
    </row>
    <row r="2001" spans="1:4">
      <c r="A2001" s="1"/>
      <c r="D2001" s="1"/>
    </row>
    <row r="2002" spans="1:4">
      <c r="A2002" s="1"/>
      <c r="D2002" s="1"/>
    </row>
    <row r="2003" spans="1:4">
      <c r="A2003" s="1"/>
      <c r="D2003" s="1"/>
    </row>
    <row r="2004" spans="1:4">
      <c r="A2004" s="1"/>
      <c r="D2004" s="1"/>
    </row>
    <row r="2005" spans="1:4">
      <c r="A2005" s="1"/>
      <c r="D2005" s="1"/>
    </row>
    <row r="2006" spans="1:4">
      <c r="A2006" s="1"/>
      <c r="D2006" s="1"/>
    </row>
    <row r="2007" spans="1:4">
      <c r="A2007" s="1"/>
      <c r="D2007" s="1"/>
    </row>
    <row r="2008" spans="1:4">
      <c r="A2008" s="1"/>
      <c r="D2008" s="1"/>
    </row>
    <row r="2009" spans="1:4">
      <c r="A2009" s="1"/>
      <c r="D2009" s="1"/>
    </row>
    <row r="2010" spans="1:4">
      <c r="A2010" s="1"/>
      <c r="D2010" s="1"/>
    </row>
    <row r="2011" spans="1:4">
      <c r="A2011" s="1"/>
      <c r="D2011" s="1"/>
    </row>
    <row r="2012" spans="1:4">
      <c r="A2012" s="1"/>
      <c r="D2012" s="1"/>
    </row>
    <row r="2013" spans="1:4">
      <c r="A2013" s="1"/>
      <c r="D2013" s="1"/>
    </row>
    <row r="2014" spans="1:4">
      <c r="A2014" s="1"/>
      <c r="D2014" s="1"/>
    </row>
    <row r="2015" spans="1:4">
      <c r="A2015" s="1"/>
      <c r="D2015" s="1"/>
    </row>
    <row r="2016" spans="1:4">
      <c r="A2016" s="1"/>
      <c r="D2016" s="1"/>
    </row>
    <row r="2017" spans="1:4">
      <c r="A2017" s="1"/>
      <c r="D2017" s="1"/>
    </row>
    <row r="2018" spans="1:4">
      <c r="A2018" s="1"/>
      <c r="D2018" s="1"/>
    </row>
    <row r="2019" spans="1:4">
      <c r="A2019" s="1"/>
      <c r="D2019" s="1"/>
    </row>
    <row r="2020" spans="1:4">
      <c r="A2020" s="1"/>
      <c r="D2020" s="1"/>
    </row>
    <row r="2021" spans="1:4">
      <c r="A2021" s="1"/>
      <c r="D2021" s="1"/>
    </row>
    <row r="2022" spans="1:4">
      <c r="A2022" s="1"/>
      <c r="D2022" s="1"/>
    </row>
    <row r="2023" spans="1:4">
      <c r="A2023" s="1"/>
      <c r="D2023" s="1"/>
    </row>
    <row r="2024" spans="1:4">
      <c r="A2024" s="1"/>
      <c r="D2024" s="1"/>
    </row>
    <row r="2025" spans="1:4">
      <c r="A2025" s="1"/>
      <c r="D2025" s="1"/>
    </row>
    <row r="2026" spans="1:4">
      <c r="A2026" s="1"/>
      <c r="D2026" s="1"/>
    </row>
    <row r="2027" spans="1:4">
      <c r="A2027" s="1"/>
      <c r="D2027" s="1"/>
    </row>
    <row r="2028" spans="1:4">
      <c r="A2028" s="1"/>
      <c r="D2028" s="1"/>
    </row>
    <row r="2029" spans="1:4">
      <c r="A2029" s="1"/>
      <c r="D2029" s="1"/>
    </row>
    <row r="2030" spans="1:4">
      <c r="A2030" s="1"/>
      <c r="D2030" s="1"/>
    </row>
    <row r="2031" spans="1:4">
      <c r="A2031" s="1"/>
      <c r="D2031" s="1"/>
    </row>
    <row r="2032" spans="1:4">
      <c r="A2032" s="1"/>
      <c r="D2032" s="1"/>
    </row>
    <row r="2033" spans="1:4">
      <c r="A2033" s="1"/>
      <c r="D2033" s="1"/>
    </row>
    <row r="2034" spans="1:4">
      <c r="A2034" s="1"/>
      <c r="D2034" s="1"/>
    </row>
    <row r="2035" spans="1:4">
      <c r="A2035" s="1"/>
      <c r="D2035" s="1"/>
    </row>
    <row r="2036" spans="1:4">
      <c r="A2036" s="1"/>
      <c r="D2036" s="1"/>
    </row>
    <row r="2037" spans="1:4">
      <c r="A2037" s="1"/>
      <c r="D2037" s="1"/>
    </row>
    <row r="2038" spans="1:4">
      <c r="A2038" s="1"/>
      <c r="D2038" s="1"/>
    </row>
    <row r="2039" spans="1:4">
      <c r="A2039" s="1"/>
      <c r="D2039" s="1"/>
    </row>
    <row r="2040" spans="1:4">
      <c r="A2040" s="1"/>
      <c r="D2040" s="1"/>
    </row>
    <row r="2041" spans="1:4">
      <c r="A2041" s="1"/>
      <c r="D2041" s="1"/>
    </row>
    <row r="2042" spans="1:4">
      <c r="A2042" s="1"/>
      <c r="D2042" s="1"/>
    </row>
    <row r="2043" spans="1:4">
      <c r="A2043" s="1"/>
      <c r="D2043" s="1"/>
    </row>
    <row r="2044" spans="1:4">
      <c r="A2044" s="1"/>
      <c r="D2044" s="1"/>
    </row>
    <row r="2045" spans="1:4">
      <c r="A2045" s="1"/>
      <c r="D2045" s="1"/>
    </row>
    <row r="2046" spans="1:4">
      <c r="A2046" s="1"/>
      <c r="D2046" s="1"/>
    </row>
    <row r="2047" spans="1:4">
      <c r="A2047" s="1"/>
      <c r="D2047" s="1"/>
    </row>
    <row r="2048" spans="1:4">
      <c r="A2048" s="1"/>
      <c r="D2048" s="1"/>
    </row>
    <row r="2049" spans="1:4">
      <c r="A2049" s="1"/>
      <c r="D2049" s="1"/>
    </row>
    <row r="2050" spans="1:4">
      <c r="A2050" s="1"/>
      <c r="D2050" s="1"/>
    </row>
    <row r="2051" spans="1:4">
      <c r="A2051" s="1"/>
      <c r="D2051" s="1"/>
    </row>
    <row r="2052" spans="1:4">
      <c r="A2052" s="1"/>
      <c r="D2052" s="1"/>
    </row>
    <row r="2053" spans="1:4">
      <c r="A2053" s="1"/>
      <c r="D2053" s="1"/>
    </row>
    <row r="2054" spans="1:4">
      <c r="A2054" s="1"/>
      <c r="D2054" s="1"/>
    </row>
    <row r="2055" spans="1:4">
      <c r="A2055" s="1"/>
      <c r="D2055" s="1"/>
    </row>
    <row r="2056" spans="1:4">
      <c r="A2056" s="1"/>
      <c r="D2056" s="1"/>
    </row>
    <row r="2057" spans="1:4">
      <c r="A2057" s="1"/>
      <c r="D2057" s="1"/>
    </row>
    <row r="2058" spans="1:4">
      <c r="A2058" s="1"/>
      <c r="D2058" s="1"/>
    </row>
    <row r="2059" spans="1:4">
      <c r="A2059" s="1"/>
      <c r="D2059" s="1"/>
    </row>
    <row r="2060" spans="1:4">
      <c r="A2060" s="1"/>
      <c r="D2060" s="1"/>
    </row>
    <row r="2061" spans="1:4">
      <c r="A2061" s="1"/>
      <c r="D2061" s="1"/>
    </row>
    <row r="2062" spans="1:4">
      <c r="A2062" s="1"/>
      <c r="D2062" s="1"/>
    </row>
    <row r="2063" spans="1:4">
      <c r="A2063" s="1"/>
      <c r="D2063" s="1"/>
    </row>
    <row r="2064" spans="1:4">
      <c r="A2064" s="1"/>
      <c r="D2064" s="1"/>
    </row>
    <row r="2065" spans="1:4">
      <c r="A2065" s="1"/>
      <c r="D2065" s="1"/>
    </row>
    <row r="2066" spans="1:4">
      <c r="A2066" s="1"/>
      <c r="D2066" s="1"/>
    </row>
    <row r="2067" spans="1:4">
      <c r="A2067" s="1"/>
      <c r="D2067" s="1"/>
    </row>
    <row r="2068" spans="1:4">
      <c r="A2068" s="1"/>
      <c r="D2068" s="1"/>
    </row>
    <row r="2069" spans="1:4">
      <c r="A2069" s="1"/>
      <c r="D2069" s="1"/>
    </row>
    <row r="2070" spans="1:4">
      <c r="A2070" s="1"/>
      <c r="D2070" s="1"/>
    </row>
    <row r="2071" spans="1:4">
      <c r="A2071" s="1"/>
      <c r="D2071" s="1"/>
    </row>
    <row r="2072" spans="1:4">
      <c r="A2072" s="1"/>
      <c r="D2072" s="1"/>
    </row>
    <row r="2073" spans="1:4">
      <c r="A2073" s="1"/>
      <c r="D2073" s="1"/>
    </row>
    <row r="2074" spans="1:4">
      <c r="A2074" s="1"/>
      <c r="D2074" s="1"/>
    </row>
    <row r="2075" spans="1:4">
      <c r="A2075" s="1"/>
      <c r="D2075" s="1"/>
    </row>
    <row r="2076" spans="1:4">
      <c r="A2076" s="1"/>
      <c r="D2076" s="1"/>
    </row>
    <row r="2077" spans="1:4">
      <c r="A2077" s="1"/>
      <c r="D2077" s="1"/>
    </row>
    <row r="2078" spans="1:4">
      <c r="A2078" s="1"/>
      <c r="D2078" s="1"/>
    </row>
    <row r="2079" spans="1:4">
      <c r="A2079" s="1"/>
      <c r="D2079" s="1"/>
    </row>
    <row r="2080" spans="1:4">
      <c r="A2080" s="1"/>
      <c r="D2080" s="1"/>
    </row>
    <row r="2081" spans="1:4">
      <c r="A2081" s="1"/>
      <c r="D2081" s="1"/>
    </row>
    <row r="2082" spans="1:4">
      <c r="A2082" s="1"/>
      <c r="D2082" s="1"/>
    </row>
    <row r="2083" spans="1:4">
      <c r="A2083" s="1"/>
      <c r="D2083" s="1"/>
    </row>
    <row r="2084" spans="1:4">
      <c r="A2084" s="1"/>
      <c r="D2084" s="1"/>
    </row>
    <row r="2085" spans="1:4">
      <c r="A2085" s="1"/>
      <c r="D2085" s="1"/>
    </row>
    <row r="2086" spans="1:4">
      <c r="A2086" s="1"/>
      <c r="D2086" s="1"/>
    </row>
    <row r="2087" spans="1:4">
      <c r="A2087" s="1"/>
      <c r="D2087" s="1"/>
    </row>
    <row r="2088" spans="1:4">
      <c r="A2088" s="1"/>
      <c r="D2088" s="1"/>
    </row>
    <row r="2089" spans="1:4">
      <c r="A2089" s="1"/>
      <c r="D2089" s="1"/>
    </row>
    <row r="2090" spans="1:4">
      <c r="A2090" s="1"/>
      <c r="D2090" s="1"/>
    </row>
    <row r="2091" spans="1:4">
      <c r="A2091" s="1"/>
      <c r="D2091" s="1"/>
    </row>
    <row r="2092" spans="1:4">
      <c r="A2092" s="1"/>
      <c r="D2092" s="1"/>
    </row>
    <row r="2093" spans="1:4">
      <c r="A2093" s="1"/>
      <c r="D2093" s="1"/>
    </row>
    <row r="2094" spans="1:4">
      <c r="A2094" s="1"/>
      <c r="D2094" s="1"/>
    </row>
    <row r="2095" spans="1:4">
      <c r="A2095" s="1"/>
      <c r="D2095" s="1"/>
    </row>
    <row r="2096" spans="1:4">
      <c r="A2096" s="1"/>
      <c r="D2096" s="1"/>
    </row>
    <row r="2097" spans="1:4">
      <c r="A2097" s="1"/>
      <c r="D2097" s="1"/>
    </row>
    <row r="2098" spans="1:4">
      <c r="A2098" s="1"/>
      <c r="D2098" s="1"/>
    </row>
    <row r="2099" spans="1:4">
      <c r="A2099" s="1"/>
      <c r="D2099" s="1"/>
    </row>
    <row r="2100" spans="1:4">
      <c r="A2100" s="1"/>
      <c r="D2100" s="1"/>
    </row>
    <row r="2101" spans="1:4">
      <c r="A2101" s="1"/>
      <c r="D2101" s="1"/>
    </row>
    <row r="2102" spans="1:4">
      <c r="A2102" s="1"/>
      <c r="D2102" s="1"/>
    </row>
    <row r="2103" spans="1:4">
      <c r="A2103" s="1"/>
      <c r="D2103" s="1"/>
    </row>
    <row r="2104" spans="1:4">
      <c r="A2104" s="1"/>
      <c r="D2104" s="1"/>
    </row>
    <row r="2105" spans="1:4">
      <c r="A2105" s="1"/>
      <c r="D2105" s="1"/>
    </row>
    <row r="2106" spans="1:4">
      <c r="A2106" s="1"/>
      <c r="D2106" s="1"/>
    </row>
    <row r="2107" spans="1:4">
      <c r="A2107" s="1"/>
      <c r="D2107" s="1"/>
    </row>
    <row r="2108" spans="1:4">
      <c r="A2108" s="1"/>
      <c r="D2108" s="1"/>
    </row>
    <row r="2109" spans="1:4">
      <c r="A2109" s="1"/>
      <c r="D2109" s="1"/>
    </row>
    <row r="2110" spans="1:4">
      <c r="A2110" s="1"/>
      <c r="D2110" s="1"/>
    </row>
    <row r="2111" spans="1:4">
      <c r="A2111" s="1"/>
      <c r="D2111" s="1"/>
    </row>
    <row r="2112" spans="1:4">
      <c r="A2112" s="1"/>
      <c r="D2112" s="1"/>
    </row>
    <row r="2113" spans="1:4">
      <c r="A2113" s="1"/>
      <c r="D2113" s="1"/>
    </row>
    <row r="2114" spans="1:4">
      <c r="A2114" s="1"/>
      <c r="D2114" s="1"/>
    </row>
    <row r="2115" spans="1:4">
      <c r="A2115" s="1"/>
      <c r="D2115" s="1"/>
    </row>
    <row r="2116" spans="1:4">
      <c r="A2116" s="1"/>
      <c r="D2116" s="1"/>
    </row>
    <row r="2117" spans="1:4">
      <c r="A2117" s="1"/>
      <c r="D2117" s="1"/>
    </row>
    <row r="2118" spans="1:4">
      <c r="A2118" s="1"/>
      <c r="D2118" s="1"/>
    </row>
    <row r="2119" spans="1:4">
      <c r="A2119" s="1"/>
      <c r="D2119" s="1"/>
    </row>
    <row r="2120" spans="1:4">
      <c r="A2120" s="1"/>
      <c r="D2120" s="1"/>
    </row>
    <row r="2121" spans="1:4">
      <c r="A2121" s="1"/>
      <c r="D2121" s="1"/>
    </row>
    <row r="2122" spans="1:4">
      <c r="A2122" s="1"/>
      <c r="D2122" s="1"/>
    </row>
    <row r="2123" spans="1:4">
      <c r="A2123" s="1"/>
      <c r="D2123" s="1"/>
    </row>
    <row r="2124" spans="1:4">
      <c r="A2124" s="1"/>
      <c r="D2124" s="1"/>
    </row>
    <row r="2125" spans="1:4">
      <c r="A2125" s="1"/>
      <c r="D2125" s="1"/>
    </row>
    <row r="2126" spans="1:4">
      <c r="A2126" s="1"/>
      <c r="D2126" s="1"/>
    </row>
    <row r="2127" spans="1:4">
      <c r="A2127" s="1"/>
      <c r="D2127" s="1"/>
    </row>
    <row r="2128" spans="1:4">
      <c r="A2128" s="1"/>
      <c r="D2128" s="1"/>
    </row>
    <row r="2129" spans="1:4">
      <c r="A2129" s="1"/>
      <c r="D2129" s="1"/>
    </row>
    <row r="2130" spans="1:4">
      <c r="A2130" s="1"/>
      <c r="D2130" s="1"/>
    </row>
    <row r="2131" spans="1:4">
      <c r="A2131" s="1"/>
      <c r="D2131" s="1"/>
    </row>
    <row r="2132" spans="1:4">
      <c r="A2132" s="1"/>
      <c r="D2132" s="1"/>
    </row>
    <row r="2133" spans="1:4">
      <c r="A2133" s="1"/>
      <c r="D2133" s="1"/>
    </row>
    <row r="2134" spans="1:4">
      <c r="A2134" s="1"/>
      <c r="D2134" s="1"/>
    </row>
    <row r="2135" spans="1:4">
      <c r="A2135" s="1"/>
      <c r="D2135" s="1"/>
    </row>
    <row r="2136" spans="1:4">
      <c r="A2136" s="1"/>
      <c r="D2136" s="1"/>
    </row>
    <row r="2137" spans="1:4">
      <c r="A2137" s="1"/>
      <c r="D2137" s="1"/>
    </row>
    <row r="2138" spans="1:4">
      <c r="A2138" s="1"/>
      <c r="D2138" s="1"/>
    </row>
    <row r="2139" spans="1:4">
      <c r="A2139" s="1"/>
      <c r="D2139" s="1"/>
    </row>
    <row r="2140" spans="1:4">
      <c r="A2140" s="1"/>
      <c r="D2140" s="1"/>
    </row>
    <row r="2141" spans="1:4">
      <c r="A2141" s="1"/>
      <c r="D2141" s="1"/>
    </row>
    <row r="2142" spans="1:4">
      <c r="A2142" s="1"/>
      <c r="D2142" s="1"/>
    </row>
    <row r="2143" spans="1:4">
      <c r="A2143" s="1"/>
      <c r="D2143" s="1"/>
    </row>
    <row r="2144" spans="1:4">
      <c r="A2144" s="1"/>
      <c r="D2144" s="1"/>
    </row>
    <row r="2145" spans="1:4">
      <c r="A2145" s="1"/>
      <c r="D2145" s="1"/>
    </row>
    <row r="2146" spans="1:4">
      <c r="A2146" s="1"/>
      <c r="D2146" s="1"/>
    </row>
    <row r="2147" spans="1:4">
      <c r="A2147" s="1"/>
      <c r="D2147" s="1"/>
    </row>
    <row r="2148" spans="1:4">
      <c r="A2148" s="1"/>
      <c r="D2148" s="1"/>
    </row>
    <row r="2149" spans="1:4">
      <c r="A2149" s="1"/>
      <c r="D2149" s="1"/>
    </row>
    <row r="2150" spans="1:4">
      <c r="A2150" s="1"/>
      <c r="D2150" s="1"/>
    </row>
    <row r="2151" spans="1:4">
      <c r="A2151" s="1"/>
      <c r="D2151" s="1"/>
    </row>
    <row r="2152" spans="1:4">
      <c r="A2152" s="1"/>
      <c r="D2152" s="1"/>
    </row>
    <row r="2153" spans="1:4">
      <c r="A2153" s="1"/>
      <c r="D2153" s="1"/>
    </row>
    <row r="2154" spans="1:4">
      <c r="A2154" s="1"/>
      <c r="D2154" s="1"/>
    </row>
    <row r="2155" spans="1:4">
      <c r="A2155" s="1"/>
      <c r="D2155" s="1"/>
    </row>
    <row r="2156" spans="1:4">
      <c r="A2156" s="1"/>
      <c r="D2156" s="1"/>
    </row>
    <row r="2157" spans="1:4">
      <c r="A2157" s="1"/>
      <c r="D2157" s="1"/>
    </row>
    <row r="2158" spans="1:4">
      <c r="A2158" s="1"/>
      <c r="D2158" s="1"/>
    </row>
    <row r="2159" spans="1:4">
      <c r="A2159" s="1"/>
      <c r="D2159" s="1"/>
    </row>
    <row r="2160" spans="1:4">
      <c r="A2160" s="1"/>
      <c r="D2160" s="1"/>
    </row>
    <row r="2161" spans="1:4">
      <c r="A2161" s="1"/>
      <c r="D2161" s="1"/>
    </row>
    <row r="2162" spans="1:4">
      <c r="A2162" s="1"/>
      <c r="D2162" s="1"/>
    </row>
    <row r="2163" spans="1:4">
      <c r="A2163" s="1"/>
      <c r="D2163" s="1"/>
    </row>
    <row r="2164" spans="1:4">
      <c r="A2164" s="1"/>
      <c r="D2164" s="1"/>
    </row>
    <row r="2165" spans="1:4">
      <c r="A2165" s="1"/>
      <c r="D2165" s="1"/>
    </row>
    <row r="2166" spans="1:4">
      <c r="A2166" s="1"/>
      <c r="D2166" s="1"/>
    </row>
    <row r="2167" spans="1:4">
      <c r="A2167" s="1"/>
      <c r="D2167" s="1"/>
    </row>
    <row r="2168" spans="1:4">
      <c r="A2168" s="1"/>
      <c r="D2168" s="1"/>
    </row>
    <row r="2169" spans="1:4">
      <c r="A2169" s="1"/>
      <c r="D2169" s="1"/>
    </row>
    <row r="2170" spans="1:4">
      <c r="A2170" s="1"/>
      <c r="D2170" s="1"/>
    </row>
    <row r="2171" spans="1:4">
      <c r="A2171" s="1"/>
      <c r="D2171" s="1"/>
    </row>
    <row r="2172" spans="1:4">
      <c r="A2172" s="1"/>
      <c r="D2172" s="1"/>
    </row>
    <row r="2173" spans="1:4">
      <c r="A2173" s="1"/>
      <c r="D2173" s="1"/>
    </row>
    <row r="2174" spans="1:4">
      <c r="A2174" s="1"/>
      <c r="D2174" s="1"/>
    </row>
    <row r="2175" spans="1:4">
      <c r="A2175" s="1"/>
      <c r="D2175" s="1"/>
    </row>
    <row r="2176" spans="1:4">
      <c r="A2176" s="1"/>
      <c r="D2176" s="1"/>
    </row>
    <row r="2177" spans="1:4">
      <c r="A2177" s="1"/>
      <c r="D2177" s="1"/>
    </row>
    <row r="2178" spans="1:4">
      <c r="A2178" s="1"/>
      <c r="D2178" s="1"/>
    </row>
    <row r="2179" spans="1:4">
      <c r="A2179" s="1"/>
      <c r="D2179" s="1"/>
    </row>
    <row r="2180" spans="1:4">
      <c r="A2180" s="1"/>
      <c r="D2180" s="1"/>
    </row>
    <row r="2181" spans="1:4">
      <c r="A2181" s="1"/>
      <c r="D2181" s="1"/>
    </row>
    <row r="2182" spans="1:4">
      <c r="A2182" s="1"/>
      <c r="D2182" s="1"/>
    </row>
    <row r="2183" spans="1:4">
      <c r="A2183" s="1"/>
      <c r="D2183" s="1"/>
    </row>
    <row r="2184" spans="1:4">
      <c r="A2184" s="1"/>
      <c r="D2184" s="1"/>
    </row>
    <row r="2185" spans="1:4">
      <c r="A2185" s="1"/>
      <c r="D2185" s="1"/>
    </row>
    <row r="2186" spans="1:4">
      <c r="A2186" s="1"/>
      <c r="D2186" s="1"/>
    </row>
    <row r="2187" spans="1:4">
      <c r="A2187" s="1"/>
      <c r="D2187" s="1"/>
    </row>
    <row r="2188" spans="1:4">
      <c r="A2188" s="1"/>
      <c r="D2188" s="1"/>
    </row>
    <row r="2189" spans="1:4">
      <c r="A2189" s="1"/>
      <c r="D2189" s="1"/>
    </row>
    <row r="2190" spans="1:4">
      <c r="A2190" s="1"/>
      <c r="D2190" s="1"/>
    </row>
    <row r="2191" spans="1:4">
      <c r="A2191" s="1"/>
      <c r="D2191" s="1"/>
    </row>
    <row r="2192" spans="1:4">
      <c r="A2192" s="1"/>
      <c r="D2192" s="1"/>
    </row>
    <row r="2193" spans="1:4">
      <c r="A2193" s="1"/>
      <c r="D2193" s="1"/>
    </row>
    <row r="2194" spans="1:4">
      <c r="A2194" s="1"/>
      <c r="D2194" s="1"/>
    </row>
    <row r="2195" spans="1:4">
      <c r="A2195" s="1"/>
      <c r="D2195" s="1"/>
    </row>
    <row r="2196" spans="1:4">
      <c r="A2196" s="1"/>
      <c r="D2196" s="1"/>
    </row>
    <row r="2197" spans="1:4">
      <c r="A2197" s="1"/>
      <c r="D2197" s="1"/>
    </row>
    <row r="2198" spans="1:4">
      <c r="A2198" s="1"/>
      <c r="D2198" s="1"/>
    </row>
    <row r="2199" spans="1:4">
      <c r="A2199" s="1"/>
      <c r="D2199" s="1"/>
    </row>
    <row r="2200" spans="1:4">
      <c r="A2200" s="1"/>
      <c r="D2200" s="1"/>
    </row>
    <row r="2201" spans="1:4">
      <c r="A2201" s="1"/>
      <c r="D2201" s="1"/>
    </row>
    <row r="2202" spans="1:4">
      <c r="A2202" s="1"/>
      <c r="D2202" s="1"/>
    </row>
    <row r="2203" spans="1:4">
      <c r="A2203" s="1"/>
      <c r="D2203" s="1"/>
    </row>
    <row r="2204" spans="1:4">
      <c r="A2204" s="1"/>
      <c r="D2204" s="1"/>
    </row>
    <row r="2205" spans="1:4">
      <c r="A2205" s="1"/>
      <c r="D2205" s="1"/>
    </row>
    <row r="2206" spans="1:4">
      <c r="A2206" s="1"/>
      <c r="D2206" s="1"/>
    </row>
    <row r="2207" spans="1:4">
      <c r="A2207" s="1"/>
      <c r="D2207" s="1"/>
    </row>
    <row r="2208" spans="1:4">
      <c r="A2208" s="1"/>
      <c r="D2208" s="1"/>
    </row>
    <row r="2209" spans="1:4">
      <c r="A2209" s="1"/>
      <c r="D2209" s="1"/>
    </row>
    <row r="2210" spans="1:4">
      <c r="A2210" s="1"/>
      <c r="D2210" s="1"/>
    </row>
    <row r="2211" spans="1:4">
      <c r="A2211" s="1"/>
      <c r="D2211" s="1"/>
    </row>
    <row r="2212" spans="1:4">
      <c r="A2212" s="1"/>
      <c r="D2212" s="1"/>
    </row>
    <row r="2213" spans="1:4">
      <c r="A2213" s="1"/>
      <c r="D2213" s="1"/>
    </row>
    <row r="2214" spans="1:4">
      <c r="A2214" s="1"/>
      <c r="D2214" s="1"/>
    </row>
    <row r="2215" spans="1:4">
      <c r="A2215" s="1"/>
      <c r="D2215" s="1"/>
    </row>
    <row r="2216" spans="1:4">
      <c r="A2216" s="1"/>
      <c r="D2216" s="1"/>
    </row>
    <row r="2217" spans="1:4">
      <c r="A2217" s="1"/>
      <c r="D2217" s="1"/>
    </row>
    <row r="2218" spans="1:4">
      <c r="A2218" s="1"/>
      <c r="D2218" s="1"/>
    </row>
    <row r="2219" spans="1:4">
      <c r="A2219" s="1"/>
      <c r="D2219" s="1"/>
    </row>
    <row r="2220" spans="1:4">
      <c r="A2220" s="1"/>
      <c r="D2220" s="1"/>
    </row>
    <row r="2221" spans="1:4">
      <c r="A2221" s="1"/>
      <c r="D2221" s="1"/>
    </row>
    <row r="2222" spans="1:4">
      <c r="A2222" s="1"/>
      <c r="D2222" s="1"/>
    </row>
    <row r="2223" spans="1:4">
      <c r="A2223" s="1"/>
      <c r="D2223" s="1"/>
    </row>
    <row r="2224" spans="1:4">
      <c r="A2224" s="1"/>
      <c r="D2224" s="1"/>
    </row>
    <row r="2225" spans="1:4">
      <c r="A2225" s="1"/>
      <c r="D2225" s="1"/>
    </row>
    <row r="2226" spans="1:4">
      <c r="A2226" s="1"/>
      <c r="D2226" s="1"/>
    </row>
    <row r="2227" spans="1:4">
      <c r="A2227" s="1"/>
      <c r="D2227" s="1"/>
    </row>
    <row r="2228" spans="1:4">
      <c r="A2228" s="1"/>
      <c r="D2228" s="1"/>
    </row>
    <row r="2229" spans="1:4">
      <c r="A2229" s="1"/>
      <c r="D2229" s="1"/>
    </row>
    <row r="2230" spans="1:4">
      <c r="A2230" s="1"/>
      <c r="D2230" s="1"/>
    </row>
    <row r="2231" spans="1:4">
      <c r="A2231" s="1"/>
      <c r="D2231" s="1"/>
    </row>
    <row r="2232" spans="1:4">
      <c r="A2232" s="1"/>
      <c r="D2232" s="1"/>
    </row>
    <row r="2233" spans="1:4">
      <c r="A2233" s="1"/>
      <c r="D2233" s="1"/>
    </row>
    <row r="2234" spans="1:4">
      <c r="A2234" s="1"/>
      <c r="D2234" s="1"/>
    </row>
    <row r="2235" spans="1:4">
      <c r="A2235" s="1"/>
      <c r="D2235" s="1"/>
    </row>
    <row r="2236" spans="1:4">
      <c r="A2236" s="1"/>
      <c r="D2236" s="1"/>
    </row>
    <row r="2237" spans="1:4">
      <c r="A2237" s="1"/>
      <c r="D2237" s="1"/>
    </row>
    <row r="2238" spans="1:4">
      <c r="A2238" s="1"/>
      <c r="D2238" s="1"/>
    </row>
    <row r="2239" spans="1:4">
      <c r="A2239" s="1"/>
      <c r="D2239" s="1"/>
    </row>
    <row r="2240" spans="1:4">
      <c r="A2240" s="1"/>
      <c r="D2240" s="1"/>
    </row>
    <row r="2241" spans="1:4">
      <c r="A2241" s="1"/>
      <c r="D2241" s="1"/>
    </row>
    <row r="2242" spans="1:4">
      <c r="A2242" s="1"/>
      <c r="D2242" s="1"/>
    </row>
    <row r="2243" spans="1:4">
      <c r="A2243" s="1"/>
      <c r="D2243" s="1"/>
    </row>
    <row r="2244" spans="1:4">
      <c r="A2244" s="1"/>
      <c r="D2244" s="1"/>
    </row>
    <row r="2245" spans="1:4">
      <c r="A2245" s="1"/>
      <c r="D2245" s="1"/>
    </row>
    <row r="2246" spans="1:4">
      <c r="A2246" s="1"/>
      <c r="D2246" s="1"/>
    </row>
    <row r="2247" spans="1:4">
      <c r="A2247" s="1"/>
      <c r="D2247" s="1"/>
    </row>
    <row r="2248" spans="1:4">
      <c r="A2248" s="1"/>
      <c r="D2248" s="1"/>
    </row>
    <row r="2249" spans="1:4">
      <c r="A2249" s="1"/>
      <c r="D2249" s="1"/>
    </row>
    <row r="2250" spans="1:4">
      <c r="A2250" s="1"/>
      <c r="D2250" s="1"/>
    </row>
    <row r="2251" spans="1:4">
      <c r="A2251" s="1"/>
      <c r="D2251" s="1"/>
    </row>
    <row r="2252" spans="1:4">
      <c r="A2252" s="1"/>
      <c r="D2252" s="1"/>
    </row>
    <row r="2253" spans="1:4">
      <c r="A2253" s="1"/>
      <c r="D2253" s="1"/>
    </row>
    <row r="2254" spans="1:4">
      <c r="A2254" s="1"/>
      <c r="D2254" s="1"/>
    </row>
    <row r="2255" spans="1:4">
      <c r="A2255" s="1"/>
      <c r="D2255" s="1"/>
    </row>
    <row r="2256" spans="1:4">
      <c r="A2256" s="1"/>
      <c r="D2256" s="1"/>
    </row>
    <row r="2257" spans="1:4">
      <c r="A2257" s="1"/>
      <c r="D2257" s="1"/>
    </row>
    <row r="2258" spans="1:4">
      <c r="A2258" s="1"/>
      <c r="D2258" s="1"/>
    </row>
    <row r="2259" spans="1:4">
      <c r="A2259" s="1"/>
      <c r="D2259" s="1"/>
    </row>
    <row r="2260" spans="1:4">
      <c r="A2260" s="1"/>
      <c r="D2260" s="1"/>
    </row>
    <row r="2261" spans="1:4">
      <c r="A2261" s="1"/>
      <c r="D2261" s="1"/>
    </row>
    <row r="2262" spans="1:4">
      <c r="A2262" s="1"/>
      <c r="D2262" s="1"/>
    </row>
    <row r="2263" spans="1:4">
      <c r="A2263" s="1"/>
      <c r="D2263" s="1"/>
    </row>
    <row r="2264" spans="1:4">
      <c r="A2264" s="1"/>
      <c r="D2264" s="1"/>
    </row>
    <row r="2265" spans="1:4">
      <c r="A2265" s="1"/>
      <c r="D2265" s="1"/>
    </row>
    <row r="2266" spans="1:4">
      <c r="A2266" s="1"/>
      <c r="D2266" s="1"/>
    </row>
    <row r="2267" spans="1:4">
      <c r="A2267" s="1"/>
      <c r="D2267" s="1"/>
    </row>
    <row r="2268" spans="1:4">
      <c r="A2268" s="1"/>
      <c r="D2268" s="1"/>
    </row>
    <row r="2269" spans="1:4">
      <c r="A2269" s="1"/>
      <c r="D2269" s="1"/>
    </row>
    <row r="2270" spans="1:4">
      <c r="A2270" s="1"/>
      <c r="D2270" s="1"/>
    </row>
    <row r="2271" spans="1:4">
      <c r="A2271" s="1"/>
      <c r="D2271" s="1"/>
    </row>
    <row r="2272" spans="1:4">
      <c r="A2272" s="1"/>
      <c r="D2272" s="1"/>
    </row>
    <row r="2273" spans="1:4">
      <c r="A2273" s="1"/>
      <c r="D2273" s="1"/>
    </row>
    <row r="2274" spans="1:4">
      <c r="A2274" s="1"/>
      <c r="D2274" s="1"/>
    </row>
    <row r="2275" spans="1:4">
      <c r="A2275" s="1"/>
      <c r="D2275" s="1"/>
    </row>
    <row r="2276" spans="1:4">
      <c r="A2276" s="1"/>
      <c r="D2276" s="1"/>
    </row>
    <row r="2277" spans="1:4">
      <c r="A2277" s="1"/>
      <c r="D2277" s="1"/>
    </row>
    <row r="2278" spans="1:4">
      <c r="A2278" s="1"/>
      <c r="D2278" s="1"/>
    </row>
    <row r="2279" spans="1:4">
      <c r="A2279" s="1"/>
      <c r="D2279" s="1"/>
    </row>
    <row r="2280" spans="1:4">
      <c r="A2280" s="1"/>
      <c r="D2280" s="1"/>
    </row>
    <row r="2281" spans="1:4">
      <c r="A2281" s="1"/>
      <c r="D2281" s="1"/>
    </row>
    <row r="2282" spans="1:4">
      <c r="A2282" s="1"/>
      <c r="D2282" s="1"/>
    </row>
    <row r="2283" spans="1:4">
      <c r="A2283" s="1"/>
      <c r="D2283" s="1"/>
    </row>
    <row r="2284" spans="1:4">
      <c r="A2284" s="1"/>
      <c r="D2284" s="1"/>
    </row>
    <row r="2285" spans="1:4">
      <c r="A2285" s="1"/>
      <c r="D2285" s="1"/>
    </row>
    <row r="2286" spans="1:4">
      <c r="A2286" s="1"/>
      <c r="D2286" s="1"/>
    </row>
    <row r="2287" spans="1:4">
      <c r="A2287" s="1"/>
      <c r="D2287" s="1"/>
    </row>
    <row r="2288" spans="1:4">
      <c r="A2288" s="1"/>
      <c r="D2288" s="1"/>
    </row>
    <row r="2289" spans="1:4">
      <c r="A2289" s="1"/>
      <c r="D2289" s="1"/>
    </row>
    <row r="2290" spans="1:4">
      <c r="A2290" s="1"/>
      <c r="D2290" s="1"/>
    </row>
    <row r="2291" spans="1:4">
      <c r="A2291" s="1"/>
      <c r="D2291" s="1"/>
    </row>
    <row r="2292" spans="1:4">
      <c r="A2292" s="1"/>
      <c r="D2292" s="1"/>
    </row>
    <row r="2293" spans="1:4">
      <c r="A2293" s="1"/>
      <c r="D2293" s="1"/>
    </row>
    <row r="2294" spans="1:4">
      <c r="A2294" s="1"/>
      <c r="D2294" s="1"/>
    </row>
    <row r="2295" spans="1:4">
      <c r="A2295" s="1"/>
      <c r="D2295" s="1"/>
    </row>
    <row r="2296" spans="1:4">
      <c r="A2296" s="1"/>
      <c r="D2296" s="1"/>
    </row>
    <row r="2297" spans="1:4">
      <c r="A2297" s="1"/>
      <c r="D2297" s="1"/>
    </row>
    <row r="2298" spans="1:4">
      <c r="A2298" s="1"/>
      <c r="D2298" s="1"/>
    </row>
    <row r="2299" spans="1:4">
      <c r="A2299" s="1"/>
      <c r="D2299" s="1"/>
    </row>
    <row r="2300" spans="1:4">
      <c r="A2300" s="1"/>
      <c r="D2300" s="1"/>
    </row>
    <row r="2301" spans="1:4">
      <c r="A2301" s="1"/>
      <c r="D2301" s="1"/>
    </row>
    <row r="2302" spans="1:4">
      <c r="A2302" s="1"/>
      <c r="D2302" s="1"/>
    </row>
    <row r="2303" spans="1:4">
      <c r="A2303" s="1"/>
      <c r="D2303" s="1"/>
    </row>
    <row r="2304" spans="1:4">
      <c r="A2304" s="1"/>
      <c r="D2304" s="1"/>
    </row>
    <row r="2305" spans="1:4">
      <c r="A2305" s="1"/>
      <c r="D2305" s="1"/>
    </row>
    <row r="2306" spans="1:4">
      <c r="A2306" s="1"/>
      <c r="D2306" s="1"/>
    </row>
    <row r="2307" spans="1:4">
      <c r="A2307" s="1"/>
      <c r="D2307" s="1"/>
    </row>
    <row r="2308" spans="1:4">
      <c r="A2308" s="1"/>
      <c r="D2308" s="1"/>
    </row>
    <row r="2309" spans="1:4">
      <c r="A2309" s="1"/>
      <c r="D2309" s="1"/>
    </row>
    <row r="2310" spans="1:4">
      <c r="A2310" s="1"/>
      <c r="D2310" s="1"/>
    </row>
    <row r="2311" spans="1:4">
      <c r="A2311" s="1"/>
      <c r="D2311" s="1"/>
    </row>
    <row r="2312" spans="1:4">
      <c r="A2312" s="1"/>
      <c r="D2312" s="1"/>
    </row>
    <row r="2313" spans="1:4">
      <c r="A2313" s="1"/>
      <c r="D2313" s="1"/>
    </row>
    <row r="2314" spans="1:4">
      <c r="A2314" s="1"/>
      <c r="D2314" s="1"/>
    </row>
    <row r="2315" spans="1:4">
      <c r="A2315" s="1"/>
      <c r="D2315" s="1"/>
    </row>
    <row r="2316" spans="1:4">
      <c r="A2316" s="1"/>
      <c r="D2316" s="1"/>
    </row>
    <row r="2317" spans="1:4">
      <c r="A2317" s="1"/>
      <c r="D2317" s="1"/>
    </row>
    <row r="2318" spans="1:4">
      <c r="A2318" s="1"/>
      <c r="D2318" s="1"/>
    </row>
    <row r="2319" spans="1:4">
      <c r="A2319" s="1"/>
      <c r="D2319" s="1"/>
    </row>
    <row r="2320" spans="1:4">
      <c r="A2320" s="1"/>
      <c r="D2320" s="1"/>
    </row>
    <row r="2321" spans="1:4">
      <c r="A2321" s="1"/>
      <c r="D2321" s="1"/>
    </row>
    <row r="2322" spans="1:4">
      <c r="A2322" s="1"/>
      <c r="D2322" s="1"/>
    </row>
    <row r="2323" spans="1:4">
      <c r="A2323" s="1"/>
      <c r="D2323" s="1"/>
    </row>
    <row r="2324" spans="1:4">
      <c r="A2324" s="1"/>
      <c r="D2324" s="1"/>
    </row>
    <row r="2325" spans="1:4">
      <c r="A2325" s="1"/>
      <c r="D2325" s="1"/>
    </row>
    <row r="2326" spans="1:4">
      <c r="A2326" s="1"/>
      <c r="D2326" s="1"/>
    </row>
    <row r="2327" spans="1:4">
      <c r="A2327" s="1"/>
      <c r="D2327" s="1"/>
    </row>
    <row r="2328" spans="1:4">
      <c r="A2328" s="1"/>
      <c r="D2328" s="1"/>
    </row>
    <row r="2329" spans="1:4">
      <c r="A2329" s="1"/>
      <c r="D2329" s="1"/>
    </row>
    <row r="2330" spans="1:4">
      <c r="A2330" s="1"/>
      <c r="D2330" s="1"/>
    </row>
    <row r="2331" spans="1:4">
      <c r="A2331" s="1"/>
      <c r="D2331" s="1"/>
    </row>
    <row r="2332" spans="1:4">
      <c r="A2332" s="1"/>
      <c r="D2332" s="1"/>
    </row>
    <row r="2333" spans="1:4">
      <c r="A2333" s="1"/>
      <c r="D2333" s="1"/>
    </row>
    <row r="2334" spans="1:4">
      <c r="A2334" s="1"/>
      <c r="D2334" s="1"/>
    </row>
    <row r="2335" spans="1:4">
      <c r="A2335" s="1"/>
      <c r="D2335" s="1"/>
    </row>
    <row r="2336" spans="1:4">
      <c r="A2336" s="1"/>
      <c r="D2336" s="1"/>
    </row>
    <row r="2337" spans="1:4">
      <c r="A2337" s="1"/>
      <c r="D2337" s="1"/>
    </row>
    <row r="2338" spans="1:4">
      <c r="A2338" s="1"/>
      <c r="D2338" s="1"/>
    </row>
    <row r="2339" spans="1:4">
      <c r="A2339" s="1"/>
      <c r="D2339" s="1"/>
    </row>
    <row r="2340" spans="1:4">
      <c r="A2340" s="1"/>
      <c r="D2340" s="1"/>
    </row>
    <row r="2341" spans="1:4">
      <c r="A2341" s="1"/>
      <c r="D2341" s="1"/>
    </row>
    <row r="2342" spans="1:4">
      <c r="A2342" s="1"/>
      <c r="D2342" s="1"/>
    </row>
    <row r="2343" spans="1:4">
      <c r="A2343" s="1"/>
      <c r="D2343" s="1"/>
    </row>
    <row r="2344" spans="1:4">
      <c r="A2344" s="1"/>
      <c r="D2344" s="1"/>
    </row>
    <row r="2345" spans="1:4">
      <c r="A2345" s="1"/>
      <c r="D2345" s="1"/>
    </row>
    <row r="2346" spans="1:4">
      <c r="A2346" s="1"/>
      <c r="D2346" s="1"/>
    </row>
    <row r="2347" spans="1:4">
      <c r="A2347" s="1"/>
      <c r="D2347" s="1"/>
    </row>
    <row r="2348" spans="1:4">
      <c r="A2348" s="1"/>
      <c r="D2348" s="1"/>
    </row>
    <row r="2349" spans="1:4">
      <c r="A2349" s="1"/>
      <c r="D2349" s="1"/>
    </row>
    <row r="2350" spans="1:4">
      <c r="A2350" s="1"/>
      <c r="D2350" s="1"/>
    </row>
    <row r="2351" spans="1:4">
      <c r="A2351" s="1"/>
      <c r="D2351" s="1"/>
    </row>
    <row r="2352" spans="1:4">
      <c r="A2352" s="1"/>
      <c r="D2352" s="1"/>
    </row>
    <row r="2353" spans="1:4">
      <c r="A2353" s="1"/>
      <c r="D2353" s="1"/>
    </row>
    <row r="2354" spans="1:4">
      <c r="A2354" s="1"/>
      <c r="D2354" s="1"/>
    </row>
    <row r="2355" spans="1:4">
      <c r="A2355" s="1"/>
      <c r="D2355" s="1"/>
    </row>
    <row r="2356" spans="1:4">
      <c r="A2356" s="1"/>
      <c r="D2356" s="1"/>
    </row>
    <row r="2357" spans="1:4">
      <c r="A2357" s="1"/>
      <c r="D2357" s="1"/>
    </row>
    <row r="2358" spans="1:4">
      <c r="A2358" s="1"/>
      <c r="D2358" s="1"/>
    </row>
    <row r="2359" spans="1:4">
      <c r="A2359" s="1"/>
      <c r="D2359" s="1"/>
    </row>
    <row r="2360" spans="1:4">
      <c r="A2360" s="1"/>
      <c r="D2360" s="1"/>
    </row>
    <row r="2361" spans="1:4">
      <c r="A2361" s="1"/>
      <c r="D2361" s="1"/>
    </row>
    <row r="2362" spans="1:4">
      <c r="A2362" s="1"/>
      <c r="D2362" s="1"/>
    </row>
    <row r="2363" spans="1:4">
      <c r="A2363" s="1"/>
      <c r="D2363" s="1"/>
    </row>
    <row r="2364" spans="1:4">
      <c r="A2364" s="1"/>
      <c r="D2364" s="1"/>
    </row>
    <row r="2365" spans="1:4">
      <c r="A2365" s="1"/>
      <c r="D2365" s="1"/>
    </row>
    <row r="2366" spans="1:4">
      <c r="A2366" s="1"/>
      <c r="D2366" s="1"/>
    </row>
    <row r="2367" spans="1:4">
      <c r="A2367" s="1"/>
      <c r="D2367" s="1"/>
    </row>
    <row r="2368" spans="1:4">
      <c r="A2368" s="1"/>
      <c r="D2368" s="1"/>
    </row>
    <row r="2369" spans="1:4">
      <c r="A2369" s="1"/>
      <c r="D2369" s="1"/>
    </row>
    <row r="2370" spans="1:4">
      <c r="A2370" s="1"/>
      <c r="D2370" s="1"/>
    </row>
    <row r="2371" spans="1:4">
      <c r="A2371" s="1"/>
      <c r="D2371" s="1"/>
    </row>
    <row r="2372" spans="1:4">
      <c r="A2372" s="1"/>
      <c r="D2372" s="1"/>
    </row>
    <row r="2373" spans="1:4">
      <c r="A2373" s="1"/>
      <c r="D2373" s="1"/>
    </row>
    <row r="2374" spans="1:4">
      <c r="A2374" s="1"/>
      <c r="D2374" s="1"/>
    </row>
    <row r="2375" spans="1:4">
      <c r="A2375" s="1"/>
      <c r="D2375" s="1"/>
    </row>
    <row r="2376" spans="1:4">
      <c r="A2376" s="1"/>
      <c r="D2376" s="1"/>
    </row>
    <row r="2377" spans="1:4">
      <c r="A2377" s="1"/>
      <c r="D2377" s="1"/>
    </row>
    <row r="2378" spans="1:4">
      <c r="A2378" s="1"/>
      <c r="D2378" s="1"/>
    </row>
    <row r="2379" spans="1:4">
      <c r="A2379" s="1"/>
      <c r="D2379" s="1"/>
    </row>
    <row r="2380" spans="1:4">
      <c r="A2380" s="1"/>
      <c r="D2380" s="1"/>
    </row>
    <row r="2381" spans="1:4">
      <c r="A2381" s="1"/>
      <c r="D2381" s="1"/>
    </row>
    <row r="2382" spans="1:4">
      <c r="A2382" s="1"/>
      <c r="D2382" s="1"/>
    </row>
    <row r="2383" spans="1:4">
      <c r="A2383" s="1"/>
      <c r="D2383" s="1"/>
    </row>
    <row r="2384" spans="1:4">
      <c r="A2384" s="1"/>
      <c r="D2384" s="1"/>
    </row>
    <row r="2385" spans="1:4">
      <c r="A2385" s="1"/>
      <c r="D2385" s="1"/>
    </row>
    <row r="2386" spans="1:4">
      <c r="A2386" s="1"/>
      <c r="D2386" s="1"/>
    </row>
    <row r="2387" spans="1:4">
      <c r="A2387" s="1"/>
      <c r="D2387" s="1"/>
    </row>
    <row r="2388" spans="1:4">
      <c r="A2388" s="1"/>
      <c r="D2388" s="1"/>
    </row>
    <row r="2389" spans="1:4">
      <c r="A2389" s="1"/>
      <c r="D2389" s="1"/>
    </row>
    <row r="2390" spans="1:4">
      <c r="A2390" s="1"/>
      <c r="D2390" s="1"/>
    </row>
    <row r="2391" spans="1:4">
      <c r="A2391" s="1"/>
      <c r="D2391" s="1"/>
    </row>
    <row r="2392" spans="1:4">
      <c r="A2392" s="1"/>
      <c r="D2392" s="1"/>
    </row>
    <row r="2393" spans="1:4">
      <c r="A2393" s="1"/>
      <c r="D2393" s="1"/>
    </row>
    <row r="2394" spans="1:4">
      <c r="A2394" s="1"/>
      <c r="D2394" s="1"/>
    </row>
    <row r="2395" spans="1:4">
      <c r="A2395" s="1"/>
      <c r="D2395" s="1"/>
    </row>
    <row r="2396" spans="1:4">
      <c r="A2396" s="1"/>
      <c r="D2396" s="1"/>
    </row>
    <row r="2397" spans="1:4">
      <c r="A2397" s="1"/>
      <c r="D2397" s="1"/>
    </row>
    <row r="2398" spans="1:4">
      <c r="A2398" s="1"/>
      <c r="D2398" s="1"/>
    </row>
    <row r="2399" spans="1:4">
      <c r="A2399" s="1"/>
      <c r="D2399" s="1"/>
    </row>
    <row r="2400" spans="1:4">
      <c r="A2400" s="1"/>
      <c r="D2400" s="1"/>
    </row>
    <row r="2401" spans="1:4">
      <c r="A2401" s="1"/>
      <c r="D2401" s="1"/>
    </row>
    <row r="2402" spans="1:4">
      <c r="A2402" s="1"/>
      <c r="D2402" s="1"/>
    </row>
    <row r="2403" spans="1:4">
      <c r="A2403" s="1"/>
      <c r="D2403" s="1"/>
    </row>
    <row r="2404" spans="1:4">
      <c r="A2404" s="1"/>
      <c r="D2404" s="1"/>
    </row>
    <row r="2405" spans="1:4">
      <c r="A2405" s="1"/>
      <c r="D2405" s="1"/>
    </row>
    <row r="2406" spans="1:4">
      <c r="A2406" s="1"/>
      <c r="D2406" s="1"/>
    </row>
    <row r="2407" spans="1:4">
      <c r="A2407" s="1"/>
      <c r="D2407" s="1"/>
    </row>
    <row r="2408" spans="1:4">
      <c r="A2408" s="1"/>
      <c r="D2408" s="1"/>
    </row>
    <row r="2409" spans="1:4">
      <c r="A2409" s="1"/>
      <c r="D2409" s="1"/>
    </row>
    <row r="2410" spans="1:4">
      <c r="A2410" s="1"/>
      <c r="D2410" s="1"/>
    </row>
    <row r="2411" spans="1:4">
      <c r="A2411" s="1"/>
      <c r="D2411" s="1"/>
    </row>
    <row r="2412" spans="1:4">
      <c r="A2412" s="1"/>
      <c r="D2412" s="1"/>
    </row>
    <row r="2413" spans="1:4">
      <c r="A2413" s="1"/>
      <c r="D2413" s="1"/>
    </row>
    <row r="2414" spans="1:4">
      <c r="A2414" s="1"/>
      <c r="D2414" s="1"/>
    </row>
    <row r="2415" spans="1:4">
      <c r="A2415" s="1"/>
      <c r="D2415" s="1"/>
    </row>
    <row r="2416" spans="1:4">
      <c r="A2416" s="1"/>
      <c r="D2416" s="1"/>
    </row>
    <row r="2417" spans="1:4">
      <c r="A2417" s="1"/>
      <c r="D2417" s="1"/>
    </row>
    <row r="2418" spans="1:4">
      <c r="A2418" s="1"/>
      <c r="D2418" s="1"/>
    </row>
    <row r="2419" spans="1:4">
      <c r="A2419" s="1"/>
      <c r="D2419" s="1"/>
    </row>
    <row r="2420" spans="1:4">
      <c r="A2420" s="1"/>
      <c r="D2420" s="1"/>
    </row>
    <row r="2421" spans="1:4">
      <c r="A2421" s="1"/>
      <c r="D2421" s="1"/>
    </row>
    <row r="2422" spans="1:4">
      <c r="A2422" s="1"/>
      <c r="D2422" s="1"/>
    </row>
    <row r="2423" spans="1:4">
      <c r="A2423" s="1"/>
      <c r="D2423" s="1"/>
    </row>
    <row r="2424" spans="1:4">
      <c r="A2424" s="1"/>
      <c r="D2424" s="1"/>
    </row>
    <row r="2425" spans="1:4">
      <c r="A2425" s="1"/>
      <c r="D2425" s="1"/>
    </row>
    <row r="2426" spans="1:4">
      <c r="A2426" s="1"/>
      <c r="D2426" s="1"/>
    </row>
    <row r="2427" spans="1:4">
      <c r="A2427" s="1"/>
      <c r="D2427" s="1"/>
    </row>
    <row r="2428" spans="1:4">
      <c r="A2428" s="1"/>
      <c r="D2428" s="1"/>
    </row>
    <row r="2429" spans="1:4">
      <c r="A2429" s="1"/>
      <c r="D2429" s="1"/>
    </row>
    <row r="2430" spans="1:4">
      <c r="A2430" s="1"/>
      <c r="D2430" s="1"/>
    </row>
    <row r="2431" spans="1:4">
      <c r="A2431" s="1"/>
      <c r="D2431" s="1"/>
    </row>
    <row r="2432" spans="1:4">
      <c r="A2432" s="1"/>
      <c r="D2432" s="1"/>
    </row>
    <row r="2433" spans="1:4">
      <c r="A2433" s="1"/>
      <c r="D2433" s="1"/>
    </row>
    <row r="2434" spans="1:4">
      <c r="A2434" s="1"/>
      <c r="D2434" s="1"/>
    </row>
    <row r="2435" spans="1:4">
      <c r="A2435" s="1"/>
      <c r="D2435" s="1"/>
    </row>
    <row r="2436" spans="1:4">
      <c r="A2436" s="1"/>
      <c r="D2436" s="1"/>
    </row>
    <row r="2437" spans="1:4">
      <c r="A2437" s="1"/>
      <c r="D2437" s="1"/>
    </row>
    <row r="2438" spans="1:4">
      <c r="A2438" s="1"/>
      <c r="D2438" s="1"/>
    </row>
    <row r="2439" spans="1:4">
      <c r="A2439" s="1"/>
      <c r="D2439" s="1"/>
    </row>
    <row r="2440" spans="1:4">
      <c r="A2440" s="1"/>
      <c r="D2440" s="1"/>
    </row>
    <row r="2441" spans="1:4">
      <c r="A2441" s="1"/>
      <c r="D2441" s="1"/>
    </row>
    <row r="2442" spans="1:4">
      <c r="A2442" s="1"/>
      <c r="D2442" s="1"/>
    </row>
    <row r="2443" spans="1:4">
      <c r="A2443" s="1"/>
      <c r="D2443" s="1"/>
    </row>
    <row r="2444" spans="1:4">
      <c r="A2444" s="1"/>
      <c r="D2444" s="1"/>
    </row>
    <row r="2445" spans="1:4">
      <c r="A2445" s="1"/>
      <c r="D2445" s="1"/>
    </row>
    <row r="2446" spans="1:4">
      <c r="A2446" s="1"/>
      <c r="D2446" s="1"/>
    </row>
    <row r="2447" spans="1:4">
      <c r="A2447" s="1"/>
      <c r="D2447" s="1"/>
    </row>
    <row r="2448" spans="1:4">
      <c r="A2448" s="1"/>
      <c r="D2448" s="1"/>
    </row>
    <row r="2449" spans="1:4">
      <c r="A2449" s="1"/>
      <c r="D2449" s="1"/>
    </row>
    <row r="2450" spans="1:4">
      <c r="A2450" s="1"/>
      <c r="D2450" s="1"/>
    </row>
    <row r="2451" spans="1:4">
      <c r="A2451" s="1"/>
      <c r="D2451" s="1"/>
    </row>
    <row r="2452" spans="1:4">
      <c r="A2452" s="1"/>
      <c r="D2452" s="1"/>
    </row>
    <row r="2453" spans="1:4">
      <c r="A2453" s="1"/>
      <c r="D2453" s="1"/>
    </row>
    <row r="2454" spans="1:4">
      <c r="A2454" s="1"/>
      <c r="D2454" s="1"/>
    </row>
    <row r="2455" spans="1:4">
      <c r="A2455" s="1"/>
      <c r="D2455" s="1"/>
    </row>
    <row r="2456" spans="1:4">
      <c r="A2456" s="1"/>
      <c r="D2456" s="1"/>
    </row>
    <row r="2457" spans="1:4">
      <c r="A2457" s="1"/>
      <c r="D2457" s="1"/>
    </row>
    <row r="2458" spans="1:4">
      <c r="A2458" s="1"/>
      <c r="D2458" s="1"/>
    </row>
    <row r="2459" spans="1:4">
      <c r="A2459" s="1"/>
      <c r="D2459" s="1"/>
    </row>
    <row r="2460" spans="1:4">
      <c r="A2460" s="1"/>
      <c r="D2460" s="1"/>
    </row>
    <row r="2461" spans="1:4">
      <c r="A2461" s="1"/>
      <c r="D2461" s="1"/>
    </row>
    <row r="2462" spans="1:4">
      <c r="A2462" s="1"/>
      <c r="D2462" s="1"/>
    </row>
    <row r="2463" spans="1:4">
      <c r="A2463" s="1"/>
      <c r="D2463" s="1"/>
    </row>
    <row r="2464" spans="1:4">
      <c r="A2464" s="1"/>
      <c r="D2464" s="1"/>
    </row>
    <row r="2465" spans="1:4">
      <c r="A2465" s="1"/>
      <c r="D2465" s="1"/>
    </row>
    <row r="2466" spans="1:4">
      <c r="A2466" s="1"/>
      <c r="D2466" s="1"/>
    </row>
    <row r="2467" spans="1:4">
      <c r="A2467" s="1"/>
      <c r="D2467" s="1"/>
    </row>
    <row r="2468" spans="1:4">
      <c r="A2468" s="1"/>
      <c r="D2468" s="1"/>
    </row>
    <row r="2469" spans="1:4">
      <c r="A2469" s="1"/>
      <c r="D2469" s="1"/>
    </row>
    <row r="2470" spans="1:4">
      <c r="A2470" s="1"/>
      <c r="D2470" s="1"/>
    </row>
    <row r="2471" spans="1:4">
      <c r="A2471" s="1"/>
      <c r="D2471" s="1"/>
    </row>
    <row r="2472" spans="1:4">
      <c r="A2472" s="1"/>
      <c r="D2472" s="1"/>
    </row>
    <row r="2473" spans="1:4">
      <c r="A2473" s="1"/>
      <c r="D2473" s="1"/>
    </row>
    <row r="2474" spans="1:4">
      <c r="A2474" s="1"/>
      <c r="D2474" s="1"/>
    </row>
    <row r="2475" spans="1:4">
      <c r="A2475" s="1"/>
      <c r="D2475" s="1"/>
    </row>
    <row r="2476" spans="1:4">
      <c r="A2476" s="1"/>
      <c r="D2476" s="1"/>
    </row>
    <row r="2477" spans="1:4">
      <c r="A2477" s="1"/>
      <c r="D2477" s="1"/>
    </row>
    <row r="2478" spans="1:4">
      <c r="A2478" s="1"/>
      <c r="D2478" s="1"/>
    </row>
    <row r="2479" spans="1:4">
      <c r="A2479" s="1"/>
      <c r="D2479" s="1"/>
    </row>
    <row r="2480" spans="1:4">
      <c r="A2480" s="1"/>
      <c r="D2480" s="1"/>
    </row>
    <row r="2481" spans="1:4">
      <c r="A2481" s="1"/>
      <c r="D2481" s="1"/>
    </row>
    <row r="2482" spans="1:4">
      <c r="A2482" s="1"/>
      <c r="D2482" s="1"/>
    </row>
    <row r="2483" spans="1:4">
      <c r="A2483" s="1"/>
      <c r="D2483" s="1"/>
    </row>
    <row r="2484" spans="1:4">
      <c r="A2484" s="1"/>
      <c r="D2484" s="1"/>
    </row>
    <row r="2485" spans="1:4">
      <c r="A2485" s="1"/>
      <c r="D2485" s="1"/>
    </row>
    <row r="2486" spans="1:4">
      <c r="A2486" s="1"/>
      <c r="D2486" s="1"/>
    </row>
    <row r="2487" spans="1:4">
      <c r="A2487" s="1"/>
      <c r="D2487" s="1"/>
    </row>
    <row r="2488" spans="1:4">
      <c r="A2488" s="1"/>
      <c r="D2488" s="1"/>
    </row>
    <row r="2489" spans="1:4">
      <c r="A2489" s="1"/>
      <c r="D2489" s="1"/>
    </row>
    <row r="2490" spans="1:4">
      <c r="A2490" s="1"/>
      <c r="D2490" s="1"/>
    </row>
    <row r="2491" spans="1:4">
      <c r="A2491" s="1"/>
      <c r="D2491" s="1"/>
    </row>
    <row r="2492" spans="1:4">
      <c r="A2492" s="1"/>
      <c r="D2492" s="1"/>
    </row>
    <row r="2493" spans="1:4">
      <c r="A2493" s="1"/>
      <c r="D2493" s="1"/>
    </row>
    <row r="2494" spans="1:4">
      <c r="A2494" s="1"/>
      <c r="D2494" s="1"/>
    </row>
    <row r="2495" spans="1:4">
      <c r="A2495" s="1"/>
      <c r="D2495" s="1"/>
    </row>
    <row r="2496" spans="1:4">
      <c r="A2496" s="1"/>
      <c r="D2496" s="1"/>
    </row>
    <row r="2497" spans="1:4">
      <c r="A2497" s="1"/>
      <c r="D2497" s="1"/>
    </row>
    <row r="2498" spans="1:4">
      <c r="A2498" s="1"/>
      <c r="D2498" s="1"/>
    </row>
    <row r="2499" spans="1:4">
      <c r="A2499" s="1"/>
      <c r="D2499" s="1"/>
    </row>
    <row r="2500" spans="1:4">
      <c r="A2500" s="1"/>
      <c r="D2500" s="1"/>
    </row>
    <row r="2501" spans="1:4">
      <c r="A2501" s="1"/>
      <c r="D2501" s="1"/>
    </row>
    <row r="2502" spans="1:4">
      <c r="A2502" s="1"/>
      <c r="D2502" s="1"/>
    </row>
    <row r="2503" spans="1:4">
      <c r="A2503" s="1"/>
      <c r="D2503" s="1"/>
    </row>
    <row r="2504" spans="1:4">
      <c r="A2504" s="1"/>
      <c r="D2504" s="1"/>
    </row>
    <row r="2505" spans="1:4">
      <c r="A2505" s="1"/>
      <c r="D2505" s="1"/>
    </row>
    <row r="2506" spans="1:4">
      <c r="A2506" s="1"/>
      <c r="D2506" s="1"/>
    </row>
    <row r="2507" spans="1:4">
      <c r="A2507" s="1"/>
      <c r="D2507" s="1"/>
    </row>
    <row r="2508" spans="1:4">
      <c r="A2508" s="1"/>
      <c r="D2508" s="1"/>
    </row>
    <row r="2509" spans="1:4">
      <c r="A2509" s="1"/>
      <c r="D2509" s="1"/>
    </row>
    <row r="2510" spans="1:4">
      <c r="A2510" s="1"/>
      <c r="D2510" s="1"/>
    </row>
    <row r="2511" spans="1:4">
      <c r="A2511" s="1"/>
      <c r="D2511" s="1"/>
    </row>
    <row r="2512" spans="1:4">
      <c r="A2512" s="1"/>
      <c r="D2512" s="1"/>
    </row>
    <row r="2513" spans="1:4">
      <c r="A2513" s="1"/>
      <c r="D2513" s="1"/>
    </row>
    <row r="2514" spans="1:4">
      <c r="A2514" s="1"/>
      <c r="D2514" s="1"/>
    </row>
    <row r="2515" spans="1:4">
      <c r="A2515" s="1"/>
      <c r="D2515" s="1"/>
    </row>
    <row r="2516" spans="1:4">
      <c r="A2516" s="1"/>
      <c r="D2516" s="1"/>
    </row>
    <row r="2517" spans="1:4">
      <c r="A2517" s="1"/>
      <c r="D2517" s="1"/>
    </row>
    <row r="2518" spans="1:4">
      <c r="A2518" s="1"/>
      <c r="D2518" s="1"/>
    </row>
    <row r="2519" spans="1:4">
      <c r="A2519" s="1"/>
      <c r="D2519" s="1"/>
    </row>
    <row r="2520" spans="1:4">
      <c r="A2520" s="1"/>
      <c r="D2520" s="1"/>
    </row>
    <row r="2521" spans="1:4">
      <c r="A2521" s="1"/>
      <c r="D2521" s="1"/>
    </row>
    <row r="2522" spans="1:4">
      <c r="A2522" s="1"/>
      <c r="D2522" s="1"/>
    </row>
    <row r="2523" spans="1:4">
      <c r="A2523" s="1"/>
      <c r="D2523" s="1"/>
    </row>
    <row r="2524" spans="1:4">
      <c r="A2524" s="1"/>
      <c r="D2524" s="1"/>
    </row>
    <row r="2525" spans="1:4">
      <c r="A2525" s="1"/>
      <c r="D2525" s="1"/>
    </row>
    <row r="2526" spans="1:4">
      <c r="A2526" s="1"/>
      <c r="D2526" s="1"/>
    </row>
    <row r="2527" spans="1:4">
      <c r="A2527" s="1"/>
      <c r="D2527" s="1"/>
    </row>
    <row r="2528" spans="1:4">
      <c r="A2528" s="1"/>
      <c r="D2528" s="1"/>
    </row>
    <row r="2529" spans="1:4">
      <c r="A2529" s="1"/>
      <c r="D2529" s="1"/>
    </row>
    <row r="2530" spans="1:4">
      <c r="A2530" s="1"/>
      <c r="D2530" s="1"/>
    </row>
    <row r="2531" spans="1:4">
      <c r="A2531" s="1"/>
      <c r="D2531" s="1"/>
    </row>
    <row r="2532" spans="1:4">
      <c r="A2532" s="1"/>
      <c r="D2532" s="1"/>
    </row>
    <row r="2533" spans="1:4">
      <c r="A2533" s="1"/>
      <c r="D2533" s="1"/>
    </row>
    <row r="2534" spans="1:4">
      <c r="A2534" s="1"/>
      <c r="D2534" s="1"/>
    </row>
    <row r="2535" spans="1:4">
      <c r="A2535" s="1"/>
      <c r="D2535" s="1"/>
    </row>
    <row r="2536" spans="1:4">
      <c r="A2536" s="1"/>
      <c r="D2536" s="1"/>
    </row>
    <row r="2537" spans="1:4">
      <c r="A2537" s="1"/>
      <c r="D2537" s="1"/>
    </row>
    <row r="2538" spans="1:4">
      <c r="A2538" s="1"/>
      <c r="D2538" s="1"/>
    </row>
    <row r="2539" spans="1:4">
      <c r="A2539" s="1"/>
      <c r="D2539" s="1"/>
    </row>
    <row r="2540" spans="1:4">
      <c r="A2540" s="1"/>
      <c r="D2540" s="1"/>
    </row>
    <row r="2541" spans="1:4">
      <c r="A2541" s="1"/>
      <c r="D2541" s="1"/>
    </row>
    <row r="2542" spans="1:4">
      <c r="A2542" s="1"/>
      <c r="D2542" s="1"/>
    </row>
    <row r="2543" spans="1:4">
      <c r="A2543" s="1"/>
      <c r="D2543" s="1"/>
    </row>
    <row r="2544" spans="1:4">
      <c r="A2544" s="1"/>
      <c r="D2544" s="1"/>
    </row>
    <row r="2545" spans="1:4">
      <c r="A2545" s="1"/>
      <c r="D2545" s="1"/>
    </row>
    <row r="2546" spans="1:4">
      <c r="A2546" s="1"/>
      <c r="D2546" s="1"/>
    </row>
    <row r="2547" spans="1:4">
      <c r="A2547" s="1"/>
      <c r="D2547" s="1"/>
    </row>
    <row r="2548" spans="1:4">
      <c r="A2548" s="1"/>
      <c r="D2548" s="1"/>
    </row>
    <row r="2549" spans="1:4">
      <c r="A2549" s="1"/>
      <c r="D2549" s="1"/>
    </row>
    <row r="2550" spans="1:4">
      <c r="A2550" s="1"/>
      <c r="D2550" s="1"/>
    </row>
    <row r="2551" spans="1:4">
      <c r="A2551" s="1"/>
      <c r="D2551" s="1"/>
    </row>
    <row r="2552" spans="1:4">
      <c r="A2552" s="1"/>
      <c r="D2552" s="1"/>
    </row>
    <row r="2553" spans="1:4">
      <c r="A2553" s="1"/>
      <c r="D2553" s="1"/>
    </row>
    <row r="2554" spans="1:4">
      <c r="A2554" s="1"/>
      <c r="D2554" s="1"/>
    </row>
    <row r="2555" spans="1:4">
      <c r="A2555" s="1"/>
      <c r="D2555" s="1"/>
    </row>
    <row r="2556" spans="1:4">
      <c r="A2556" s="1"/>
      <c r="D2556" s="1"/>
    </row>
    <row r="2557" spans="1:4">
      <c r="A2557" s="1"/>
      <c r="D2557" s="1"/>
    </row>
    <row r="2558" spans="1:4">
      <c r="A2558" s="1"/>
      <c r="D2558" s="1"/>
    </row>
    <row r="2559" spans="1:4">
      <c r="A2559" s="1"/>
      <c r="D2559" s="1"/>
    </row>
    <row r="2560" spans="1:4">
      <c r="A2560" s="1"/>
      <c r="D2560" s="1"/>
    </row>
    <row r="2561" spans="1:4">
      <c r="A2561" s="1"/>
      <c r="D2561" s="1"/>
    </row>
    <row r="2562" spans="1:4">
      <c r="A2562" s="1"/>
      <c r="D2562" s="1"/>
    </row>
    <row r="2563" spans="1:4">
      <c r="A2563" s="1"/>
      <c r="D2563" s="1"/>
    </row>
    <row r="2564" spans="1:4">
      <c r="A2564" s="1"/>
      <c r="D2564" s="1"/>
    </row>
    <row r="2565" spans="1:4">
      <c r="A2565" s="1"/>
      <c r="D2565" s="1"/>
    </row>
    <row r="2566" spans="1:4">
      <c r="A2566" s="1"/>
      <c r="D2566" s="1"/>
    </row>
    <row r="2567" spans="1:4">
      <c r="A2567" s="1"/>
      <c r="D2567" s="1"/>
    </row>
    <row r="2568" spans="1:4">
      <c r="A2568" s="1"/>
      <c r="D2568" s="1"/>
    </row>
    <row r="2569" spans="1:4">
      <c r="A2569" s="1"/>
      <c r="D2569" s="1"/>
    </row>
    <row r="2570" spans="1:4">
      <c r="A2570" s="1"/>
      <c r="D2570" s="1"/>
    </row>
    <row r="2571" spans="1:4">
      <c r="A2571" s="1"/>
      <c r="D2571" s="1"/>
    </row>
    <row r="2572" spans="1:4">
      <c r="A2572" s="1"/>
      <c r="D2572" s="1"/>
    </row>
    <row r="2573" spans="1:4">
      <c r="A2573" s="1"/>
      <c r="D2573" s="1"/>
    </row>
    <row r="2574" spans="1:4">
      <c r="A2574" s="1"/>
      <c r="D2574" s="1"/>
    </row>
    <row r="2575" spans="1:4">
      <c r="A2575" s="1"/>
      <c r="D2575" s="1"/>
    </row>
    <row r="2576" spans="1:4">
      <c r="A2576" s="1"/>
      <c r="D2576" s="1"/>
    </row>
    <row r="2577" spans="1:4">
      <c r="A2577" s="1"/>
      <c r="D2577" s="1"/>
    </row>
    <row r="2578" spans="1:4">
      <c r="A2578" s="1"/>
      <c r="D2578" s="1"/>
    </row>
    <row r="2579" spans="1:4">
      <c r="A2579" s="1"/>
      <c r="D2579" s="1"/>
    </row>
    <row r="2580" spans="1:4">
      <c r="A2580" s="1"/>
      <c r="D2580" s="1"/>
    </row>
    <row r="2581" spans="1:4">
      <c r="A2581" s="1"/>
      <c r="D2581" s="1"/>
    </row>
    <row r="2582" spans="1:4">
      <c r="A2582" s="1"/>
      <c r="D2582" s="1"/>
    </row>
    <row r="2583" spans="1:4">
      <c r="A2583" s="1"/>
      <c r="D2583" s="1"/>
    </row>
    <row r="2584" spans="1:4">
      <c r="A2584" s="1"/>
      <c r="D2584" s="1"/>
    </row>
    <row r="2585" spans="1:4">
      <c r="A2585" s="1"/>
      <c r="D2585" s="1"/>
    </row>
    <row r="2586" spans="1:4">
      <c r="A2586" s="1"/>
      <c r="D2586" s="1"/>
    </row>
    <row r="2587" spans="1:4">
      <c r="A2587" s="1"/>
      <c r="D2587" s="1"/>
    </row>
    <row r="2588" spans="1:4">
      <c r="A2588" s="1"/>
      <c r="D2588" s="1"/>
    </row>
    <row r="2589" spans="1:4">
      <c r="A2589" s="1"/>
      <c r="D2589" s="1"/>
    </row>
    <row r="2590" spans="1:4">
      <c r="A2590" s="1"/>
      <c r="D2590" s="1"/>
    </row>
    <row r="2591" spans="1:4">
      <c r="A2591" s="1"/>
      <c r="D2591" s="1"/>
    </row>
    <row r="2592" spans="1:4">
      <c r="A2592" s="1"/>
      <c r="D2592" s="1"/>
    </row>
    <row r="2593" spans="1:4">
      <c r="A2593" s="1"/>
      <c r="D2593" s="1"/>
    </row>
    <row r="2594" spans="1:4">
      <c r="A2594" s="1"/>
      <c r="D2594" s="1"/>
    </row>
    <row r="2595" spans="1:4">
      <c r="A2595" s="1"/>
      <c r="D2595" s="1"/>
    </row>
    <row r="2596" spans="1:4">
      <c r="A2596" s="1"/>
      <c r="D2596" s="1"/>
    </row>
    <row r="2597" spans="1:4">
      <c r="A2597" s="1"/>
      <c r="D2597" s="1"/>
    </row>
    <row r="2598" spans="1:4">
      <c r="A2598" s="1"/>
      <c r="D2598" s="1"/>
    </row>
    <row r="2599" spans="1:4">
      <c r="A2599" s="1"/>
      <c r="D2599" s="1"/>
    </row>
    <row r="2600" spans="1:4">
      <c r="A2600" s="1"/>
      <c r="D2600" s="1"/>
    </row>
    <row r="2601" spans="1:4">
      <c r="A2601" s="1"/>
      <c r="D2601" s="1"/>
    </row>
    <row r="2602" spans="1:4">
      <c r="A2602" s="1"/>
      <c r="D2602" s="1"/>
    </row>
    <row r="2603" spans="1:4">
      <c r="A2603" s="1"/>
      <c r="D2603" s="1"/>
    </row>
    <row r="2604" spans="1:4">
      <c r="A2604" s="1"/>
      <c r="D2604" s="1"/>
    </row>
    <row r="2605" spans="1:4">
      <c r="A2605" s="1"/>
      <c r="D2605" s="1"/>
    </row>
    <row r="2606" spans="1:4">
      <c r="A2606" s="1"/>
      <c r="D2606" s="1"/>
    </row>
    <row r="2607" spans="1:4">
      <c r="A2607" s="1"/>
      <c r="D2607" s="1"/>
    </row>
    <row r="2608" spans="1:4">
      <c r="A2608" s="1"/>
      <c r="D2608" s="1"/>
    </row>
    <row r="2609" spans="1:4">
      <c r="A2609" s="1"/>
      <c r="D2609" s="1"/>
    </row>
    <row r="2610" spans="1:4">
      <c r="A2610" s="1"/>
      <c r="D2610" s="1"/>
    </row>
    <row r="2611" spans="1:4">
      <c r="A2611" s="1"/>
      <c r="D2611" s="1"/>
    </row>
    <row r="2612" spans="1:4">
      <c r="A2612" s="1"/>
      <c r="D2612" s="1"/>
    </row>
    <row r="2613" spans="1:4">
      <c r="A2613" s="1"/>
      <c r="D2613" s="1"/>
    </row>
    <row r="2614" spans="1:4">
      <c r="A2614" s="1"/>
      <c r="D2614" s="1"/>
    </row>
    <row r="2615" spans="1:4">
      <c r="A2615" s="1"/>
      <c r="D2615" s="1"/>
    </row>
    <row r="2616" spans="1:4">
      <c r="A2616" s="1"/>
      <c r="D2616" s="1"/>
    </row>
    <row r="2617" spans="1:4">
      <c r="A2617" s="1"/>
      <c r="D2617" s="1"/>
    </row>
    <row r="2618" spans="1:4">
      <c r="A2618" s="1"/>
      <c r="D2618" s="1"/>
    </row>
    <row r="2619" spans="1:4">
      <c r="A2619" s="1"/>
      <c r="D2619" s="1"/>
    </row>
    <row r="2620" spans="1:4">
      <c r="A2620" s="1"/>
      <c r="D2620" s="1"/>
    </row>
    <row r="2621" spans="1:4">
      <c r="A2621" s="1"/>
      <c r="D2621" s="1"/>
    </row>
    <row r="2622" spans="1:4">
      <c r="A2622" s="1"/>
      <c r="D2622" s="1"/>
    </row>
    <row r="2623" spans="1:4">
      <c r="A2623" s="1"/>
      <c r="D2623" s="1"/>
    </row>
    <row r="2624" spans="1:4">
      <c r="A2624" s="1"/>
      <c r="D2624" s="1"/>
    </row>
    <row r="2625" spans="1:4">
      <c r="A2625" s="1"/>
      <c r="D2625" s="1"/>
    </row>
    <row r="2626" spans="1:4">
      <c r="A2626" s="1"/>
      <c r="D2626" s="1"/>
    </row>
    <row r="2627" spans="1:4">
      <c r="A2627" s="1"/>
      <c r="D2627" s="1"/>
    </row>
    <row r="2628" spans="1:4">
      <c r="A2628" s="1"/>
      <c r="D2628" s="1"/>
    </row>
    <row r="2629" spans="1:4">
      <c r="A2629" s="1"/>
      <c r="D2629" s="1"/>
    </row>
    <row r="2630" spans="1:4">
      <c r="A2630" s="1"/>
      <c r="D2630" s="1"/>
    </row>
    <row r="2631" spans="1:4">
      <c r="A2631" s="1"/>
      <c r="D2631" s="1"/>
    </row>
    <row r="2632" spans="1:4">
      <c r="A2632" s="1"/>
      <c r="D2632" s="1"/>
    </row>
    <row r="2633" spans="1:4">
      <c r="A2633" s="1"/>
      <c r="D2633" s="1"/>
    </row>
    <row r="2634" spans="1:4">
      <c r="A2634" s="1"/>
      <c r="D2634" s="1"/>
    </row>
    <row r="2635" spans="1:4">
      <c r="A2635" s="1"/>
      <c r="D2635" s="1"/>
    </row>
    <row r="2636" spans="1:4">
      <c r="A2636" s="1"/>
      <c r="D2636" s="1"/>
    </row>
    <row r="2637" spans="1:4">
      <c r="A2637" s="1"/>
      <c r="D2637" s="1"/>
    </row>
    <row r="2638" spans="1:4">
      <c r="A2638" s="1"/>
      <c r="D2638" s="1"/>
    </row>
    <row r="2639" spans="1:4">
      <c r="A2639" s="1"/>
      <c r="D2639" s="1"/>
    </row>
    <row r="2640" spans="1:4">
      <c r="A2640" s="1"/>
      <c r="D2640" s="1"/>
    </row>
    <row r="2641" spans="1:4">
      <c r="A2641" s="1"/>
      <c r="D2641" s="1"/>
    </row>
    <row r="2642" spans="1:4">
      <c r="A2642" s="1"/>
      <c r="D2642" s="1"/>
    </row>
    <row r="2643" spans="1:4">
      <c r="A2643" s="1"/>
      <c r="D2643" s="1"/>
    </row>
    <row r="2644" spans="1:4">
      <c r="A2644" s="1"/>
      <c r="D2644" s="1"/>
    </row>
    <row r="2645" spans="1:4">
      <c r="A2645" s="1"/>
      <c r="D2645" s="1"/>
    </row>
    <row r="2646" spans="1:4">
      <c r="A2646" s="1"/>
      <c r="D2646" s="1"/>
    </row>
    <row r="2647" spans="1:4">
      <c r="A2647" s="1"/>
      <c r="D2647" s="1"/>
    </row>
    <row r="2648" spans="1:4">
      <c r="A2648" s="1"/>
      <c r="D2648" s="1"/>
    </row>
    <row r="2649" spans="1:4">
      <c r="A2649" s="1"/>
      <c r="D2649" s="1"/>
    </row>
    <row r="2650" spans="1:4">
      <c r="A2650" s="1"/>
      <c r="D2650" s="1"/>
    </row>
    <row r="2651" spans="1:4">
      <c r="A2651" s="1"/>
      <c r="D2651" s="1"/>
    </row>
    <row r="2652" spans="1:4">
      <c r="A2652" s="1"/>
      <c r="D2652" s="1"/>
    </row>
    <row r="2653" spans="1:4">
      <c r="A2653" s="1"/>
      <c r="D2653" s="1"/>
    </row>
    <row r="2654" spans="1:4">
      <c r="A2654" s="1"/>
      <c r="D2654" s="1"/>
    </row>
    <row r="2655" spans="1:4">
      <c r="A2655" s="1"/>
      <c r="D2655" s="1"/>
    </row>
    <row r="2656" spans="1:4">
      <c r="A2656" s="1"/>
      <c r="D2656" s="1"/>
    </row>
    <row r="2657" spans="1:4">
      <c r="A2657" s="1"/>
      <c r="D2657" s="1"/>
    </row>
    <row r="2658" spans="1:4">
      <c r="A2658" s="1"/>
      <c r="D2658" s="1"/>
    </row>
    <row r="2659" spans="1:4">
      <c r="A2659" s="1"/>
      <c r="D2659" s="1"/>
    </row>
    <row r="2660" spans="1:4">
      <c r="A2660" s="1"/>
      <c r="D2660" s="1"/>
    </row>
    <row r="2661" spans="1:4">
      <c r="A2661" s="1"/>
      <c r="D2661" s="1"/>
    </row>
    <row r="2662" spans="1:4">
      <c r="A2662" s="1"/>
      <c r="D2662" s="1"/>
    </row>
    <row r="2663" spans="1:4">
      <c r="A2663" s="1"/>
      <c r="D2663" s="1"/>
    </row>
    <row r="2664" spans="1:4">
      <c r="A2664" s="1"/>
      <c r="D2664" s="1"/>
    </row>
    <row r="2665" spans="1:4">
      <c r="A2665" s="1"/>
      <c r="D2665" s="1"/>
    </row>
    <row r="2666" spans="1:4">
      <c r="A2666" s="1"/>
      <c r="D2666" s="1"/>
    </row>
    <row r="2667" spans="1:4">
      <c r="A2667" s="1"/>
      <c r="D2667" s="1"/>
    </row>
    <row r="2668" spans="1:4">
      <c r="A2668" s="1"/>
      <c r="D2668" s="1"/>
    </row>
    <row r="2669" spans="1:4">
      <c r="A2669" s="1"/>
      <c r="D2669" s="1"/>
    </row>
    <row r="2670" spans="1:4">
      <c r="A2670" s="1"/>
      <c r="D2670" s="1"/>
    </row>
    <row r="2671" spans="1:4">
      <c r="A2671" s="1"/>
      <c r="D2671" s="1"/>
    </row>
    <row r="2672" spans="1:4">
      <c r="A2672" s="1"/>
      <c r="D2672" s="1"/>
    </row>
    <row r="2673" spans="1:4">
      <c r="A2673" s="1"/>
      <c r="D2673" s="1"/>
    </row>
    <row r="2674" spans="1:4">
      <c r="A2674" s="1"/>
      <c r="D2674" s="1"/>
    </row>
    <row r="2675" spans="1:4">
      <c r="A2675" s="1"/>
      <c r="D2675" s="1"/>
    </row>
    <row r="2676" spans="1:4">
      <c r="A2676" s="1"/>
      <c r="D2676" s="1"/>
    </row>
    <row r="2677" spans="1:4">
      <c r="A2677" s="1"/>
      <c r="D2677" s="1"/>
    </row>
    <row r="2678" spans="1:4">
      <c r="A2678" s="1"/>
      <c r="D2678" s="1"/>
    </row>
    <row r="2679" spans="1:4">
      <c r="A2679" s="1"/>
      <c r="D2679" s="1"/>
    </row>
    <row r="2680" spans="1:4">
      <c r="A2680" s="1"/>
      <c r="D2680" s="1"/>
    </row>
    <row r="2681" spans="1:4">
      <c r="A2681" s="1"/>
      <c r="D2681" s="1"/>
    </row>
    <row r="2682" spans="1:4">
      <c r="A2682" s="1"/>
      <c r="D2682" s="1"/>
    </row>
    <row r="2683" spans="1:4">
      <c r="A2683" s="1"/>
      <c r="D2683" s="1"/>
    </row>
    <row r="2684" spans="1:4">
      <c r="A2684" s="1"/>
      <c r="D2684" s="1"/>
    </row>
    <row r="2685" spans="1:4">
      <c r="A2685" s="1"/>
      <c r="D2685" s="1"/>
    </row>
    <row r="2686" spans="1:4">
      <c r="A2686" s="1"/>
      <c r="D2686" s="1"/>
    </row>
    <row r="2687" spans="1:4">
      <c r="A2687" s="1"/>
      <c r="D2687" s="1"/>
    </row>
    <row r="2688" spans="1:4">
      <c r="A2688" s="1"/>
      <c r="D2688" s="1"/>
    </row>
    <row r="2689" spans="1:4">
      <c r="A2689" s="1"/>
      <c r="D2689" s="1"/>
    </row>
    <row r="2690" spans="1:4">
      <c r="A2690" s="1"/>
      <c r="D2690" s="1"/>
    </row>
    <row r="2691" spans="1:4">
      <c r="A2691" s="1"/>
      <c r="D2691" s="1"/>
    </row>
    <row r="2692" spans="1:4">
      <c r="A2692" s="1"/>
      <c r="D2692" s="1"/>
    </row>
    <row r="2693" spans="1:4">
      <c r="A2693" s="1"/>
      <c r="D2693" s="1"/>
    </row>
    <row r="2694" spans="1:4">
      <c r="A2694" s="1"/>
      <c r="D2694" s="1"/>
    </row>
    <row r="2695" spans="1:4">
      <c r="A2695" s="1"/>
      <c r="D2695" s="1"/>
    </row>
    <row r="2696" spans="1:4">
      <c r="A2696" s="1"/>
      <c r="D2696" s="1"/>
    </row>
    <row r="2697" spans="1:4">
      <c r="A2697" s="1"/>
      <c r="D2697" s="1"/>
    </row>
    <row r="2698" spans="1:4">
      <c r="A2698" s="1"/>
      <c r="D2698" s="1"/>
    </row>
    <row r="2699" spans="1:4">
      <c r="A2699" s="1"/>
      <c r="D2699" s="1"/>
    </row>
    <row r="2700" spans="1:4">
      <c r="A2700" s="1"/>
      <c r="D2700" s="1"/>
    </row>
    <row r="2701" spans="1:4">
      <c r="A2701" s="1"/>
      <c r="D2701" s="1"/>
    </row>
    <row r="2702" spans="1:4">
      <c r="A2702" s="1"/>
      <c r="D2702" s="1"/>
    </row>
    <row r="2703" spans="1:4">
      <c r="A2703" s="1"/>
      <c r="D2703" s="1"/>
    </row>
    <row r="2704" spans="1:4">
      <c r="A2704" s="1"/>
      <c r="D2704" s="1"/>
    </row>
    <row r="2705" spans="1:4">
      <c r="A2705" s="1"/>
      <c r="D2705" s="1"/>
    </row>
    <row r="2706" spans="1:4">
      <c r="A2706" s="1"/>
      <c r="D2706" s="1"/>
    </row>
    <row r="2707" spans="1:4">
      <c r="A2707" s="1"/>
      <c r="D2707" s="1"/>
    </row>
    <row r="2708" spans="1:4">
      <c r="A2708" s="1"/>
      <c r="D2708" s="1"/>
    </row>
    <row r="2709" spans="1:4">
      <c r="A2709" s="1"/>
      <c r="D2709" s="1"/>
    </row>
    <row r="2710" spans="1:4">
      <c r="A2710" s="1"/>
      <c r="D2710" s="1"/>
    </row>
    <row r="2711" spans="1:4">
      <c r="A2711" s="1"/>
      <c r="D2711" s="1"/>
    </row>
    <row r="2712" spans="1:4">
      <c r="A2712" s="1"/>
      <c r="D2712" s="1"/>
    </row>
    <row r="2713" spans="1:4">
      <c r="A2713" s="1"/>
      <c r="D2713" s="1"/>
    </row>
    <row r="2714" spans="1:4">
      <c r="A2714" s="1"/>
      <c r="D2714" s="1"/>
    </row>
    <row r="2715" spans="1:4">
      <c r="A2715" s="1"/>
      <c r="D2715" s="1"/>
    </row>
    <row r="2716" spans="1:4">
      <c r="A2716" s="1"/>
      <c r="D2716" s="1"/>
    </row>
    <row r="2717" spans="1:4">
      <c r="A2717" s="1"/>
      <c r="D2717" s="1"/>
    </row>
    <row r="2718" spans="1:4">
      <c r="A2718" s="1"/>
      <c r="D2718" s="1"/>
    </row>
    <row r="2719" spans="1:4">
      <c r="A2719" s="1"/>
      <c r="D2719" s="1"/>
    </row>
    <row r="2720" spans="1:4">
      <c r="A2720" s="1"/>
      <c r="D2720" s="1"/>
    </row>
    <row r="2721" spans="1:4">
      <c r="A2721" s="1"/>
      <c r="D2721" s="1"/>
    </row>
    <row r="2722" spans="1:4">
      <c r="A2722" s="1"/>
      <c r="D2722" s="1"/>
    </row>
    <row r="2723" spans="1:4">
      <c r="A2723" s="1"/>
      <c r="D2723" s="1"/>
    </row>
    <row r="2724" spans="1:4">
      <c r="A2724" s="1"/>
      <c r="D2724" s="1"/>
    </row>
    <row r="2725" spans="1:4">
      <c r="A2725" s="1"/>
      <c r="D2725" s="1"/>
    </row>
    <row r="2726" spans="1:4">
      <c r="A2726" s="1"/>
      <c r="D2726" s="1"/>
    </row>
    <row r="2727" spans="1:4">
      <c r="A2727" s="1"/>
      <c r="D2727" s="1"/>
    </row>
    <row r="2728" spans="1:4">
      <c r="A2728" s="1"/>
      <c r="D2728" s="1"/>
    </row>
    <row r="2729" spans="1:4">
      <c r="A2729" s="1"/>
      <c r="D2729" s="1"/>
    </row>
    <row r="2730" spans="1:4">
      <c r="A2730" s="1"/>
      <c r="D2730" s="1"/>
    </row>
    <row r="2731" spans="1:4">
      <c r="A2731" s="1"/>
      <c r="D2731" s="1"/>
    </row>
    <row r="2732" spans="1:4">
      <c r="A2732" s="1"/>
      <c r="D2732" s="1"/>
    </row>
    <row r="2733" spans="1:4">
      <c r="A2733" s="1"/>
      <c r="D2733" s="1"/>
    </row>
    <row r="2734" spans="1:4">
      <c r="A2734" s="1"/>
      <c r="D2734" s="1"/>
    </row>
    <row r="2735" spans="1:4">
      <c r="A2735" s="1"/>
      <c r="D2735" s="1"/>
    </row>
    <row r="2736" spans="1:4">
      <c r="A2736" s="1"/>
      <c r="D2736" s="1"/>
    </row>
    <row r="2737" spans="1:4">
      <c r="A2737" s="1"/>
      <c r="D2737" s="1"/>
    </row>
    <row r="2738" spans="1:4">
      <c r="A2738" s="1"/>
      <c r="D2738" s="1"/>
    </row>
    <row r="2739" spans="1:4">
      <c r="A2739" s="1"/>
      <c r="D2739" s="1"/>
    </row>
    <row r="2740" spans="1:4">
      <c r="A2740" s="1"/>
      <c r="D2740" s="1"/>
    </row>
    <row r="2741" spans="1:4">
      <c r="A2741" s="1"/>
      <c r="D2741" s="1"/>
    </row>
    <row r="2742" spans="1:4">
      <c r="A2742" s="1"/>
      <c r="D2742" s="1"/>
    </row>
    <row r="2743" spans="1:4">
      <c r="A2743" s="1"/>
      <c r="D2743" s="1"/>
    </row>
    <row r="2744" spans="1:4">
      <c r="A2744" s="1"/>
      <c r="D2744" s="1"/>
    </row>
    <row r="2745" spans="1:4">
      <c r="A2745" s="1"/>
      <c r="D2745" s="1"/>
    </row>
    <row r="2746" spans="1:4">
      <c r="A2746" s="1"/>
      <c r="D2746" s="1"/>
    </row>
    <row r="2747" spans="1:4">
      <c r="A2747" s="1"/>
      <c r="D2747" s="1"/>
    </row>
    <row r="2748" spans="1:4">
      <c r="A2748" s="1"/>
      <c r="D2748" s="1"/>
    </row>
    <row r="2749" spans="1:4">
      <c r="A2749" s="1"/>
      <c r="D2749" s="1"/>
    </row>
    <row r="2750" spans="1:4">
      <c r="A2750" s="1"/>
      <c r="D2750" s="1"/>
    </row>
    <row r="2751" spans="1:4">
      <c r="A2751" s="1"/>
      <c r="D2751" s="1"/>
    </row>
    <row r="2752" spans="1:4">
      <c r="A2752" s="1"/>
      <c r="D2752" s="1"/>
    </row>
    <row r="2753" spans="1:4">
      <c r="A2753" s="1"/>
      <c r="D2753" s="1"/>
    </row>
    <row r="2754" spans="1:4">
      <c r="A2754" s="1"/>
      <c r="D2754" s="1"/>
    </row>
    <row r="2755" spans="1:4">
      <c r="A2755" s="1"/>
      <c r="D2755" s="1"/>
    </row>
    <row r="2756" spans="1:4">
      <c r="A2756" s="1"/>
      <c r="D2756" s="1"/>
    </row>
    <row r="2757" spans="1:4">
      <c r="A2757" s="1"/>
      <c r="D2757" s="1"/>
    </row>
    <row r="2758" spans="1:4">
      <c r="A2758" s="1"/>
      <c r="D2758" s="1"/>
    </row>
    <row r="2759" spans="1:4">
      <c r="A2759" s="1"/>
      <c r="D2759" s="1"/>
    </row>
    <row r="2760" spans="1:4">
      <c r="A2760" s="1"/>
      <c r="D2760" s="1"/>
    </row>
    <row r="2761" spans="1:4">
      <c r="A2761" s="1"/>
      <c r="D2761" s="1"/>
    </row>
    <row r="2762" spans="1:4">
      <c r="A2762" s="1"/>
      <c r="D2762" s="1"/>
    </row>
    <row r="2763" spans="1:4">
      <c r="A2763" s="1"/>
      <c r="D2763" s="1"/>
    </row>
    <row r="2764" spans="1:4">
      <c r="A2764" s="1"/>
      <c r="D2764" s="1"/>
    </row>
    <row r="2765" spans="1:4">
      <c r="A2765" s="1"/>
      <c r="D2765" s="1"/>
    </row>
    <row r="2766" spans="1:4">
      <c r="A2766" s="1"/>
      <c r="D2766" s="1"/>
    </row>
    <row r="2767" spans="1:4">
      <c r="A2767" s="1"/>
      <c r="D2767" s="1"/>
    </row>
    <row r="2768" spans="1:4">
      <c r="A2768" s="1"/>
      <c r="D2768" s="1"/>
    </row>
    <row r="2769" spans="1:4">
      <c r="A2769" s="1"/>
      <c r="D2769" s="1"/>
    </row>
    <row r="2770" spans="1:4">
      <c r="A2770" s="1"/>
      <c r="D2770" s="1"/>
    </row>
    <row r="2771" spans="1:4">
      <c r="A2771" s="1"/>
      <c r="D2771" s="1"/>
    </row>
    <row r="2772" spans="1:4">
      <c r="A2772" s="1"/>
      <c r="D2772" s="1"/>
    </row>
    <row r="2773" spans="1:4">
      <c r="A2773" s="1"/>
      <c r="D2773" s="1"/>
    </row>
    <row r="2774" spans="1:4">
      <c r="A2774" s="1"/>
      <c r="D2774" s="1"/>
    </row>
    <row r="2775" spans="1:4">
      <c r="A2775" s="1"/>
      <c r="D2775" s="1"/>
    </row>
    <row r="2776" spans="1:4">
      <c r="A2776" s="1"/>
      <c r="D2776" s="1"/>
    </row>
    <row r="2777" spans="1:4">
      <c r="A2777" s="1"/>
      <c r="D2777" s="1"/>
    </row>
    <row r="2778" spans="1:4">
      <c r="A2778" s="1"/>
      <c r="D2778" s="1"/>
    </row>
    <row r="2779" spans="1:4">
      <c r="A2779" s="1"/>
      <c r="D2779" s="1"/>
    </row>
    <row r="2780" spans="1:4">
      <c r="A2780" s="1"/>
      <c r="D2780" s="1"/>
    </row>
    <row r="2781" spans="1:4">
      <c r="A2781" s="1"/>
      <c r="D2781" s="1"/>
    </row>
  </sheetData>
  <pageMargins left="0.75" right="0.75" top="1" bottom="1" header="0.5" footer="0.5"/>
  <headerFooter alignWithMargins="0"/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7"/>
  <dimension ref="A1:K2781"/>
  <sheetViews>
    <sheetView workbookViewId="0">
      <selection activeCell="I4" sqref="I4"/>
    </sheetView>
  </sheetViews>
  <sheetFormatPr defaultRowHeight="13.2"/>
  <cols>
    <col min="1" max="1" width="9.77734375" bestFit="1" customWidth="1"/>
    <col min="4" max="4" width="9.77734375" bestFit="1" customWidth="1"/>
    <col min="16" max="16" width="11.21875" bestFit="1" customWidth="1"/>
    <col min="17" max="17" width="10.109375" bestFit="1" customWidth="1"/>
    <col min="18" max="20" width="10.109375" customWidth="1"/>
    <col min="21" max="21" width="12.5546875" bestFit="1" customWidth="1"/>
    <col min="22" max="22" width="9.5546875" bestFit="1" customWidth="1"/>
    <col min="23" max="23" width="9.5546875" customWidth="1"/>
    <col min="24" max="24" width="9.33203125" bestFit="1" customWidth="1"/>
    <col min="27" max="27" width="9.33203125" bestFit="1" customWidth="1"/>
    <col min="28" max="28" width="9.33203125" customWidth="1"/>
    <col min="30" max="30" width="10.109375" bestFit="1" customWidth="1"/>
    <col min="31" max="34" width="10.109375" customWidth="1"/>
    <col min="40" max="40" width="9.33203125" bestFit="1" customWidth="1"/>
    <col min="41" max="41" width="9.33203125" customWidth="1"/>
    <col min="52" max="52" width="10.109375" bestFit="1" customWidth="1"/>
    <col min="53" max="53" width="12.33203125" bestFit="1" customWidth="1"/>
  </cols>
  <sheetData>
    <row r="1" spans="1:11">
      <c r="A1" t="s">
        <v>8</v>
      </c>
      <c r="B1">
        <v>-32.11</v>
      </c>
    </row>
    <row r="3" spans="1:11">
      <c r="A3" t="s">
        <v>9</v>
      </c>
      <c r="B3" t="s">
        <v>6</v>
      </c>
      <c r="C3" t="s">
        <v>7</v>
      </c>
      <c r="D3" t="s">
        <v>11</v>
      </c>
      <c r="E3" t="s">
        <v>0</v>
      </c>
      <c r="F3" t="s">
        <v>1</v>
      </c>
      <c r="G3" t="s">
        <v>2</v>
      </c>
      <c r="H3" t="s">
        <v>3</v>
      </c>
      <c r="I3" s="3" t="s">
        <v>88</v>
      </c>
      <c r="J3" t="s">
        <v>4</v>
      </c>
      <c r="K3" s="3"/>
    </row>
    <row r="4" spans="1:11">
      <c r="A4" s="1">
        <f>DATE(E4,1,1)+F4-1</f>
        <v>32652</v>
      </c>
      <c r="B4">
        <f>J4</f>
        <v>6.2806459812615349</v>
      </c>
      <c r="C4">
        <f>day_length(F4,$B$1,Fitting!$B$4)</f>
        <v>11.199742317199707</v>
      </c>
      <c r="D4" s="1">
        <f>A4</f>
        <v>32652</v>
      </c>
      <c r="E4" s="5">
        <v>1989</v>
      </c>
      <c r="F4" s="5">
        <v>144</v>
      </c>
      <c r="G4">
        <v>14.4</v>
      </c>
      <c r="H4">
        <v>10.9</v>
      </c>
      <c r="I4">
        <f>MAX(0,1-Fitting!$B$7*(Fitting!$B$6-Herm8889!C4)^2)</f>
        <v>0.49649376843153181</v>
      </c>
      <c r="J4">
        <f>tt(G4,H4,Fitting!$B$1:$E$1,Fitting!$B$2:$E$2)*I4</f>
        <v>6.2806459812615349</v>
      </c>
      <c r="K4" s="3"/>
    </row>
    <row r="5" spans="1:11">
      <c r="A5" s="1">
        <f>A4+1</f>
        <v>32653</v>
      </c>
      <c r="B5">
        <f t="shared" ref="B5:B68" si="0">B4+J5</f>
        <v>11.591353940987704</v>
      </c>
      <c r="C5">
        <f>day_length(F5,$B$1,Fitting!$B$4)</f>
        <v>11.182441711425781</v>
      </c>
      <c r="D5" s="1">
        <f t="shared" ref="D5:D68" si="1">A5</f>
        <v>32653</v>
      </c>
      <c r="E5">
        <f>YEAR(A5)</f>
        <v>1989</v>
      </c>
      <c r="F5" s="6">
        <f>A5-DATE(E5,1,1)+1</f>
        <v>145</v>
      </c>
      <c r="G5">
        <v>17.399999999999999</v>
      </c>
      <c r="H5">
        <v>4.0999999999999996</v>
      </c>
      <c r="I5">
        <f>MAX(0,1-Fitting!$B$7*(Fitting!$B$6-Herm8889!C5)^2)</f>
        <v>0.49401934509080636</v>
      </c>
      <c r="J5">
        <f>tt(G5,H5,Fitting!$B$1:$E$1,Fitting!$B$2:$E$2)*I5</f>
        <v>5.3107079597261686</v>
      </c>
    </row>
    <row r="6" spans="1:11">
      <c r="A6" s="1">
        <f t="shared" ref="A6:A69" si="2">A5+1</f>
        <v>32654</v>
      </c>
      <c r="B6">
        <f t="shared" si="0"/>
        <v>16.826579632161028</v>
      </c>
      <c r="C6">
        <f>day_length(F6,$B$1,Fitting!$B$4)</f>
        <v>11.165653228759766</v>
      </c>
      <c r="D6" s="1">
        <f t="shared" si="1"/>
        <v>32654</v>
      </c>
      <c r="E6">
        <f t="shared" ref="E6:E69" si="3">YEAR(A6)</f>
        <v>1989</v>
      </c>
      <c r="F6" s="6">
        <f t="shared" ref="F6:F69" si="4">A6-DATE(E6,1,1)+1</f>
        <v>146</v>
      </c>
      <c r="G6">
        <v>16</v>
      </c>
      <c r="H6">
        <v>5.3</v>
      </c>
      <c r="I6">
        <f>MAX(0,1-Fitting!$B$7*(Fitting!$B$6-Herm8889!C6)^2)</f>
        <v>0.49157046102295321</v>
      </c>
      <c r="J6">
        <f>tt(G6,H6,Fitting!$B$1:$E$1,Fitting!$B$2:$E$2)*I6</f>
        <v>5.2352256911733255</v>
      </c>
    </row>
    <row r="7" spans="1:11">
      <c r="A7" s="1">
        <f t="shared" si="2"/>
        <v>32655</v>
      </c>
      <c r="B7">
        <f t="shared" si="0"/>
        <v>23.57682037044459</v>
      </c>
      <c r="C7">
        <f>day_length(F7,$B$1,Fitting!$B$4)</f>
        <v>11.149385452270508</v>
      </c>
      <c r="D7" s="1">
        <f t="shared" si="1"/>
        <v>32655</v>
      </c>
      <c r="E7">
        <f t="shared" si="3"/>
        <v>1989</v>
      </c>
      <c r="F7" s="6">
        <f t="shared" si="4"/>
        <v>147</v>
      </c>
      <c r="G7">
        <v>17.600000000000001</v>
      </c>
      <c r="H7">
        <v>10</v>
      </c>
      <c r="I7">
        <f>MAX(0,1-Fitting!$B$7*(Fitting!$B$6-Herm8889!C7)^2)</f>
        <v>0.4891478728250731</v>
      </c>
      <c r="J7">
        <f>tt(G7,H7,Fitting!$B$1:$E$1,Fitting!$B$2:$E$2)*I7</f>
        <v>6.7502407382835612</v>
      </c>
    </row>
    <row r="8" spans="1:11">
      <c r="A8" s="1">
        <f t="shared" si="2"/>
        <v>32656</v>
      </c>
      <c r="B8">
        <f t="shared" si="0"/>
        <v>31.364861182997174</v>
      </c>
      <c r="C8">
        <f>day_length(F8,$B$1,Fitting!$B$4)</f>
        <v>11.133644104003906</v>
      </c>
      <c r="D8" s="1">
        <f t="shared" si="1"/>
        <v>32656</v>
      </c>
      <c r="E8">
        <f t="shared" si="3"/>
        <v>1989</v>
      </c>
      <c r="F8" s="6">
        <f t="shared" si="4"/>
        <v>148</v>
      </c>
      <c r="G8">
        <v>19.7</v>
      </c>
      <c r="H8">
        <v>12.3</v>
      </c>
      <c r="I8">
        <f>MAX(0,1-Fitting!$B$7*(Fitting!$B$6-Herm8889!C8)^2)</f>
        <v>0.48675255078453661</v>
      </c>
      <c r="J8">
        <f>tt(G8,H8,Fitting!$B$1:$E$1,Fitting!$B$2:$E$2)*I8</f>
        <v>7.7880408125525857</v>
      </c>
    </row>
    <row r="9" spans="1:11">
      <c r="A9" s="1">
        <f t="shared" si="2"/>
        <v>32657</v>
      </c>
      <c r="B9">
        <f t="shared" si="0"/>
        <v>37.904066908265115</v>
      </c>
      <c r="C9">
        <f>day_length(F9,$B$1,Fitting!$B$4)</f>
        <v>11.118439674377441</v>
      </c>
      <c r="D9" s="1">
        <f t="shared" si="1"/>
        <v>32657</v>
      </c>
      <c r="E9">
        <f t="shared" si="3"/>
        <v>1989</v>
      </c>
      <c r="F9" s="6">
        <f t="shared" si="4"/>
        <v>149</v>
      </c>
      <c r="G9">
        <v>19.7</v>
      </c>
      <c r="H9">
        <v>7.3</v>
      </c>
      <c r="I9">
        <f>MAX(0,1-Fitting!$B$7*(Fitting!$B$6-Herm8889!C9)^2)</f>
        <v>0.4843855750608782</v>
      </c>
      <c r="J9">
        <f>tt(G9,H9,Fitting!$B$1:$E$1,Fitting!$B$2:$E$2)*I9</f>
        <v>6.5392057252679381</v>
      </c>
    </row>
    <row r="10" spans="1:11">
      <c r="A10" s="1">
        <f t="shared" si="2"/>
        <v>32658</v>
      </c>
      <c r="B10">
        <f t="shared" si="0"/>
        <v>44.194791948541223</v>
      </c>
      <c r="C10">
        <f>day_length(F10,$B$1,Fitting!$B$4)</f>
        <v>11.103777885437012</v>
      </c>
      <c r="D10" s="1">
        <f t="shared" si="1"/>
        <v>32658</v>
      </c>
      <c r="E10">
        <f t="shared" si="3"/>
        <v>1989</v>
      </c>
      <c r="F10" s="6">
        <f t="shared" si="4"/>
        <v>150</v>
      </c>
      <c r="G10">
        <v>18.399999999999999</v>
      </c>
      <c r="H10">
        <v>7.7</v>
      </c>
      <c r="I10">
        <f>MAX(0,1-Fitting!$B$7*(Fitting!$B$6-Herm8889!C10)^2)</f>
        <v>0.48204792398846619</v>
      </c>
      <c r="J10">
        <f>tt(G10,H10,Fitting!$B$1:$E$1,Fitting!$B$2:$E$2)*I10</f>
        <v>6.2907250402761044</v>
      </c>
    </row>
    <row r="11" spans="1:11">
      <c r="A11" s="1">
        <f t="shared" si="2"/>
        <v>32659</v>
      </c>
      <c r="B11">
        <f t="shared" si="0"/>
        <v>50.071614043448328</v>
      </c>
      <c r="C11">
        <f>day_length(F11,$B$1,Fitting!$B$4)</f>
        <v>11.089664459228516</v>
      </c>
      <c r="D11" s="1">
        <f t="shared" si="1"/>
        <v>32659</v>
      </c>
      <c r="E11">
        <f t="shared" si="3"/>
        <v>1989</v>
      </c>
      <c r="F11" s="6">
        <f t="shared" si="4"/>
        <v>151</v>
      </c>
      <c r="G11">
        <v>14.2</v>
      </c>
      <c r="H11">
        <v>10.3</v>
      </c>
      <c r="I11">
        <f>MAX(0,1-Fitting!$B$7*(Fitting!$B$6-Herm8889!C11)^2)</f>
        <v>0.47974057917609025</v>
      </c>
      <c r="J11">
        <f>tt(G11,H11,Fitting!$B$1:$E$1,Fitting!$B$2:$E$2)*I11</f>
        <v>5.8768220949071059</v>
      </c>
    </row>
    <row r="12" spans="1:11">
      <c r="A12" s="1">
        <f t="shared" si="2"/>
        <v>32660</v>
      </c>
      <c r="B12">
        <f t="shared" si="0"/>
        <v>56.254780009770201</v>
      </c>
      <c r="C12">
        <f>day_length(F12,$B$1,Fitting!$B$4)</f>
        <v>11.076107978820801</v>
      </c>
      <c r="D12" s="1">
        <f t="shared" si="1"/>
        <v>32660</v>
      </c>
      <c r="E12">
        <f t="shared" si="3"/>
        <v>1989</v>
      </c>
      <c r="F12" s="6">
        <f t="shared" si="4"/>
        <v>152</v>
      </c>
      <c r="G12">
        <v>18.7</v>
      </c>
      <c r="H12">
        <v>7.2</v>
      </c>
      <c r="I12">
        <f>MAX(0,1-Fitting!$B$7*(Fitting!$B$6-Herm8889!C12)^2)</f>
        <v>0.47746452525446692</v>
      </c>
      <c r="J12">
        <f>tt(G12,H12,Fitting!$B$1:$E$1,Fitting!$B$2:$E$2)*I12</f>
        <v>6.1831659663218703</v>
      </c>
    </row>
    <row r="13" spans="1:11">
      <c r="A13" s="1">
        <f t="shared" si="2"/>
        <v>32661</v>
      </c>
      <c r="B13">
        <f t="shared" si="0"/>
        <v>63.95335907742092</v>
      </c>
      <c r="C13">
        <f>day_length(F13,$B$1,Fitting!$B$4)</f>
        <v>11.063116073608398</v>
      </c>
      <c r="D13" s="1">
        <f t="shared" si="1"/>
        <v>32661</v>
      </c>
      <c r="E13">
        <f t="shared" si="3"/>
        <v>1989</v>
      </c>
      <c r="F13" s="6">
        <f t="shared" si="4"/>
        <v>153</v>
      </c>
      <c r="G13">
        <v>20.399999999999999</v>
      </c>
      <c r="H13">
        <v>12</v>
      </c>
      <c r="I13">
        <f>MAX(0,1-Fitting!$B$7*(Fitting!$B$6-Herm8889!C13)^2)</f>
        <v>0.47522096367271294</v>
      </c>
      <c r="J13">
        <f>tt(G13,H13,Fitting!$B$1:$E$1,Fitting!$B$2:$E$2)*I13</f>
        <v>7.6985790676507166</v>
      </c>
    </row>
    <row r="14" spans="1:11">
      <c r="A14" s="1">
        <f t="shared" si="2"/>
        <v>32662</v>
      </c>
      <c r="B14">
        <f t="shared" si="0"/>
        <v>70.386302476081809</v>
      </c>
      <c r="C14">
        <f>day_length(F14,$B$1,Fitting!$B$4)</f>
        <v>11.050694465637207</v>
      </c>
      <c r="D14" s="1">
        <f t="shared" si="1"/>
        <v>32662</v>
      </c>
      <c r="E14">
        <f t="shared" si="3"/>
        <v>1989</v>
      </c>
      <c r="F14" s="6">
        <f t="shared" si="4"/>
        <v>154</v>
      </c>
      <c r="G14">
        <v>19.399999999999999</v>
      </c>
      <c r="H14">
        <v>7.8</v>
      </c>
      <c r="I14">
        <f>MAX(0,1-Fitting!$B$7*(Fitting!$B$6-Herm8889!C14)^2)</f>
        <v>0.47301056392056673</v>
      </c>
      <c r="J14">
        <f>tt(G14,H14,Fitting!$B$1:$E$1,Fitting!$B$2:$E$2)*I14</f>
        <v>6.4329433986608917</v>
      </c>
    </row>
    <row r="15" spans="1:11">
      <c r="A15" s="1">
        <f t="shared" si="2"/>
        <v>32663</v>
      </c>
      <c r="B15">
        <f t="shared" si="0"/>
        <v>76.60132105107013</v>
      </c>
      <c r="C15">
        <f>day_length(F15,$B$1,Fitting!$B$4)</f>
        <v>11.038848876953125</v>
      </c>
      <c r="D15" s="1">
        <f t="shared" si="1"/>
        <v>32663</v>
      </c>
      <c r="E15">
        <f t="shared" si="3"/>
        <v>1989</v>
      </c>
      <c r="F15" s="6">
        <f t="shared" si="4"/>
        <v>155</v>
      </c>
      <c r="G15">
        <v>19.8</v>
      </c>
      <c r="H15">
        <v>6.6</v>
      </c>
      <c r="I15">
        <f>MAX(0,1-Fitting!$B$7*(Fitting!$B$6-Herm8889!C15)^2)</f>
        <v>0.47083474733279762</v>
      </c>
      <c r="J15">
        <f>tt(G15,H15,Fitting!$B$1:$E$1,Fitting!$B$2:$E$2)*I15</f>
        <v>6.2150185749883278</v>
      </c>
    </row>
    <row r="16" spans="1:11">
      <c r="A16" s="1">
        <f t="shared" si="2"/>
        <v>32664</v>
      </c>
      <c r="B16">
        <f t="shared" si="0"/>
        <v>82.905259670444977</v>
      </c>
      <c r="C16">
        <f>day_length(F16,$B$1,Fitting!$B$4)</f>
        <v>11.027586936950684</v>
      </c>
      <c r="D16" s="1">
        <f t="shared" si="1"/>
        <v>32664</v>
      </c>
      <c r="E16">
        <f t="shared" si="3"/>
        <v>1989</v>
      </c>
      <c r="F16" s="6">
        <f t="shared" si="4"/>
        <v>156</v>
      </c>
      <c r="G16">
        <v>19.7</v>
      </c>
      <c r="H16">
        <v>7.2</v>
      </c>
      <c r="I16">
        <f>MAX(0,1-Fitting!$B$7*(Fitting!$B$6-Herm8889!C16)^2)</f>
        <v>0.46869429455683898</v>
      </c>
      <c r="J16">
        <f>tt(G16,H16,Fitting!$B$1:$E$1,Fitting!$B$2:$E$2)*I16</f>
        <v>6.3039386193748532</v>
      </c>
    </row>
    <row r="17" spans="1:10">
      <c r="A17" s="1">
        <f t="shared" si="2"/>
        <v>32665</v>
      </c>
      <c r="B17">
        <f t="shared" si="0"/>
        <v>89.694148322808047</v>
      </c>
      <c r="C17">
        <f>day_length(F17,$B$1,Fitting!$B$4)</f>
        <v>11.016914367675781</v>
      </c>
      <c r="D17" s="1">
        <f t="shared" si="1"/>
        <v>32665</v>
      </c>
      <c r="E17">
        <f t="shared" si="3"/>
        <v>1989</v>
      </c>
      <c r="F17" s="6">
        <f t="shared" si="4"/>
        <v>157</v>
      </c>
      <c r="G17">
        <v>17.3</v>
      </c>
      <c r="H17">
        <v>11.8</v>
      </c>
      <c r="I17">
        <f>MAX(0,1-Fitting!$B$7*(Fitting!$B$6-Herm8889!C17)^2)</f>
        <v>0.4665903098517683</v>
      </c>
      <c r="J17">
        <f>tt(G17,H17,Fitting!$B$1:$E$1,Fitting!$B$2:$E$2)*I17</f>
        <v>6.7888886523630729</v>
      </c>
    </row>
    <row r="18" spans="1:10">
      <c r="A18" s="1">
        <f t="shared" si="2"/>
        <v>32666</v>
      </c>
      <c r="B18">
        <f t="shared" si="0"/>
        <v>95.338113969726095</v>
      </c>
      <c r="C18">
        <f>day_length(F18,$B$1,Fitting!$B$4)</f>
        <v>11.006834983825684</v>
      </c>
      <c r="D18" s="1">
        <f t="shared" si="1"/>
        <v>32666</v>
      </c>
      <c r="E18">
        <f t="shared" si="3"/>
        <v>1989</v>
      </c>
      <c r="F18" s="6">
        <f t="shared" si="4"/>
        <v>158</v>
      </c>
      <c r="G18">
        <v>15.4</v>
      </c>
      <c r="H18">
        <v>8.9</v>
      </c>
      <c r="I18">
        <f>MAX(0,1-Fitting!$B$7*(Fitting!$B$6-Herm8889!C18)^2)</f>
        <v>0.46452389968027452</v>
      </c>
      <c r="J18">
        <f>tt(G18,H18,Fitting!$B$1:$E$1,Fitting!$B$2:$E$2)*I18</f>
        <v>5.6439656469180433</v>
      </c>
    </row>
    <row r="19" spans="1:10">
      <c r="A19" s="1">
        <f t="shared" si="2"/>
        <v>32667</v>
      </c>
      <c r="B19">
        <f t="shared" si="0"/>
        <v>100.91119032462133</v>
      </c>
      <c r="C19">
        <f>day_length(F19,$B$1,Fitting!$B$4)</f>
        <v>10.997356414794922</v>
      </c>
      <c r="D19" s="1">
        <f t="shared" si="1"/>
        <v>32667</v>
      </c>
      <c r="E19">
        <f t="shared" si="3"/>
        <v>1989</v>
      </c>
      <c r="F19" s="6">
        <f t="shared" si="4"/>
        <v>159</v>
      </c>
      <c r="G19">
        <v>18.100000000000001</v>
      </c>
      <c r="H19">
        <v>6</v>
      </c>
      <c r="I19">
        <f>MAX(0,1-Fitting!$B$7*(Fitting!$B$6-Herm8889!C19)^2)</f>
        <v>0.46249595574117297</v>
      </c>
      <c r="J19">
        <f>tt(G19,H19,Fitting!$B$1:$E$1,Fitting!$B$2:$E$2)*I19</f>
        <v>5.5730763548952371</v>
      </c>
    </row>
    <row r="20" spans="1:10">
      <c r="A20" s="1">
        <f t="shared" si="2"/>
        <v>32668</v>
      </c>
      <c r="B20">
        <f t="shared" si="0"/>
        <v>105.21693745053361</v>
      </c>
      <c r="C20">
        <f>day_length(F20,$B$1,Fitting!$B$4)</f>
        <v>10.988483428955078</v>
      </c>
      <c r="D20" s="1">
        <f t="shared" si="1"/>
        <v>32668</v>
      </c>
      <c r="E20">
        <f t="shared" si="3"/>
        <v>1989</v>
      </c>
      <c r="F20" s="6">
        <f t="shared" si="4"/>
        <v>160</v>
      </c>
      <c r="G20">
        <v>14.8</v>
      </c>
      <c r="H20">
        <v>3.9</v>
      </c>
      <c r="I20">
        <f>MAX(0,1-Fitting!$B$7*(Fitting!$B$6-Herm8889!C20)^2)</f>
        <v>0.46050769521310575</v>
      </c>
      <c r="J20">
        <f>tt(G20,H20,Fitting!$B$1:$E$1,Fitting!$B$2:$E$2)*I20</f>
        <v>4.3057471259122835</v>
      </c>
    </row>
    <row r="21" spans="1:10">
      <c r="A21" s="1">
        <f t="shared" si="2"/>
        <v>32669</v>
      </c>
      <c r="B21">
        <f t="shared" si="0"/>
        <v>109.8025364749513</v>
      </c>
      <c r="C21">
        <f>day_length(F21,$B$1,Fitting!$B$4)</f>
        <v>10.980219841003418</v>
      </c>
      <c r="D21" s="1">
        <f t="shared" si="1"/>
        <v>32669</v>
      </c>
      <c r="E21">
        <f t="shared" si="3"/>
        <v>1989</v>
      </c>
      <c r="F21" s="6">
        <f t="shared" si="4"/>
        <v>161</v>
      </c>
      <c r="G21">
        <v>13.4</v>
      </c>
      <c r="H21">
        <v>6.6</v>
      </c>
      <c r="I21">
        <f>MAX(0,1-Fitting!$B$7*(Fitting!$B$6-Herm8889!C21)^2)</f>
        <v>0.4585599024417697</v>
      </c>
      <c r="J21">
        <f>tt(G21,H21,Fitting!$B$1:$E$1,Fitting!$B$2:$E$2)*I21</f>
        <v>4.5855990244176965</v>
      </c>
    </row>
    <row r="22" spans="1:10">
      <c r="A22" s="1">
        <f t="shared" si="2"/>
        <v>32670</v>
      </c>
      <c r="B22">
        <f t="shared" si="0"/>
        <v>115.39654547534548</v>
      </c>
      <c r="C22">
        <f>day_length(F22,$B$1,Fitting!$B$4)</f>
        <v>10.97257137298584</v>
      </c>
      <c r="D22" s="1">
        <f t="shared" si="1"/>
        <v>32670</v>
      </c>
      <c r="E22">
        <f t="shared" si="3"/>
        <v>1989</v>
      </c>
      <c r="F22" s="6">
        <f t="shared" si="4"/>
        <v>162</v>
      </c>
      <c r="G22">
        <v>15.4</v>
      </c>
      <c r="H22">
        <v>9.1</v>
      </c>
      <c r="I22">
        <f>MAX(0,1-Fitting!$B$7*(Fitting!$B$6-Herm8889!C22)^2)</f>
        <v>0.45665379595054578</v>
      </c>
      <c r="J22">
        <f>tt(G22,H22,Fitting!$B$1:$E$1,Fitting!$B$2:$E$2)*I22</f>
        <v>5.5940090003941858</v>
      </c>
    </row>
    <row r="23" spans="1:10">
      <c r="A23" s="1">
        <f t="shared" si="2"/>
        <v>32671</v>
      </c>
      <c r="B23">
        <f t="shared" si="0"/>
        <v>121.35429915913234</v>
      </c>
      <c r="C23">
        <f>day_length(F23,$B$1,Fitting!$B$4)</f>
        <v>10.965540885925293</v>
      </c>
      <c r="D23" s="1">
        <f t="shared" si="1"/>
        <v>32671</v>
      </c>
      <c r="E23">
        <f t="shared" si="3"/>
        <v>1989</v>
      </c>
      <c r="F23" s="6">
        <f t="shared" si="4"/>
        <v>163</v>
      </c>
      <c r="G23">
        <v>15.5</v>
      </c>
      <c r="H23">
        <v>10.7</v>
      </c>
      <c r="I23">
        <f>MAX(0,1-Fitting!$B$7*(Fitting!$B$6-Herm8889!C23)^2)</f>
        <v>0.45479037740610695</v>
      </c>
      <c r="J23">
        <f>tt(G23,H23,Fitting!$B$1:$E$1,Fitting!$B$2:$E$2)*I23</f>
        <v>5.9577536837868594</v>
      </c>
    </row>
    <row r="24" spans="1:10">
      <c r="A24" s="1">
        <f t="shared" si="2"/>
        <v>32672</v>
      </c>
      <c r="B24">
        <f t="shared" si="0"/>
        <v>127.46940247423663</v>
      </c>
      <c r="C24">
        <f>day_length(F24,$B$1,Fitting!$B$4)</f>
        <v>10.959133148193359</v>
      </c>
      <c r="D24" s="1">
        <f t="shared" si="1"/>
        <v>32672</v>
      </c>
      <c r="E24">
        <f t="shared" si="3"/>
        <v>1989</v>
      </c>
      <c r="F24" s="6">
        <f t="shared" si="4"/>
        <v>164</v>
      </c>
      <c r="G24">
        <v>17.5</v>
      </c>
      <c r="H24">
        <v>9.5</v>
      </c>
      <c r="I24">
        <f>MAX(0,1-Fitting!$B$7*(Fitting!$B$6-Herm8889!C24)^2)</f>
        <v>0.45297064793264874</v>
      </c>
      <c r="J24">
        <f>tt(G24,H24,Fitting!$B$1:$E$1,Fitting!$B$2:$E$2)*I24</f>
        <v>6.1151033151042853</v>
      </c>
    </row>
    <row r="25" spans="1:10">
      <c r="A25" s="1">
        <f t="shared" si="2"/>
        <v>32673</v>
      </c>
      <c r="B25">
        <f t="shared" si="0"/>
        <v>133.13190700772626</v>
      </c>
      <c r="C25">
        <f>day_length(F25,$B$1,Fitting!$B$4)</f>
        <v>10.953351974487305</v>
      </c>
      <c r="D25" s="1">
        <f t="shared" si="1"/>
        <v>32673</v>
      </c>
      <c r="E25">
        <f t="shared" si="3"/>
        <v>1989</v>
      </c>
      <c r="F25" s="6">
        <f t="shared" si="4"/>
        <v>165</v>
      </c>
      <c r="G25">
        <v>14.2</v>
      </c>
      <c r="H25">
        <v>10.9</v>
      </c>
      <c r="I25">
        <f>MAX(0,1-Fitting!$B$7*(Fitting!$B$6-Herm8889!C25)^2)</f>
        <v>0.45119560778681811</v>
      </c>
      <c r="J25">
        <f>tt(G25,H25,Fitting!$B$1:$E$1,Fitting!$B$2:$E$2)*I25</f>
        <v>5.6625045334896367</v>
      </c>
    </row>
    <row r="26" spans="1:10">
      <c r="A26" s="1">
        <f t="shared" si="2"/>
        <v>32674</v>
      </c>
      <c r="B26">
        <f t="shared" si="0"/>
        <v>137.89624949307333</v>
      </c>
      <c r="C26">
        <f>day_length(F26,$B$1,Fitting!$B$4)</f>
        <v>10.948200225830078</v>
      </c>
      <c r="D26" s="1">
        <f t="shared" si="1"/>
        <v>32674</v>
      </c>
      <c r="E26">
        <f t="shared" si="3"/>
        <v>1989</v>
      </c>
      <c r="F26" s="6">
        <f t="shared" si="4"/>
        <v>166</v>
      </c>
      <c r="G26">
        <v>13.8</v>
      </c>
      <c r="H26">
        <v>7.4</v>
      </c>
      <c r="I26">
        <f>MAX(0,1-Fitting!$B$7*(Fitting!$B$6-Herm8889!C26)^2)</f>
        <v>0.44946625602729362</v>
      </c>
      <c r="J26">
        <f>tt(G26,H26,Fitting!$B$1:$E$1,Fitting!$B$2:$E$2)*I26</f>
        <v>4.7643424853470826</v>
      </c>
    </row>
    <row r="27" spans="1:10">
      <c r="A27" s="1">
        <f t="shared" si="2"/>
        <v>32675</v>
      </c>
      <c r="B27">
        <f t="shared" si="0"/>
        <v>142.66514455766398</v>
      </c>
      <c r="C27">
        <f>day_length(F27,$B$1,Fitting!$B$4)</f>
        <v>10.943681716918945</v>
      </c>
      <c r="D27" s="1">
        <f t="shared" si="1"/>
        <v>32675</v>
      </c>
      <c r="E27">
        <f t="shared" si="3"/>
        <v>1989</v>
      </c>
      <c r="F27" s="6">
        <f t="shared" si="4"/>
        <v>167</v>
      </c>
      <c r="G27">
        <v>15.3</v>
      </c>
      <c r="H27">
        <v>6</v>
      </c>
      <c r="I27">
        <f>MAX(0,1-Fitting!$B$7*(Fitting!$B$6-Herm8889!C27)^2)</f>
        <v>0.44778359017901859</v>
      </c>
      <c r="J27">
        <f>tt(G27,H27,Fitting!$B$1:$E$1,Fitting!$B$2:$E$2)*I27</f>
        <v>4.768895064590664</v>
      </c>
    </row>
    <row r="28" spans="1:10">
      <c r="A28" s="1">
        <f t="shared" si="2"/>
        <v>32676</v>
      </c>
      <c r="B28">
        <f t="shared" si="0"/>
        <v>146.61355891692762</v>
      </c>
      <c r="C28">
        <f>day_length(F28,$B$1,Fitting!$B$4)</f>
        <v>10.939796447753906</v>
      </c>
      <c r="D28" s="1">
        <f t="shared" si="1"/>
        <v>32676</v>
      </c>
      <c r="E28">
        <f t="shared" si="3"/>
        <v>1989</v>
      </c>
      <c r="F28" s="6">
        <f t="shared" si="4"/>
        <v>168</v>
      </c>
      <c r="G28">
        <v>14.3</v>
      </c>
      <c r="H28">
        <v>3.4</v>
      </c>
      <c r="I28">
        <f>MAX(0,1-Fitting!$B$7*(Fitting!$B$6-Herm8889!C28)^2)</f>
        <v>0.44614849594028239</v>
      </c>
      <c r="J28">
        <f>tt(G28,H28,Fitting!$B$1:$E$1,Fitting!$B$2:$E$2)*I28</f>
        <v>3.9484143592636438</v>
      </c>
    </row>
    <row r="29" spans="1:10">
      <c r="A29" s="1">
        <f t="shared" si="2"/>
        <v>32677</v>
      </c>
      <c r="B29">
        <f t="shared" si="0"/>
        <v>151.0591812057564</v>
      </c>
      <c r="C29">
        <f>day_length(F29,$B$1,Fitting!$B$4)</f>
        <v>10.936550140380859</v>
      </c>
      <c r="D29" s="1">
        <f t="shared" si="1"/>
        <v>32677</v>
      </c>
      <c r="E29">
        <f t="shared" si="3"/>
        <v>1989</v>
      </c>
      <c r="F29" s="6">
        <f t="shared" si="4"/>
        <v>169</v>
      </c>
      <c r="G29">
        <v>17.100000000000001</v>
      </c>
      <c r="H29">
        <v>2.9</v>
      </c>
      <c r="I29">
        <f>MAX(0,1-Fitting!$B$7*(Fitting!$B$6-Herm8889!C29)^2)</f>
        <v>0.44456218648612411</v>
      </c>
      <c r="J29">
        <f>tt(G29,H29,Fitting!$B$1:$E$1,Fitting!$B$2:$E$2)*I29</f>
        <v>4.4456222888287806</v>
      </c>
    </row>
    <row r="30" spans="1:10">
      <c r="A30" s="1">
        <f t="shared" si="2"/>
        <v>32678</v>
      </c>
      <c r="B30">
        <f t="shared" si="0"/>
        <v>154.66983651536052</v>
      </c>
      <c r="C30">
        <f>day_length(F30,$B$1,Fitting!$B$4)</f>
        <v>10.933941841125488</v>
      </c>
      <c r="D30" s="1">
        <f t="shared" si="1"/>
        <v>32678</v>
      </c>
      <c r="E30">
        <f t="shared" si="3"/>
        <v>1989</v>
      </c>
      <c r="F30" s="6">
        <f t="shared" si="4"/>
        <v>170</v>
      </c>
      <c r="G30">
        <v>14.6</v>
      </c>
      <c r="H30">
        <v>1.7</v>
      </c>
      <c r="I30">
        <f>MAX(0,1-Fitting!$B$7*(Fitting!$B$6-Herm8889!C30)^2)</f>
        <v>0.44302521209875156</v>
      </c>
      <c r="J30">
        <f>tt(G30,H30,Fitting!$B$1:$E$1,Fitting!$B$2:$E$2)*I30</f>
        <v>3.6106553096041187</v>
      </c>
    </row>
    <row r="31" spans="1:10">
      <c r="A31" s="1">
        <f t="shared" si="2"/>
        <v>32679</v>
      </c>
      <c r="B31">
        <f t="shared" si="0"/>
        <v>158.64368653081192</v>
      </c>
      <c r="C31">
        <f>day_length(F31,$B$1,Fitting!$B$4)</f>
        <v>10.931974411010742</v>
      </c>
      <c r="D31" s="1">
        <f t="shared" si="1"/>
        <v>32679</v>
      </c>
      <c r="E31">
        <f t="shared" si="3"/>
        <v>1989</v>
      </c>
      <c r="F31" s="6">
        <f t="shared" si="4"/>
        <v>171</v>
      </c>
      <c r="G31">
        <v>15.2</v>
      </c>
      <c r="H31">
        <v>2.8</v>
      </c>
      <c r="I31">
        <f>MAX(0,1-Fitting!$B$7*(Fitting!$B$6-Herm8889!C31)^2)</f>
        <v>0.44153889060571239</v>
      </c>
      <c r="J31">
        <f>tt(G31,H31,Fitting!$B$1:$E$1,Fitting!$B$2:$E$2)*I31</f>
        <v>3.9738500154514114</v>
      </c>
    </row>
    <row r="32" spans="1:10">
      <c r="A32" s="1">
        <f t="shared" si="2"/>
        <v>32680</v>
      </c>
      <c r="B32">
        <f t="shared" si="0"/>
        <v>162.31855455863382</v>
      </c>
      <c r="C32">
        <f>day_length(F32,$B$1,Fitting!$B$4)</f>
        <v>10.930649757385254</v>
      </c>
      <c r="D32" s="1">
        <f t="shared" si="1"/>
        <v>32680</v>
      </c>
      <c r="E32">
        <f t="shared" si="3"/>
        <v>1989</v>
      </c>
      <c r="F32" s="6">
        <f t="shared" si="4"/>
        <v>172</v>
      </c>
      <c r="G32">
        <v>15</v>
      </c>
      <c r="H32">
        <v>1.7</v>
      </c>
      <c r="I32">
        <f>MAX(0,1-Fitting!$B$7*(Fitting!$B$6-Herm8889!C32)^2)</f>
        <v>0.4401039855869967</v>
      </c>
      <c r="J32">
        <f>tt(G32,H32,Fitting!$B$1:$E$1,Fitting!$B$2:$E$2)*I32</f>
        <v>3.6748680278219021</v>
      </c>
    </row>
    <row r="33" spans="1:10">
      <c r="A33" s="1">
        <f t="shared" si="2"/>
        <v>32681</v>
      </c>
      <c r="B33">
        <f t="shared" si="0"/>
        <v>166.53027794556698</v>
      </c>
      <c r="C33">
        <f>day_length(F33,$B$1,Fitting!$B$4)</f>
        <v>10.929966926574707</v>
      </c>
      <c r="D33" s="1">
        <f t="shared" si="1"/>
        <v>32681</v>
      </c>
      <c r="E33">
        <f t="shared" si="3"/>
        <v>1989</v>
      </c>
      <c r="F33" s="6">
        <f t="shared" si="4"/>
        <v>173</v>
      </c>
      <c r="G33">
        <v>17.8</v>
      </c>
      <c r="H33">
        <v>1.4</v>
      </c>
      <c r="I33">
        <f>MAX(0,1-Fitting!$B$7*(Fitting!$B$6-Herm8889!C33)^2)</f>
        <v>0.43872125587173649</v>
      </c>
      <c r="J33">
        <f>tt(G33,H33,Fitting!$B$1:$E$1,Fitting!$B$2:$E$2)*I33</f>
        <v>4.2117233869331603</v>
      </c>
    </row>
    <row r="34" spans="1:10">
      <c r="A34" s="1">
        <f t="shared" si="2"/>
        <v>32682</v>
      </c>
      <c r="B34">
        <f t="shared" si="0"/>
        <v>171.56028264714411</v>
      </c>
      <c r="C34">
        <f>day_length(F34,$B$1,Fitting!$B$4)</f>
        <v>10.929926872253418</v>
      </c>
      <c r="D34" s="1">
        <f t="shared" si="1"/>
        <v>32682</v>
      </c>
      <c r="E34">
        <f t="shared" si="3"/>
        <v>1989</v>
      </c>
      <c r="F34" s="6">
        <f t="shared" si="4"/>
        <v>174</v>
      </c>
      <c r="G34">
        <v>17.399999999999999</v>
      </c>
      <c r="H34">
        <v>5.6</v>
      </c>
      <c r="I34">
        <f>MAX(0,1-Fitting!$B$7*(Fitting!$B$6-Herm8889!C34)^2)</f>
        <v>0.43739167690851355</v>
      </c>
      <c r="J34">
        <f>tt(G34,H34,Fitting!$B$1:$E$1,Fitting!$B$2:$E$2)*I34</f>
        <v>5.0300047015771145</v>
      </c>
    </row>
    <row r="35" spans="1:10">
      <c r="A35" s="1">
        <f t="shared" si="2"/>
        <v>32683</v>
      </c>
      <c r="B35">
        <f t="shared" si="0"/>
        <v>175.11462918442152</v>
      </c>
      <c r="C35">
        <f>day_length(F35,$B$1,Fitting!$B$4)</f>
        <v>10.93052864074707</v>
      </c>
      <c r="D35" s="1">
        <f t="shared" si="1"/>
        <v>32683</v>
      </c>
      <c r="E35">
        <f t="shared" si="3"/>
        <v>1989</v>
      </c>
      <c r="F35" s="6">
        <f t="shared" si="4"/>
        <v>175</v>
      </c>
      <c r="G35">
        <v>14.8</v>
      </c>
      <c r="H35">
        <v>1.5</v>
      </c>
      <c r="I35">
        <f>MAX(0,1-Fitting!$B$7*(Fitting!$B$6-Herm8889!C35)^2)</f>
        <v>0.43611610892389763</v>
      </c>
      <c r="J35">
        <f>tt(G35,H35,Fitting!$B$1:$E$1,Fitting!$B$2:$E$2)*I35</f>
        <v>3.554346537277405</v>
      </c>
    </row>
    <row r="36" spans="1:10">
      <c r="A36" s="1">
        <f t="shared" si="2"/>
        <v>32684</v>
      </c>
      <c r="B36">
        <f t="shared" si="0"/>
        <v>178.50681302725968</v>
      </c>
      <c r="C36">
        <f>day_length(F36,$B$1,Fitting!$B$4)</f>
        <v>10.931774139404297</v>
      </c>
      <c r="D36" s="1">
        <f t="shared" si="1"/>
        <v>32684</v>
      </c>
      <c r="E36">
        <f t="shared" si="3"/>
        <v>1989</v>
      </c>
      <c r="F36" s="6">
        <f t="shared" si="4"/>
        <v>176</v>
      </c>
      <c r="G36">
        <v>14.9</v>
      </c>
      <c r="H36">
        <v>0.7</v>
      </c>
      <c r="I36">
        <f>MAX(0,1-Fitting!$B$7*(Fitting!$B$6-Herm8889!C36)^2)</f>
        <v>0.43489540700474749</v>
      </c>
      <c r="J36">
        <f>tt(G36,H36,Fitting!$B$1:$E$1,Fitting!$B$2:$E$2)*I36</f>
        <v>3.3921838428381665</v>
      </c>
    </row>
    <row r="37" spans="1:10">
      <c r="A37" s="1">
        <f t="shared" si="2"/>
        <v>32685</v>
      </c>
      <c r="B37">
        <f t="shared" si="0"/>
        <v>182.67062416478404</v>
      </c>
      <c r="C37">
        <f>day_length(F37,$B$1,Fitting!$B$4)</f>
        <v>10.933661460876465</v>
      </c>
      <c r="D37" s="1">
        <f t="shared" si="1"/>
        <v>32685</v>
      </c>
      <c r="E37">
        <f t="shared" si="3"/>
        <v>1989</v>
      </c>
      <c r="F37" s="6">
        <f t="shared" si="4"/>
        <v>177</v>
      </c>
      <c r="G37">
        <v>17</v>
      </c>
      <c r="H37">
        <v>2.2000000000000002</v>
      </c>
      <c r="I37">
        <f>MAX(0,1-Fitting!$B$7*(Fitting!$B$6-Herm8889!C37)^2)</f>
        <v>0.4337303095905608</v>
      </c>
      <c r="J37">
        <f>tt(G37,H37,Fitting!$B$1:$E$1,Fitting!$B$2:$E$2)*I37</f>
        <v>4.163811137524366</v>
      </c>
    </row>
    <row r="38" spans="1:10">
      <c r="A38" s="1">
        <f t="shared" si="2"/>
        <v>32686</v>
      </c>
      <c r="B38">
        <f t="shared" si="0"/>
        <v>186.8454230203773</v>
      </c>
      <c r="C38">
        <f>day_length(F38,$B$1,Fitting!$B$4)</f>
        <v>10.936189651489258</v>
      </c>
      <c r="D38" s="1">
        <f t="shared" si="1"/>
        <v>32686</v>
      </c>
      <c r="E38">
        <f t="shared" si="3"/>
        <v>1989</v>
      </c>
      <c r="F38" s="6">
        <f t="shared" si="4"/>
        <v>178</v>
      </c>
      <c r="G38">
        <v>17.5</v>
      </c>
      <c r="H38">
        <v>1.8</v>
      </c>
      <c r="I38">
        <f>MAX(0,1-Fitting!$B$7*(Fitting!$B$6-Herm8889!C38)^2)</f>
        <v>0.43262166016842818</v>
      </c>
      <c r="J38">
        <f>tt(G38,H38,Fitting!$B$1:$E$1,Fitting!$B$2:$E$2)*I38</f>
        <v>4.1747988555932656</v>
      </c>
    </row>
    <row r="39" spans="1:10">
      <c r="A39" s="1">
        <f t="shared" si="2"/>
        <v>32687</v>
      </c>
      <c r="B39">
        <f t="shared" si="0"/>
        <v>193.01687473986658</v>
      </c>
      <c r="C39">
        <f>day_length(F39,$B$1,Fitting!$B$4)</f>
        <v>10.939355850219727</v>
      </c>
      <c r="D39" s="1">
        <f t="shared" si="1"/>
        <v>32687</v>
      </c>
      <c r="E39">
        <f t="shared" si="3"/>
        <v>1989</v>
      </c>
      <c r="F39" s="6">
        <f t="shared" si="4"/>
        <v>179</v>
      </c>
      <c r="G39">
        <v>17.899999999999999</v>
      </c>
      <c r="H39">
        <v>10.7</v>
      </c>
      <c r="I39">
        <f>MAX(0,1-Fitting!$B$7*(Fitting!$B$6-Herm8889!C39)^2)</f>
        <v>0.43157007333923869</v>
      </c>
      <c r="J39">
        <f>tt(G39,H39,Fitting!$B$1:$E$1,Fitting!$B$2:$E$2)*I39</f>
        <v>6.1714517194892773</v>
      </c>
    </row>
    <row r="40" spans="1:10">
      <c r="A40" s="1">
        <f t="shared" si="2"/>
        <v>32688</v>
      </c>
      <c r="B40">
        <f t="shared" si="0"/>
        <v>198.05461699291706</v>
      </c>
      <c r="C40">
        <f>day_length(F40,$B$1,Fitting!$B$4)</f>
        <v>10.943161010742188</v>
      </c>
      <c r="D40" s="1">
        <f t="shared" si="1"/>
        <v>32688</v>
      </c>
      <c r="E40">
        <f t="shared" si="3"/>
        <v>1989</v>
      </c>
      <c r="F40" s="6">
        <f t="shared" si="4"/>
        <v>180</v>
      </c>
      <c r="G40">
        <v>16.8</v>
      </c>
      <c r="H40">
        <v>6.6</v>
      </c>
      <c r="I40">
        <f>MAX(0,1-Fitting!$B$7*(Fitting!$B$6-Herm8889!C40)^2)</f>
        <v>0.43057626796379367</v>
      </c>
      <c r="J40">
        <f>tt(G40,H40,Fitting!$B$1:$E$1,Fitting!$B$2:$E$2)*I40</f>
        <v>5.0377422530504807</v>
      </c>
    </row>
    <row r="41" spans="1:10">
      <c r="A41" s="1">
        <f t="shared" si="2"/>
        <v>32689</v>
      </c>
      <c r="B41">
        <f t="shared" si="0"/>
        <v>202.88807649056147</v>
      </c>
      <c r="C41">
        <f>day_length(F41,$B$1,Fitting!$B$4)</f>
        <v>10.947601318359375</v>
      </c>
      <c r="D41" s="1">
        <f t="shared" si="1"/>
        <v>32689</v>
      </c>
      <c r="E41">
        <f t="shared" si="3"/>
        <v>1989</v>
      </c>
      <c r="F41" s="6">
        <f t="shared" si="4"/>
        <v>181</v>
      </c>
      <c r="G41">
        <v>15.9</v>
      </c>
      <c r="H41">
        <v>6.6</v>
      </c>
      <c r="I41">
        <f>MAX(0,1-Fitting!$B$7*(Fitting!$B$6-Herm8889!C41)^2)</f>
        <v>0.42964084423505844</v>
      </c>
      <c r="J41">
        <f>tt(G41,H41,Fitting!$B$1:$E$1,Fitting!$B$2:$E$2)*I41</f>
        <v>4.8334594976444079</v>
      </c>
    </row>
    <row r="42" spans="1:10">
      <c r="A42" s="1">
        <f t="shared" si="2"/>
        <v>32690</v>
      </c>
      <c r="B42">
        <f t="shared" si="0"/>
        <v>207.06853219542444</v>
      </c>
      <c r="C42">
        <f>day_length(F42,$B$1,Fitting!$B$4)</f>
        <v>10.95267391204834</v>
      </c>
      <c r="D42" s="1">
        <f t="shared" si="1"/>
        <v>32690</v>
      </c>
      <c r="E42">
        <f t="shared" si="3"/>
        <v>1989</v>
      </c>
      <c r="F42" s="6">
        <f t="shared" si="4"/>
        <v>182</v>
      </c>
      <c r="G42">
        <v>12.9</v>
      </c>
      <c r="H42">
        <v>6.6</v>
      </c>
      <c r="I42">
        <f>MAX(0,1-Fitting!$B$7*(Fitting!$B$6-Herm8889!C42)^2)</f>
        <v>0.4287647296169107</v>
      </c>
      <c r="J42">
        <f>tt(G42,H42,Fitting!$B$1:$E$1,Fitting!$B$2:$E$2)*I42</f>
        <v>4.1804557048629691</v>
      </c>
    </row>
    <row r="43" spans="1:10">
      <c r="A43" s="1">
        <f t="shared" si="2"/>
        <v>32691</v>
      </c>
      <c r="B43">
        <f t="shared" si="0"/>
        <v>212.20391028479261</v>
      </c>
      <c r="C43">
        <f>day_length(F43,$B$1,Fitting!$B$4)</f>
        <v>10.958376884460449</v>
      </c>
      <c r="D43" s="1">
        <f t="shared" si="1"/>
        <v>32691</v>
      </c>
      <c r="E43">
        <f t="shared" si="3"/>
        <v>1989</v>
      </c>
      <c r="F43" s="6">
        <f t="shared" si="4"/>
        <v>183</v>
      </c>
      <c r="G43">
        <v>15.1</v>
      </c>
      <c r="H43">
        <v>8.9</v>
      </c>
      <c r="I43">
        <f>MAX(0,1-Fitting!$B$7*(Fitting!$B$6-Herm8889!C43)^2)</f>
        <v>0.42794817411401342</v>
      </c>
      <c r="J43">
        <f>tt(G43,H43,Fitting!$B$1:$E$1,Fitting!$B$2:$E$2)*I43</f>
        <v>5.1353780893681611</v>
      </c>
    </row>
    <row r="44" spans="1:10">
      <c r="A44" s="1">
        <f t="shared" si="2"/>
        <v>32692</v>
      </c>
      <c r="B44">
        <f t="shared" si="0"/>
        <v>217.30885299986537</v>
      </c>
      <c r="C44">
        <f>day_length(F44,$B$1,Fitting!$B$4)</f>
        <v>10.964705467224121</v>
      </c>
      <c r="D44" s="1">
        <f t="shared" si="1"/>
        <v>32692</v>
      </c>
      <c r="E44">
        <f t="shared" si="3"/>
        <v>1989</v>
      </c>
      <c r="F44" s="6">
        <f t="shared" si="4"/>
        <v>184</v>
      </c>
      <c r="G44">
        <v>16</v>
      </c>
      <c r="H44">
        <v>7.9</v>
      </c>
      <c r="I44">
        <f>MAX(0,1-Fitting!$B$7*(Fitting!$B$6-Herm8889!C44)^2)</f>
        <v>0.42719186582034485</v>
      </c>
      <c r="J44">
        <f>tt(G44,H44,Fitting!$B$1:$E$1,Fitting!$B$2:$E$2)*I44</f>
        <v>5.1049427150727391</v>
      </c>
    </row>
    <row r="45" spans="1:10">
      <c r="A45" s="1">
        <f t="shared" si="2"/>
        <v>32693</v>
      </c>
      <c r="B45">
        <f t="shared" si="0"/>
        <v>220.9553976184574</v>
      </c>
      <c r="C45">
        <f>day_length(F45,$B$1,Fitting!$B$4)</f>
        <v>10.971657752990723</v>
      </c>
      <c r="D45" s="1">
        <f t="shared" si="1"/>
        <v>32693</v>
      </c>
      <c r="E45">
        <f t="shared" si="3"/>
        <v>1989</v>
      </c>
      <c r="F45" s="6">
        <f t="shared" si="4"/>
        <v>185</v>
      </c>
      <c r="G45">
        <v>14.9</v>
      </c>
      <c r="H45">
        <v>2.2000000000000002</v>
      </c>
      <c r="I45">
        <f>MAX(0,1-Fitting!$B$7*(Fitting!$B$6-Herm8889!C45)^2)</f>
        <v>0.42649648467637602</v>
      </c>
      <c r="J45">
        <f>tt(G45,H45,Fitting!$B$1:$E$1,Fitting!$B$2:$E$2)*I45</f>
        <v>3.6465446185920203</v>
      </c>
    </row>
    <row r="46" spans="1:10">
      <c r="A46" s="1">
        <f t="shared" si="2"/>
        <v>32694</v>
      </c>
      <c r="B46">
        <f t="shared" si="0"/>
        <v>224.404881635268</v>
      </c>
      <c r="C46">
        <f>day_length(F46,$B$1,Fitting!$B$4)</f>
        <v>10.979229927062988</v>
      </c>
      <c r="D46" s="1">
        <f t="shared" si="1"/>
        <v>32694</v>
      </c>
      <c r="E46">
        <f t="shared" si="3"/>
        <v>1989</v>
      </c>
      <c r="F46" s="6">
        <f t="shared" si="4"/>
        <v>186</v>
      </c>
      <c r="G46">
        <v>15.9</v>
      </c>
      <c r="H46">
        <v>0.3</v>
      </c>
      <c r="I46">
        <f>MAX(0,1-Fitting!$B$7*(Fitting!$B$6-Herm8889!C46)^2)</f>
        <v>0.42586225438159631</v>
      </c>
      <c r="J46">
        <f>tt(G46,H46,Fitting!$B$1:$E$1,Fitting!$B$2:$E$2)*I46</f>
        <v>3.4494840168105934</v>
      </c>
    </row>
    <row r="47" spans="1:10">
      <c r="A47" s="1">
        <f t="shared" si="2"/>
        <v>32695</v>
      </c>
      <c r="B47">
        <f t="shared" si="0"/>
        <v>228.42387051382954</v>
      </c>
      <c r="C47">
        <f>day_length(F47,$B$1,Fitting!$B$4)</f>
        <v>10.98741626739502</v>
      </c>
      <c r="D47" s="1">
        <f t="shared" si="1"/>
        <v>32695</v>
      </c>
      <c r="E47">
        <f t="shared" si="3"/>
        <v>1989</v>
      </c>
      <c r="F47" s="6">
        <f t="shared" si="4"/>
        <v>187</v>
      </c>
      <c r="G47">
        <v>16.5</v>
      </c>
      <c r="H47">
        <v>2.4</v>
      </c>
      <c r="I47">
        <f>MAX(0,1-Fitting!$B$7*(Fitting!$B$6-Herm8889!C47)^2)</f>
        <v>0.42528983700308343</v>
      </c>
      <c r="J47">
        <f>tt(G47,H47,Fitting!$B$1:$E$1,Fitting!$B$2:$E$2)*I47</f>
        <v>4.0189888785615393</v>
      </c>
    </row>
    <row r="48" spans="1:10">
      <c r="A48" s="1">
        <f t="shared" si="2"/>
        <v>32696</v>
      </c>
      <c r="B48">
        <f t="shared" si="0"/>
        <v>233.71237442952798</v>
      </c>
      <c r="C48">
        <f>day_length(F48,$B$1,Fitting!$B$4)</f>
        <v>10.996214866638184</v>
      </c>
      <c r="D48" s="1">
        <f t="shared" si="1"/>
        <v>32696</v>
      </c>
      <c r="E48">
        <f t="shared" si="3"/>
        <v>1989</v>
      </c>
      <c r="F48" s="6">
        <f t="shared" si="4"/>
        <v>188</v>
      </c>
      <c r="G48">
        <v>17.3</v>
      </c>
      <c r="H48">
        <v>7.6</v>
      </c>
      <c r="I48">
        <f>MAX(0,1-Fitting!$B$7*(Fitting!$B$6-Herm8889!C48)^2)</f>
        <v>0.42477943748744473</v>
      </c>
      <c r="J48">
        <f>tt(G48,H48,Fitting!$B$1:$E$1,Fitting!$B$2:$E$2)*I48</f>
        <v>5.2885039156984393</v>
      </c>
    </row>
    <row r="49" spans="1:10">
      <c r="A49" s="1">
        <f t="shared" si="2"/>
        <v>32697</v>
      </c>
      <c r="B49">
        <f t="shared" si="0"/>
        <v>237.61622598175322</v>
      </c>
      <c r="C49">
        <f>day_length(F49,$B$1,Fitting!$B$4)</f>
        <v>11.005618095397949</v>
      </c>
      <c r="D49" s="1">
        <f t="shared" si="1"/>
        <v>32697</v>
      </c>
      <c r="E49">
        <f t="shared" si="3"/>
        <v>1989</v>
      </c>
      <c r="F49" s="6">
        <f t="shared" si="4"/>
        <v>189</v>
      </c>
      <c r="G49">
        <v>14.1</v>
      </c>
      <c r="H49">
        <v>4.3</v>
      </c>
      <c r="I49">
        <f>MAX(0,1-Fitting!$B$7*(Fitting!$B$6-Herm8889!C49)^2)</f>
        <v>0.42433169925653058</v>
      </c>
      <c r="J49">
        <f>tt(G49,H49,Fitting!$B$1:$E$1,Fitting!$B$2:$E$2)*I49</f>
        <v>3.9038515522252326</v>
      </c>
    </row>
    <row r="50" spans="1:10">
      <c r="A50" s="1">
        <f t="shared" si="2"/>
        <v>32698</v>
      </c>
      <c r="B50">
        <f t="shared" si="0"/>
        <v>240.96540471599025</v>
      </c>
      <c r="C50">
        <f>day_length(F50,$B$1,Fitting!$B$4)</f>
        <v>11.015621185302734</v>
      </c>
      <c r="D50" s="1">
        <f t="shared" si="1"/>
        <v>32698</v>
      </c>
      <c r="E50">
        <f t="shared" si="3"/>
        <v>1989</v>
      </c>
      <c r="F50" s="6">
        <f t="shared" si="4"/>
        <v>190</v>
      </c>
      <c r="G50">
        <v>12.5</v>
      </c>
      <c r="H50">
        <v>3.3</v>
      </c>
      <c r="I50">
        <f>MAX(0,1-Fitting!$B$7*(Fitting!$B$6-Herm8889!C50)^2)</f>
        <v>0.42394669569112009</v>
      </c>
      <c r="J50">
        <f>tt(G50,H50,Fitting!$B$1:$E$1,Fitting!$B$2:$E$2)*I50</f>
        <v>3.3491787342370185</v>
      </c>
    </row>
    <row r="51" spans="1:10">
      <c r="A51" s="1">
        <f t="shared" si="2"/>
        <v>32699</v>
      </c>
      <c r="B51">
        <f t="shared" si="0"/>
        <v>245.47700776059901</v>
      </c>
      <c r="C51">
        <f>day_length(F51,$B$1,Fitting!$B$4)</f>
        <v>11.026220321655273</v>
      </c>
      <c r="D51" s="1">
        <f t="shared" si="1"/>
        <v>32699</v>
      </c>
      <c r="E51">
        <f t="shared" si="3"/>
        <v>1989</v>
      </c>
      <c r="F51" s="6">
        <f t="shared" si="4"/>
        <v>191</v>
      </c>
      <c r="G51">
        <v>12.9</v>
      </c>
      <c r="H51">
        <v>8.4</v>
      </c>
      <c r="I51">
        <f>MAX(0,1-Fitting!$B$7*(Fitting!$B$6-Herm8889!C51)^2)</f>
        <v>0.42362471419800751</v>
      </c>
      <c r="J51">
        <f>tt(G51,H51,Fitting!$B$1:$E$1,Fitting!$B$2:$E$2)*I51</f>
        <v>4.5116030446087763</v>
      </c>
    </row>
    <row r="52" spans="1:10">
      <c r="A52" s="1">
        <f t="shared" si="2"/>
        <v>32700</v>
      </c>
      <c r="B52">
        <f t="shared" si="0"/>
        <v>248.90627197445025</v>
      </c>
      <c r="C52">
        <f>day_length(F52,$B$1,Fitting!$B$4)</f>
        <v>11.037408828735352</v>
      </c>
      <c r="D52" s="1">
        <f t="shared" si="1"/>
        <v>32700</v>
      </c>
      <c r="E52">
        <f t="shared" si="3"/>
        <v>1989</v>
      </c>
      <c r="F52" s="6">
        <f t="shared" si="4"/>
        <v>192</v>
      </c>
      <c r="G52">
        <v>12</v>
      </c>
      <c r="H52">
        <v>4.2</v>
      </c>
      <c r="I52">
        <f>MAX(0,1-Fitting!$B$7*(Fitting!$B$6-Herm8889!C52)^2)</f>
        <v>0.42336603208105406</v>
      </c>
      <c r="J52">
        <f>tt(G52,H52,Fitting!$B$1:$E$1,Fitting!$B$2:$E$2)*I52</f>
        <v>3.4292642138512397</v>
      </c>
    </row>
    <row r="53" spans="1:10">
      <c r="A53" s="1">
        <f t="shared" si="2"/>
        <v>32701</v>
      </c>
      <c r="B53">
        <f t="shared" si="0"/>
        <v>253.51883480198043</v>
      </c>
      <c r="C53">
        <f>day_length(F53,$B$1,Fitting!$B$4)</f>
        <v>11.049181938171387</v>
      </c>
      <c r="D53" s="1">
        <f t="shared" si="1"/>
        <v>32701</v>
      </c>
      <c r="E53">
        <f t="shared" si="3"/>
        <v>1989</v>
      </c>
      <c r="F53" s="6">
        <f t="shared" si="4"/>
        <v>193</v>
      </c>
      <c r="G53">
        <v>14</v>
      </c>
      <c r="H53">
        <v>7.8</v>
      </c>
      <c r="I53">
        <f>MAX(0,1-Fitting!$B$7*(Fitting!$B$6-Herm8889!C53)^2)</f>
        <v>0.42317091641807925</v>
      </c>
      <c r="J53">
        <f>tt(G53,H53,Fitting!$B$1:$E$1,Fitting!$B$2:$E$2)*I53</f>
        <v>4.6125628275301702</v>
      </c>
    </row>
    <row r="54" spans="1:10">
      <c r="A54" s="1">
        <f t="shared" si="2"/>
        <v>32702</v>
      </c>
      <c r="B54">
        <f t="shared" si="0"/>
        <v>258.59530853912008</v>
      </c>
      <c r="C54">
        <f>day_length(F54,$B$1,Fitting!$B$4)</f>
        <v>11.061532020568848</v>
      </c>
      <c r="D54" s="1">
        <f t="shared" si="1"/>
        <v>32702</v>
      </c>
      <c r="E54">
        <f t="shared" si="3"/>
        <v>1989</v>
      </c>
      <c r="F54" s="6">
        <f t="shared" si="4"/>
        <v>194</v>
      </c>
      <c r="G54">
        <v>15</v>
      </c>
      <c r="H54">
        <v>9</v>
      </c>
      <c r="I54">
        <f>MAX(0,1-Fitting!$B$7*(Fitting!$B$6-Herm8889!C54)^2)</f>
        <v>0.42303951171512921</v>
      </c>
      <c r="J54">
        <f>tt(G54,H54,Fitting!$B$1:$E$1,Fitting!$B$2:$E$2)*I54</f>
        <v>5.0764737371396338</v>
      </c>
    </row>
    <row r="55" spans="1:10">
      <c r="A55" s="1">
        <f t="shared" si="2"/>
        <v>32703</v>
      </c>
      <c r="B55">
        <f t="shared" si="0"/>
        <v>263.67096832600282</v>
      </c>
      <c r="C55">
        <f>day_length(F55,$B$1,Fitting!$B$4)</f>
        <v>11.074453353881836</v>
      </c>
      <c r="D55" s="1">
        <f t="shared" si="1"/>
        <v>32703</v>
      </c>
      <c r="E55">
        <f t="shared" si="3"/>
        <v>1989</v>
      </c>
      <c r="F55" s="6">
        <f t="shared" si="4"/>
        <v>195</v>
      </c>
      <c r="G55">
        <v>17.899999999999999</v>
      </c>
      <c r="H55">
        <v>6.1</v>
      </c>
      <c r="I55">
        <f>MAX(0,1-Fitting!$B$7*(Fitting!$B$6-Herm8889!C55)^2)</f>
        <v>0.4229716152921319</v>
      </c>
      <c r="J55">
        <f>tt(G55,H55,Fitting!$B$1:$E$1,Fitting!$B$2:$E$2)*I55</f>
        <v>5.0756597868827491</v>
      </c>
    </row>
    <row r="56" spans="1:10">
      <c r="A56" s="1">
        <f t="shared" si="2"/>
        <v>32704</v>
      </c>
      <c r="B56">
        <f t="shared" si="0"/>
        <v>267.37193518630892</v>
      </c>
      <c r="C56">
        <f>day_length(F56,$B$1,Fitting!$B$4)</f>
        <v>11.087939262390137</v>
      </c>
      <c r="D56" s="1">
        <f t="shared" si="1"/>
        <v>32704</v>
      </c>
      <c r="E56">
        <f t="shared" si="3"/>
        <v>1989</v>
      </c>
      <c r="F56" s="6">
        <f t="shared" si="4"/>
        <v>196</v>
      </c>
      <c r="G56">
        <v>12.9</v>
      </c>
      <c r="H56">
        <v>4.5999999999999996</v>
      </c>
      <c r="I56">
        <f>MAX(0,1-Fitting!$B$7*(Fitting!$B$6-Herm8889!C56)^2)</f>
        <v>0.42296768727765632</v>
      </c>
      <c r="J56">
        <f>tt(G56,H56,Fitting!$B$1:$E$1,Fitting!$B$2:$E$2)*I56</f>
        <v>3.7009668603060728</v>
      </c>
    </row>
    <row r="57" spans="1:10">
      <c r="A57" s="1">
        <f t="shared" si="2"/>
        <v>32705</v>
      </c>
      <c r="B57">
        <f t="shared" si="0"/>
        <v>272.17329711326829</v>
      </c>
      <c r="C57">
        <f>day_length(F57,$B$1,Fitting!$B$4)</f>
        <v>11.101982116699219</v>
      </c>
      <c r="D57" s="1">
        <f t="shared" si="1"/>
        <v>32705</v>
      </c>
      <c r="E57">
        <f t="shared" si="3"/>
        <v>1989</v>
      </c>
      <c r="F57" s="6">
        <f t="shared" si="4"/>
        <v>197</v>
      </c>
      <c r="G57">
        <v>15.1</v>
      </c>
      <c r="H57">
        <v>7.6</v>
      </c>
      <c r="I57">
        <f>MAX(0,1-Fitting!$B$7*(Fitting!$B$6-Herm8889!C57)^2)</f>
        <v>0.42302750387820565</v>
      </c>
      <c r="J57">
        <f>tt(G57,H57,Fitting!$B$1:$E$1,Fitting!$B$2:$E$2)*I57</f>
        <v>4.8013619269593546</v>
      </c>
    </row>
    <row r="58" spans="1:10">
      <c r="A58" s="1">
        <f t="shared" si="2"/>
        <v>32706</v>
      </c>
      <c r="B58">
        <f t="shared" si="0"/>
        <v>275.6854505484352</v>
      </c>
      <c r="C58">
        <f>day_length(F58,$B$1,Fitting!$B$4)</f>
        <v>11.1165771484375</v>
      </c>
      <c r="D58" s="1">
        <f t="shared" si="1"/>
        <v>32706</v>
      </c>
      <c r="E58">
        <f t="shared" si="3"/>
        <v>1989</v>
      </c>
      <c r="F58" s="6">
        <f t="shared" si="4"/>
        <v>198</v>
      </c>
      <c r="G58">
        <v>15.4</v>
      </c>
      <c r="H58">
        <v>1.2</v>
      </c>
      <c r="I58">
        <f>MAX(0,1-Fitting!$B$7*(Fitting!$B$6-Herm8889!C58)^2)</f>
        <v>0.42315105518139351</v>
      </c>
      <c r="J58">
        <f>tt(G58,H58,Fitting!$B$1:$E$1,Fitting!$B$2:$E$2)*I58</f>
        <v>3.5121534351669315</v>
      </c>
    </row>
    <row r="59" spans="1:10">
      <c r="A59" s="1">
        <f t="shared" si="2"/>
        <v>32707</v>
      </c>
      <c r="B59">
        <f t="shared" si="0"/>
        <v>279.60132897723048</v>
      </c>
      <c r="C59">
        <f>day_length(F59,$B$1,Fitting!$B$4)</f>
        <v>11.131714820861816</v>
      </c>
      <c r="D59" s="1">
        <f t="shared" si="1"/>
        <v>32707</v>
      </c>
      <c r="E59">
        <f t="shared" si="3"/>
        <v>1989</v>
      </c>
      <c r="F59" s="6">
        <f t="shared" si="4"/>
        <v>199</v>
      </c>
      <c r="G59">
        <v>16.7</v>
      </c>
      <c r="H59">
        <v>1.8</v>
      </c>
      <c r="I59">
        <f>MAX(0,1-Fitting!$B$7*(Fitting!$B$6-Herm8889!C59)^2)</f>
        <v>0.42333820851840753</v>
      </c>
      <c r="J59">
        <f>tt(G59,H59,Fitting!$B$1:$E$1,Fitting!$B$2:$E$2)*I59</f>
        <v>3.9158784287952697</v>
      </c>
    </row>
    <row r="60" spans="1:10">
      <c r="A60" s="1">
        <f t="shared" si="2"/>
        <v>32708</v>
      </c>
      <c r="B60">
        <f t="shared" si="0"/>
        <v>285.08680598176232</v>
      </c>
      <c r="C60">
        <f>day_length(F60,$B$1,Fitting!$B$4)</f>
        <v>11.147388458251953</v>
      </c>
      <c r="D60" s="1">
        <f t="shared" si="1"/>
        <v>32708</v>
      </c>
      <c r="E60">
        <f t="shared" si="3"/>
        <v>1989</v>
      </c>
      <c r="F60" s="6">
        <f t="shared" si="4"/>
        <v>200</v>
      </c>
      <c r="G60">
        <v>17.2</v>
      </c>
      <c r="H60">
        <v>8.6999999999999993</v>
      </c>
      <c r="I60">
        <f>MAX(0,1-Fitting!$B$7*(Fitting!$B$6-Herm8889!C60)^2)</f>
        <v>0.4235889329234851</v>
      </c>
      <c r="J60">
        <f>tt(G60,H60,Fitting!$B$1:$E$1,Fitting!$B$2:$E$2)*I60</f>
        <v>5.4854770045318411</v>
      </c>
    </row>
    <row r="61" spans="1:10">
      <c r="A61" s="1">
        <f t="shared" si="2"/>
        <v>32709</v>
      </c>
      <c r="B61">
        <f t="shared" si="0"/>
        <v>290.83069009102269</v>
      </c>
      <c r="C61">
        <f>day_length(F61,$B$1,Fitting!$B$4)</f>
        <v>11.163591384887695</v>
      </c>
      <c r="D61" s="1">
        <f t="shared" si="1"/>
        <v>32709</v>
      </c>
      <c r="E61">
        <f t="shared" si="3"/>
        <v>1989</v>
      </c>
      <c r="F61" s="6">
        <f t="shared" si="4"/>
        <v>201</v>
      </c>
      <c r="G61">
        <v>17.399999999999999</v>
      </c>
      <c r="H61">
        <v>9.6999999999999993</v>
      </c>
      <c r="I61">
        <f>MAX(0,1-Fitting!$B$7*(Fitting!$B$6-Herm8889!C61)^2)</f>
        <v>0.42390285049018894</v>
      </c>
      <c r="J61">
        <f>tt(G61,H61,Fitting!$B$1:$E$1,Fitting!$B$2:$E$2)*I61</f>
        <v>5.7438841092603736</v>
      </c>
    </row>
    <row r="62" spans="1:10">
      <c r="A62" s="1">
        <f t="shared" si="2"/>
        <v>32710</v>
      </c>
      <c r="B62">
        <f t="shared" si="0"/>
        <v>294.92499321970661</v>
      </c>
      <c r="C62">
        <f>day_length(F62,$B$1,Fitting!$B$4)</f>
        <v>11.180315017700195</v>
      </c>
      <c r="D62" s="1">
        <f t="shared" si="1"/>
        <v>32710</v>
      </c>
      <c r="E62">
        <f t="shared" si="3"/>
        <v>1989</v>
      </c>
      <c r="F62" s="6">
        <f t="shared" si="4"/>
        <v>202</v>
      </c>
      <c r="G62">
        <v>14.2</v>
      </c>
      <c r="H62">
        <v>5.0999999999999996</v>
      </c>
      <c r="I62">
        <f>MAX(0,1-Fitting!$B$7*(Fitting!$B$6-Herm8889!C62)^2)</f>
        <v>0.42428013373408613</v>
      </c>
      <c r="J62">
        <f>tt(G62,H62,Fitting!$B$1:$E$1,Fitting!$B$2:$E$2)*I62</f>
        <v>4.0943031286839044</v>
      </c>
    </row>
    <row r="63" spans="1:10">
      <c r="A63" s="1">
        <f t="shared" si="2"/>
        <v>32711</v>
      </c>
      <c r="B63">
        <f t="shared" si="0"/>
        <v>299.02354152034684</v>
      </c>
      <c r="C63">
        <f>day_length(F63,$B$1,Fitting!$B$4)</f>
        <v>11.197552680969238</v>
      </c>
      <c r="D63" s="1">
        <f t="shared" si="1"/>
        <v>32711</v>
      </c>
      <c r="E63">
        <f t="shared" si="3"/>
        <v>1989</v>
      </c>
      <c r="F63" s="6">
        <f t="shared" si="4"/>
        <v>203</v>
      </c>
      <c r="G63">
        <v>13.3</v>
      </c>
      <c r="H63">
        <v>6</v>
      </c>
      <c r="I63">
        <f>MAX(0,1-Fitting!$B$7*(Fitting!$B$6-Herm8889!C63)^2)</f>
        <v>0.42472004794384155</v>
      </c>
      <c r="J63">
        <f>tt(G63,H63,Fitting!$B$1:$E$1,Fitting!$B$2:$E$2)*I63</f>
        <v>4.0985483006402301</v>
      </c>
    </row>
    <row r="64" spans="1:10">
      <c r="A64" s="1">
        <f t="shared" si="2"/>
        <v>32712</v>
      </c>
      <c r="B64">
        <f t="shared" si="0"/>
        <v>304.23251877658919</v>
      </c>
      <c r="C64">
        <f>day_length(F64,$B$1,Fitting!$B$4)</f>
        <v>11.215293884277344</v>
      </c>
      <c r="D64" s="1">
        <f t="shared" si="1"/>
        <v>32712</v>
      </c>
      <c r="E64">
        <f t="shared" si="3"/>
        <v>1989</v>
      </c>
      <c r="F64" s="6">
        <f t="shared" si="4"/>
        <v>204</v>
      </c>
      <c r="G64">
        <v>14.2</v>
      </c>
      <c r="H64">
        <v>10.3</v>
      </c>
      <c r="I64">
        <f>MAX(0,1-Fitting!$B$7*(Fitting!$B$6-Herm8889!C64)^2)</f>
        <v>0.42522263316263886</v>
      </c>
      <c r="J64">
        <f>tt(G64,H64,Fitting!$B$1:$E$1,Fitting!$B$2:$E$2)*I64</f>
        <v>5.208977256242326</v>
      </c>
    </row>
    <row r="65" spans="1:10">
      <c r="A65" s="1">
        <f t="shared" si="2"/>
        <v>32713</v>
      </c>
      <c r="B65">
        <f t="shared" si="0"/>
        <v>310.04451647293098</v>
      </c>
      <c r="C65">
        <f>day_length(F65,$B$1,Fitting!$B$4)</f>
        <v>11.233532905578613</v>
      </c>
      <c r="D65" s="1">
        <f t="shared" si="1"/>
        <v>32713</v>
      </c>
      <c r="E65">
        <f t="shared" si="3"/>
        <v>1989</v>
      </c>
      <c r="F65" s="6">
        <f t="shared" si="4"/>
        <v>205</v>
      </c>
      <c r="G65">
        <v>16.899999999999999</v>
      </c>
      <c r="H65">
        <v>10.4</v>
      </c>
      <c r="I65">
        <f>MAX(0,1-Fitting!$B$7*(Fitting!$B$6-Herm8889!C65)^2)</f>
        <v>0.42578735917247834</v>
      </c>
      <c r="J65">
        <f>tt(G65,H65,Fitting!$B$1:$E$1,Fitting!$B$2:$E$2)*I65</f>
        <v>5.8119976963418107</v>
      </c>
    </row>
    <row r="66" spans="1:10">
      <c r="A66" s="1">
        <f t="shared" si="2"/>
        <v>32714</v>
      </c>
      <c r="B66">
        <f t="shared" si="0"/>
        <v>314.62846480489912</v>
      </c>
      <c r="C66">
        <f>day_length(F66,$B$1,Fitting!$B$4)</f>
        <v>11.252261161804199</v>
      </c>
      <c r="D66" s="1">
        <f t="shared" si="1"/>
        <v>32714</v>
      </c>
      <c r="E66">
        <f t="shared" si="3"/>
        <v>1989</v>
      </c>
      <c r="F66" s="6">
        <f t="shared" si="4"/>
        <v>206</v>
      </c>
      <c r="G66">
        <v>14.3</v>
      </c>
      <c r="H66">
        <v>7.2</v>
      </c>
      <c r="I66">
        <f>MAX(0,1-Fitting!$B$7*(Fitting!$B$6-Herm8889!C66)^2)</f>
        <v>0.42641379832261916</v>
      </c>
      <c r="J66">
        <f>tt(G66,H66,Fitting!$B$1:$E$1,Fitting!$B$2:$E$2)*I66</f>
        <v>4.5839483319681564</v>
      </c>
    </row>
    <row r="67" spans="1:10">
      <c r="A67" s="1">
        <f t="shared" si="2"/>
        <v>32715</v>
      </c>
      <c r="B67">
        <f t="shared" si="0"/>
        <v>318.74999532743431</v>
      </c>
      <c r="C67">
        <f>day_length(F67,$B$1,Fitting!$B$4)</f>
        <v>11.271470069885254</v>
      </c>
      <c r="D67" s="1">
        <f t="shared" si="1"/>
        <v>32715</v>
      </c>
      <c r="E67">
        <f t="shared" si="3"/>
        <v>1989</v>
      </c>
      <c r="F67" s="6">
        <f t="shared" si="4"/>
        <v>207</v>
      </c>
      <c r="G67">
        <v>13.6</v>
      </c>
      <c r="H67">
        <v>5.7</v>
      </c>
      <c r="I67">
        <f>MAX(0,1-Fitting!$B$7*(Fitting!$B$6-Herm8889!C67)^2)</f>
        <v>0.42710162543642949</v>
      </c>
      <c r="J67">
        <f>tt(G67,H67,Fitting!$B$1:$E$1,Fitting!$B$2:$E$2)*I67</f>
        <v>4.1215305225352044</v>
      </c>
    </row>
    <row r="68" spans="1:10">
      <c r="A68" s="1">
        <f t="shared" si="2"/>
        <v>32716</v>
      </c>
      <c r="B68">
        <f t="shared" si="0"/>
        <v>325.08217958806853</v>
      </c>
      <c r="C68">
        <f>day_length(F68,$B$1,Fitting!$B$4)</f>
        <v>11.29115104675293</v>
      </c>
      <c r="D68" s="1">
        <f t="shared" si="1"/>
        <v>32716</v>
      </c>
      <c r="E68">
        <f t="shared" si="3"/>
        <v>1989</v>
      </c>
      <c r="F68" s="6">
        <f t="shared" si="4"/>
        <v>208</v>
      </c>
      <c r="G68">
        <v>19</v>
      </c>
      <c r="H68">
        <v>10.6</v>
      </c>
      <c r="I68">
        <f>MAX(0,1-Fitting!$B$7*(Fitting!$B$6-Herm8889!C68)^2)</f>
        <v>0.42785028236677503</v>
      </c>
      <c r="J68">
        <f>tt(G68,H68,Fitting!$B$1:$E$1,Fitting!$B$2:$E$2)*I68</f>
        <v>6.3321842606342358</v>
      </c>
    </row>
    <row r="69" spans="1:10">
      <c r="A69" s="1">
        <f t="shared" si="2"/>
        <v>32717</v>
      </c>
      <c r="B69">
        <f t="shared" ref="B69:B132" si="5">B68+J69</f>
        <v>329.9260303260366</v>
      </c>
      <c r="C69">
        <f>day_length(F69,$B$1,Fitting!$B$4)</f>
        <v>11.311296463012695</v>
      </c>
      <c r="D69" s="1">
        <f t="shared" ref="D69:D132" si="6">A69</f>
        <v>32717</v>
      </c>
      <c r="E69">
        <f t="shared" si="3"/>
        <v>1989</v>
      </c>
      <c r="F69" s="6">
        <f t="shared" si="4"/>
        <v>209</v>
      </c>
      <c r="G69">
        <v>15.3</v>
      </c>
      <c r="H69">
        <v>7.3</v>
      </c>
      <c r="I69">
        <f>MAX(0,1-Fitting!$B$7*(Fitting!$B$6-Herm8889!C69)^2)</f>
        <v>0.42865931392977108</v>
      </c>
      <c r="J69">
        <f>tt(G69,H69,Fitting!$B$1:$E$1,Fitting!$B$2:$E$2)*I69</f>
        <v>4.8438507379680669</v>
      </c>
    </row>
    <row r="70" spans="1:10">
      <c r="A70" s="1">
        <f t="shared" ref="A70:A133" si="7">A69+1</f>
        <v>32718</v>
      </c>
      <c r="B70">
        <f t="shared" si="5"/>
        <v>335.48842012552984</v>
      </c>
      <c r="C70">
        <f>day_length(F70,$B$1,Fitting!$B$4)</f>
        <v>11.33189868927002</v>
      </c>
      <c r="D70" s="1">
        <f t="shared" si="6"/>
        <v>32718</v>
      </c>
      <c r="E70">
        <f t="shared" ref="E70:E133" si="8">YEAR(A70)</f>
        <v>1989</v>
      </c>
      <c r="F70" s="6">
        <f t="shared" ref="F70:F133" si="9">A70-DATE(E70,1,1)+1</f>
        <v>210</v>
      </c>
      <c r="G70">
        <v>16.399999999999999</v>
      </c>
      <c r="H70">
        <v>9.5</v>
      </c>
      <c r="I70">
        <f>MAX(0,1-Fitting!$B$7*(Fitting!$B$6-Herm8889!C70)^2)</f>
        <v>0.42952814453971222</v>
      </c>
      <c r="J70">
        <f>tt(G70,H70,Fitting!$B$1:$E$1,Fitting!$B$2:$E$2)*I70</f>
        <v>5.562389799493241</v>
      </c>
    </row>
    <row r="71" spans="1:10">
      <c r="A71" s="1">
        <f t="shared" si="7"/>
        <v>32719</v>
      </c>
      <c r="B71">
        <f t="shared" si="5"/>
        <v>340.3310510124922</v>
      </c>
      <c r="C71">
        <f>day_length(F71,$B$1,Fitting!$B$4)</f>
        <v>11.352947235107422</v>
      </c>
      <c r="D71" s="1">
        <f t="shared" si="6"/>
        <v>32719</v>
      </c>
      <c r="E71">
        <f t="shared" si="8"/>
        <v>1989</v>
      </c>
      <c r="F71" s="6">
        <f t="shared" si="9"/>
        <v>211</v>
      </c>
      <c r="G71">
        <v>15.7</v>
      </c>
      <c r="H71">
        <v>6.8</v>
      </c>
      <c r="I71">
        <f>MAX(0,1-Fitting!$B$7*(Fitting!$B$6-Herm8889!C71)^2)</f>
        <v>0.43045607884109816</v>
      </c>
      <c r="J71">
        <f>tt(G71,H71,Fitting!$B$1:$E$1,Fitting!$B$2:$E$2)*I71</f>
        <v>4.842630886962354</v>
      </c>
    </row>
    <row r="72" spans="1:10">
      <c r="A72" s="1">
        <f t="shared" si="7"/>
        <v>32720</v>
      </c>
      <c r="B72">
        <f t="shared" si="5"/>
        <v>345.5299344547538</v>
      </c>
      <c r="C72">
        <f>day_length(F72,$B$1,Fitting!$B$4)</f>
        <v>11.374435424804688</v>
      </c>
      <c r="D72" s="1">
        <f t="shared" si="6"/>
        <v>32720</v>
      </c>
      <c r="E72">
        <f t="shared" si="8"/>
        <v>1989</v>
      </c>
      <c r="F72" s="6">
        <f t="shared" si="9"/>
        <v>212</v>
      </c>
      <c r="G72">
        <v>17.100000000000001</v>
      </c>
      <c r="H72">
        <v>7</v>
      </c>
      <c r="I72">
        <f>MAX(0,1-Fitting!$B$7*(Fitting!$B$6-Herm8889!C72)^2)</f>
        <v>0.43144263663287896</v>
      </c>
      <c r="J72">
        <f>tt(G72,H72,Fitting!$B$1:$E$1,Fitting!$B$2:$E$2)*I72</f>
        <v>5.1988834422615824</v>
      </c>
    </row>
    <row r="73" spans="1:10">
      <c r="A73" s="1">
        <f t="shared" si="7"/>
        <v>32721</v>
      </c>
      <c r="B73">
        <f t="shared" si="5"/>
        <v>350.5035361845359</v>
      </c>
      <c r="C73">
        <f>day_length(F73,$B$1,Fitting!$B$4)</f>
        <v>11.396352767944336</v>
      </c>
      <c r="D73" s="1">
        <f t="shared" si="6"/>
        <v>32721</v>
      </c>
      <c r="E73">
        <f t="shared" si="8"/>
        <v>1989</v>
      </c>
      <c r="F73" s="6">
        <f t="shared" si="9"/>
        <v>213</v>
      </c>
      <c r="G73">
        <v>14.6</v>
      </c>
      <c r="H73">
        <v>8.4</v>
      </c>
      <c r="I73">
        <f>MAX(0,1-Fitting!$B$7*(Fitting!$B$6-Herm8889!C73)^2)</f>
        <v>0.43248710693757497</v>
      </c>
      <c r="J73">
        <f>tt(G73,H73,Fitting!$B$1:$E$1,Fitting!$B$2:$E$2)*I73</f>
        <v>4.9736017297821125</v>
      </c>
    </row>
    <row r="74" spans="1:10">
      <c r="A74" s="1">
        <f t="shared" si="7"/>
        <v>32722</v>
      </c>
      <c r="B74">
        <f t="shared" si="5"/>
        <v>355.03453719001311</v>
      </c>
      <c r="C74">
        <f>day_length(F74,$B$1,Fitting!$B$4)</f>
        <v>11.418692588806152</v>
      </c>
      <c r="D74" s="1">
        <f t="shared" si="6"/>
        <v>32722</v>
      </c>
      <c r="E74">
        <f t="shared" si="8"/>
        <v>1989</v>
      </c>
      <c r="F74" s="6">
        <f t="shared" si="9"/>
        <v>214</v>
      </c>
      <c r="G74">
        <v>15.9</v>
      </c>
      <c r="H74">
        <v>5</v>
      </c>
      <c r="I74">
        <f>MAX(0,1-Fitting!$B$7*(Fitting!$B$6-Herm8889!C74)^2)</f>
        <v>0.43358866044785283</v>
      </c>
      <c r="J74">
        <f>tt(G74,H74,Fitting!$B$1:$E$1,Fitting!$B$2:$E$2)*I74</f>
        <v>4.5310010054772185</v>
      </c>
    </row>
    <row r="75" spans="1:10">
      <c r="A75" s="1">
        <f t="shared" si="7"/>
        <v>32723</v>
      </c>
      <c r="B75">
        <f t="shared" si="5"/>
        <v>358.99073318756297</v>
      </c>
      <c r="C75">
        <f>day_length(F75,$B$1,Fitting!$B$4)</f>
        <v>11.441445350646973</v>
      </c>
      <c r="D75" s="1">
        <f t="shared" si="6"/>
        <v>32723</v>
      </c>
      <c r="E75">
        <f t="shared" si="8"/>
        <v>1989</v>
      </c>
      <c r="F75" s="6">
        <f t="shared" si="9"/>
        <v>215</v>
      </c>
      <c r="G75">
        <v>14.6</v>
      </c>
      <c r="H75">
        <v>3.6</v>
      </c>
      <c r="I75">
        <f>MAX(0,1-Fitting!$B$7*(Fitting!$B$6-Herm8889!C75)^2)</f>
        <v>0.43474679469309196</v>
      </c>
      <c r="J75">
        <f>tt(G75,H75,Fitting!$B$1:$E$1,Fitting!$B$2:$E$2)*I75</f>
        <v>3.9561959975498779</v>
      </c>
    </row>
    <row r="76" spans="1:10">
      <c r="A76" s="1">
        <f t="shared" si="7"/>
        <v>32724</v>
      </c>
      <c r="B76">
        <f t="shared" si="5"/>
        <v>361.8244775220146</v>
      </c>
      <c r="C76">
        <f>day_length(F76,$B$1,Fitting!$B$4)</f>
        <v>11.464603424072266</v>
      </c>
      <c r="D76" s="1">
        <f t="shared" si="6"/>
        <v>32724</v>
      </c>
      <c r="E76">
        <f t="shared" si="8"/>
        <v>1989</v>
      </c>
      <c r="F76" s="6">
        <f t="shared" si="9"/>
        <v>216</v>
      </c>
      <c r="G76">
        <v>12.4</v>
      </c>
      <c r="H76">
        <v>0.6</v>
      </c>
      <c r="I76">
        <f>MAX(0,1-Fitting!$B$7*(Fitting!$B$6-Herm8889!C76)^2)</f>
        <v>0.43596066683871326</v>
      </c>
      <c r="J76">
        <f>tt(G76,H76,Fitting!$B$1:$E$1,Fitting!$B$2:$E$2)*I76</f>
        <v>2.8337443344516364</v>
      </c>
    </row>
    <row r="77" spans="1:10">
      <c r="A77" s="1">
        <f t="shared" si="7"/>
        <v>32725</v>
      </c>
      <c r="B77">
        <f t="shared" si="5"/>
        <v>365.93443335572471</v>
      </c>
      <c r="C77">
        <f>day_length(F77,$B$1,Fitting!$B$4)</f>
        <v>11.4881591796875</v>
      </c>
      <c r="D77" s="1">
        <f t="shared" si="6"/>
        <v>32725</v>
      </c>
      <c r="E77">
        <f t="shared" si="8"/>
        <v>1989</v>
      </c>
      <c r="F77" s="6">
        <f t="shared" si="9"/>
        <v>217</v>
      </c>
      <c r="G77">
        <v>13.7</v>
      </c>
      <c r="H77">
        <v>5.0999999999999996</v>
      </c>
      <c r="I77">
        <f>MAX(0,1-Fitting!$B$7*(Fitting!$B$6-Herm8889!C77)^2)</f>
        <v>0.4372293173963262</v>
      </c>
      <c r="J77">
        <f>tt(G77,H77,Fitting!$B$1:$E$1,Fitting!$B$2:$E$2)*I77</f>
        <v>4.1099558337100888</v>
      </c>
    </row>
    <row r="78" spans="1:10">
      <c r="A78" s="1">
        <f t="shared" si="7"/>
        <v>32726</v>
      </c>
      <c r="B78">
        <f t="shared" si="5"/>
        <v>370.23224373855561</v>
      </c>
      <c r="C78">
        <f>day_length(F78,$B$1,Fitting!$B$4)</f>
        <v>11.512101173400879</v>
      </c>
      <c r="D78" s="1">
        <f t="shared" si="6"/>
        <v>32726</v>
      </c>
      <c r="E78">
        <f t="shared" si="8"/>
        <v>1989</v>
      </c>
      <c r="F78" s="6">
        <f t="shared" si="9"/>
        <v>218</v>
      </c>
      <c r="G78">
        <v>14.2</v>
      </c>
      <c r="H78">
        <v>5.4</v>
      </c>
      <c r="I78">
        <f>MAX(0,1-Fitting!$B$7*(Fitting!$B$6-Herm8889!C78)^2)</f>
        <v>0.43855211402240823</v>
      </c>
      <c r="J78">
        <f>tt(G78,H78,Fitting!$B$1:$E$1,Fitting!$B$2:$E$2)*I78</f>
        <v>4.2978103828308907</v>
      </c>
    </row>
    <row r="79" spans="1:10">
      <c r="A79" s="1">
        <f t="shared" si="7"/>
        <v>32727</v>
      </c>
      <c r="B79">
        <f t="shared" si="5"/>
        <v>373.77366580854624</v>
      </c>
      <c r="C79">
        <f>day_length(F79,$B$1,Fitting!$B$4)</f>
        <v>11.536422729492188</v>
      </c>
      <c r="D79" s="1">
        <f t="shared" si="6"/>
        <v>32727</v>
      </c>
      <c r="E79">
        <f t="shared" si="8"/>
        <v>1989</v>
      </c>
      <c r="F79" s="6">
        <f t="shared" si="9"/>
        <v>219</v>
      </c>
      <c r="G79">
        <v>15.4</v>
      </c>
      <c r="H79">
        <v>0.7</v>
      </c>
      <c r="I79">
        <f>MAX(0,1-Fitting!$B$7*(Fitting!$B$6-Herm8889!C79)^2)</f>
        <v>0.43992819702869745</v>
      </c>
      <c r="J79">
        <f>tt(G79,H79,Fitting!$B$1:$E$1,Fitting!$B$2:$E$2)*I79</f>
        <v>3.5414220699906589</v>
      </c>
    </row>
    <row r="80" spans="1:10">
      <c r="A80" s="1">
        <f t="shared" si="7"/>
        <v>32728</v>
      </c>
      <c r="B80">
        <f t="shared" si="5"/>
        <v>377.67967278841138</v>
      </c>
      <c r="C80">
        <f>day_length(F80,$B$1,Fitting!$B$4)</f>
        <v>11.561116218566895</v>
      </c>
      <c r="D80" s="1">
        <f t="shared" si="6"/>
        <v>32728</v>
      </c>
      <c r="E80">
        <f t="shared" si="8"/>
        <v>1989</v>
      </c>
      <c r="F80" s="6">
        <f t="shared" si="9"/>
        <v>220</v>
      </c>
      <c r="G80">
        <v>16.8</v>
      </c>
      <c r="H80">
        <v>0.9</v>
      </c>
      <c r="I80">
        <f>MAX(0,1-Fitting!$B$7*(Fitting!$B$6-Herm8889!C80)^2)</f>
        <v>0.4413567018645117</v>
      </c>
      <c r="J80">
        <f>tt(G80,H80,Fitting!$B$1:$E$1,Fitting!$B$2:$E$2)*I80</f>
        <v>3.9060069798651491</v>
      </c>
    </row>
    <row r="81" spans="1:10">
      <c r="A81" s="1">
        <f t="shared" si="7"/>
        <v>32729</v>
      </c>
      <c r="B81">
        <f t="shared" si="5"/>
        <v>381.73162795929233</v>
      </c>
      <c r="C81">
        <f>day_length(F81,$B$1,Fitting!$B$4)</f>
        <v>11.586173057556152</v>
      </c>
      <c r="D81" s="1">
        <f t="shared" si="6"/>
        <v>32729</v>
      </c>
      <c r="E81">
        <f t="shared" si="8"/>
        <v>1989</v>
      </c>
      <c r="F81" s="6">
        <f t="shared" si="9"/>
        <v>221</v>
      </c>
      <c r="G81">
        <v>17.2</v>
      </c>
      <c r="H81">
        <v>1.1000000000000001</v>
      </c>
      <c r="I81">
        <f>MAX(0,1-Fitting!$B$7*(Fitting!$B$6-Herm8889!C81)^2)</f>
        <v>0.44283664915953158</v>
      </c>
      <c r="J81">
        <f>tt(G81,H81,Fitting!$B$1:$E$1,Fitting!$B$2:$E$2)*I81</f>
        <v>4.0519551708809383</v>
      </c>
    </row>
    <row r="82" spans="1:10">
      <c r="A82" s="1">
        <f t="shared" si="7"/>
        <v>32730</v>
      </c>
      <c r="B82">
        <f t="shared" si="5"/>
        <v>386.53079505063948</v>
      </c>
      <c r="C82">
        <f>day_length(F82,$B$1,Fitting!$B$4)</f>
        <v>11.611583709716797</v>
      </c>
      <c r="D82" s="1">
        <f t="shared" si="6"/>
        <v>32730</v>
      </c>
      <c r="E82">
        <f t="shared" si="8"/>
        <v>1989</v>
      </c>
      <c r="F82" s="6">
        <f t="shared" si="9"/>
        <v>222</v>
      </c>
      <c r="G82">
        <v>20.2</v>
      </c>
      <c r="H82">
        <v>1.4</v>
      </c>
      <c r="I82">
        <f>MAX(0,1-Fitting!$B$7*(Fitting!$B$6-Herm8889!C82)^2)</f>
        <v>0.44436727618603622</v>
      </c>
      <c r="J82">
        <f>tt(G82,H82,Fitting!$B$1:$E$1,Fitting!$B$2:$E$2)*I82</f>
        <v>4.7991670913471811</v>
      </c>
    </row>
    <row r="83" spans="1:10">
      <c r="A83" s="1">
        <f t="shared" si="7"/>
        <v>32731</v>
      </c>
      <c r="B83">
        <f t="shared" si="5"/>
        <v>391.48081310852524</v>
      </c>
      <c r="C83">
        <f>day_length(F83,$B$1,Fitting!$B$4)</f>
        <v>11.637340545654297</v>
      </c>
      <c r="D83" s="1">
        <f t="shared" si="6"/>
        <v>32731</v>
      </c>
      <c r="E83">
        <f t="shared" si="8"/>
        <v>1989</v>
      </c>
      <c r="F83" s="6">
        <f t="shared" si="9"/>
        <v>223</v>
      </c>
      <c r="G83">
        <v>20.6</v>
      </c>
      <c r="H83">
        <v>1.6</v>
      </c>
      <c r="I83">
        <f>MAX(0,1-Fitting!$B$7*(Fitting!$B$6-Herm8889!C83)^2)</f>
        <v>0.44594759577108201</v>
      </c>
      <c r="J83">
        <f>tt(G83,H83,Fitting!$B$1:$E$1,Fitting!$B$2:$E$2)*I83</f>
        <v>4.9500180578857496</v>
      </c>
    </row>
    <row r="84" spans="1:10">
      <c r="A84" s="1">
        <f t="shared" si="7"/>
        <v>32732</v>
      </c>
      <c r="B84">
        <f t="shared" si="5"/>
        <v>396.65032270257234</v>
      </c>
      <c r="C84">
        <f>day_length(F84,$B$1,Fitting!$B$4)</f>
        <v>11.663436889648438</v>
      </c>
      <c r="D84" s="1">
        <f t="shared" si="6"/>
        <v>32732</v>
      </c>
      <c r="E84">
        <f t="shared" si="8"/>
        <v>1989</v>
      </c>
      <c r="F84" s="6">
        <f t="shared" si="9"/>
        <v>224</v>
      </c>
      <c r="G84">
        <v>21.6</v>
      </c>
      <c r="H84">
        <v>1.5</v>
      </c>
      <c r="I84">
        <f>MAX(0,1-Fitting!$B$7*(Fitting!$B$6-Herm8889!C84)^2)</f>
        <v>0.44757661779402402</v>
      </c>
      <c r="J84">
        <f>tt(G84,H84,Fitting!$B$1:$E$1,Fitting!$B$2:$E$2)*I84</f>
        <v>5.1695095940471179</v>
      </c>
    </row>
    <row r="85" spans="1:10">
      <c r="A85" s="1">
        <f t="shared" si="7"/>
        <v>32733</v>
      </c>
      <c r="B85">
        <f t="shared" si="5"/>
        <v>402.69278016824649</v>
      </c>
      <c r="C85">
        <f>day_length(F85,$B$1,Fitting!$B$4)</f>
        <v>11.689863204956055</v>
      </c>
      <c r="D85" s="1">
        <f t="shared" si="6"/>
        <v>32733</v>
      </c>
      <c r="E85">
        <f t="shared" si="8"/>
        <v>1989</v>
      </c>
      <c r="F85" s="6">
        <f t="shared" si="9"/>
        <v>225</v>
      </c>
      <c r="G85">
        <v>21.5</v>
      </c>
      <c r="H85">
        <v>5.4</v>
      </c>
      <c r="I85">
        <f>MAX(0,1-Fitting!$B$7*(Fitting!$B$6-Herm8889!C85)^2)</f>
        <v>0.44925334954367457</v>
      </c>
      <c r="J85">
        <f>tt(G85,H85,Fitting!$B$1:$E$1,Fitting!$B$2:$E$2)*I85</f>
        <v>6.042457465674147</v>
      </c>
    </row>
    <row r="86" spans="1:10">
      <c r="A86" s="1">
        <f t="shared" si="7"/>
        <v>32734</v>
      </c>
      <c r="B86">
        <f t="shared" si="5"/>
        <v>407.24764665616567</v>
      </c>
      <c r="C86">
        <f>day_length(F86,$B$1,Fitting!$B$4)</f>
        <v>11.716611862182617</v>
      </c>
      <c r="D86" s="1">
        <f t="shared" si="6"/>
        <v>32734</v>
      </c>
      <c r="E86">
        <f t="shared" si="8"/>
        <v>1989</v>
      </c>
      <c r="F86" s="6">
        <f t="shared" si="9"/>
        <v>226</v>
      </c>
      <c r="G86">
        <v>16.8</v>
      </c>
      <c r="H86">
        <v>3.4</v>
      </c>
      <c r="I86">
        <f>MAX(0,1-Fitting!$B$7*(Fitting!$B$6-Herm8889!C86)^2)</f>
        <v>0.45097690554160541</v>
      </c>
      <c r="J86">
        <f>tt(G86,H86,Fitting!$B$1:$E$1,Fitting!$B$2:$E$2)*I86</f>
        <v>4.5548664879191598</v>
      </c>
    </row>
    <row r="87" spans="1:10">
      <c r="A87" s="1">
        <f t="shared" si="7"/>
        <v>32735</v>
      </c>
      <c r="B87">
        <f t="shared" si="5"/>
        <v>411.95620945142326</v>
      </c>
      <c r="C87">
        <f>day_length(F87,$B$1,Fitting!$B$4)</f>
        <v>11.743675231933594</v>
      </c>
      <c r="D87" s="1">
        <f t="shared" si="6"/>
        <v>32735</v>
      </c>
      <c r="E87">
        <f t="shared" si="8"/>
        <v>1989</v>
      </c>
      <c r="F87" s="6">
        <f t="shared" si="9"/>
        <v>227</v>
      </c>
      <c r="G87">
        <v>18.100000000000001</v>
      </c>
      <c r="H87">
        <v>2.7</v>
      </c>
      <c r="I87">
        <f>MAX(0,1-Fitting!$B$7*(Fitting!$B$6-Herm8889!C87)^2)</f>
        <v>0.45274639771096548</v>
      </c>
      <c r="J87">
        <f>tt(G87,H87,Fitting!$B$1:$E$1,Fitting!$B$2:$E$2)*I87</f>
        <v>4.7085627952576079</v>
      </c>
    </row>
    <row r="88" spans="1:10">
      <c r="A88" s="1">
        <f t="shared" si="7"/>
        <v>32736</v>
      </c>
      <c r="B88">
        <f t="shared" si="5"/>
        <v>416.5245436518307</v>
      </c>
      <c r="C88">
        <f>day_length(F88,$B$1,Fitting!$B$4)</f>
        <v>11.771044731140137</v>
      </c>
      <c r="D88" s="1">
        <f t="shared" si="6"/>
        <v>32736</v>
      </c>
      <c r="E88">
        <f t="shared" si="8"/>
        <v>1989</v>
      </c>
      <c r="F88" s="6">
        <f t="shared" si="9"/>
        <v>228</v>
      </c>
      <c r="G88">
        <v>17.5</v>
      </c>
      <c r="H88">
        <v>2.6</v>
      </c>
      <c r="I88">
        <f>MAX(0,1-Fitting!$B$7*(Fitting!$B$6-Herm8889!C88)^2)</f>
        <v>0.45456060832904222</v>
      </c>
      <c r="J88">
        <f>tt(G88,H88,Fitting!$B$1:$E$1,Fitting!$B$2:$E$2)*I88</f>
        <v>4.5683342004074294</v>
      </c>
    </row>
    <row r="89" spans="1:10">
      <c r="A89" s="1">
        <f t="shared" si="7"/>
        <v>32737</v>
      </c>
      <c r="B89">
        <f t="shared" si="5"/>
        <v>424.14673358039261</v>
      </c>
      <c r="C89">
        <f>day_length(F89,$B$1,Fitting!$B$4)</f>
        <v>11.798713684082031</v>
      </c>
      <c r="D89" s="1">
        <f t="shared" si="6"/>
        <v>32737</v>
      </c>
      <c r="E89">
        <f t="shared" si="8"/>
        <v>1989</v>
      </c>
      <c r="F89" s="6">
        <f t="shared" si="9"/>
        <v>229</v>
      </c>
      <c r="G89">
        <v>21.3</v>
      </c>
      <c r="H89">
        <v>12.1</v>
      </c>
      <c r="I89">
        <f>MAX(0,1-Fitting!$B$7*(Fitting!$B$6-Herm8889!C89)^2)</f>
        <v>0.45641853774504304</v>
      </c>
      <c r="J89">
        <f>tt(G89,H89,Fitting!$B$1:$E$1,Fitting!$B$2:$E$2)*I89</f>
        <v>7.6221899285619283</v>
      </c>
    </row>
    <row r="90" spans="1:10">
      <c r="A90" s="1">
        <f t="shared" si="7"/>
        <v>32738</v>
      </c>
      <c r="B90">
        <f t="shared" si="5"/>
        <v>431.27359994578882</v>
      </c>
      <c r="C90">
        <f>day_length(F90,$B$1,Fitting!$B$4)</f>
        <v>11.826672554016113</v>
      </c>
      <c r="D90" s="1">
        <f t="shared" si="6"/>
        <v>32738</v>
      </c>
      <c r="E90">
        <f t="shared" si="8"/>
        <v>1989</v>
      </c>
      <c r="F90" s="6">
        <f t="shared" si="9"/>
        <v>230</v>
      </c>
      <c r="G90">
        <v>19.3</v>
      </c>
      <c r="H90">
        <v>11.8</v>
      </c>
      <c r="I90">
        <f>MAX(0,1-Fitting!$B$7*(Fitting!$B$6-Herm8889!C90)^2)</f>
        <v>0.45831940289814699</v>
      </c>
      <c r="J90">
        <f>tt(G90,H90,Fitting!$B$1:$E$1,Fitting!$B$2:$E$2)*I90</f>
        <v>7.1268663653962312</v>
      </c>
    </row>
    <row r="91" spans="1:10">
      <c r="A91" s="1">
        <f t="shared" si="7"/>
        <v>32739</v>
      </c>
      <c r="B91">
        <f t="shared" si="5"/>
        <v>435.69211517198829</v>
      </c>
      <c r="C91">
        <f>day_length(F91,$B$1,Fitting!$B$4)</f>
        <v>11.854917526245117</v>
      </c>
      <c r="D91" s="1">
        <f t="shared" si="6"/>
        <v>32739</v>
      </c>
      <c r="E91">
        <f t="shared" si="8"/>
        <v>1989</v>
      </c>
      <c r="F91" s="6">
        <f t="shared" si="9"/>
        <v>231</v>
      </c>
      <c r="G91">
        <v>16.2</v>
      </c>
      <c r="H91">
        <v>3</v>
      </c>
      <c r="I91">
        <f>MAX(0,1-Fitting!$B$7*(Fitting!$B$6-Herm8889!C91)^2)</f>
        <v>0.46026198443994504</v>
      </c>
      <c r="J91">
        <f>tt(G91,H91,Fitting!$B$1:$E$1,Fitting!$B$2:$E$2)*I91</f>
        <v>4.418515226199486</v>
      </c>
    </row>
    <row r="92" spans="1:10">
      <c r="A92" s="1">
        <f t="shared" si="7"/>
        <v>32740</v>
      </c>
      <c r="B92">
        <f t="shared" si="5"/>
        <v>440.56880297481683</v>
      </c>
      <c r="C92">
        <f>day_length(F92,$B$1,Fitting!$B$4)</f>
        <v>11.883437156677246</v>
      </c>
      <c r="D92" s="1">
        <f t="shared" si="6"/>
        <v>32740</v>
      </c>
      <c r="E92">
        <f t="shared" si="8"/>
        <v>1989</v>
      </c>
      <c r="F92" s="6">
        <f t="shared" si="9"/>
        <v>232</v>
      </c>
      <c r="G92">
        <v>16.5</v>
      </c>
      <c r="H92">
        <v>4.5999999999999996</v>
      </c>
      <c r="I92">
        <f>MAX(0,1-Fitting!$B$7*(Fitting!$B$6-Herm8889!C92)^2)</f>
        <v>0.46224528101064244</v>
      </c>
      <c r="J92">
        <f>tt(G92,H92,Fitting!$B$1:$E$1,Fitting!$B$2:$E$2)*I92</f>
        <v>4.8766878028285685</v>
      </c>
    </row>
    <row r="93" spans="1:10">
      <c r="A93" s="1">
        <f t="shared" si="7"/>
        <v>32741</v>
      </c>
      <c r="B93">
        <f t="shared" si="5"/>
        <v>446.58107725893865</v>
      </c>
      <c r="C93">
        <f>day_length(F93,$B$1,Fitting!$B$4)</f>
        <v>11.912225723266602</v>
      </c>
      <c r="D93" s="1">
        <f t="shared" si="6"/>
        <v>32741</v>
      </c>
      <c r="E93">
        <f t="shared" si="8"/>
        <v>1989</v>
      </c>
      <c r="F93" s="6">
        <f t="shared" si="9"/>
        <v>233</v>
      </c>
      <c r="G93">
        <v>19.7</v>
      </c>
      <c r="H93">
        <v>6.2</v>
      </c>
      <c r="I93">
        <f>MAX(0,1-Fitting!$B$7*(Fitting!$B$6-Herm8889!C93)^2)</f>
        <v>0.46426829132617597</v>
      </c>
      <c r="J93">
        <f>tt(G93,H93,Fitting!$B$1:$E$1,Fitting!$B$2:$E$2)*I93</f>
        <v>6.0122742841218297</v>
      </c>
    </row>
    <row r="94" spans="1:10">
      <c r="A94" s="1">
        <f t="shared" si="7"/>
        <v>32742</v>
      </c>
      <c r="B94">
        <f t="shared" si="5"/>
        <v>451.05784513117999</v>
      </c>
      <c r="C94">
        <f>day_length(F94,$B$1,Fitting!$B$4)</f>
        <v>11.941276550292969</v>
      </c>
      <c r="D94" s="1">
        <f t="shared" si="6"/>
        <v>32742</v>
      </c>
      <c r="E94">
        <f t="shared" si="8"/>
        <v>1989</v>
      </c>
      <c r="F94" s="6">
        <f t="shared" si="9"/>
        <v>234</v>
      </c>
      <c r="G94">
        <v>16.100000000000001</v>
      </c>
      <c r="H94">
        <v>3.1</v>
      </c>
      <c r="I94">
        <f>MAX(0,1-Fitting!$B$7*(Fitting!$B$6-Herm8889!C94)^2)</f>
        <v>0.46633001448724276</v>
      </c>
      <c r="J94">
        <f>tt(G94,H94,Fitting!$B$1:$E$1,Fitting!$B$2:$E$2)*I94</f>
        <v>4.4767678722413562</v>
      </c>
    </row>
    <row r="95" spans="1:10">
      <c r="A95" s="1">
        <f t="shared" si="7"/>
        <v>32743</v>
      </c>
      <c r="B95">
        <f t="shared" si="5"/>
        <v>455.78898166978314</v>
      </c>
      <c r="C95">
        <f>day_length(F95,$B$1,Fitting!$B$4)</f>
        <v>11.9705810546875</v>
      </c>
      <c r="D95" s="1">
        <f t="shared" si="6"/>
        <v>32743</v>
      </c>
      <c r="E95">
        <f t="shared" si="8"/>
        <v>1989</v>
      </c>
      <c r="F95" s="6">
        <f t="shared" si="9"/>
        <v>235</v>
      </c>
      <c r="G95">
        <v>15.8</v>
      </c>
      <c r="H95">
        <v>4.4000000000000004</v>
      </c>
      <c r="I95">
        <f>MAX(0,1-Fitting!$B$7*(Fitting!$B$6-Herm8889!C95)^2)</f>
        <v>0.46842934256549962</v>
      </c>
      <c r="J95">
        <f>tt(G95,H95,Fitting!$B$1:$E$1,Fitting!$B$2:$E$2)*I95</f>
        <v>4.7311365386031596</v>
      </c>
    </row>
    <row r="96" spans="1:10">
      <c r="A96" s="1">
        <f t="shared" si="7"/>
        <v>32744</v>
      </c>
      <c r="B96">
        <f t="shared" si="5"/>
        <v>462.68276324689907</v>
      </c>
      <c r="C96">
        <f>day_length(F96,$B$1,Fitting!$B$4)</f>
        <v>12.000134468078613</v>
      </c>
      <c r="D96" s="1">
        <f t="shared" si="6"/>
        <v>32744</v>
      </c>
      <c r="E96">
        <f t="shared" si="8"/>
        <v>1989</v>
      </c>
      <c r="F96" s="6">
        <f t="shared" si="9"/>
        <v>236</v>
      </c>
      <c r="G96">
        <v>18.5</v>
      </c>
      <c r="H96">
        <v>10.8</v>
      </c>
      <c r="I96">
        <f>MAX(0,1-Fitting!$B$7*(Fitting!$B$6-Herm8889!C96)^2)</f>
        <v>0.47056527698678108</v>
      </c>
      <c r="J96">
        <f>tt(G96,H96,Fitting!$B$1:$E$1,Fitting!$B$2:$E$2)*I96</f>
        <v>6.8937815771159539</v>
      </c>
    </row>
    <row r="97" spans="1:10">
      <c r="A97" s="1">
        <f t="shared" si="7"/>
        <v>32745</v>
      </c>
      <c r="B97">
        <f t="shared" si="5"/>
        <v>467.43376838290123</v>
      </c>
      <c r="C97">
        <f>day_length(F97,$B$1,Fitting!$B$4)</f>
        <v>12.029927253723145</v>
      </c>
      <c r="D97" s="1">
        <f t="shared" si="6"/>
        <v>32745</v>
      </c>
      <c r="E97">
        <f t="shared" si="8"/>
        <v>1989</v>
      </c>
      <c r="F97" s="6">
        <f t="shared" si="9"/>
        <v>237</v>
      </c>
      <c r="G97">
        <v>16.7</v>
      </c>
      <c r="H97">
        <v>3.4</v>
      </c>
      <c r="I97">
        <f>MAX(0,1-Fitting!$B$7*(Fitting!$B$6-Herm8889!C97)^2)</f>
        <v>0.4727368204810718</v>
      </c>
      <c r="J97">
        <f>tt(G97,H97,Fitting!$B$1:$E$1,Fitting!$B$2:$E$2)*I97</f>
        <v>4.7510051360021643</v>
      </c>
    </row>
    <row r="98" spans="1:10">
      <c r="A98" s="1">
        <f t="shared" si="7"/>
        <v>32746</v>
      </c>
      <c r="B98">
        <f t="shared" si="5"/>
        <v>471.39954018434423</v>
      </c>
      <c r="C98">
        <f>day_length(F98,$B$1,Fitting!$B$4)</f>
        <v>12.059953689575195</v>
      </c>
      <c r="D98" s="1">
        <f t="shared" si="6"/>
        <v>32746</v>
      </c>
      <c r="E98">
        <f t="shared" si="8"/>
        <v>1989</v>
      </c>
      <c r="F98" s="6">
        <f t="shared" si="9"/>
        <v>238</v>
      </c>
      <c r="G98">
        <v>15.8</v>
      </c>
      <c r="H98">
        <v>0.9</v>
      </c>
      <c r="I98">
        <f>MAX(0,1-Fitting!$B$7*(Fitting!$B$6-Herm8889!C98)^2)</f>
        <v>0.47494276325837748</v>
      </c>
      <c r="J98">
        <f>tt(G98,H98,Fitting!$B$1:$E$1,Fitting!$B$2:$E$2)*I98</f>
        <v>3.9657718014430228</v>
      </c>
    </row>
    <row r="99" spans="1:10">
      <c r="A99" s="1">
        <f t="shared" si="7"/>
        <v>32747</v>
      </c>
      <c r="B99">
        <f t="shared" si="5"/>
        <v>477.55519292480091</v>
      </c>
      <c r="C99">
        <f>day_length(F99,$B$1,Fitting!$B$4)</f>
        <v>12.090207099914551</v>
      </c>
      <c r="D99" s="1">
        <f t="shared" si="6"/>
        <v>32747</v>
      </c>
      <c r="E99">
        <f t="shared" si="8"/>
        <v>1989</v>
      </c>
      <c r="F99" s="6">
        <f t="shared" si="9"/>
        <v>239</v>
      </c>
      <c r="G99">
        <v>17.2</v>
      </c>
      <c r="H99">
        <v>8.6</v>
      </c>
      <c r="I99">
        <f>MAX(0,1-Fitting!$B$7*(Fitting!$B$6-Herm8889!C99)^2)</f>
        <v>0.47718232653753689</v>
      </c>
      <c r="J99">
        <f>tt(G99,H99,Fitting!$B$1:$E$1,Fitting!$B$2:$E$2)*I99</f>
        <v>6.1556527404566728</v>
      </c>
    </row>
    <row r="100" spans="1:10">
      <c r="A100" s="1">
        <f t="shared" si="7"/>
        <v>32748</v>
      </c>
      <c r="B100">
        <f t="shared" si="5"/>
        <v>482.56548986852829</v>
      </c>
      <c r="C100">
        <f>day_length(F100,$B$1,Fitting!$B$4)</f>
        <v>12.120680809020996</v>
      </c>
      <c r="D100" s="1">
        <f t="shared" si="6"/>
        <v>32748</v>
      </c>
      <c r="E100">
        <f t="shared" si="8"/>
        <v>1989</v>
      </c>
      <c r="F100" s="6">
        <f t="shared" si="9"/>
        <v>240</v>
      </c>
      <c r="G100">
        <v>17.399999999999999</v>
      </c>
      <c r="H100">
        <v>3.5</v>
      </c>
      <c r="I100">
        <f>MAX(0,1-Fitting!$B$7*(Fitting!$B$6-Herm8889!C100)^2)</f>
        <v>0.47945430549466983</v>
      </c>
      <c r="J100">
        <f>tt(G100,H100,Fitting!$B$1:$E$1,Fitting!$B$2:$E$2)*I100</f>
        <v>5.0102969437273916</v>
      </c>
    </row>
    <row r="101" spans="1:10">
      <c r="A101" s="1">
        <f t="shared" si="7"/>
        <v>32749</v>
      </c>
      <c r="B101">
        <f t="shared" si="5"/>
        <v>488.6115501255257</v>
      </c>
      <c r="C101">
        <f>day_length(F101,$B$1,Fitting!$B$4)</f>
        <v>12.1513671875</v>
      </c>
      <c r="D101" s="1">
        <f t="shared" si="6"/>
        <v>32749</v>
      </c>
      <c r="E101">
        <f t="shared" si="8"/>
        <v>1989</v>
      </c>
      <c r="F101" s="6">
        <f t="shared" si="9"/>
        <v>241</v>
      </c>
      <c r="G101">
        <v>14.7</v>
      </c>
      <c r="H101">
        <v>10.4</v>
      </c>
      <c r="I101">
        <f>MAX(0,1-Fitting!$B$7*(Fitting!$B$6-Herm8889!C101)^2)</f>
        <v>0.48175781868919876</v>
      </c>
      <c r="J101">
        <f>tt(G101,H101,Fitting!$B$1:$E$1,Fitting!$B$2:$E$2)*I101</f>
        <v>6.0460602569973974</v>
      </c>
    </row>
    <row r="102" spans="1:10">
      <c r="A102" s="1">
        <f t="shared" si="7"/>
        <v>32750</v>
      </c>
      <c r="B102">
        <f t="shared" si="5"/>
        <v>493.88815027977557</v>
      </c>
      <c r="C102">
        <f>day_length(F102,$B$1,Fitting!$B$4)</f>
        <v>12.182260513305664</v>
      </c>
      <c r="D102" s="1">
        <f t="shared" si="6"/>
        <v>32750</v>
      </c>
      <c r="E102">
        <f t="shared" si="8"/>
        <v>1989</v>
      </c>
      <c r="F102" s="6">
        <f t="shared" si="9"/>
        <v>242</v>
      </c>
      <c r="G102">
        <v>16.8</v>
      </c>
      <c r="H102">
        <v>5</v>
      </c>
      <c r="I102">
        <f>MAX(0,1-Fitting!$B$7*(Fitting!$B$6-Herm8889!C102)^2)</f>
        <v>0.48409177421249661</v>
      </c>
      <c r="J102">
        <f>tt(G102,H102,Fitting!$B$1:$E$1,Fitting!$B$2:$E$2)*I102</f>
        <v>5.2766001542498566</v>
      </c>
    </row>
    <row r="103" spans="1:10">
      <c r="A103" s="1">
        <f t="shared" si="7"/>
        <v>32751</v>
      </c>
      <c r="B103">
        <f t="shared" si="5"/>
        <v>498.87431551305065</v>
      </c>
      <c r="C103">
        <f>day_length(F103,$B$1,Fitting!$B$4)</f>
        <v>12.213354110717773</v>
      </c>
      <c r="D103" s="1">
        <f t="shared" si="6"/>
        <v>32751</v>
      </c>
      <c r="E103">
        <f t="shared" si="8"/>
        <v>1989</v>
      </c>
      <c r="F103" s="6">
        <f t="shared" si="9"/>
        <v>243</v>
      </c>
      <c r="G103">
        <v>16.2</v>
      </c>
      <c r="H103">
        <v>4.3</v>
      </c>
      <c r="I103">
        <f>MAX(0,1-Fitting!$B$7*(Fitting!$B$6-Herm8889!C103)^2)</f>
        <v>0.48645518997023462</v>
      </c>
      <c r="J103">
        <f>tt(G103,H103,Fitting!$B$1:$E$1,Fitting!$B$2:$E$2)*I103</f>
        <v>4.9861652332750843</v>
      </c>
    </row>
    <row r="104" spans="1:10">
      <c r="A104" s="1">
        <f t="shared" si="7"/>
        <v>32752</v>
      </c>
      <c r="B104">
        <f t="shared" si="5"/>
        <v>504.56938143024212</v>
      </c>
      <c r="C104">
        <f>day_length(F104,$B$1,Fitting!$B$4)</f>
        <v>12.24464225769043</v>
      </c>
      <c r="D104" s="1">
        <f t="shared" si="6"/>
        <v>32752</v>
      </c>
      <c r="E104">
        <f t="shared" si="8"/>
        <v>1989</v>
      </c>
      <c r="F104" s="6">
        <f t="shared" si="9"/>
        <v>244</v>
      </c>
      <c r="G104">
        <v>17.7</v>
      </c>
      <c r="H104">
        <v>5.6</v>
      </c>
      <c r="I104">
        <f>MAX(0,1-Fitting!$B$7*(Fitting!$B$6-Herm8889!C104)^2)</f>
        <v>0.48884687585165376</v>
      </c>
      <c r="J104">
        <f>tt(G104,H104,Fitting!$B$1:$E$1,Fitting!$B$2:$E$2)*I104</f>
        <v>5.6950659171914824</v>
      </c>
    </row>
    <row r="105" spans="1:10">
      <c r="A105" s="1">
        <f t="shared" si="7"/>
        <v>32753</v>
      </c>
      <c r="B105">
        <f t="shared" si="5"/>
        <v>511.56992441156461</v>
      </c>
      <c r="C105">
        <f>day_length(F105,$B$1,Fitting!$B$4)</f>
        <v>12.276117324829102</v>
      </c>
      <c r="D105" s="1">
        <f t="shared" si="6"/>
        <v>32753</v>
      </c>
      <c r="E105">
        <f t="shared" si="8"/>
        <v>1989</v>
      </c>
      <c r="F105" s="6">
        <f t="shared" si="9"/>
        <v>245</v>
      </c>
      <c r="G105">
        <v>20</v>
      </c>
      <c r="H105">
        <v>8.5</v>
      </c>
      <c r="I105">
        <f>MAX(0,1-Fitting!$B$7*(Fitting!$B$6-Herm8889!C105)^2)</f>
        <v>0.49126617412789531</v>
      </c>
      <c r="J105">
        <f>tt(G105,H105,Fitting!$B$1:$E$1,Fitting!$B$2:$E$2)*I105</f>
        <v>7.000542981322508</v>
      </c>
    </row>
    <row r="106" spans="1:10">
      <c r="A106" s="1">
        <f t="shared" si="7"/>
        <v>32754</v>
      </c>
      <c r="B106">
        <f t="shared" si="5"/>
        <v>517.86474888227315</v>
      </c>
      <c r="C106">
        <f>day_length(F106,$B$1,Fitting!$B$4)</f>
        <v>12.307774543762207</v>
      </c>
      <c r="D106" s="1">
        <f t="shared" si="6"/>
        <v>32754</v>
      </c>
      <c r="E106">
        <f t="shared" si="8"/>
        <v>1989</v>
      </c>
      <c r="F106" s="6">
        <f t="shared" si="9"/>
        <v>246</v>
      </c>
      <c r="G106">
        <v>19.899999999999999</v>
      </c>
      <c r="H106">
        <v>5.6</v>
      </c>
      <c r="I106">
        <f>MAX(0,1-Fitting!$B$7*(Fitting!$B$6-Herm8889!C106)^2)</f>
        <v>0.49371179705012214</v>
      </c>
      <c r="J106">
        <f>tt(G106,H106,Fitting!$B$1:$E$1,Fitting!$B$2:$E$2)*I106</f>
        <v>6.2948244707085363</v>
      </c>
    </row>
    <row r="107" spans="1:10">
      <c r="A107" s="1">
        <f t="shared" si="7"/>
        <v>32755</v>
      </c>
      <c r="B107">
        <f t="shared" si="5"/>
        <v>524.83611948847306</v>
      </c>
      <c r="C107">
        <f>day_length(F107,$B$1,Fitting!$B$4)</f>
        <v>12.339606285095215</v>
      </c>
      <c r="D107" s="1">
        <f t="shared" si="6"/>
        <v>32755</v>
      </c>
      <c r="E107">
        <f t="shared" si="8"/>
        <v>1989</v>
      </c>
      <c r="F107" s="6">
        <f t="shared" si="9"/>
        <v>247</v>
      </c>
      <c r="G107">
        <v>22.5</v>
      </c>
      <c r="H107">
        <v>5.6</v>
      </c>
      <c r="I107">
        <f>MAX(0,1-Fitting!$B$7*(Fitting!$B$6-Herm8889!C107)^2)</f>
        <v>0.49618298823896656</v>
      </c>
      <c r="J107">
        <f>tt(G107,H107,Fitting!$B$1:$E$1,Fitting!$B$2:$E$2)*I107</f>
        <v>6.9713706061999021</v>
      </c>
    </row>
    <row r="108" spans="1:10">
      <c r="A108" s="1">
        <f t="shared" si="7"/>
        <v>32756</v>
      </c>
      <c r="B108">
        <f t="shared" si="5"/>
        <v>533.11418828270826</v>
      </c>
      <c r="C108">
        <f>day_length(F108,$B$1,Fitting!$B$4)</f>
        <v>12.371607780456543</v>
      </c>
      <c r="D108" s="1">
        <f t="shared" si="6"/>
        <v>32756</v>
      </c>
      <c r="E108">
        <f t="shared" si="8"/>
        <v>1989</v>
      </c>
      <c r="F108" s="6">
        <f t="shared" si="9"/>
        <v>248</v>
      </c>
      <c r="G108">
        <v>23.9</v>
      </c>
      <c r="H108">
        <v>9.3000000000000007</v>
      </c>
      <c r="I108">
        <f>MAX(0,1-Fitting!$B$7*(Fitting!$B$6-Herm8889!C108)^2)</f>
        <v>0.49867888886498435</v>
      </c>
      <c r="J108">
        <f>tt(G108,H108,Fitting!$B$1:$E$1,Fitting!$B$2:$E$2)*I108</f>
        <v>8.2780687942351427</v>
      </c>
    </row>
    <row r="109" spans="1:10">
      <c r="A109" s="1">
        <f t="shared" si="7"/>
        <v>32757</v>
      </c>
      <c r="B109">
        <f t="shared" si="5"/>
        <v>540.43168209688713</v>
      </c>
      <c r="C109">
        <f>day_length(F109,$B$1,Fitting!$B$4)</f>
        <v>12.403773307800293</v>
      </c>
      <c r="D109" s="1">
        <f t="shared" si="6"/>
        <v>32757</v>
      </c>
      <c r="E109">
        <f t="shared" si="8"/>
        <v>1989</v>
      </c>
      <c r="F109" s="6">
        <f t="shared" si="9"/>
        <v>249</v>
      </c>
      <c r="G109">
        <v>22</v>
      </c>
      <c r="H109">
        <v>7.2</v>
      </c>
      <c r="I109">
        <f>MAX(0,1-Fitting!$B$7*(Fitting!$B$6-Herm8889!C109)^2)</f>
        <v>0.50119822609361475</v>
      </c>
      <c r="J109">
        <f>tt(G109,H109,Fitting!$B$1:$E$1,Fitting!$B$2:$E$2)*I109</f>
        <v>7.3174938141788504</v>
      </c>
    </row>
    <row r="110" spans="1:10">
      <c r="A110" s="1">
        <f t="shared" si="7"/>
        <v>32758</v>
      </c>
      <c r="B110">
        <f t="shared" si="5"/>
        <v>546.30025345400657</v>
      </c>
      <c r="C110">
        <f>day_length(F110,$B$1,Fitting!$B$4)</f>
        <v>12.436094284057617</v>
      </c>
      <c r="D110" s="1">
        <f t="shared" si="6"/>
        <v>32758</v>
      </c>
      <c r="E110">
        <f t="shared" si="8"/>
        <v>1989</v>
      </c>
      <c r="F110" s="6">
        <f t="shared" si="9"/>
        <v>250</v>
      </c>
      <c r="G110">
        <v>15.9</v>
      </c>
      <c r="H110">
        <v>7.4</v>
      </c>
      <c r="I110">
        <f>MAX(0,1-Fitting!$B$7*(Fitting!$B$6-Herm8889!C110)^2)</f>
        <v>0.50374004714858156</v>
      </c>
      <c r="J110">
        <f>tt(G110,H110,Fitting!$B$1:$E$1,Fitting!$B$2:$E$2)*I110</f>
        <v>5.8685713571193974</v>
      </c>
    </row>
    <row r="111" spans="1:10">
      <c r="A111" s="1">
        <f t="shared" si="7"/>
        <v>32759</v>
      </c>
      <c r="B111">
        <f t="shared" si="5"/>
        <v>553.51508288029697</v>
      </c>
      <c r="C111">
        <f>day_length(F111,$B$1,Fitting!$B$4)</f>
        <v>12.46856689453125</v>
      </c>
      <c r="D111" s="1">
        <f t="shared" si="6"/>
        <v>32759</v>
      </c>
      <c r="E111">
        <f t="shared" si="8"/>
        <v>1989</v>
      </c>
      <c r="F111" s="6">
        <f t="shared" si="9"/>
        <v>251</v>
      </c>
      <c r="G111">
        <v>16.2</v>
      </c>
      <c r="H111">
        <v>12.3</v>
      </c>
      <c r="I111">
        <f>MAX(0,1-Fitting!$B$7*(Fitting!$B$6-Herm8889!C111)^2)</f>
        <v>0.50630381938880054</v>
      </c>
      <c r="J111">
        <f>tt(G111,H111,Fitting!$B$1:$E$1,Fitting!$B$2:$E$2)*I111</f>
        <v>7.2148294262904074</v>
      </c>
    </row>
    <row r="112" spans="1:10">
      <c r="A112" s="1">
        <f t="shared" si="7"/>
        <v>32760</v>
      </c>
      <c r="B112">
        <f t="shared" si="5"/>
        <v>560.13063108579638</v>
      </c>
      <c r="C112">
        <f>day_length(F112,$B$1,Fitting!$B$4)</f>
        <v>12.501185417175293</v>
      </c>
      <c r="D112" s="1">
        <f t="shared" si="6"/>
        <v>32760</v>
      </c>
      <c r="E112">
        <f t="shared" si="8"/>
        <v>1989</v>
      </c>
      <c r="F112" s="6">
        <f t="shared" si="9"/>
        <v>252</v>
      </c>
      <c r="G112">
        <v>18.8</v>
      </c>
      <c r="H112">
        <v>7.2</v>
      </c>
      <c r="I112">
        <f>MAX(0,1-Fitting!$B$7*(Fitting!$B$6-Herm8889!C112)^2)</f>
        <v>0.50888828616813409</v>
      </c>
      <c r="J112">
        <f>tt(G112,H112,Fitting!$B$1:$E$1,Fitting!$B$2:$E$2)*I112</f>
        <v>6.6155482054994312</v>
      </c>
    </row>
    <row r="113" spans="1:10">
      <c r="A113" s="1">
        <f t="shared" si="7"/>
        <v>32761</v>
      </c>
      <c r="B113">
        <f t="shared" si="5"/>
        <v>566.60101423199967</v>
      </c>
      <c r="C113">
        <f>day_length(F113,$B$1,Fitting!$B$4)</f>
        <v>12.533942222595215</v>
      </c>
      <c r="D113" s="1">
        <f t="shared" si="6"/>
        <v>32761</v>
      </c>
      <c r="E113">
        <f t="shared" si="8"/>
        <v>1989</v>
      </c>
      <c r="F113" s="6">
        <f t="shared" si="9"/>
        <v>253</v>
      </c>
      <c r="G113">
        <v>19.100000000000001</v>
      </c>
      <c r="H113">
        <v>6.2</v>
      </c>
      <c r="I113">
        <f>MAX(0,1-Fitting!$B$7*(Fitting!$B$6-Herm8889!C113)^2)</f>
        <v>0.51149271569366106</v>
      </c>
      <c r="J113">
        <f>tt(G113,H113,Fitting!$B$1:$E$1,Fitting!$B$2:$E$2)*I113</f>
        <v>6.4703831462032921</v>
      </c>
    </row>
    <row r="114" spans="1:10">
      <c r="A114" s="1">
        <f t="shared" si="7"/>
        <v>32762</v>
      </c>
      <c r="B114">
        <f t="shared" si="5"/>
        <v>572.43623133790481</v>
      </c>
      <c r="C114">
        <f>day_length(F114,$B$1,Fitting!$B$4)</f>
        <v>12.566834449768066</v>
      </c>
      <c r="D114" s="1">
        <f t="shared" si="6"/>
        <v>32762</v>
      </c>
      <c r="E114">
        <f t="shared" si="8"/>
        <v>1989</v>
      </c>
      <c r="F114" s="6">
        <f t="shared" si="9"/>
        <v>254</v>
      </c>
      <c r="G114">
        <v>20.100000000000001</v>
      </c>
      <c r="H114">
        <v>2.6</v>
      </c>
      <c r="I114">
        <f>MAX(0,1-Fitting!$B$7*(Fitting!$B$6-Herm8889!C114)^2)</f>
        <v>0.51411607049204211</v>
      </c>
      <c r="J114">
        <f>tt(G114,H114,Fitting!$B$1:$E$1,Fitting!$B$2:$E$2)*I114</f>
        <v>5.8352171059051026</v>
      </c>
    </row>
    <row r="115" spans="1:10">
      <c r="A115" s="1">
        <f t="shared" si="7"/>
        <v>32763</v>
      </c>
      <c r="B115">
        <f t="shared" si="5"/>
        <v>578.84402572772649</v>
      </c>
      <c r="C115">
        <f>day_length(F115,$B$1,Fitting!$B$4)</f>
        <v>12.599853515625</v>
      </c>
      <c r="D115" s="1">
        <f t="shared" si="6"/>
        <v>32763</v>
      </c>
      <c r="E115">
        <f t="shared" si="8"/>
        <v>1989</v>
      </c>
      <c r="F115" s="6">
        <f t="shared" si="9"/>
        <v>255</v>
      </c>
      <c r="G115">
        <v>21.7</v>
      </c>
      <c r="H115">
        <v>3.1</v>
      </c>
      <c r="I115">
        <f>MAX(0,1-Fitting!$B$7*(Fitting!$B$6-Herm8889!C115)^2)</f>
        <v>0.51675762797976499</v>
      </c>
      <c r="J115">
        <f>tt(G115,H115,Fitting!$B$1:$E$1,Fitting!$B$2:$E$2)*I115</f>
        <v>6.4077943898216949</v>
      </c>
    </row>
    <row r="116" spans="1:10">
      <c r="A116" s="1">
        <f t="shared" si="7"/>
        <v>32764</v>
      </c>
      <c r="B116">
        <f t="shared" si="5"/>
        <v>585.83017619166549</v>
      </c>
      <c r="C116">
        <f>day_length(F116,$B$1,Fitting!$B$4)</f>
        <v>12.632993698120117</v>
      </c>
      <c r="D116" s="1">
        <f t="shared" si="6"/>
        <v>32764</v>
      </c>
      <c r="E116">
        <f t="shared" si="8"/>
        <v>1989</v>
      </c>
      <c r="F116" s="6">
        <f t="shared" si="9"/>
        <v>256</v>
      </c>
      <c r="G116">
        <v>22</v>
      </c>
      <c r="H116">
        <v>4.9000000000000004</v>
      </c>
      <c r="I116">
        <f>MAX(0,1-Fitting!$B$7*(Fitting!$B$6-Herm8889!C116)^2)</f>
        <v>0.51941636190749163</v>
      </c>
      <c r="J116">
        <f>tt(G116,H116,Fitting!$B$1:$E$1,Fitting!$B$2:$E$2)*I116</f>
        <v>6.9861504639389977</v>
      </c>
    </row>
    <row r="117" spans="1:10">
      <c r="A117" s="1">
        <f t="shared" si="7"/>
        <v>32765</v>
      </c>
      <c r="B117">
        <f t="shared" si="5"/>
        <v>593.16556413849412</v>
      </c>
      <c r="C117">
        <f>day_length(F117,$B$1,Fitting!$B$4)</f>
        <v>12.666251182556152</v>
      </c>
      <c r="D117" s="1">
        <f t="shared" si="6"/>
        <v>32765</v>
      </c>
      <c r="E117">
        <f t="shared" si="8"/>
        <v>1989</v>
      </c>
      <c r="F117" s="6">
        <f t="shared" si="9"/>
        <v>257</v>
      </c>
      <c r="G117">
        <v>23.5</v>
      </c>
      <c r="H117">
        <v>4.5999999999999996</v>
      </c>
      <c r="I117">
        <f>MAX(0,1-Fitting!$B$7*(Fitting!$B$6-Herm8889!C117)^2)</f>
        <v>0.52209166172580446</v>
      </c>
      <c r="J117">
        <f>tt(G117,H117,Fitting!$B$1:$E$1,Fitting!$B$2:$E$2)*I117</f>
        <v>7.335387946828634</v>
      </c>
    </row>
    <row r="118" spans="1:10">
      <c r="A118" s="1">
        <f t="shared" si="7"/>
        <v>32766</v>
      </c>
      <c r="B118">
        <f t="shared" si="5"/>
        <v>600.80114780944064</v>
      </c>
      <c r="C118">
        <f>day_length(F118,$B$1,Fitting!$B$4)</f>
        <v>12.699619293212891</v>
      </c>
      <c r="D118" s="1">
        <f t="shared" si="6"/>
        <v>32766</v>
      </c>
      <c r="E118">
        <f t="shared" si="8"/>
        <v>1989</v>
      </c>
      <c r="F118" s="6">
        <f t="shared" si="9"/>
        <v>258</v>
      </c>
      <c r="G118">
        <v>23.9</v>
      </c>
      <c r="H118">
        <v>5.2</v>
      </c>
      <c r="I118">
        <f>MAX(0,1-Fitting!$B$7*(Fitting!$B$6-Herm8889!C118)^2)</f>
        <v>0.52478241040025742</v>
      </c>
      <c r="J118">
        <f>tt(G118,H118,Fitting!$B$1:$E$1,Fitting!$B$2:$E$2)*I118</f>
        <v>7.6355836709465406</v>
      </c>
    </row>
    <row r="119" spans="1:10">
      <c r="A119" s="1">
        <f t="shared" si="7"/>
        <v>32767</v>
      </c>
      <c r="B119">
        <f t="shared" si="5"/>
        <v>605.68041093799388</v>
      </c>
      <c r="C119">
        <f>day_length(F119,$B$1,Fitting!$B$4)</f>
        <v>12.733092308044434</v>
      </c>
      <c r="D119" s="1">
        <f t="shared" si="6"/>
        <v>32767</v>
      </c>
      <c r="E119">
        <f t="shared" si="8"/>
        <v>1989</v>
      </c>
      <c r="F119" s="6">
        <f t="shared" si="9"/>
        <v>259</v>
      </c>
      <c r="G119">
        <v>16.7</v>
      </c>
      <c r="H119">
        <v>1.8</v>
      </c>
      <c r="I119">
        <f>MAX(0,1-Fitting!$B$7*(Fitting!$B$6-Herm8889!C119)^2)</f>
        <v>0.52748790578954496</v>
      </c>
      <c r="J119">
        <f>tt(G119,H119,Fitting!$B$1:$E$1,Fitting!$B$2:$E$2)*I119</f>
        <v>4.8792631285532906</v>
      </c>
    </row>
    <row r="120" spans="1:10">
      <c r="A120" s="1">
        <f t="shared" si="7"/>
        <v>32768</v>
      </c>
      <c r="B120">
        <f t="shared" si="5"/>
        <v>610.71738075050291</v>
      </c>
      <c r="C120">
        <f>day_length(F120,$B$1,Fitting!$B$4)</f>
        <v>12.766664505004883</v>
      </c>
      <c r="D120" s="1">
        <f t="shared" si="6"/>
        <v>32768</v>
      </c>
      <c r="E120">
        <f t="shared" si="8"/>
        <v>1989</v>
      </c>
      <c r="F120" s="6">
        <f t="shared" si="9"/>
        <v>260</v>
      </c>
      <c r="G120">
        <v>17</v>
      </c>
      <c r="H120">
        <v>2</v>
      </c>
      <c r="I120">
        <f>MAX(0,1-Fitting!$B$7*(Fitting!$B$6-Herm8889!C120)^2)</f>
        <v>0.53020734868515862</v>
      </c>
      <c r="J120">
        <f>tt(G120,H120,Fitting!$B$1:$E$1,Fitting!$B$2:$E$2)*I120</f>
        <v>5.0369698125090068</v>
      </c>
    </row>
    <row r="121" spans="1:10">
      <c r="A121" s="1">
        <f t="shared" si="7"/>
        <v>32769</v>
      </c>
      <c r="B121">
        <f t="shared" si="5"/>
        <v>618.84471491746797</v>
      </c>
      <c r="C121">
        <f>day_length(F121,$B$1,Fitting!$B$4)</f>
        <v>12.800329208374023</v>
      </c>
      <c r="D121" s="1">
        <f t="shared" si="6"/>
        <v>32769</v>
      </c>
      <c r="E121">
        <f t="shared" si="8"/>
        <v>1989</v>
      </c>
      <c r="F121" s="6">
        <f t="shared" si="9"/>
        <v>261</v>
      </c>
      <c r="G121">
        <v>22.8</v>
      </c>
      <c r="H121">
        <v>7.7</v>
      </c>
      <c r="I121">
        <f>MAX(0,1-Fitting!$B$7*(Fitting!$B$6-Herm8889!C121)^2)</f>
        <v>0.53293994537476097</v>
      </c>
      <c r="J121">
        <f>tt(G121,H121,Fitting!$B$1:$E$1,Fitting!$B$2:$E$2)*I121</f>
        <v>8.1273341669651042</v>
      </c>
    </row>
    <row r="122" spans="1:10">
      <c r="A122" s="1">
        <f t="shared" si="7"/>
        <v>32770</v>
      </c>
      <c r="B122">
        <f t="shared" si="5"/>
        <v>626.69249764811502</v>
      </c>
      <c r="C122">
        <f>day_length(F122,$B$1,Fitting!$B$4)</f>
        <v>12.834081649780273</v>
      </c>
      <c r="D122" s="1">
        <f t="shared" si="6"/>
        <v>32770</v>
      </c>
      <c r="E122">
        <f t="shared" si="8"/>
        <v>1989</v>
      </c>
      <c r="F122" s="6">
        <f t="shared" si="9"/>
        <v>262</v>
      </c>
      <c r="G122">
        <v>18.5</v>
      </c>
      <c r="H122">
        <v>10.8</v>
      </c>
      <c r="I122">
        <f>MAX(0,1-Fitting!$B$7*(Fitting!$B$6-Herm8889!C122)^2)</f>
        <v>0.53568480710756017</v>
      </c>
      <c r="J122">
        <f>tt(G122,H122,Fitting!$B$1:$E$1,Fitting!$B$2:$E$2)*I122</f>
        <v>7.8477827306470616</v>
      </c>
    </row>
    <row r="123" spans="1:10">
      <c r="A123" s="1">
        <f t="shared" si="7"/>
        <v>32771</v>
      </c>
      <c r="B123">
        <f t="shared" si="5"/>
        <v>634.66142926495831</v>
      </c>
      <c r="C123">
        <f>day_length(F123,$B$1,Fitting!$B$4)</f>
        <v>12.867917060852051</v>
      </c>
      <c r="D123" s="1">
        <f t="shared" si="6"/>
        <v>32771</v>
      </c>
      <c r="E123">
        <f t="shared" si="8"/>
        <v>1989</v>
      </c>
      <c r="F123" s="6">
        <f t="shared" si="9"/>
        <v>263</v>
      </c>
      <c r="G123">
        <v>18.8</v>
      </c>
      <c r="H123">
        <v>10.8</v>
      </c>
      <c r="I123">
        <f>MAX(0,1-Fitting!$B$7*(Fitting!$B$6-Herm8889!C123)^2)</f>
        <v>0.53844135321901732</v>
      </c>
      <c r="J123">
        <f>tt(G123,H123,Fitting!$B$1:$E$1,Fitting!$B$2:$E$2)*I123</f>
        <v>7.9689316168433049</v>
      </c>
    </row>
    <row r="124" spans="1:10">
      <c r="A124" s="1">
        <f t="shared" si="7"/>
        <v>32772</v>
      </c>
      <c r="B124">
        <f t="shared" si="5"/>
        <v>641.83244462381242</v>
      </c>
      <c r="C124">
        <f>day_length(F124,$B$1,Fitting!$B$4)</f>
        <v>12.901827812194824</v>
      </c>
      <c r="D124" s="1">
        <f t="shared" si="6"/>
        <v>32772</v>
      </c>
      <c r="E124">
        <f t="shared" si="8"/>
        <v>1989</v>
      </c>
      <c r="F124" s="6">
        <f t="shared" si="9"/>
        <v>264</v>
      </c>
      <c r="G124">
        <v>16</v>
      </c>
      <c r="H124">
        <v>10.5</v>
      </c>
      <c r="I124">
        <f>MAX(0,1-Fitting!$B$7*(Fitting!$B$6-Herm8889!C124)^2)</f>
        <v>0.54120870632861084</v>
      </c>
      <c r="J124">
        <f>tt(G124,H124,Fitting!$B$1:$E$1,Fitting!$B$2:$E$2)*I124</f>
        <v>7.1710153588540937</v>
      </c>
    </row>
    <row r="125" spans="1:10">
      <c r="A125" s="1">
        <f t="shared" si="7"/>
        <v>32773</v>
      </c>
      <c r="B125">
        <f t="shared" si="5"/>
        <v>649.82903918418958</v>
      </c>
      <c r="C125">
        <f>day_length(F125,$B$1,Fitting!$B$4)</f>
        <v>12.935808181762695</v>
      </c>
      <c r="D125" s="1">
        <f t="shared" si="6"/>
        <v>32773</v>
      </c>
      <c r="E125">
        <f t="shared" si="8"/>
        <v>1989</v>
      </c>
      <c r="F125" s="6">
        <f t="shared" si="9"/>
        <v>265</v>
      </c>
      <c r="G125">
        <v>19.7</v>
      </c>
      <c r="H125">
        <v>9.6999999999999993</v>
      </c>
      <c r="I125">
        <f>MAX(0,1-Fitting!$B$7*(Fitting!$B$6-Herm8889!C125)^2)</f>
        <v>0.54398599628223021</v>
      </c>
      <c r="J125">
        <f>tt(G125,H125,Fitting!$B$1:$E$1,Fitting!$B$2:$E$2)*I125</f>
        <v>7.9965945603771624</v>
      </c>
    </row>
    <row r="126" spans="1:10">
      <c r="A126" s="1">
        <f t="shared" si="7"/>
        <v>32774</v>
      </c>
      <c r="B126">
        <f t="shared" si="5"/>
        <v>658.13998349191638</v>
      </c>
      <c r="C126">
        <f>day_length(F126,$B$1,Fitting!$B$4)</f>
        <v>12.969852447509766</v>
      </c>
      <c r="D126" s="1">
        <f t="shared" si="6"/>
        <v>32774</v>
      </c>
      <c r="E126">
        <f t="shared" si="8"/>
        <v>1989</v>
      </c>
      <c r="F126" s="6">
        <f t="shared" si="9"/>
        <v>266</v>
      </c>
      <c r="G126">
        <v>20.399999999999999</v>
      </c>
      <c r="H126">
        <v>10</v>
      </c>
      <c r="I126">
        <f>MAX(0,1-Fitting!$B$7*(Fitting!$B$6-Herm8889!C126)^2)</f>
        <v>0.54677265868522218</v>
      </c>
      <c r="J126">
        <f>tt(G126,H126,Fitting!$B$1:$E$1,Fitting!$B$2:$E$2)*I126</f>
        <v>8.3109443077267695</v>
      </c>
    </row>
    <row r="127" spans="1:10">
      <c r="A127" s="1">
        <f t="shared" si="7"/>
        <v>32775</v>
      </c>
      <c r="B127">
        <f t="shared" si="5"/>
        <v>664.35010125828717</v>
      </c>
      <c r="C127">
        <f>day_length(F127,$B$1,Fitting!$B$4)</f>
        <v>13.003955841064453</v>
      </c>
      <c r="D127" s="1">
        <f t="shared" si="6"/>
        <v>32775</v>
      </c>
      <c r="E127">
        <f t="shared" si="8"/>
        <v>1989</v>
      </c>
      <c r="F127" s="6">
        <f t="shared" si="9"/>
        <v>267</v>
      </c>
      <c r="G127">
        <v>18.2</v>
      </c>
      <c r="H127">
        <v>4.4000000000000004</v>
      </c>
      <c r="I127">
        <f>MAX(0,1-Fitting!$B$7*(Fitting!$B$6-Herm8889!C127)^2)</f>
        <v>0.54956793465035481</v>
      </c>
      <c r="J127">
        <f>tt(G127,H127,Fitting!$B$1:$E$1,Fitting!$B$2:$E$2)*I127</f>
        <v>6.2101177663707743</v>
      </c>
    </row>
    <row r="128" spans="1:10">
      <c r="A128" s="1">
        <f t="shared" si="7"/>
        <v>32776</v>
      </c>
      <c r="B128">
        <f t="shared" si="5"/>
        <v>669.45953314436088</v>
      </c>
      <c r="C128">
        <f>day_length(F128,$B$1,Fitting!$B$4)</f>
        <v>13.038111686706543</v>
      </c>
      <c r="D128" s="1">
        <f t="shared" si="6"/>
        <v>32776</v>
      </c>
      <c r="E128">
        <f t="shared" si="8"/>
        <v>1989</v>
      </c>
      <c r="F128" s="6">
        <f t="shared" si="9"/>
        <v>268</v>
      </c>
      <c r="G128">
        <v>18.3</v>
      </c>
      <c r="H128">
        <v>0.2</v>
      </c>
      <c r="I128">
        <f>MAX(0,1-Fitting!$B$7*(Fitting!$B$6-Herm8889!C128)^2)</f>
        <v>0.55237107166008537</v>
      </c>
      <c r="J128">
        <f>tt(G128,H128,Fitting!$B$1:$E$1,Fitting!$B$2:$E$2)*I128</f>
        <v>5.1094318860736854</v>
      </c>
    </row>
    <row r="129" spans="1:10">
      <c r="A129" s="1">
        <f t="shared" si="7"/>
        <v>32777</v>
      </c>
      <c r="B129">
        <f t="shared" si="5"/>
        <v>675.0391070729703</v>
      </c>
      <c r="C129">
        <f>day_length(F129,$B$1,Fitting!$B$4)</f>
        <v>13.072312355041504</v>
      </c>
      <c r="D129" s="1">
        <f t="shared" si="6"/>
        <v>32777</v>
      </c>
      <c r="E129">
        <f t="shared" si="8"/>
        <v>1989</v>
      </c>
      <c r="F129" s="6">
        <f t="shared" si="9"/>
        <v>269</v>
      </c>
      <c r="G129">
        <v>19.100000000000001</v>
      </c>
      <c r="H129">
        <v>1</v>
      </c>
      <c r="I129">
        <f>MAX(0,1-Fitting!$B$7*(Fitting!$B$6-Herm8889!C129)^2)</f>
        <v>0.5551814222143967</v>
      </c>
      <c r="J129">
        <f>tt(G129,H129,Fitting!$B$1:$E$1,Fitting!$B$2:$E$2)*I129</f>
        <v>5.5795739286094026</v>
      </c>
    </row>
    <row r="130" spans="1:10">
      <c r="A130" s="1">
        <f t="shared" si="7"/>
        <v>32778</v>
      </c>
      <c r="B130">
        <f t="shared" si="5"/>
        <v>683.35327979304463</v>
      </c>
      <c r="C130">
        <f>day_length(F130,$B$1,Fitting!$B$4)</f>
        <v>13.106554985046387</v>
      </c>
      <c r="D130" s="1">
        <f t="shared" si="6"/>
        <v>32778</v>
      </c>
      <c r="E130">
        <f t="shared" si="8"/>
        <v>1989</v>
      </c>
      <c r="F130" s="6">
        <f t="shared" si="9"/>
        <v>270</v>
      </c>
      <c r="G130">
        <v>25.6</v>
      </c>
      <c r="H130">
        <v>4.2</v>
      </c>
      <c r="I130">
        <f>MAX(0,1-Fitting!$B$7*(Fitting!$B$6-Herm8889!C130)^2)</f>
        <v>0.55799814770370726</v>
      </c>
      <c r="J130">
        <f>tt(G130,H130,Fitting!$B$1:$E$1,Fitting!$B$2:$E$2)*I130</f>
        <v>8.3141727200743389</v>
      </c>
    </row>
    <row r="131" spans="1:10">
      <c r="A131" s="1">
        <f t="shared" si="7"/>
        <v>32779</v>
      </c>
      <c r="B131">
        <f t="shared" si="5"/>
        <v>691.06456591812309</v>
      </c>
      <c r="C131">
        <f>day_length(F131,$B$1,Fitting!$B$4)</f>
        <v>13.140829086303711</v>
      </c>
      <c r="D131" s="1">
        <f t="shared" si="6"/>
        <v>32779</v>
      </c>
      <c r="E131">
        <f t="shared" si="8"/>
        <v>1989</v>
      </c>
      <c r="F131" s="6">
        <f t="shared" si="9"/>
        <v>271</v>
      </c>
      <c r="G131">
        <v>21.1</v>
      </c>
      <c r="H131">
        <v>6.4</v>
      </c>
      <c r="I131">
        <f>MAX(0,1-Fitting!$B$7*(Fitting!$B$6-Herm8889!C131)^2)</f>
        <v>0.56082080909661636</v>
      </c>
      <c r="J131">
        <f>tt(G131,H131,Fitting!$B$1:$E$1,Fitting!$B$2:$E$2)*I131</f>
        <v>7.711286125078475</v>
      </c>
    </row>
    <row r="132" spans="1:10">
      <c r="A132" s="1">
        <f t="shared" si="7"/>
        <v>32780</v>
      </c>
      <c r="B132">
        <f t="shared" si="5"/>
        <v>696.89832792591619</v>
      </c>
      <c r="C132">
        <f>day_length(F132,$B$1,Fitting!$B$4)</f>
        <v>13.17513370513916</v>
      </c>
      <c r="D132" s="1">
        <f t="shared" si="6"/>
        <v>32780</v>
      </c>
      <c r="E132">
        <f t="shared" si="8"/>
        <v>1989</v>
      </c>
      <c r="F132" s="6">
        <f t="shared" si="9"/>
        <v>272</v>
      </c>
      <c r="G132">
        <v>18.600000000000001</v>
      </c>
      <c r="H132">
        <v>2.1</v>
      </c>
      <c r="I132">
        <f>MAX(0,1-Fitting!$B$7*(Fitting!$B$6-Herm8889!C132)^2)</f>
        <v>0.56364848239403365</v>
      </c>
      <c r="J132">
        <f>tt(G132,H132,Fitting!$B$1:$E$1,Fitting!$B$2:$E$2)*I132</f>
        <v>5.833762007793081</v>
      </c>
    </row>
    <row r="133" spans="1:10">
      <c r="A133" s="1">
        <f t="shared" si="7"/>
        <v>32781</v>
      </c>
      <c r="B133">
        <f t="shared" ref="B133:B156" si="10">B132+J133</f>
        <v>703.24291154965601</v>
      </c>
      <c r="C133">
        <f>day_length(F133,$B$1,Fitting!$B$4)</f>
        <v>13.209457397460938</v>
      </c>
      <c r="D133" s="1">
        <f t="shared" ref="D133:D156" si="11">A133</f>
        <v>32781</v>
      </c>
      <c r="E133">
        <f t="shared" si="8"/>
        <v>1989</v>
      </c>
      <c r="F133" s="6">
        <f t="shared" si="9"/>
        <v>273</v>
      </c>
      <c r="G133">
        <v>17.8</v>
      </c>
      <c r="H133">
        <v>4.5999999999999996</v>
      </c>
      <c r="I133">
        <f>MAX(0,1-Fitting!$B$7*(Fitting!$B$6-Herm8889!C133)^2)</f>
        <v>0.56648064210262417</v>
      </c>
      <c r="J133">
        <f>tt(G133,H133,Fitting!$B$1:$E$1,Fitting!$B$2:$E$2)*I133</f>
        <v>6.3445836237398217</v>
      </c>
    </row>
    <row r="134" spans="1:10">
      <c r="A134" s="1">
        <f t="shared" ref="A134:A156" si="12">A133+1</f>
        <v>32782</v>
      </c>
      <c r="B134">
        <f t="shared" si="10"/>
        <v>709.47692737503928</v>
      </c>
      <c r="C134">
        <f>day_length(F134,$B$1,Fitting!$B$4)</f>
        <v>13.243796348571777</v>
      </c>
      <c r="D134" s="1">
        <f t="shared" si="11"/>
        <v>32782</v>
      </c>
      <c r="E134">
        <f t="shared" ref="E134:E156" si="13">YEAR(A134)</f>
        <v>1989</v>
      </c>
      <c r="F134" s="6">
        <f t="shared" ref="F134:F156" si="14">A134-DATE(E134,1,1)+1</f>
        <v>274</v>
      </c>
      <c r="G134">
        <v>17.8</v>
      </c>
      <c r="H134">
        <v>4.0999999999999996</v>
      </c>
      <c r="I134">
        <f>MAX(0,1-Fitting!$B$7*(Fitting!$B$6-Herm8889!C134)^2)</f>
        <v>0.56931657323419493</v>
      </c>
      <c r="J134">
        <f>tt(G134,H134,Fitting!$B$1:$E$1,Fitting!$B$2:$E$2)*I134</f>
        <v>6.234015825383322</v>
      </c>
    </row>
    <row r="135" spans="1:10">
      <c r="A135" s="1">
        <f t="shared" si="12"/>
        <v>32783</v>
      </c>
      <c r="B135">
        <f t="shared" si="10"/>
        <v>718.60281011439076</v>
      </c>
      <c r="C135">
        <f>day_length(F135,$B$1,Fitting!$B$4)</f>
        <v>13.278142929077148</v>
      </c>
      <c r="D135" s="1">
        <f t="shared" si="11"/>
        <v>32783</v>
      </c>
      <c r="E135">
        <f t="shared" si="13"/>
        <v>1989</v>
      </c>
      <c r="F135" s="6">
        <f t="shared" si="14"/>
        <v>275</v>
      </c>
      <c r="G135">
        <v>23.8</v>
      </c>
      <c r="H135">
        <v>8.1</v>
      </c>
      <c r="I135">
        <f>MAX(0,1-Fitting!$B$7*(Fitting!$B$6-Herm8889!C135)^2)</f>
        <v>0.57215566448160105</v>
      </c>
      <c r="J135">
        <f>tt(G135,H135,Fitting!$B$1:$E$1,Fitting!$B$2:$E$2)*I135</f>
        <v>9.1258827393515034</v>
      </c>
    </row>
    <row r="136" spans="1:10">
      <c r="A136" s="1">
        <f t="shared" si="12"/>
        <v>32784</v>
      </c>
      <c r="B136">
        <f t="shared" si="10"/>
        <v>725.99152522376539</v>
      </c>
      <c r="C136">
        <f>day_length(F136,$B$1,Fitting!$B$4)</f>
        <v>13.312491416931152</v>
      </c>
      <c r="D136" s="1">
        <f t="shared" si="11"/>
        <v>32784</v>
      </c>
      <c r="E136">
        <f t="shared" si="13"/>
        <v>1989</v>
      </c>
      <c r="F136" s="6">
        <f t="shared" si="14"/>
        <v>276</v>
      </c>
      <c r="G136">
        <v>15</v>
      </c>
      <c r="H136">
        <v>10.7</v>
      </c>
      <c r="I136">
        <f>MAX(0,1-Fitting!$B$7*(Fitting!$B$6-Herm8889!C136)^2)</f>
        <v>0.57499731038060409</v>
      </c>
      <c r="J136">
        <f>tt(G136,H136,Fitting!$B$1:$E$1,Fitting!$B$2:$E$2)*I136</f>
        <v>7.3887151093746626</v>
      </c>
    </row>
    <row r="137" spans="1:10">
      <c r="A137" s="1">
        <f t="shared" si="12"/>
        <v>32785</v>
      </c>
      <c r="B137">
        <f t="shared" si="10"/>
        <v>734.11018958778141</v>
      </c>
      <c r="C137">
        <f>day_length(F137,$B$1,Fitting!$B$4)</f>
        <v>13.346834182739258</v>
      </c>
      <c r="D137" s="1">
        <f t="shared" si="11"/>
        <v>32785</v>
      </c>
      <c r="E137">
        <f t="shared" si="13"/>
        <v>1989</v>
      </c>
      <c r="F137" s="6">
        <f t="shared" si="14"/>
        <v>277</v>
      </c>
      <c r="G137">
        <v>19.2</v>
      </c>
      <c r="H137">
        <v>8.9</v>
      </c>
      <c r="I137">
        <f>MAX(0,1-Fitting!$B$7*(Fitting!$B$6-Herm8889!C137)^2)</f>
        <v>0.57784091137890392</v>
      </c>
      <c r="J137">
        <f>tt(G137,H137,Fitting!$B$1:$E$1,Fitting!$B$2:$E$2)*I137</f>
        <v>8.1186643640159719</v>
      </c>
    </row>
    <row r="138" spans="1:10">
      <c r="A138" s="1">
        <f t="shared" si="12"/>
        <v>32786</v>
      </c>
      <c r="B138">
        <f t="shared" si="10"/>
        <v>742.18172035388693</v>
      </c>
      <c r="C138">
        <f>day_length(F138,$B$1,Fitting!$B$4)</f>
        <v>13.38116455078125</v>
      </c>
      <c r="D138" s="1">
        <f t="shared" si="11"/>
        <v>32786</v>
      </c>
      <c r="E138">
        <f t="shared" si="13"/>
        <v>1989</v>
      </c>
      <c r="F138" s="6">
        <f t="shared" si="14"/>
        <v>278</v>
      </c>
      <c r="G138">
        <v>19.8</v>
      </c>
      <c r="H138">
        <v>8</v>
      </c>
      <c r="I138">
        <f>MAX(0,1-Fitting!$B$7*(Fitting!$B$6-Herm8889!C138)^2)</f>
        <v>0.58068568256255815</v>
      </c>
      <c r="J138">
        <f>tt(G138,H138,Fitting!$B$1:$E$1,Fitting!$B$2:$E$2)*I138</f>
        <v>8.0715307661055498</v>
      </c>
    </row>
    <row r="139" spans="1:10">
      <c r="A139" s="1">
        <f t="shared" si="12"/>
        <v>32787</v>
      </c>
      <c r="B139">
        <f t="shared" si="10"/>
        <v>752.10175124756563</v>
      </c>
      <c r="C139">
        <f>day_length(F139,$B$1,Fitting!$B$4)</f>
        <v>13.415475845336914</v>
      </c>
      <c r="D139" s="1">
        <f t="shared" si="11"/>
        <v>32787</v>
      </c>
      <c r="E139">
        <f t="shared" si="13"/>
        <v>1989</v>
      </c>
      <c r="F139" s="6">
        <f t="shared" si="14"/>
        <v>279</v>
      </c>
      <c r="G139">
        <v>21.4</v>
      </c>
      <c r="H139">
        <v>12.6</v>
      </c>
      <c r="I139">
        <f>MAX(0,1-Fitting!$B$7*(Fitting!$B$6-Herm8889!C139)^2)</f>
        <v>0.58353122903992327</v>
      </c>
      <c r="J139">
        <f>tt(G139,H139,Fitting!$B$1:$E$1,Fitting!$B$2:$E$2)*I139</f>
        <v>9.9200308936786961</v>
      </c>
    </row>
    <row r="140" spans="1:10">
      <c r="A140" s="1">
        <f t="shared" si="12"/>
        <v>32788</v>
      </c>
      <c r="B140">
        <f t="shared" si="10"/>
        <v>758.87440262266364</v>
      </c>
      <c r="C140">
        <f>day_length(F140,$B$1,Fitting!$B$4)</f>
        <v>13.449759483337402</v>
      </c>
      <c r="D140" s="1">
        <f t="shared" si="11"/>
        <v>32788</v>
      </c>
      <c r="E140">
        <f t="shared" si="13"/>
        <v>1989</v>
      </c>
      <c r="F140" s="6">
        <f t="shared" si="14"/>
        <v>280</v>
      </c>
      <c r="G140">
        <v>17.7</v>
      </c>
      <c r="H140">
        <v>5.4</v>
      </c>
      <c r="I140">
        <f>MAX(0,1-Fitting!$B$7*(Fitting!$B$6-Herm8889!C140)^2)</f>
        <v>0.58637668433274115</v>
      </c>
      <c r="J140">
        <f>tt(G140,H140,Fitting!$B$1:$E$1,Fitting!$B$2:$E$2)*I140</f>
        <v>6.7726513750980208</v>
      </c>
    </row>
    <row r="141" spans="1:10">
      <c r="A141" s="1">
        <f t="shared" si="12"/>
        <v>32789</v>
      </c>
      <c r="B141">
        <f t="shared" si="10"/>
        <v>766.0629073913907</v>
      </c>
      <c r="C141">
        <f>day_length(F141,$B$1,Fitting!$B$4)</f>
        <v>13.484009742736816</v>
      </c>
      <c r="D141" s="1">
        <f t="shared" si="11"/>
        <v>32789</v>
      </c>
      <c r="E141">
        <f t="shared" si="13"/>
        <v>1989</v>
      </c>
      <c r="F141" s="6">
        <f t="shared" si="14"/>
        <v>281</v>
      </c>
      <c r="G141">
        <v>18.899999999999999</v>
      </c>
      <c r="H141">
        <v>5.5</v>
      </c>
      <c r="I141">
        <f>MAX(0,1-Fitting!$B$7*(Fitting!$B$6-Herm8889!C141)^2)</f>
        <v>0.58922166550710242</v>
      </c>
      <c r="J141">
        <f>tt(G141,H141,Fitting!$B$1:$E$1,Fitting!$B$2:$E$2)*I141</f>
        <v>7.1885047687271051</v>
      </c>
    </row>
    <row r="142" spans="1:10">
      <c r="A142" s="1">
        <f t="shared" si="12"/>
        <v>32790</v>
      </c>
      <c r="B142">
        <f t="shared" si="10"/>
        <v>772.66443816832145</v>
      </c>
      <c r="C142">
        <f>day_length(F142,$B$1,Fitting!$B$4)</f>
        <v>13.518218994140625</v>
      </c>
      <c r="D142" s="1">
        <f t="shared" si="11"/>
        <v>32790</v>
      </c>
      <c r="E142">
        <f t="shared" si="13"/>
        <v>1989</v>
      </c>
      <c r="F142" s="6">
        <f t="shared" si="14"/>
        <v>282</v>
      </c>
      <c r="G142">
        <v>19.399999999999999</v>
      </c>
      <c r="H142">
        <v>2.9</v>
      </c>
      <c r="I142">
        <f>MAX(0,1-Fitting!$B$7*(Fitting!$B$6-Herm8889!C142)^2)</f>
        <v>0.59206551014781317</v>
      </c>
      <c r="J142">
        <f>tt(G142,H142,Fitting!$B$1:$E$1,Fitting!$B$2:$E$2)*I142</f>
        <v>6.6015307769307192</v>
      </c>
    </row>
    <row r="143" spans="1:10">
      <c r="A143" s="1">
        <f t="shared" si="12"/>
        <v>32791</v>
      </c>
      <c r="B143">
        <f t="shared" si="10"/>
        <v>781.14187228718265</v>
      </c>
      <c r="C143">
        <f>day_length(F143,$B$1,Fitting!$B$4)</f>
        <v>13.55237865447998</v>
      </c>
      <c r="D143" s="1">
        <f t="shared" si="11"/>
        <v>32791</v>
      </c>
      <c r="E143">
        <f t="shared" si="13"/>
        <v>1989</v>
      </c>
      <c r="F143" s="6">
        <f t="shared" si="14"/>
        <v>283</v>
      </c>
      <c r="G143">
        <v>23.2</v>
      </c>
      <c r="H143">
        <v>5.3</v>
      </c>
      <c r="I143">
        <f>MAX(0,1-Fitting!$B$7*(Fitting!$B$6-Herm8889!C143)^2)</f>
        <v>0.59490765746394203</v>
      </c>
      <c r="J143">
        <f>tt(G143,H143,Fitting!$B$1:$E$1,Fitting!$B$2:$E$2)*I143</f>
        <v>8.4774341188611739</v>
      </c>
    </row>
    <row r="144" spans="1:10">
      <c r="A144" s="1">
        <f t="shared" si="12"/>
        <v>32792</v>
      </c>
      <c r="B144">
        <f t="shared" si="10"/>
        <v>790.46673288012187</v>
      </c>
      <c r="C144">
        <f>day_length(F144,$B$1,Fitting!$B$4)</f>
        <v>13.586480140686035</v>
      </c>
      <c r="D144" s="1">
        <f t="shared" si="11"/>
        <v>32792</v>
      </c>
      <c r="E144">
        <f t="shared" si="13"/>
        <v>1989</v>
      </c>
      <c r="F144" s="6">
        <f t="shared" si="14"/>
        <v>284</v>
      </c>
      <c r="G144">
        <v>23</v>
      </c>
      <c r="H144">
        <v>8.1999999999999993</v>
      </c>
      <c r="I144">
        <f>MAX(0,1-Fitting!$B$7*(Fitting!$B$6-Herm8889!C144)^2)</f>
        <v>0.59774745928953044</v>
      </c>
      <c r="J144">
        <f>tt(G144,H144,Fitting!$B$1:$E$1,Fitting!$B$2:$E$2)*I144</f>
        <v>9.3248605929392347</v>
      </c>
    </row>
    <row r="145" spans="1:10">
      <c r="A145" s="1">
        <f t="shared" si="12"/>
        <v>32793</v>
      </c>
      <c r="B145">
        <f t="shared" si="10"/>
        <v>799.44546964784661</v>
      </c>
      <c r="C145">
        <f>day_length(F145,$B$1,Fitting!$B$4)</f>
        <v>13.620517730712891</v>
      </c>
      <c r="D145" s="1">
        <f t="shared" si="11"/>
        <v>32793</v>
      </c>
      <c r="E145">
        <f t="shared" si="13"/>
        <v>1989</v>
      </c>
      <c r="F145" s="6">
        <f t="shared" si="14"/>
        <v>285</v>
      </c>
      <c r="G145">
        <v>20.8</v>
      </c>
      <c r="H145">
        <v>9.1</v>
      </c>
      <c r="I145">
        <f>MAX(0,1-Fitting!$B$7*(Fitting!$B$6-Herm8889!C145)^2)</f>
        <v>0.60058436852944763</v>
      </c>
      <c r="J145">
        <f>tt(G145,H145,Fitting!$B$1:$E$1,Fitting!$B$2:$E$2)*I145</f>
        <v>8.9787367677247509</v>
      </c>
    </row>
    <row r="146" spans="1:10">
      <c r="A146" s="1">
        <f t="shared" si="12"/>
        <v>32794</v>
      </c>
      <c r="B146">
        <f t="shared" si="10"/>
        <v>808.76827379297288</v>
      </c>
      <c r="C146">
        <f>day_length(F146,$B$1,Fitting!$B$4)</f>
        <v>13.654480934143066</v>
      </c>
      <c r="D146" s="1">
        <f t="shared" si="11"/>
        <v>32794</v>
      </c>
      <c r="E146">
        <f t="shared" si="13"/>
        <v>1989</v>
      </c>
      <c r="F146" s="6">
        <f t="shared" si="14"/>
        <v>286</v>
      </c>
      <c r="G146">
        <v>20.2</v>
      </c>
      <c r="H146">
        <v>10.7</v>
      </c>
      <c r="I146">
        <f>MAX(0,1-Fitting!$B$7*(Fitting!$B$6-Herm8889!C146)^2)</f>
        <v>0.60341775147049337</v>
      </c>
      <c r="J146">
        <f>tt(G146,H146,Fitting!$B$1:$E$1,Fitting!$B$2:$E$2)*I146</f>
        <v>9.3228041451263195</v>
      </c>
    </row>
    <row r="147" spans="1:10">
      <c r="A147" s="1">
        <f t="shared" si="12"/>
        <v>32795</v>
      </c>
      <c r="B147">
        <f t="shared" si="10"/>
        <v>819.40791227829141</v>
      </c>
      <c r="C147">
        <f>day_length(F147,$B$1,Fitting!$B$4)</f>
        <v>13.688362121582031</v>
      </c>
      <c r="D147" s="1">
        <f t="shared" si="11"/>
        <v>32795</v>
      </c>
      <c r="E147">
        <f t="shared" si="13"/>
        <v>1989</v>
      </c>
      <c r="F147" s="6">
        <f t="shared" si="14"/>
        <v>287</v>
      </c>
      <c r="G147">
        <v>22.1</v>
      </c>
      <c r="H147">
        <v>13</v>
      </c>
      <c r="I147">
        <f>MAX(0,1-Fitting!$B$7*(Fitting!$B$6-Herm8889!C147)^2)</f>
        <v>0.60624716760818598</v>
      </c>
      <c r="J147">
        <f>tt(G147,H147,Fitting!$B$1:$E$1,Fitting!$B$2:$E$2)*I147</f>
        <v>10.639638485318487</v>
      </c>
    </row>
    <row r="148" spans="1:10">
      <c r="A148" s="1">
        <f t="shared" si="12"/>
        <v>32796</v>
      </c>
      <c r="B148">
        <f t="shared" si="10"/>
        <v>825.49863224688681</v>
      </c>
      <c r="C148">
        <f>day_length(F148,$B$1,Fitting!$B$4)</f>
        <v>13.72215461730957</v>
      </c>
      <c r="D148" s="1">
        <f t="shared" si="11"/>
        <v>32796</v>
      </c>
      <c r="E148">
        <f t="shared" si="13"/>
        <v>1989</v>
      </c>
      <c r="F148" s="6">
        <f t="shared" si="14"/>
        <v>288</v>
      </c>
      <c r="G148">
        <v>19.7</v>
      </c>
      <c r="H148">
        <v>0.3</v>
      </c>
      <c r="I148">
        <f>MAX(0,1-Fitting!$B$7*(Fitting!$B$6-Herm8889!C148)^2)</f>
        <v>0.60907199685954394</v>
      </c>
      <c r="J148">
        <f>tt(G148,H148,Fitting!$B$1:$E$1,Fitting!$B$2:$E$2)*I148</f>
        <v>6.0907199685954394</v>
      </c>
    </row>
    <row r="149" spans="1:10">
      <c r="A149" s="1">
        <f t="shared" si="12"/>
        <v>32797</v>
      </c>
      <c r="B149">
        <f t="shared" si="10"/>
        <v>832.9637088568096</v>
      </c>
      <c r="C149">
        <f>day_length(F149,$B$1,Fitting!$B$4)</f>
        <v>13.75584602355957</v>
      </c>
      <c r="D149" s="1">
        <f t="shared" si="11"/>
        <v>32797</v>
      </c>
      <c r="E149">
        <f t="shared" si="13"/>
        <v>1989</v>
      </c>
      <c r="F149" s="6">
        <f t="shared" si="14"/>
        <v>289</v>
      </c>
      <c r="G149">
        <v>23.5</v>
      </c>
      <c r="H149">
        <v>0.9</v>
      </c>
      <c r="I149">
        <f>MAX(0,1-Fitting!$B$7*(Fitting!$B$6-Herm8889!C149)^2)</f>
        <v>0.61189153496982174</v>
      </c>
      <c r="J149">
        <f>tt(G149,H149,Fitting!$B$1:$E$1,Fitting!$B$2:$E$2)*I149</f>
        <v>7.465076609922777</v>
      </c>
    </row>
    <row r="150" spans="1:10">
      <c r="A150" s="1">
        <f t="shared" si="12"/>
        <v>32798</v>
      </c>
      <c r="B150">
        <f t="shared" si="10"/>
        <v>844.24355534017764</v>
      </c>
      <c r="C150">
        <f>day_length(F150,$B$1,Fitting!$B$4)</f>
        <v>13.789430618286133</v>
      </c>
      <c r="D150" s="1">
        <f t="shared" si="11"/>
        <v>32798</v>
      </c>
      <c r="E150">
        <f t="shared" si="13"/>
        <v>1989</v>
      </c>
      <c r="F150" s="6">
        <f t="shared" si="14"/>
        <v>290</v>
      </c>
      <c r="G150">
        <v>25.2</v>
      </c>
      <c r="H150">
        <v>11.5</v>
      </c>
      <c r="I150">
        <f>MAX(0,1-Fitting!$B$7*(Fitting!$B$6-Herm8889!C150)^2)</f>
        <v>0.61470545375579966</v>
      </c>
      <c r="J150">
        <f>tt(G150,H150,Fitting!$B$1:$E$1,Fitting!$B$2:$E$2)*I150</f>
        <v>11.279846483368052</v>
      </c>
    </row>
    <row r="151" spans="1:10">
      <c r="A151" s="1">
        <f t="shared" si="12"/>
        <v>32799</v>
      </c>
      <c r="B151">
        <f t="shared" si="10"/>
        <v>854.43251820200612</v>
      </c>
      <c r="C151">
        <f>day_length(F151,$B$1,Fitting!$B$4)</f>
        <v>13.822898864746094</v>
      </c>
      <c r="D151" s="1">
        <f t="shared" si="11"/>
        <v>32799</v>
      </c>
      <c r="E151">
        <f t="shared" si="13"/>
        <v>1989</v>
      </c>
      <c r="F151" s="6">
        <f t="shared" si="14"/>
        <v>291</v>
      </c>
      <c r="G151">
        <v>21.8</v>
      </c>
      <c r="H151">
        <v>11.2</v>
      </c>
      <c r="I151">
        <f>MAX(0,1-Fitting!$B$7*(Fitting!$B$6-Herm8889!C151)^2)</f>
        <v>0.61751297209945188</v>
      </c>
      <c r="J151">
        <f>tt(G151,H151,Fitting!$B$1:$E$1,Fitting!$B$2:$E$2)*I151</f>
        <v>10.188962861828433</v>
      </c>
    </row>
    <row r="152" spans="1:10">
      <c r="A152" s="1">
        <f t="shared" si="12"/>
        <v>32800</v>
      </c>
      <c r="B152">
        <f t="shared" si="10"/>
        <v>861.25596872244898</v>
      </c>
      <c r="C152">
        <f>day_length(F152,$B$1,Fitting!$B$4)</f>
        <v>13.856239318847656</v>
      </c>
      <c r="D152" s="1">
        <f t="shared" si="11"/>
        <v>32800</v>
      </c>
      <c r="E152">
        <f t="shared" si="13"/>
        <v>1989</v>
      </c>
      <c r="F152" s="6">
        <f t="shared" si="14"/>
        <v>292</v>
      </c>
      <c r="G152">
        <v>19.399999999999999</v>
      </c>
      <c r="H152">
        <v>2.6</v>
      </c>
      <c r="I152">
        <f>MAX(0,1-Fitting!$B$7*(Fitting!$B$6-Herm8889!C152)^2)</f>
        <v>0.62031368367662798</v>
      </c>
      <c r="J152">
        <f>tt(G152,H152,Fitting!$B$1:$E$1,Fitting!$B$2:$E$2)*I152</f>
        <v>6.8234505204429077</v>
      </c>
    </row>
    <row r="153" spans="1:10">
      <c r="A153" s="1">
        <f t="shared" si="12"/>
        <v>32801</v>
      </c>
      <c r="B153">
        <f t="shared" si="10"/>
        <v>869.32520433222851</v>
      </c>
      <c r="C153">
        <f>day_length(F153,$B$1,Fitting!$B$4)</f>
        <v>13.889444351196289</v>
      </c>
      <c r="D153" s="1">
        <f t="shared" si="11"/>
        <v>32801</v>
      </c>
      <c r="E153">
        <f t="shared" si="13"/>
        <v>1989</v>
      </c>
      <c r="F153" s="6">
        <f t="shared" si="14"/>
        <v>293</v>
      </c>
      <c r="G153">
        <v>22.5</v>
      </c>
      <c r="H153">
        <v>3.4</v>
      </c>
      <c r="I153">
        <f>MAX(0,1-Fitting!$B$7*(Fitting!$B$6-Herm8889!C153)^2)</f>
        <v>0.62310700607163749</v>
      </c>
      <c r="J153">
        <f>tt(G153,H153,Fitting!$B$1:$E$1,Fitting!$B$2:$E$2)*I153</f>
        <v>8.0692356097794757</v>
      </c>
    </row>
    <row r="154" spans="1:10">
      <c r="A154" s="1">
        <f t="shared" si="12"/>
        <v>32802</v>
      </c>
      <c r="B154">
        <f t="shared" si="10"/>
        <v>879.65242686175509</v>
      </c>
      <c r="C154">
        <f>day_length(F154,$B$1,Fitting!$B$4)</f>
        <v>13.922503471374512</v>
      </c>
      <c r="D154" s="1">
        <f t="shared" si="11"/>
        <v>32802</v>
      </c>
      <c r="E154">
        <f t="shared" si="13"/>
        <v>1989</v>
      </c>
      <c r="F154" s="6">
        <f t="shared" si="14"/>
        <v>294</v>
      </c>
      <c r="G154">
        <v>23</v>
      </c>
      <c r="H154">
        <v>10</v>
      </c>
      <c r="I154">
        <f>MAX(0,1-Fitting!$B$7*(Fitting!$B$6-Herm8889!C154)^2)</f>
        <v>0.62589227451676011</v>
      </c>
      <c r="J154">
        <f>tt(G154,H154,Fitting!$B$1:$E$1,Fitting!$B$2:$E$2)*I154</f>
        <v>10.327222529526543</v>
      </c>
    </row>
    <row r="155" spans="1:10">
      <c r="A155" s="1">
        <f t="shared" si="12"/>
        <v>32803</v>
      </c>
      <c r="B155">
        <f t="shared" si="10"/>
        <v>887.88798998169773</v>
      </c>
      <c r="C155">
        <f>day_length(F155,$B$1,Fitting!$B$4)</f>
        <v>13.95540714263916</v>
      </c>
      <c r="D155" s="1">
        <f t="shared" si="11"/>
        <v>32803</v>
      </c>
      <c r="E155">
        <f t="shared" si="13"/>
        <v>1989</v>
      </c>
      <c r="F155" s="6">
        <f t="shared" si="14"/>
        <v>295</v>
      </c>
      <c r="G155">
        <v>21.1</v>
      </c>
      <c r="H155">
        <v>5.0999999999999996</v>
      </c>
      <c r="I155">
        <f>MAX(0,1-Fitting!$B$7*(Fitting!$B$6-Herm8889!C155)^2)</f>
        <v>0.62866901368057004</v>
      </c>
      <c r="J155">
        <f>tt(G155,H155,Fitting!$B$1:$E$1,Fitting!$B$2:$E$2)*I155</f>
        <v>8.2355631199426806</v>
      </c>
    </row>
    <row r="156" spans="1:10">
      <c r="A156" s="1">
        <f t="shared" si="12"/>
        <v>32804</v>
      </c>
      <c r="B156">
        <f t="shared" si="10"/>
        <v>896.98067832249546</v>
      </c>
      <c r="C156">
        <f>day_length(F156,$B$1,Fitting!$B$4)</f>
        <v>13.988144874572754</v>
      </c>
      <c r="D156" s="1">
        <f t="shared" si="11"/>
        <v>32804</v>
      </c>
      <c r="E156">
        <f t="shared" si="13"/>
        <v>1989</v>
      </c>
      <c r="F156" s="6">
        <f t="shared" si="14"/>
        <v>296</v>
      </c>
      <c r="G156">
        <v>23</v>
      </c>
      <c r="H156">
        <v>5.8</v>
      </c>
      <c r="I156">
        <f>MAX(0,1-Fitting!$B$7*(Fitting!$B$6-Herm8889!C156)^2)</f>
        <v>0.63143666524213948</v>
      </c>
      <c r="J156">
        <f>tt(G156,H156,Fitting!$B$1:$E$1,Fitting!$B$2:$E$2)*I156</f>
        <v>9.0926883407977659</v>
      </c>
    </row>
    <row r="157" spans="1:10">
      <c r="A157" s="1">
        <f t="shared" ref="A157:A192" si="15">A156+1</f>
        <v>32805</v>
      </c>
      <c r="B157">
        <f t="shared" ref="B157:B192" si="16">B156+J157</f>
        <v>906.58872671754841</v>
      </c>
      <c r="C157">
        <f>day_length(F157,$B$1,Fitting!$B$4)</f>
        <v>14.020706176757812</v>
      </c>
      <c r="D157" s="1">
        <f t="shared" ref="D157:D192" si="17">A157</f>
        <v>32805</v>
      </c>
      <c r="E157">
        <f t="shared" ref="E157:E192" si="18">YEAR(A157)</f>
        <v>1989</v>
      </c>
      <c r="F157" s="6">
        <f t="shared" ref="F157:F192" si="19">A157-DATE(E157,1,1)+1</f>
        <v>297</v>
      </c>
      <c r="G157">
        <v>24</v>
      </c>
      <c r="H157">
        <v>6.3</v>
      </c>
      <c r="I157">
        <f>MAX(0,1-Fitting!$B$7*(Fitting!$B$6-Herm8889!C157)^2)</f>
        <v>0.63419458958177166</v>
      </c>
      <c r="J157">
        <f>tt(G157,H157,Fitting!$B$1:$E$1,Fitting!$B$2:$E$2)*I157</f>
        <v>9.6080483950528954</v>
      </c>
    </row>
    <row r="158" spans="1:10">
      <c r="A158" s="1">
        <f t="shared" si="15"/>
        <v>32806</v>
      </c>
      <c r="B158">
        <f t="shared" si="16"/>
        <v>916.77980407007681</v>
      </c>
      <c r="C158">
        <f>day_length(F158,$B$1,Fitting!$B$4)</f>
        <v>14.053080558776855</v>
      </c>
      <c r="D158" s="1">
        <f t="shared" si="17"/>
        <v>32806</v>
      </c>
      <c r="E158">
        <f t="shared" si="18"/>
        <v>1989</v>
      </c>
      <c r="F158" s="6">
        <f t="shared" si="19"/>
        <v>298</v>
      </c>
      <c r="G158">
        <v>24.9</v>
      </c>
      <c r="H158">
        <v>7.1</v>
      </c>
      <c r="I158">
        <f>MAX(0,1-Fitting!$B$7*(Fitting!$B$6-Herm8889!C158)^2)</f>
        <v>0.63694233453302329</v>
      </c>
      <c r="J158">
        <f>tt(G158,H158,Fitting!$B$1:$E$1,Fitting!$B$2:$E$2)*I158</f>
        <v>10.191077352528373</v>
      </c>
    </row>
    <row r="159" spans="1:10">
      <c r="A159" s="1">
        <f t="shared" si="15"/>
        <v>32807</v>
      </c>
      <c r="B159">
        <f t="shared" si="16"/>
        <v>923.2725484904862</v>
      </c>
      <c r="C159">
        <f>day_length(F159,$B$1,Fitting!$B$4)</f>
        <v>14.085257530212402</v>
      </c>
      <c r="D159" s="1">
        <f t="shared" si="17"/>
        <v>32807</v>
      </c>
      <c r="E159">
        <f t="shared" si="18"/>
        <v>1989</v>
      </c>
      <c r="F159" s="6">
        <f t="shared" si="19"/>
        <v>299</v>
      </c>
      <c r="G159">
        <v>18.100000000000001</v>
      </c>
      <c r="H159">
        <v>2.2000000000000002</v>
      </c>
      <c r="I159">
        <f>MAX(0,1-Fitting!$B$7*(Fitting!$B$6-Herm8889!C159)^2)</f>
        <v>0.63967927728351781</v>
      </c>
      <c r="J159">
        <f>tt(G159,H159,Fitting!$B$1:$E$1,Fitting!$B$2:$E$2)*I159</f>
        <v>6.4927444204094265</v>
      </c>
    </row>
    <row r="160" spans="1:10">
      <c r="A160" s="1">
        <f t="shared" si="15"/>
        <v>32808</v>
      </c>
      <c r="B160">
        <f t="shared" si="16"/>
        <v>931.30260744154123</v>
      </c>
      <c r="C160">
        <f>day_length(F160,$B$1,Fitting!$B$4)</f>
        <v>14.117225646972656</v>
      </c>
      <c r="D160" s="1">
        <f t="shared" si="17"/>
        <v>32808</v>
      </c>
      <c r="E160">
        <f t="shared" si="18"/>
        <v>1989</v>
      </c>
      <c r="F160" s="6">
        <f t="shared" si="19"/>
        <v>300</v>
      </c>
      <c r="G160">
        <v>21.8</v>
      </c>
      <c r="H160">
        <v>3.2</v>
      </c>
      <c r="I160">
        <f>MAX(0,1-Fitting!$B$7*(Fitting!$B$6-Herm8889!C160)^2)</f>
        <v>0.64240471608439842</v>
      </c>
      <c r="J160">
        <f>tt(G160,H160,Fitting!$B$1:$E$1,Fitting!$B$2:$E$2)*I160</f>
        <v>8.0300589510549809</v>
      </c>
    </row>
    <row r="161" spans="1:10">
      <c r="A161" s="1">
        <f t="shared" si="15"/>
        <v>32809</v>
      </c>
      <c r="B161">
        <f t="shared" si="16"/>
        <v>939.97945098229661</v>
      </c>
      <c r="C161">
        <f>day_length(F161,$B$1,Fitting!$B$4)</f>
        <v>14.148974418640137</v>
      </c>
      <c r="D161" s="1">
        <f t="shared" si="17"/>
        <v>32809</v>
      </c>
      <c r="E161">
        <f t="shared" si="18"/>
        <v>1989</v>
      </c>
      <c r="F161" s="6">
        <f t="shared" si="19"/>
        <v>301</v>
      </c>
      <c r="G161">
        <v>23.2</v>
      </c>
      <c r="H161">
        <v>3.7</v>
      </c>
      <c r="I161">
        <f>MAX(0,1-Fitting!$B$7*(Fitting!$B$6-Herm8889!C161)^2)</f>
        <v>0.64511848801501948</v>
      </c>
      <c r="J161">
        <f>tt(G161,H161,Fitting!$B$1:$E$1,Fitting!$B$2:$E$2)*I161</f>
        <v>8.6768435407554261</v>
      </c>
    </row>
    <row r="162" spans="1:10">
      <c r="A162" s="1">
        <f t="shared" si="15"/>
        <v>32810</v>
      </c>
      <c r="B162">
        <f t="shared" si="16"/>
        <v>950.92760271434065</v>
      </c>
      <c r="C162">
        <f>day_length(F162,$B$1,Fitting!$B$4)</f>
        <v>14.18049144744873</v>
      </c>
      <c r="D162" s="1">
        <f t="shared" si="17"/>
        <v>32810</v>
      </c>
      <c r="E162">
        <f t="shared" si="18"/>
        <v>1989</v>
      </c>
      <c r="F162" s="6">
        <f t="shared" si="19"/>
        <v>302</v>
      </c>
      <c r="G162">
        <v>23.3</v>
      </c>
      <c r="H162">
        <v>10.5</v>
      </c>
      <c r="I162">
        <f>MAX(0,1-Fitting!$B$7*(Fitting!$B$6-Herm8889!C162)^2)</f>
        <v>0.64781964373772638</v>
      </c>
      <c r="J162">
        <f>tt(G162,H162,Fitting!$B$1:$E$1,Fitting!$B$2:$E$2)*I162</f>
        <v>10.948151732043993</v>
      </c>
    </row>
    <row r="163" spans="1:10">
      <c r="A163" s="1">
        <f t="shared" si="15"/>
        <v>32811</v>
      </c>
      <c r="B163">
        <f t="shared" si="16"/>
        <v>956.7171221067764</v>
      </c>
      <c r="C163">
        <f>day_length(F163,$B$1,Fitting!$B$4)</f>
        <v>14.211767196655273</v>
      </c>
      <c r="D163" s="1">
        <f t="shared" si="17"/>
        <v>32811</v>
      </c>
      <c r="E163">
        <f t="shared" si="18"/>
        <v>1989</v>
      </c>
      <c r="F163" s="6">
        <f t="shared" si="19"/>
        <v>303</v>
      </c>
      <c r="G163">
        <v>16.2</v>
      </c>
      <c r="H163">
        <v>1.6</v>
      </c>
      <c r="I163">
        <f>MAX(0,1-Fitting!$B$7*(Fitting!$B$6-Herm8889!C163)^2)</f>
        <v>0.65050768537526338</v>
      </c>
      <c r="J163">
        <f>tt(G163,H163,Fitting!$B$1:$E$1,Fitting!$B$2:$E$2)*I163</f>
        <v>5.7895193924357997</v>
      </c>
    </row>
    <row r="164" spans="1:10">
      <c r="A164" s="1">
        <f t="shared" si="15"/>
        <v>32812</v>
      </c>
      <c r="B164">
        <f t="shared" si="16"/>
        <v>965.2411500728258</v>
      </c>
      <c r="C164">
        <f>day_length(F164,$B$1,Fitting!$B$4)</f>
        <v>14.242786407470703</v>
      </c>
      <c r="D164" s="1">
        <f t="shared" si="17"/>
        <v>32812</v>
      </c>
      <c r="E164">
        <f t="shared" si="18"/>
        <v>1989</v>
      </c>
      <c r="F164" s="6">
        <f t="shared" si="19"/>
        <v>304</v>
      </c>
      <c r="G164">
        <v>21.4</v>
      </c>
      <c r="H164">
        <v>4.7</v>
      </c>
      <c r="I164">
        <f>MAX(0,1-Fitting!$B$7*(Fitting!$B$6-Herm8889!C164)^2)</f>
        <v>0.65318221007393185</v>
      </c>
      <c r="J164">
        <f>tt(G164,H164,Fitting!$B$1:$E$1,Fitting!$B$2:$E$2)*I164</f>
        <v>8.5240279660494309</v>
      </c>
    </row>
    <row r="165" spans="1:10">
      <c r="A165" s="1">
        <f t="shared" si="15"/>
        <v>32813</v>
      </c>
      <c r="B165">
        <f t="shared" si="16"/>
        <v>976.45605516243256</v>
      </c>
      <c r="C165">
        <f>day_length(F165,$B$1,Fitting!$B$4)</f>
        <v>14.273538589477539</v>
      </c>
      <c r="D165" s="1">
        <f t="shared" si="17"/>
        <v>32813</v>
      </c>
      <c r="E165">
        <f t="shared" si="18"/>
        <v>1989</v>
      </c>
      <c r="F165" s="6">
        <f t="shared" si="19"/>
        <v>305</v>
      </c>
      <c r="G165">
        <v>26</v>
      </c>
      <c r="H165">
        <v>8.1999999999999993</v>
      </c>
      <c r="I165">
        <f>MAX(0,1-Fitting!$B$7*(Fitting!$B$6-Herm8889!C165)^2)</f>
        <v>0.65584238827033547</v>
      </c>
      <c r="J165">
        <f>tt(G165,H165,Fitting!$B$1:$E$1,Fitting!$B$2:$E$2)*I165</f>
        <v>11.214905089606754</v>
      </c>
    </row>
    <row r="166" spans="1:10">
      <c r="A166" s="1">
        <f t="shared" si="15"/>
        <v>32814</v>
      </c>
      <c r="B166">
        <f t="shared" si="16"/>
        <v>989.03317346303209</v>
      </c>
      <c r="C166">
        <f>day_length(F166,$B$1,Fitting!$B$4)</f>
        <v>14.304013252258301</v>
      </c>
      <c r="D166" s="1">
        <f t="shared" si="17"/>
        <v>32814</v>
      </c>
      <c r="E166">
        <f t="shared" si="18"/>
        <v>1989</v>
      </c>
      <c r="F166" s="6">
        <f t="shared" si="19"/>
        <v>306</v>
      </c>
      <c r="G166">
        <v>27.9</v>
      </c>
      <c r="H166">
        <v>10.3</v>
      </c>
      <c r="I166">
        <f>MAX(0,1-Fitting!$B$7*(Fitting!$B$6-Herm8889!C166)^2)</f>
        <v>0.6584879217472408</v>
      </c>
      <c r="J166">
        <f>tt(G166,H166,Fitting!$B$1:$E$1,Fitting!$B$2:$E$2)*I166</f>
        <v>12.577118300599469</v>
      </c>
    </row>
    <row r="167" spans="1:10">
      <c r="A167" s="1">
        <f t="shared" si="15"/>
        <v>32815</v>
      </c>
      <c r="B167">
        <f t="shared" si="16"/>
        <v>1002.9827617323497</v>
      </c>
      <c r="C167">
        <f>day_length(F167,$B$1,Fitting!$B$4)</f>
        <v>14.334196090698242</v>
      </c>
      <c r="D167" s="1">
        <f t="shared" si="17"/>
        <v>32815</v>
      </c>
      <c r="E167">
        <f t="shared" si="18"/>
        <v>1989</v>
      </c>
      <c r="F167" s="6">
        <f t="shared" si="19"/>
        <v>307</v>
      </c>
      <c r="G167">
        <v>29.8</v>
      </c>
      <c r="H167">
        <v>12.4</v>
      </c>
      <c r="I167">
        <f>MAX(0,1-Fitting!$B$7*(Fitting!$B$6-Herm8889!C167)^2)</f>
        <v>0.66111791550336785</v>
      </c>
      <c r="J167">
        <f>tt(G167,H167,Fitting!$B$1:$E$1,Fitting!$B$2:$E$2)*I167</f>
        <v>13.949588269317532</v>
      </c>
    </row>
    <row r="168" spans="1:10">
      <c r="A168" s="1">
        <f t="shared" si="15"/>
        <v>32816</v>
      </c>
      <c r="B168">
        <f t="shared" si="16"/>
        <v>1014.7640075744944</v>
      </c>
      <c r="C168">
        <f>day_length(F168,$B$1,Fitting!$B$4)</f>
        <v>14.36407470703125</v>
      </c>
      <c r="D168" s="1">
        <f t="shared" si="17"/>
        <v>32816</v>
      </c>
      <c r="E168">
        <f t="shared" si="18"/>
        <v>1989</v>
      </c>
      <c r="F168" s="6">
        <f t="shared" si="19"/>
        <v>308</v>
      </c>
      <c r="G168">
        <v>27.5</v>
      </c>
      <c r="H168">
        <v>8</v>
      </c>
      <c r="I168">
        <f>MAX(0,1-Fitting!$B$7*(Fitting!$B$6-Herm8889!C168)^2)</f>
        <v>0.66373208879865708</v>
      </c>
      <c r="J168">
        <f>tt(G168,H168,Fitting!$B$1:$E$1,Fitting!$B$2:$E$2)*I168</f>
        <v>11.781245842144655</v>
      </c>
    </row>
    <row r="169" spans="1:10">
      <c r="A169" s="1">
        <f t="shared" si="15"/>
        <v>32817</v>
      </c>
      <c r="B169">
        <f t="shared" si="16"/>
        <v>1024.3258370929454</v>
      </c>
      <c r="C169">
        <f>day_length(F169,$B$1,Fitting!$B$4)</f>
        <v>14.393636703491211</v>
      </c>
      <c r="D169" s="1">
        <f t="shared" si="17"/>
        <v>32817</v>
      </c>
      <c r="E169">
        <f t="shared" si="18"/>
        <v>1989</v>
      </c>
      <c r="F169" s="6">
        <f t="shared" si="19"/>
        <v>309</v>
      </c>
      <c r="G169">
        <v>23</v>
      </c>
      <c r="H169">
        <v>5.7</v>
      </c>
      <c r="I169">
        <f>MAX(0,1-Fitting!$B$7*(Fitting!$B$6-Herm8889!C169)^2)</f>
        <v>0.6663296540201773</v>
      </c>
      <c r="J169">
        <f>tt(G169,H169,Fitting!$B$1:$E$1,Fitting!$B$2:$E$2)*I169</f>
        <v>9.5618295184511801</v>
      </c>
    </row>
    <row r="170" spans="1:10">
      <c r="A170" s="1">
        <f t="shared" si="15"/>
        <v>32818</v>
      </c>
      <c r="B170">
        <f t="shared" si="16"/>
        <v>1035.1956260827171</v>
      </c>
      <c r="C170">
        <f>day_length(F170,$B$1,Fitting!$B$4)</f>
        <v>14.422868728637695</v>
      </c>
      <c r="D170" s="1">
        <f t="shared" si="17"/>
        <v>32818</v>
      </c>
      <c r="E170">
        <f t="shared" si="18"/>
        <v>1989</v>
      </c>
      <c r="F170" s="6">
        <f t="shared" si="19"/>
        <v>310</v>
      </c>
      <c r="G170">
        <v>25</v>
      </c>
      <c r="H170">
        <v>7.5</v>
      </c>
      <c r="I170">
        <f>MAX(0,1-Fitting!$B$7*(Fitting!$B$6-Herm8889!C170)^2)</f>
        <v>0.66891009167825721</v>
      </c>
      <c r="J170">
        <f>tt(G170,H170,Fitting!$B$1:$E$1,Fitting!$B$2:$E$2)*I170</f>
        <v>10.86978898977168</v>
      </c>
    </row>
    <row r="171" spans="1:10">
      <c r="A171" s="1">
        <f t="shared" si="15"/>
        <v>32819</v>
      </c>
      <c r="B171">
        <f t="shared" si="16"/>
        <v>1048.2893458123067</v>
      </c>
      <c r="C171">
        <f>day_length(F171,$B$1,Fitting!$B$4)</f>
        <v>14.451757431030273</v>
      </c>
      <c r="D171" s="1">
        <f t="shared" si="17"/>
        <v>32819</v>
      </c>
      <c r="E171">
        <f t="shared" si="18"/>
        <v>1989</v>
      </c>
      <c r="F171" s="6">
        <f t="shared" si="19"/>
        <v>311</v>
      </c>
      <c r="G171">
        <v>29</v>
      </c>
      <c r="H171">
        <v>10</v>
      </c>
      <c r="I171">
        <f>MAX(0,1-Fitting!$B$7*(Fitting!$B$6-Herm8889!C171)^2)</f>
        <v>0.67147280664562459</v>
      </c>
      <c r="J171">
        <f>tt(G171,H171,Fitting!$B$1:$E$1,Fitting!$B$2:$E$2)*I171</f>
        <v>13.093719729589679</v>
      </c>
    </row>
    <row r="172" spans="1:10">
      <c r="A172" s="1">
        <f t="shared" si="15"/>
        <v>32820</v>
      </c>
      <c r="B172">
        <f t="shared" si="16"/>
        <v>1062.4281525215204</v>
      </c>
      <c r="C172">
        <f>day_length(F172,$B$1,Fitting!$B$4)</f>
        <v>14.480290412902832</v>
      </c>
      <c r="D172" s="1">
        <f t="shared" si="17"/>
        <v>32820</v>
      </c>
      <c r="E172">
        <f t="shared" si="18"/>
        <v>1989</v>
      </c>
      <c r="F172" s="6">
        <f t="shared" si="19"/>
        <v>312</v>
      </c>
      <c r="G172">
        <v>33.1</v>
      </c>
      <c r="H172">
        <v>12.6</v>
      </c>
      <c r="I172">
        <f>MAX(0,1-Fitting!$B$7*(Fitting!$B$6-Herm8889!C172)^2)</f>
        <v>0.6740171297341967</v>
      </c>
      <c r="J172">
        <f>tt(G172,H172,Fitting!$B$1:$E$1,Fitting!$B$2:$E$2)*I172</f>
        <v>14.138806709213654</v>
      </c>
    </row>
    <row r="173" spans="1:10">
      <c r="A173" s="1">
        <f t="shared" si="15"/>
        <v>32821</v>
      </c>
      <c r="B173">
        <f t="shared" si="16"/>
        <v>1076.2004030039147</v>
      </c>
      <c r="C173">
        <f>day_length(F173,$B$1,Fitting!$B$4)</f>
        <v>14.508454322814941</v>
      </c>
      <c r="D173" s="1">
        <f t="shared" si="17"/>
        <v>32821</v>
      </c>
      <c r="E173">
        <f t="shared" si="18"/>
        <v>1989</v>
      </c>
      <c r="F173" s="6">
        <f t="shared" si="19"/>
        <v>313</v>
      </c>
      <c r="G173">
        <v>35.1</v>
      </c>
      <c r="H173">
        <v>13.4</v>
      </c>
      <c r="I173">
        <f>MAX(0,1-Fitting!$B$7*(Fitting!$B$6-Herm8889!C173)^2)</f>
        <v>0.6765424873012762</v>
      </c>
      <c r="J173">
        <f>tt(G173,H173,Fitting!$B$1:$E$1,Fitting!$B$2:$E$2)*I173</f>
        <v>13.772250482394464</v>
      </c>
    </row>
    <row r="174" spans="1:10">
      <c r="A174" s="1">
        <f t="shared" si="15"/>
        <v>32822</v>
      </c>
      <c r="B174">
        <f t="shared" si="16"/>
        <v>1091.1394659518758</v>
      </c>
      <c r="C174">
        <f>day_length(F174,$B$1,Fitting!$B$4)</f>
        <v>14.536235809326172</v>
      </c>
      <c r="D174" s="1">
        <f t="shared" si="17"/>
        <v>32822</v>
      </c>
      <c r="E174">
        <f t="shared" si="18"/>
        <v>1989</v>
      </c>
      <c r="F174" s="6">
        <f t="shared" si="19"/>
        <v>314</v>
      </c>
      <c r="G174">
        <v>29.8</v>
      </c>
      <c r="H174">
        <v>14.2</v>
      </c>
      <c r="I174">
        <f>MAX(0,1-Fitting!$B$7*(Fitting!$B$6-Herm8889!C174)^2)</f>
        <v>0.6790483158164079</v>
      </c>
      <c r="J174">
        <f>tt(G174,H174,Fitting!$B$1:$E$1,Fitting!$B$2:$E$2)*I174</f>
        <v>14.939062947960974</v>
      </c>
    </row>
    <row r="175" spans="1:10">
      <c r="A175" s="1">
        <f t="shared" si="15"/>
        <v>32823</v>
      </c>
      <c r="B175">
        <f t="shared" si="16"/>
        <v>1104.2249191577828</v>
      </c>
      <c r="C175">
        <f>day_length(F175,$B$1,Fitting!$B$4)</f>
        <v>14.563620567321777</v>
      </c>
      <c r="D175" s="1">
        <f t="shared" si="17"/>
        <v>32823</v>
      </c>
      <c r="E175">
        <f t="shared" si="18"/>
        <v>1989</v>
      </c>
      <c r="F175" s="6">
        <f t="shared" si="19"/>
        <v>315</v>
      </c>
      <c r="G175">
        <v>26.1</v>
      </c>
      <c r="H175">
        <v>12.3</v>
      </c>
      <c r="I175">
        <f>MAX(0,1-Fitting!$B$7*(Fitting!$B$6-Herm8889!C175)^2)</f>
        <v>0.68153406176359022</v>
      </c>
      <c r="J175">
        <f>tt(G175,H175,Fitting!$B$1:$E$1,Fitting!$B$2:$E$2)*I175</f>
        <v>13.085453205907095</v>
      </c>
    </row>
    <row r="176" spans="1:10">
      <c r="A176" s="1">
        <f t="shared" si="15"/>
        <v>32824</v>
      </c>
      <c r="B176">
        <f t="shared" si="16"/>
        <v>1116.2974985875082</v>
      </c>
      <c r="C176">
        <f>day_length(F176,$B$1,Fitting!$B$4)</f>
        <v>14.590594291687012</v>
      </c>
      <c r="D176" s="1">
        <f t="shared" si="17"/>
        <v>32824</v>
      </c>
      <c r="E176">
        <f t="shared" si="18"/>
        <v>1989</v>
      </c>
      <c r="F176" s="6">
        <f t="shared" si="19"/>
        <v>316</v>
      </c>
      <c r="G176">
        <v>23.4</v>
      </c>
      <c r="H176">
        <v>11.9</v>
      </c>
      <c r="I176">
        <f>MAX(0,1-Fitting!$B$7*(Fitting!$B$6-Herm8889!C176)^2)</f>
        <v>0.68399884932863098</v>
      </c>
      <c r="J176">
        <f>tt(G176,H176,Fitting!$B$1:$E$1,Fitting!$B$2:$E$2)*I176</f>
        <v>12.072579429725483</v>
      </c>
    </row>
    <row r="177" spans="1:10">
      <c r="A177" s="1">
        <f t="shared" si="15"/>
        <v>32825</v>
      </c>
      <c r="B177">
        <f t="shared" si="16"/>
        <v>1128.6191386479638</v>
      </c>
      <c r="C177">
        <f>day_length(F177,$B$1,Fitting!$B$4)</f>
        <v>14.617144584655762</v>
      </c>
      <c r="D177" s="1">
        <f t="shared" si="17"/>
        <v>32825</v>
      </c>
      <c r="E177">
        <f t="shared" si="18"/>
        <v>1989</v>
      </c>
      <c r="F177" s="6">
        <f t="shared" si="19"/>
        <v>317</v>
      </c>
      <c r="G177">
        <v>25.8</v>
      </c>
      <c r="H177">
        <v>10.1</v>
      </c>
      <c r="I177">
        <f>MAX(0,1-Fitting!$B$7*(Fitting!$B$6-Herm8889!C177)^2)</f>
        <v>0.68644231402460165</v>
      </c>
      <c r="J177">
        <f>tt(G177,H177,Fitting!$B$1:$E$1,Fitting!$B$2:$E$2)*I177</f>
        <v>12.321640060455524</v>
      </c>
    </row>
    <row r="178" spans="1:10">
      <c r="A178" s="1">
        <f t="shared" si="15"/>
        <v>32826</v>
      </c>
      <c r="B178">
        <f t="shared" si="16"/>
        <v>1141.6042196387803</v>
      </c>
      <c r="C178">
        <f>day_length(F178,$B$1,Fitting!$B$4)</f>
        <v>14.643258094787598</v>
      </c>
      <c r="D178" s="1">
        <f t="shared" si="17"/>
        <v>32826</v>
      </c>
      <c r="E178">
        <f t="shared" si="18"/>
        <v>1989</v>
      </c>
      <c r="F178" s="6">
        <f t="shared" si="19"/>
        <v>318</v>
      </c>
      <c r="G178">
        <v>25.3</v>
      </c>
      <c r="H178">
        <v>12.4</v>
      </c>
      <c r="I178">
        <f>MAX(0,1-Fitting!$B$7*(Fitting!$B$6-Herm8889!C178)^2)</f>
        <v>0.68886376880313938</v>
      </c>
      <c r="J178">
        <f>tt(G178,H178,Fitting!$B$1:$E$1,Fitting!$B$2:$E$2)*I178</f>
        <v>12.985080990816483</v>
      </c>
    </row>
    <row r="179" spans="1:10">
      <c r="A179" s="1">
        <f t="shared" si="15"/>
        <v>32827</v>
      </c>
      <c r="B179">
        <f t="shared" si="16"/>
        <v>1154.4271407269671</v>
      </c>
      <c r="C179">
        <f>day_length(F179,$B$1,Fitting!$B$4)</f>
        <v>14.668917655944824</v>
      </c>
      <c r="D179" s="1">
        <f t="shared" si="17"/>
        <v>32827</v>
      </c>
      <c r="E179">
        <f t="shared" si="18"/>
        <v>1989</v>
      </c>
      <c r="F179" s="6">
        <f t="shared" si="19"/>
        <v>319</v>
      </c>
      <c r="G179">
        <v>26.9</v>
      </c>
      <c r="H179">
        <v>10.199999999999999</v>
      </c>
      <c r="I179">
        <f>MAX(0,1-Fitting!$B$7*(Fitting!$B$6-Herm8889!C179)^2)</f>
        <v>0.69126262078589207</v>
      </c>
      <c r="J179">
        <f>tt(G179,H179,Fitting!$B$1:$E$1,Fitting!$B$2:$E$2)*I179</f>
        <v>12.822921088186773</v>
      </c>
    </row>
    <row r="180" spans="1:10">
      <c r="A180" s="1">
        <f t="shared" si="15"/>
        <v>32828</v>
      </c>
      <c r="B180">
        <f t="shared" si="16"/>
        <v>1167.3288072573691</v>
      </c>
      <c r="C180">
        <f>day_length(F180,$B$1,Fitting!$B$4)</f>
        <v>14.694112777709961</v>
      </c>
      <c r="D180" s="1">
        <f t="shared" si="17"/>
        <v>32828</v>
      </c>
      <c r="E180">
        <f t="shared" si="18"/>
        <v>1989</v>
      </c>
      <c r="F180" s="6">
        <f t="shared" si="19"/>
        <v>320</v>
      </c>
      <c r="G180">
        <v>26.9</v>
      </c>
      <c r="H180">
        <v>10.3</v>
      </c>
      <c r="I180">
        <f>MAX(0,1-Fitting!$B$7*(Fitting!$B$6-Herm8889!C180)^2)</f>
        <v>0.69363804240912574</v>
      </c>
      <c r="J180">
        <f>tt(G180,H180,Fitting!$B$1:$E$1,Fitting!$B$2:$E$2)*I180</f>
        <v>12.901666530402082</v>
      </c>
    </row>
    <row r="181" spans="1:10">
      <c r="A181" s="1">
        <f t="shared" si="15"/>
        <v>32829</v>
      </c>
      <c r="B181">
        <f t="shared" si="16"/>
        <v>1180.0654182401579</v>
      </c>
      <c r="C181">
        <f>day_length(F181,$B$1,Fitting!$B$4)</f>
        <v>14.718828201293945</v>
      </c>
      <c r="D181" s="1">
        <f t="shared" si="17"/>
        <v>32829</v>
      </c>
      <c r="E181">
        <f t="shared" si="18"/>
        <v>1989</v>
      </c>
      <c r="F181" s="6">
        <f t="shared" si="19"/>
        <v>321</v>
      </c>
      <c r="G181">
        <v>26.9</v>
      </c>
      <c r="H181">
        <v>9.6999999999999993</v>
      </c>
      <c r="I181">
        <f>MAX(0,1-Fitting!$B$7*(Fitting!$B$6-Herm8889!C181)^2)</f>
        <v>0.69598962766622563</v>
      </c>
      <c r="J181">
        <f>tt(G181,H181,Fitting!$B$1:$E$1,Fitting!$B$2:$E$2)*I181</f>
        <v>12.736610982788848</v>
      </c>
    </row>
    <row r="182" spans="1:10">
      <c r="A182" s="1">
        <f t="shared" si="15"/>
        <v>32830</v>
      </c>
      <c r="B182">
        <f t="shared" si="16"/>
        <v>1194.1364998782997</v>
      </c>
      <c r="C182">
        <f>day_length(F182,$B$1,Fitting!$B$4)</f>
        <v>14.743048667907715</v>
      </c>
      <c r="D182" s="1">
        <f t="shared" si="17"/>
        <v>32830</v>
      </c>
      <c r="E182">
        <f t="shared" si="18"/>
        <v>1989</v>
      </c>
      <c r="F182" s="6">
        <f t="shared" si="19"/>
        <v>322</v>
      </c>
      <c r="G182">
        <v>29.1</v>
      </c>
      <c r="H182">
        <v>11.2</v>
      </c>
      <c r="I182">
        <f>MAX(0,1-Fitting!$B$7*(Fitting!$B$6-Herm8889!C182)^2)</f>
        <v>0.69831665372680618</v>
      </c>
      <c r="J182">
        <f>tt(G182,H182,Fitting!$B$1:$E$1,Fitting!$B$2:$E$2)*I182</f>
        <v>14.071081638141797</v>
      </c>
    </row>
    <row r="183" spans="1:10">
      <c r="A183" s="1">
        <f t="shared" si="15"/>
        <v>32831</v>
      </c>
      <c r="B183">
        <f t="shared" si="16"/>
        <v>1208.5103690004466</v>
      </c>
      <c r="C183">
        <f>day_length(F183,$B$1,Fitting!$B$4)</f>
        <v>14.766763687133789</v>
      </c>
      <c r="D183" s="1">
        <f t="shared" si="17"/>
        <v>32831</v>
      </c>
      <c r="E183">
        <f t="shared" si="18"/>
        <v>1989</v>
      </c>
      <c r="F183" s="6">
        <f t="shared" si="19"/>
        <v>323</v>
      </c>
      <c r="G183">
        <v>31.5</v>
      </c>
      <c r="H183">
        <v>10.4</v>
      </c>
      <c r="I183">
        <f>MAX(0,1-Fitting!$B$7*(Fitting!$B$6-Herm8889!C183)^2)</f>
        <v>0.70061841035474937</v>
      </c>
      <c r="J183">
        <f>tt(G183,H183,Fitting!$B$1:$E$1,Fitting!$B$2:$E$2)*I183</f>
        <v>14.373869122146937</v>
      </c>
    </row>
    <row r="184" spans="1:10">
      <c r="A184" s="1">
        <f t="shared" si="15"/>
        <v>32832</v>
      </c>
      <c r="B184">
        <f t="shared" si="16"/>
        <v>1222.2958573007766</v>
      </c>
      <c r="C184">
        <f>day_length(F184,$B$1,Fitting!$B$4)</f>
        <v>14.789955139160156</v>
      </c>
      <c r="D184" s="1">
        <f t="shared" si="17"/>
        <v>32832</v>
      </c>
      <c r="E184">
        <f t="shared" si="18"/>
        <v>1989</v>
      </c>
      <c r="F184" s="6">
        <f t="shared" si="19"/>
        <v>324</v>
      </c>
      <c r="G184">
        <v>34</v>
      </c>
      <c r="H184">
        <v>10.4</v>
      </c>
      <c r="I184">
        <f>MAX(0,1-Fitting!$B$7*(Fitting!$B$6-Herm8889!C184)^2)</f>
        <v>0.70289436073360412</v>
      </c>
      <c r="J184">
        <f>tt(G184,H184,Fitting!$B$1:$E$1,Fitting!$B$2:$E$2)*I184</f>
        <v>13.785488300330012</v>
      </c>
    </row>
    <row r="185" spans="1:10">
      <c r="A185" s="1">
        <f t="shared" si="15"/>
        <v>32833</v>
      </c>
      <c r="B185">
        <f t="shared" si="16"/>
        <v>1235.1858423809983</v>
      </c>
      <c r="C185">
        <f>day_length(F185,$B$1,Fitting!$B$4)</f>
        <v>14.81261157989502</v>
      </c>
      <c r="D185" s="1">
        <f t="shared" si="17"/>
        <v>32833</v>
      </c>
      <c r="E185">
        <f t="shared" si="18"/>
        <v>1989</v>
      </c>
      <c r="F185" s="6">
        <f t="shared" si="19"/>
        <v>325</v>
      </c>
      <c r="G185">
        <v>38.6</v>
      </c>
      <c r="H185">
        <v>15.9</v>
      </c>
      <c r="I185">
        <f>MAX(0,1-Fitting!$B$7*(Fitting!$B$6-Herm8889!C185)^2)</f>
        <v>0.70514381726237474</v>
      </c>
      <c r="J185">
        <f>tt(G185,H185,Fitting!$B$1:$E$1,Fitting!$B$2:$E$2)*I185</f>
        <v>12.889985080221884</v>
      </c>
    </row>
    <row r="186" spans="1:10">
      <c r="A186" s="1">
        <f t="shared" si="15"/>
        <v>32834</v>
      </c>
      <c r="B186">
        <f t="shared" si="16"/>
        <v>1250.5526953188858</v>
      </c>
      <c r="C186">
        <f>day_length(F186,$B$1,Fitting!$B$4)</f>
        <v>14.834718704223633</v>
      </c>
      <c r="D186" s="1">
        <f t="shared" si="17"/>
        <v>32834</v>
      </c>
      <c r="E186">
        <f t="shared" si="18"/>
        <v>1989</v>
      </c>
      <c r="F186" s="6">
        <f t="shared" si="19"/>
        <v>326</v>
      </c>
      <c r="G186">
        <v>31.2</v>
      </c>
      <c r="H186">
        <v>12.9</v>
      </c>
      <c r="I186">
        <f>MAX(0,1-Fitting!$B$7*(Fitting!$B$6-Herm8889!C186)^2)</f>
        <v>0.70736610421764823</v>
      </c>
      <c r="J186">
        <f>tt(G186,H186,Fitting!$B$1:$E$1,Fitting!$B$2:$E$2)*I186</f>
        <v>15.366852937887503</v>
      </c>
    </row>
    <row r="187" spans="1:10">
      <c r="A187" s="1">
        <f t="shared" si="15"/>
        <v>32835</v>
      </c>
      <c r="B187">
        <f t="shared" si="16"/>
        <v>1263.8569587574721</v>
      </c>
      <c r="C187">
        <f>day_length(F187,$B$1,Fitting!$B$4)</f>
        <v>14.85626220703125</v>
      </c>
      <c r="D187" s="1">
        <f t="shared" si="17"/>
        <v>32835</v>
      </c>
      <c r="E187">
        <f t="shared" si="18"/>
        <v>1989</v>
      </c>
      <c r="F187" s="6">
        <f t="shared" si="19"/>
        <v>327</v>
      </c>
      <c r="G187">
        <v>27.9</v>
      </c>
      <c r="H187">
        <v>9.6</v>
      </c>
      <c r="I187">
        <f>MAX(0,1-Fitting!$B$7*(Fitting!$B$6-Herm8889!C187)^2)</f>
        <v>0.7095607167246053</v>
      </c>
      <c r="J187">
        <f>tt(G187,H187,Fitting!$B$1:$E$1,Fitting!$B$2:$E$2)*I187</f>
        <v>13.30426343858635</v>
      </c>
    </row>
    <row r="188" spans="1:10">
      <c r="A188" s="1">
        <f t="shared" si="15"/>
        <v>32836</v>
      </c>
      <c r="B188">
        <f t="shared" si="16"/>
        <v>1278.7320461585646</v>
      </c>
      <c r="C188">
        <f>day_length(F188,$B$1,Fitting!$B$4)</f>
        <v>14.877229690551758</v>
      </c>
      <c r="D188" s="1">
        <f t="shared" si="17"/>
        <v>32836</v>
      </c>
      <c r="E188">
        <f t="shared" si="18"/>
        <v>1989</v>
      </c>
      <c r="F188" s="6">
        <f t="shared" si="19"/>
        <v>328</v>
      </c>
      <c r="G188">
        <v>30.1</v>
      </c>
      <c r="H188">
        <v>11.7</v>
      </c>
      <c r="I188">
        <f>MAX(0,1-Fitting!$B$7*(Fitting!$B$6-Herm8889!C188)^2)</f>
        <v>0.71172668289926522</v>
      </c>
      <c r="J188">
        <f>tt(G188,H188,Fitting!$B$1:$E$1,Fitting!$B$2:$E$2)*I188</f>
        <v>14.875087401092459</v>
      </c>
    </row>
    <row r="189" spans="1:10">
      <c r="A189" s="1">
        <f t="shared" si="15"/>
        <v>32837</v>
      </c>
      <c r="B189">
        <f t="shared" si="16"/>
        <v>1294.3840908938159</v>
      </c>
      <c r="C189">
        <f>day_length(F189,$B$1,Fitting!$B$4)</f>
        <v>14.89760684967041</v>
      </c>
      <c r="D189" s="1">
        <f t="shared" si="17"/>
        <v>32837</v>
      </c>
      <c r="E189">
        <f t="shared" si="18"/>
        <v>1989</v>
      </c>
      <c r="F189" s="6">
        <f t="shared" si="19"/>
        <v>329</v>
      </c>
      <c r="G189">
        <v>35.1</v>
      </c>
      <c r="H189">
        <v>18.2</v>
      </c>
      <c r="I189">
        <f>MAX(0,1-Fitting!$B$7*(Fitting!$B$6-Herm8889!C189)^2)</f>
        <v>0.71386367886434887</v>
      </c>
      <c r="J189">
        <f>tt(G189,H189,Fitting!$B$1:$E$1,Fitting!$B$2:$E$2)*I189</f>
        <v>15.652044735251287</v>
      </c>
    </row>
    <row r="190" spans="1:10">
      <c r="A190" s="1">
        <f t="shared" si="15"/>
        <v>32838</v>
      </c>
      <c r="B190">
        <f t="shared" si="16"/>
        <v>1308.5872086984709</v>
      </c>
      <c r="C190">
        <f>day_length(F190,$B$1,Fitting!$B$4)</f>
        <v>14.91738224029541</v>
      </c>
      <c r="D190" s="1">
        <f t="shared" si="17"/>
        <v>32838</v>
      </c>
      <c r="E190">
        <f t="shared" si="18"/>
        <v>1989</v>
      </c>
      <c r="F190" s="6">
        <f t="shared" si="19"/>
        <v>330</v>
      </c>
      <c r="G190">
        <v>36.4</v>
      </c>
      <c r="H190">
        <v>15.1</v>
      </c>
      <c r="I190">
        <f>MAX(0,1-Fitting!$B$7*(Fitting!$B$6-Herm8889!C190)^2)</f>
        <v>0.7159709143175077</v>
      </c>
      <c r="J190">
        <f>tt(G190,H190,Fitting!$B$1:$E$1,Fitting!$B$2:$E$2)*I190</f>
        <v>14.203117804655101</v>
      </c>
    </row>
    <row r="191" spans="1:10">
      <c r="A191" s="1">
        <f t="shared" si="15"/>
        <v>32839</v>
      </c>
      <c r="B191">
        <f t="shared" si="16"/>
        <v>1325.5775404261112</v>
      </c>
      <c r="C191">
        <f>day_length(F191,$B$1,Fitting!$B$4)</f>
        <v>14.936538696289063</v>
      </c>
      <c r="D191" s="1">
        <f t="shared" si="17"/>
        <v>32839</v>
      </c>
      <c r="E191">
        <f t="shared" si="18"/>
        <v>1989</v>
      </c>
      <c r="F191" s="6">
        <f t="shared" si="19"/>
        <v>331</v>
      </c>
      <c r="G191">
        <v>31.3</v>
      </c>
      <c r="H191">
        <v>16.899999999999999</v>
      </c>
      <c r="I191">
        <f>MAX(0,1-Fitting!$B$7*(Fitting!$B$6-Herm8889!C191)^2)</f>
        <v>0.71804776858140396</v>
      </c>
      <c r="J191">
        <f>tt(G191,H191,Fitting!$B$1:$E$1,Fitting!$B$2:$E$2)*I191</f>
        <v>16.990331727640282</v>
      </c>
    </row>
    <row r="192" spans="1:10">
      <c r="A192" s="1">
        <f t="shared" si="15"/>
        <v>32840</v>
      </c>
      <c r="B192">
        <f t="shared" si="16"/>
        <v>1337.7831239980335</v>
      </c>
      <c r="C192">
        <f>day_length(F192,$B$1,Fitting!$B$4)</f>
        <v>14.95506763458252</v>
      </c>
      <c r="D192" s="1">
        <f t="shared" si="17"/>
        <v>32840</v>
      </c>
      <c r="E192">
        <f t="shared" si="18"/>
        <v>1989</v>
      </c>
      <c r="F192" s="6">
        <f t="shared" si="19"/>
        <v>332</v>
      </c>
      <c r="G192">
        <v>25.7</v>
      </c>
      <c r="H192">
        <v>8.1999999999999993</v>
      </c>
      <c r="I192">
        <f>MAX(0,1-Fitting!$B$7*(Fitting!$B$6-Herm8889!C192)^2)</f>
        <v>0.72009347469048945</v>
      </c>
      <c r="J192">
        <f>tt(G192,H192,Fitting!$B$1:$E$1,Fitting!$B$2:$E$2)*I192</f>
        <v>12.205583571922213</v>
      </c>
    </row>
    <row r="193" spans="1:6">
      <c r="A193" s="1"/>
      <c r="D193" s="1"/>
      <c r="F193" s="6"/>
    </row>
    <row r="194" spans="1:6">
      <c r="A194" s="1"/>
      <c r="D194" s="1"/>
      <c r="F194" s="6"/>
    </row>
    <row r="195" spans="1:6">
      <c r="A195" s="1"/>
      <c r="D195" s="1"/>
      <c r="F195" s="6"/>
    </row>
    <row r="196" spans="1:6">
      <c r="A196" s="1"/>
      <c r="D196" s="1"/>
      <c r="F196" s="6"/>
    </row>
    <row r="197" spans="1:6">
      <c r="A197" s="1"/>
      <c r="D197" s="1"/>
      <c r="F197" s="6"/>
    </row>
    <row r="198" spans="1:6">
      <c r="A198" s="1"/>
      <c r="D198" s="1"/>
      <c r="F198" s="6"/>
    </row>
    <row r="199" spans="1:6">
      <c r="A199" s="1"/>
      <c r="D199" s="1"/>
      <c r="F199" s="6"/>
    </row>
    <row r="200" spans="1:6">
      <c r="A200" s="1"/>
      <c r="D200" s="1"/>
      <c r="F200" s="6"/>
    </row>
    <row r="201" spans="1:6">
      <c r="A201" s="1"/>
      <c r="D201" s="1"/>
      <c r="F201" s="6"/>
    </row>
    <row r="202" spans="1:6">
      <c r="A202" s="1"/>
      <c r="D202" s="1"/>
      <c r="F202" s="6"/>
    </row>
    <row r="203" spans="1:6">
      <c r="A203" s="1"/>
      <c r="D203" s="1"/>
      <c r="F203" s="6"/>
    </row>
    <row r="204" spans="1:6">
      <c r="A204" s="1"/>
      <c r="D204" s="1"/>
      <c r="F204" s="6"/>
    </row>
    <row r="205" spans="1:6">
      <c r="A205" s="1"/>
      <c r="D205" s="1"/>
      <c r="F205" s="6"/>
    </row>
    <row r="206" spans="1:6">
      <c r="A206" s="1"/>
      <c r="D206" s="1"/>
      <c r="F206" s="6"/>
    </row>
    <row r="207" spans="1:6">
      <c r="A207" s="1"/>
      <c r="D207" s="1"/>
      <c r="F207" s="6"/>
    </row>
    <row r="208" spans="1:6">
      <c r="A208" s="1"/>
      <c r="D208" s="1"/>
      <c r="F208" s="6"/>
    </row>
    <row r="209" spans="1:6">
      <c r="A209" s="1"/>
      <c r="D209" s="1"/>
      <c r="F209" s="6"/>
    </row>
    <row r="210" spans="1:6">
      <c r="A210" s="1"/>
      <c r="D210" s="1"/>
      <c r="F210" s="6"/>
    </row>
    <row r="211" spans="1:6">
      <c r="A211" s="1"/>
      <c r="D211" s="1"/>
      <c r="F211" s="6"/>
    </row>
    <row r="212" spans="1:6">
      <c r="A212" s="1"/>
      <c r="D212" s="1"/>
      <c r="F212" s="6"/>
    </row>
    <row r="213" spans="1:6">
      <c r="A213" s="1"/>
      <c r="D213" s="1"/>
      <c r="F213" s="6"/>
    </row>
    <row r="214" spans="1:6">
      <c r="A214" s="1"/>
      <c r="D214" s="1"/>
      <c r="F214" s="6"/>
    </row>
    <row r="215" spans="1:6">
      <c r="A215" s="1"/>
      <c r="D215" s="1"/>
      <c r="F215" s="6"/>
    </row>
    <row r="216" spans="1:6">
      <c r="A216" s="1"/>
      <c r="D216" s="1"/>
      <c r="F216" s="6"/>
    </row>
    <row r="217" spans="1:6">
      <c r="A217" s="1"/>
      <c r="D217" s="1"/>
      <c r="F217" s="6"/>
    </row>
    <row r="218" spans="1:6">
      <c r="A218" s="1"/>
      <c r="D218" s="1"/>
      <c r="F218" s="6"/>
    </row>
    <row r="219" spans="1:6">
      <c r="A219" s="1"/>
      <c r="D219" s="1"/>
      <c r="F219" s="6"/>
    </row>
    <row r="220" spans="1:6">
      <c r="A220" s="1"/>
      <c r="D220" s="1"/>
      <c r="F220" s="6"/>
    </row>
    <row r="221" spans="1:6">
      <c r="A221" s="1"/>
      <c r="D221" s="1"/>
      <c r="F221" s="6"/>
    </row>
    <row r="222" spans="1:6">
      <c r="A222" s="1"/>
      <c r="D222" s="1"/>
      <c r="F222" s="6"/>
    </row>
    <row r="223" spans="1:6">
      <c r="A223" s="1"/>
      <c r="D223" s="1"/>
      <c r="F223" s="6"/>
    </row>
    <row r="224" spans="1:6">
      <c r="A224" s="1"/>
      <c r="D224" s="1"/>
      <c r="F224" s="6"/>
    </row>
    <row r="225" spans="1:6">
      <c r="A225" s="1"/>
      <c r="D225" s="1"/>
      <c r="F225" s="6"/>
    </row>
    <row r="226" spans="1:6">
      <c r="A226" s="1"/>
      <c r="D226" s="1"/>
      <c r="F226" s="6"/>
    </row>
    <row r="227" spans="1:6">
      <c r="A227" s="1"/>
      <c r="D227" s="1"/>
      <c r="F227" s="6"/>
    </row>
    <row r="228" spans="1:6">
      <c r="A228" s="1"/>
      <c r="D228" s="1"/>
      <c r="F228" s="6"/>
    </row>
    <row r="229" spans="1:6">
      <c r="A229" s="1"/>
      <c r="D229" s="1"/>
      <c r="F229" s="6"/>
    </row>
    <row r="230" spans="1:6">
      <c r="A230" s="1"/>
      <c r="D230" s="1"/>
      <c r="F230" s="6"/>
    </row>
    <row r="231" spans="1:6">
      <c r="A231" s="1"/>
      <c r="D231" s="1"/>
      <c r="F231" s="6"/>
    </row>
    <row r="232" spans="1:6">
      <c r="A232" s="1"/>
      <c r="D232" s="1"/>
      <c r="F232" s="6"/>
    </row>
    <row r="233" spans="1:6">
      <c r="A233" s="1"/>
      <c r="D233" s="1"/>
      <c r="F233" s="6"/>
    </row>
    <row r="234" spans="1:6">
      <c r="A234" s="1"/>
      <c r="D234" s="1"/>
      <c r="F234" s="6"/>
    </row>
    <row r="235" spans="1:6">
      <c r="A235" s="1"/>
      <c r="D235" s="1"/>
      <c r="F235" s="6"/>
    </row>
    <row r="236" spans="1:6">
      <c r="A236" s="1"/>
      <c r="D236" s="1"/>
      <c r="F236" s="6"/>
    </row>
    <row r="237" spans="1:6">
      <c r="A237" s="1"/>
      <c r="D237" s="1"/>
      <c r="F237" s="6"/>
    </row>
    <row r="238" spans="1:6">
      <c r="A238" s="1"/>
      <c r="D238" s="1"/>
      <c r="F238" s="6"/>
    </row>
    <row r="239" spans="1:6">
      <c r="A239" s="1"/>
      <c r="D239" s="1"/>
      <c r="F239" s="6"/>
    </row>
    <row r="240" spans="1:6">
      <c r="A240" s="1"/>
      <c r="D240" s="1"/>
      <c r="F240" s="6"/>
    </row>
    <row r="241" spans="1:6">
      <c r="A241" s="1"/>
      <c r="D241" s="1"/>
      <c r="F241" s="6"/>
    </row>
    <row r="242" spans="1:6">
      <c r="A242" s="1"/>
      <c r="D242" s="1"/>
      <c r="F242" s="6"/>
    </row>
    <row r="243" spans="1:6">
      <c r="A243" s="1"/>
      <c r="D243" s="1"/>
      <c r="F243" s="6"/>
    </row>
    <row r="244" spans="1:6">
      <c r="A244" s="1"/>
      <c r="D244" s="1"/>
      <c r="F244" s="6"/>
    </row>
    <row r="245" spans="1:6">
      <c r="A245" s="1"/>
      <c r="D245" s="1"/>
      <c r="F245" s="6"/>
    </row>
    <row r="246" spans="1:6">
      <c r="A246" s="1"/>
      <c r="D246" s="1"/>
      <c r="F246" s="6"/>
    </row>
    <row r="247" spans="1:6">
      <c r="A247" s="1"/>
      <c r="D247" s="1"/>
      <c r="F247" s="6"/>
    </row>
    <row r="248" spans="1:6">
      <c r="A248" s="1"/>
      <c r="D248" s="1"/>
      <c r="F248" s="6"/>
    </row>
    <row r="249" spans="1:6">
      <c r="A249" s="1"/>
      <c r="D249" s="1"/>
      <c r="F249" s="6"/>
    </row>
    <row r="250" spans="1:6">
      <c r="A250" s="1"/>
      <c r="D250" s="1"/>
      <c r="F250" s="6"/>
    </row>
    <row r="251" spans="1:6">
      <c r="A251" s="1"/>
      <c r="D251" s="1"/>
      <c r="F251" s="6"/>
    </row>
    <row r="252" spans="1:6">
      <c r="A252" s="1"/>
      <c r="D252" s="1"/>
      <c r="F252" s="6"/>
    </row>
    <row r="253" spans="1:6">
      <c r="A253" s="1"/>
      <c r="D253" s="1"/>
      <c r="F253" s="6"/>
    </row>
    <row r="254" spans="1:6">
      <c r="A254" s="1"/>
      <c r="D254" s="1"/>
      <c r="F254" s="6"/>
    </row>
    <row r="255" spans="1:6">
      <c r="A255" s="1"/>
      <c r="D255" s="1"/>
      <c r="F255" s="6"/>
    </row>
    <row r="256" spans="1:6">
      <c r="A256" s="1"/>
      <c r="D256" s="1"/>
      <c r="F256" s="6"/>
    </row>
    <row r="257" spans="1:6">
      <c r="A257" s="1"/>
      <c r="D257" s="1"/>
      <c r="F257" s="6"/>
    </row>
    <row r="258" spans="1:6">
      <c r="A258" s="1"/>
      <c r="D258" s="1"/>
      <c r="F258" s="6"/>
    </row>
    <row r="259" spans="1:6">
      <c r="A259" s="1"/>
      <c r="D259" s="1"/>
      <c r="F259" s="6"/>
    </row>
    <row r="260" spans="1:6">
      <c r="A260" s="1"/>
      <c r="D260" s="1"/>
      <c r="F260" s="6"/>
    </row>
    <row r="261" spans="1:6">
      <c r="A261" s="1"/>
      <c r="D261" s="1"/>
      <c r="F261" s="6"/>
    </row>
    <row r="262" spans="1:6">
      <c r="A262" s="1"/>
      <c r="D262" s="1"/>
      <c r="F262" s="6"/>
    </row>
    <row r="263" spans="1:6">
      <c r="A263" s="1"/>
      <c r="D263" s="1"/>
      <c r="F263" s="6"/>
    </row>
    <row r="264" spans="1:6">
      <c r="A264" s="1"/>
      <c r="D264" s="1"/>
      <c r="F264" s="6"/>
    </row>
    <row r="265" spans="1:6">
      <c r="A265" s="1"/>
      <c r="D265" s="1"/>
      <c r="F265" s="6"/>
    </row>
    <row r="266" spans="1:6">
      <c r="A266" s="1"/>
      <c r="D266" s="1"/>
      <c r="F266" s="6"/>
    </row>
    <row r="267" spans="1:6">
      <c r="A267" s="1"/>
      <c r="D267" s="1"/>
      <c r="F267" s="6"/>
    </row>
    <row r="268" spans="1:6">
      <c r="A268" s="1"/>
      <c r="D268" s="1"/>
      <c r="F268" s="6"/>
    </row>
    <row r="269" spans="1:6">
      <c r="A269" s="1"/>
      <c r="D269" s="1"/>
      <c r="F269" s="6"/>
    </row>
    <row r="270" spans="1:6">
      <c r="A270" s="1"/>
      <c r="D270" s="1"/>
      <c r="F270" s="6"/>
    </row>
    <row r="271" spans="1:6">
      <c r="A271" s="1"/>
      <c r="D271" s="1"/>
      <c r="F271" s="6"/>
    </row>
    <row r="272" spans="1:6">
      <c r="A272" s="1"/>
      <c r="D272" s="1"/>
      <c r="F272" s="6"/>
    </row>
    <row r="273" spans="1:6">
      <c r="A273" s="1"/>
      <c r="D273" s="1"/>
      <c r="F273" s="6"/>
    </row>
    <row r="274" spans="1:6">
      <c r="A274" s="1"/>
      <c r="D274" s="1"/>
      <c r="F274" s="6"/>
    </row>
    <row r="275" spans="1:6">
      <c r="A275" s="1"/>
      <c r="D275" s="1"/>
      <c r="F275" s="6"/>
    </row>
    <row r="276" spans="1:6">
      <c r="A276" s="1"/>
      <c r="D276" s="1"/>
      <c r="F276" s="6"/>
    </row>
    <row r="277" spans="1:6">
      <c r="A277" s="1"/>
      <c r="D277" s="1"/>
      <c r="F277" s="6"/>
    </row>
    <row r="278" spans="1:6">
      <c r="A278" s="1"/>
      <c r="D278" s="1"/>
      <c r="F278" s="6"/>
    </row>
    <row r="279" spans="1:6">
      <c r="A279" s="1"/>
      <c r="D279" s="1"/>
      <c r="F279" s="6"/>
    </row>
    <row r="280" spans="1:6">
      <c r="A280" s="1"/>
      <c r="D280" s="1"/>
      <c r="F280" s="6"/>
    </row>
    <row r="281" spans="1:6">
      <c r="A281" s="1"/>
      <c r="D281" s="1"/>
      <c r="F281" s="6"/>
    </row>
    <row r="282" spans="1:6">
      <c r="A282" s="1"/>
      <c r="D282" s="1"/>
      <c r="F282" s="6"/>
    </row>
    <row r="283" spans="1:6">
      <c r="A283" s="1"/>
      <c r="D283" s="1"/>
      <c r="F283" s="6"/>
    </row>
    <row r="284" spans="1:6">
      <c r="A284" s="1"/>
      <c r="D284" s="1"/>
      <c r="F284" s="6"/>
    </row>
    <row r="285" spans="1:6">
      <c r="A285" s="1"/>
      <c r="D285" s="1"/>
      <c r="F285" s="6"/>
    </row>
    <row r="286" spans="1:6">
      <c r="A286" s="1"/>
      <c r="D286" s="1"/>
      <c r="F286" s="6"/>
    </row>
    <row r="287" spans="1:6">
      <c r="A287" s="1"/>
      <c r="D287" s="1"/>
      <c r="F287" s="6"/>
    </row>
    <row r="288" spans="1:6">
      <c r="A288" s="1"/>
      <c r="D288" s="1"/>
      <c r="F288" s="6"/>
    </row>
    <row r="289" spans="1:6">
      <c r="A289" s="1"/>
      <c r="D289" s="1"/>
      <c r="F289" s="6"/>
    </row>
    <row r="290" spans="1:6">
      <c r="A290" s="1"/>
      <c r="D290" s="1"/>
      <c r="F290" s="6"/>
    </row>
    <row r="291" spans="1:6">
      <c r="A291" s="1"/>
      <c r="D291" s="1"/>
      <c r="F291" s="6"/>
    </row>
    <row r="292" spans="1:6">
      <c r="A292" s="1"/>
      <c r="D292" s="1"/>
      <c r="F292" s="6"/>
    </row>
    <row r="293" spans="1:6">
      <c r="A293" s="1"/>
      <c r="D293" s="1"/>
      <c r="F293" s="6"/>
    </row>
    <row r="294" spans="1:6">
      <c r="A294" s="1"/>
      <c r="D294" s="1"/>
      <c r="F294" s="6"/>
    </row>
    <row r="295" spans="1:6">
      <c r="A295" s="1"/>
      <c r="D295" s="1"/>
      <c r="F295" s="6"/>
    </row>
    <row r="296" spans="1:6">
      <c r="A296" s="1"/>
      <c r="D296" s="1"/>
      <c r="F296" s="6"/>
    </row>
    <row r="297" spans="1:6">
      <c r="A297" s="1"/>
      <c r="D297" s="1"/>
      <c r="F297" s="6"/>
    </row>
    <row r="298" spans="1:6">
      <c r="A298" s="1"/>
      <c r="D298" s="1"/>
      <c r="F298" s="6"/>
    </row>
    <row r="299" spans="1:6">
      <c r="A299" s="1"/>
      <c r="D299" s="1"/>
      <c r="F299" s="6"/>
    </row>
    <row r="300" spans="1:6">
      <c r="A300" s="1"/>
      <c r="D300" s="1"/>
      <c r="F300" s="6"/>
    </row>
    <row r="301" spans="1:6">
      <c r="A301" s="1"/>
      <c r="D301" s="1"/>
      <c r="F301" s="6"/>
    </row>
    <row r="302" spans="1:6">
      <c r="A302" s="1"/>
      <c r="D302" s="1"/>
      <c r="F302" s="6"/>
    </row>
    <row r="303" spans="1:6">
      <c r="A303" s="1"/>
      <c r="D303" s="1"/>
      <c r="F303" s="6"/>
    </row>
    <row r="304" spans="1:6">
      <c r="A304" s="1"/>
      <c r="D304" s="1"/>
      <c r="F304" s="6"/>
    </row>
    <row r="305" spans="1:6">
      <c r="A305" s="1"/>
      <c r="D305" s="1"/>
      <c r="F305" s="6"/>
    </row>
    <row r="306" spans="1:6">
      <c r="A306" s="1"/>
      <c r="D306" s="1"/>
      <c r="F306" s="6"/>
    </row>
    <row r="307" spans="1:6">
      <c r="A307" s="1"/>
      <c r="D307" s="1"/>
      <c r="F307" s="6"/>
    </row>
    <row r="308" spans="1:6">
      <c r="A308" s="1"/>
      <c r="D308" s="1"/>
      <c r="F308" s="6"/>
    </row>
    <row r="309" spans="1:6">
      <c r="A309" s="1"/>
      <c r="D309" s="1"/>
      <c r="F309" s="6"/>
    </row>
    <row r="310" spans="1:6">
      <c r="A310" s="1"/>
      <c r="D310" s="1"/>
      <c r="F310" s="6"/>
    </row>
    <row r="311" spans="1:6">
      <c r="A311" s="1"/>
      <c r="D311" s="1"/>
      <c r="F311" s="6"/>
    </row>
    <row r="312" spans="1:6">
      <c r="A312" s="1"/>
      <c r="D312" s="1"/>
      <c r="F312" s="6"/>
    </row>
    <row r="313" spans="1:6">
      <c r="A313" s="1"/>
      <c r="D313" s="1"/>
      <c r="F313" s="6"/>
    </row>
    <row r="314" spans="1:6">
      <c r="A314" s="1"/>
      <c r="D314" s="1"/>
      <c r="F314" s="6"/>
    </row>
    <row r="315" spans="1:6">
      <c r="A315" s="1"/>
      <c r="D315" s="1"/>
      <c r="F315" s="6"/>
    </row>
    <row r="316" spans="1:6">
      <c r="A316" s="1"/>
      <c r="D316" s="1"/>
      <c r="F316" s="6"/>
    </row>
    <row r="317" spans="1:6">
      <c r="A317" s="1"/>
      <c r="D317" s="1"/>
      <c r="F317" s="6"/>
    </row>
    <row r="318" spans="1:6">
      <c r="A318" s="1"/>
      <c r="D318" s="1"/>
      <c r="F318" s="6"/>
    </row>
    <row r="319" spans="1:6">
      <c r="A319" s="1"/>
      <c r="D319" s="1"/>
      <c r="F319" s="6"/>
    </row>
    <row r="320" spans="1:6">
      <c r="A320" s="1"/>
      <c r="D320" s="1"/>
      <c r="F320" s="6"/>
    </row>
    <row r="321" spans="1:6">
      <c r="A321" s="1"/>
      <c r="D321" s="1"/>
      <c r="F321" s="6"/>
    </row>
    <row r="322" spans="1:6">
      <c r="A322" s="1"/>
      <c r="D322" s="1"/>
      <c r="F322" s="6"/>
    </row>
    <row r="323" spans="1:6">
      <c r="A323" s="1"/>
      <c r="D323" s="1"/>
      <c r="F323" s="6"/>
    </row>
    <row r="324" spans="1:6">
      <c r="A324" s="1"/>
      <c r="D324" s="1"/>
      <c r="F324" s="6"/>
    </row>
    <row r="325" spans="1:6">
      <c r="A325" s="1"/>
      <c r="D325" s="1"/>
      <c r="F325" s="6"/>
    </row>
    <row r="326" spans="1:6">
      <c r="A326" s="1"/>
      <c r="D326" s="1"/>
      <c r="F326" s="6"/>
    </row>
    <row r="327" spans="1:6">
      <c r="A327" s="1"/>
      <c r="D327" s="1"/>
      <c r="F327" s="6"/>
    </row>
    <row r="328" spans="1:6">
      <c r="A328" s="1"/>
      <c r="D328" s="1"/>
      <c r="F328" s="6"/>
    </row>
    <row r="329" spans="1:6">
      <c r="A329" s="1"/>
      <c r="D329" s="1"/>
      <c r="F329" s="6"/>
    </row>
    <row r="330" spans="1:6">
      <c r="A330" s="1"/>
      <c r="D330" s="1"/>
      <c r="F330" s="6"/>
    </row>
    <row r="331" spans="1:6">
      <c r="A331" s="1"/>
      <c r="D331" s="1"/>
      <c r="F331" s="6"/>
    </row>
    <row r="332" spans="1:6">
      <c r="A332" s="1"/>
      <c r="D332" s="1"/>
      <c r="F332" s="6"/>
    </row>
    <row r="333" spans="1:6">
      <c r="A333" s="1"/>
      <c r="D333" s="1"/>
      <c r="F333" s="6"/>
    </row>
    <row r="334" spans="1:6">
      <c r="A334" s="1"/>
      <c r="D334" s="1"/>
      <c r="F334" s="6"/>
    </row>
    <row r="335" spans="1:6">
      <c r="A335" s="1"/>
      <c r="D335" s="1"/>
      <c r="F335" s="6"/>
    </row>
    <row r="336" spans="1:6">
      <c r="A336" s="1"/>
      <c r="D336" s="1"/>
      <c r="F336" s="6"/>
    </row>
    <row r="337" spans="1:6">
      <c r="A337" s="1"/>
      <c r="D337" s="1"/>
      <c r="F337" s="6"/>
    </row>
    <row r="338" spans="1:6">
      <c r="A338" s="1"/>
      <c r="D338" s="1"/>
      <c r="F338" s="6"/>
    </row>
    <row r="339" spans="1:6">
      <c r="A339" s="1"/>
      <c r="D339" s="1"/>
      <c r="F339" s="6"/>
    </row>
    <row r="340" spans="1:6">
      <c r="A340" s="1"/>
      <c r="D340" s="1"/>
      <c r="F340" s="6"/>
    </row>
    <row r="341" spans="1:6">
      <c r="A341" s="1"/>
      <c r="D341" s="1"/>
      <c r="F341" s="6"/>
    </row>
    <row r="342" spans="1:6">
      <c r="A342" s="1"/>
      <c r="D342" s="1"/>
      <c r="F342" s="6"/>
    </row>
    <row r="343" spans="1:6">
      <c r="A343" s="1"/>
      <c r="D343" s="1"/>
      <c r="F343" s="6"/>
    </row>
    <row r="344" spans="1:6">
      <c r="A344" s="1"/>
      <c r="D344" s="1"/>
      <c r="F344" s="6"/>
    </row>
    <row r="345" spans="1:6">
      <c r="A345" s="1"/>
      <c r="D345" s="1"/>
      <c r="F345" s="6"/>
    </row>
    <row r="346" spans="1:6">
      <c r="A346" s="1"/>
      <c r="D346" s="1"/>
      <c r="F346" s="6"/>
    </row>
    <row r="347" spans="1:6">
      <c r="A347" s="1"/>
      <c r="D347" s="1"/>
      <c r="F347" s="6"/>
    </row>
    <row r="348" spans="1:6">
      <c r="A348" s="1"/>
      <c r="D348" s="1"/>
      <c r="F348" s="6"/>
    </row>
    <row r="349" spans="1:6">
      <c r="A349" s="1"/>
      <c r="D349" s="1"/>
      <c r="F349" s="6"/>
    </row>
    <row r="350" spans="1:6">
      <c r="A350" s="1"/>
      <c r="D350" s="1"/>
      <c r="F350" s="6"/>
    </row>
    <row r="351" spans="1:6">
      <c r="A351" s="1"/>
      <c r="D351" s="1"/>
      <c r="F351" s="6"/>
    </row>
    <row r="352" spans="1:6">
      <c r="A352" s="1"/>
      <c r="D352" s="1"/>
      <c r="F352" s="6"/>
    </row>
    <row r="353" spans="1:6">
      <c r="A353" s="1"/>
      <c r="D353" s="1"/>
      <c r="F353" s="6"/>
    </row>
    <row r="354" spans="1:6">
      <c r="A354" s="1"/>
      <c r="D354" s="1"/>
      <c r="F354" s="6"/>
    </row>
    <row r="355" spans="1:6">
      <c r="A355" s="1"/>
      <c r="D355" s="1"/>
      <c r="F355" s="6"/>
    </row>
    <row r="356" spans="1:6">
      <c r="A356" s="1"/>
      <c r="D356" s="1"/>
      <c r="F356" s="6"/>
    </row>
    <row r="357" spans="1:6">
      <c r="A357" s="1"/>
      <c r="D357" s="1"/>
      <c r="F357" s="6"/>
    </row>
    <row r="358" spans="1:6">
      <c r="A358" s="1"/>
      <c r="D358" s="1"/>
      <c r="F358" s="6"/>
    </row>
    <row r="359" spans="1:6">
      <c r="A359" s="1"/>
      <c r="D359" s="1"/>
      <c r="F359" s="6"/>
    </row>
    <row r="360" spans="1:6">
      <c r="A360" s="1"/>
      <c r="D360" s="1"/>
      <c r="F360" s="6"/>
    </row>
    <row r="361" spans="1:6">
      <c r="A361" s="1"/>
      <c r="D361" s="1"/>
      <c r="F361" s="6"/>
    </row>
    <row r="362" spans="1:6">
      <c r="A362" s="1"/>
      <c r="D362" s="1"/>
      <c r="F362" s="6"/>
    </row>
    <row r="363" spans="1:6">
      <c r="A363" s="1"/>
      <c r="D363" s="1"/>
      <c r="F363" s="6"/>
    </row>
    <row r="364" spans="1:6">
      <c r="A364" s="1"/>
      <c r="D364" s="1"/>
      <c r="F364" s="6"/>
    </row>
    <row r="365" spans="1:6">
      <c r="A365" s="1"/>
      <c r="D365" s="1"/>
      <c r="F365" s="6"/>
    </row>
    <row r="366" spans="1:6">
      <c r="A366" s="1"/>
      <c r="D366" s="1"/>
      <c r="F366" s="6"/>
    </row>
    <row r="367" spans="1:6">
      <c r="A367" s="1"/>
      <c r="D367" s="1"/>
      <c r="F367" s="6"/>
    </row>
    <row r="368" spans="1:6">
      <c r="A368" s="1"/>
      <c r="D368" s="1"/>
      <c r="F368" s="6"/>
    </row>
    <row r="369" spans="1:6">
      <c r="A369" s="1"/>
      <c r="D369" s="1"/>
      <c r="F369" s="6"/>
    </row>
    <row r="370" spans="1:6">
      <c r="A370" s="1"/>
      <c r="D370" s="1"/>
      <c r="F370" s="6"/>
    </row>
    <row r="371" spans="1:6">
      <c r="A371" s="1"/>
      <c r="D371" s="1"/>
      <c r="F371" s="6"/>
    </row>
    <row r="372" spans="1:6">
      <c r="A372" s="1"/>
      <c r="D372" s="1"/>
      <c r="F372" s="6"/>
    </row>
    <row r="373" spans="1:6">
      <c r="A373" s="1"/>
      <c r="D373" s="1"/>
      <c r="F373" s="6"/>
    </row>
    <row r="374" spans="1:6">
      <c r="A374" s="1"/>
      <c r="D374" s="1"/>
      <c r="F374" s="6"/>
    </row>
    <row r="375" spans="1:6">
      <c r="A375" s="1"/>
      <c r="D375" s="1"/>
      <c r="F375" s="6"/>
    </row>
    <row r="376" spans="1:6">
      <c r="A376" s="1"/>
      <c r="D376" s="1"/>
      <c r="F376" s="6"/>
    </row>
    <row r="377" spans="1:6">
      <c r="A377" s="1"/>
      <c r="D377" s="1"/>
      <c r="F377" s="6"/>
    </row>
    <row r="378" spans="1:6">
      <c r="A378" s="1"/>
      <c r="D378" s="1"/>
      <c r="F378" s="6"/>
    </row>
    <row r="379" spans="1:6">
      <c r="A379" s="1"/>
      <c r="D379" s="1"/>
      <c r="F379" s="6"/>
    </row>
    <row r="380" spans="1:6">
      <c r="A380" s="1"/>
      <c r="D380" s="1"/>
      <c r="F380" s="6"/>
    </row>
    <row r="381" spans="1:6">
      <c r="A381" s="1"/>
      <c r="D381" s="1"/>
      <c r="F381" s="6"/>
    </row>
    <row r="382" spans="1:6">
      <c r="A382" s="1"/>
      <c r="D382" s="1"/>
      <c r="F382" s="6"/>
    </row>
    <row r="383" spans="1:6">
      <c r="A383" s="1"/>
      <c r="D383" s="1"/>
      <c r="F383" s="6"/>
    </row>
    <row r="384" spans="1:6">
      <c r="A384" s="1"/>
      <c r="D384" s="1"/>
      <c r="F384" s="6"/>
    </row>
    <row r="385" spans="1:6">
      <c r="A385" s="1"/>
      <c r="D385" s="1"/>
      <c r="F385" s="6"/>
    </row>
    <row r="386" spans="1:6">
      <c r="A386" s="1"/>
      <c r="D386" s="1"/>
      <c r="F386" s="6"/>
    </row>
    <row r="387" spans="1:6">
      <c r="A387" s="1"/>
      <c r="D387" s="1"/>
      <c r="F387" s="6"/>
    </row>
    <row r="388" spans="1:6">
      <c r="A388" s="1"/>
      <c r="D388" s="1"/>
      <c r="F388" s="6"/>
    </row>
    <row r="389" spans="1:6">
      <c r="A389" s="1"/>
      <c r="D389" s="1"/>
      <c r="F389" s="6"/>
    </row>
    <row r="390" spans="1:6">
      <c r="A390" s="1"/>
      <c r="D390" s="1"/>
      <c r="F390" s="6"/>
    </row>
    <row r="391" spans="1:6">
      <c r="A391" s="1"/>
      <c r="D391" s="1"/>
      <c r="F391" s="6"/>
    </row>
    <row r="392" spans="1:6">
      <c r="A392" s="1"/>
      <c r="D392" s="1"/>
      <c r="F392" s="6"/>
    </row>
    <row r="393" spans="1:6">
      <c r="A393" s="1"/>
      <c r="D393" s="1"/>
      <c r="F393" s="6"/>
    </row>
    <row r="394" spans="1:6">
      <c r="A394" s="1"/>
      <c r="D394" s="1"/>
      <c r="F394" s="6"/>
    </row>
    <row r="395" spans="1:6">
      <c r="A395" s="1"/>
      <c r="D395" s="1"/>
      <c r="F395" s="6"/>
    </row>
    <row r="396" spans="1:6">
      <c r="A396" s="1"/>
      <c r="D396" s="1"/>
      <c r="F396" s="6"/>
    </row>
    <row r="397" spans="1:6">
      <c r="A397" s="1"/>
      <c r="D397" s="1"/>
      <c r="F397" s="6"/>
    </row>
    <row r="398" spans="1:6">
      <c r="A398" s="1"/>
      <c r="D398" s="1"/>
      <c r="F398" s="6"/>
    </row>
    <row r="399" spans="1:6">
      <c r="A399" s="1"/>
      <c r="D399" s="1"/>
      <c r="F399" s="6"/>
    </row>
    <row r="400" spans="1:6">
      <c r="A400" s="1"/>
      <c r="D400" s="1"/>
      <c r="F400" s="6"/>
    </row>
    <row r="401" spans="1:6">
      <c r="A401" s="1"/>
      <c r="D401" s="1"/>
      <c r="F401" s="6"/>
    </row>
    <row r="402" spans="1:6">
      <c r="A402" s="1"/>
      <c r="D402" s="1"/>
      <c r="F402" s="6"/>
    </row>
    <row r="403" spans="1:6">
      <c r="A403" s="1"/>
      <c r="D403" s="1"/>
      <c r="F403" s="6"/>
    </row>
    <row r="404" spans="1:6">
      <c r="A404" s="1"/>
      <c r="D404" s="1"/>
      <c r="F404" s="6"/>
    </row>
    <row r="405" spans="1:6">
      <c r="A405" s="1"/>
      <c r="D405" s="1"/>
      <c r="F405" s="6"/>
    </row>
    <row r="406" spans="1:6">
      <c r="A406" s="1"/>
      <c r="D406" s="1"/>
      <c r="F406" s="6"/>
    </row>
    <row r="407" spans="1:6">
      <c r="A407" s="1"/>
      <c r="D407" s="1"/>
      <c r="F407" s="6"/>
    </row>
    <row r="408" spans="1:6">
      <c r="A408" s="1"/>
      <c r="D408" s="1"/>
      <c r="F408" s="6"/>
    </row>
    <row r="409" spans="1:6">
      <c r="A409" s="1"/>
      <c r="D409" s="1"/>
      <c r="F409" s="6"/>
    </row>
    <row r="410" spans="1:6">
      <c r="A410" s="1"/>
      <c r="D410" s="1"/>
      <c r="F410" s="6"/>
    </row>
    <row r="411" spans="1:6">
      <c r="A411" s="1"/>
      <c r="D411" s="1"/>
      <c r="F411" s="6"/>
    </row>
    <row r="412" spans="1:6">
      <c r="A412" s="1"/>
      <c r="D412" s="1"/>
      <c r="F412" s="6"/>
    </row>
    <row r="413" spans="1:6">
      <c r="A413" s="1"/>
      <c r="D413" s="1"/>
      <c r="F413" s="6"/>
    </row>
    <row r="414" spans="1:6">
      <c r="A414" s="1"/>
      <c r="D414" s="1"/>
      <c r="F414" s="6"/>
    </row>
    <row r="415" spans="1:6">
      <c r="A415" s="1"/>
      <c r="D415" s="1"/>
      <c r="F415" s="6"/>
    </row>
    <row r="416" spans="1:6">
      <c r="A416" s="1"/>
      <c r="D416" s="1"/>
      <c r="F416" s="6"/>
    </row>
    <row r="417" spans="1:6">
      <c r="A417" s="1"/>
      <c r="D417" s="1"/>
      <c r="F417" s="6"/>
    </row>
    <row r="418" spans="1:6">
      <c r="A418" s="1"/>
      <c r="D418" s="1"/>
      <c r="F418" s="6"/>
    </row>
    <row r="419" spans="1:6">
      <c r="A419" s="1"/>
      <c r="D419" s="1"/>
      <c r="F419" s="6"/>
    </row>
    <row r="420" spans="1:6">
      <c r="A420" s="1"/>
      <c r="D420" s="1"/>
      <c r="F420" s="6"/>
    </row>
    <row r="421" spans="1:6">
      <c r="A421" s="1"/>
      <c r="D421" s="1"/>
      <c r="F421" s="6"/>
    </row>
    <row r="422" spans="1:6">
      <c r="A422" s="1"/>
      <c r="D422" s="1"/>
      <c r="F422" s="6"/>
    </row>
    <row r="423" spans="1:6">
      <c r="A423" s="1"/>
      <c r="D423" s="1"/>
      <c r="F423" s="6"/>
    </row>
    <row r="424" spans="1:6">
      <c r="A424" s="1"/>
      <c r="D424" s="1"/>
      <c r="F424" s="6"/>
    </row>
    <row r="425" spans="1:6">
      <c r="A425" s="1"/>
      <c r="D425" s="1"/>
      <c r="F425" s="6"/>
    </row>
    <row r="426" spans="1:6">
      <c r="A426" s="1"/>
      <c r="D426" s="1"/>
      <c r="F426" s="6"/>
    </row>
    <row r="427" spans="1:6">
      <c r="A427" s="1"/>
      <c r="D427" s="1"/>
      <c r="F427" s="6"/>
    </row>
    <row r="428" spans="1:6">
      <c r="A428" s="1"/>
      <c r="D428" s="1"/>
      <c r="F428" s="6"/>
    </row>
    <row r="429" spans="1:6">
      <c r="A429" s="1"/>
      <c r="D429" s="1"/>
      <c r="F429" s="6"/>
    </row>
    <row r="430" spans="1:6">
      <c r="A430" s="1"/>
      <c r="D430" s="1"/>
      <c r="F430" s="6"/>
    </row>
    <row r="431" spans="1:6">
      <c r="A431" s="1"/>
      <c r="D431" s="1"/>
      <c r="F431" s="6"/>
    </row>
    <row r="432" spans="1:6">
      <c r="A432" s="1"/>
      <c r="D432" s="1"/>
      <c r="F432" s="6"/>
    </row>
    <row r="433" spans="1:6">
      <c r="A433" s="1"/>
      <c r="D433" s="1"/>
      <c r="F433" s="6"/>
    </row>
    <row r="434" spans="1:6">
      <c r="A434" s="1"/>
      <c r="D434" s="1"/>
      <c r="F434" s="6"/>
    </row>
    <row r="435" spans="1:6">
      <c r="A435" s="1"/>
      <c r="D435" s="1"/>
      <c r="F435" s="6"/>
    </row>
    <row r="436" spans="1:6">
      <c r="A436" s="1"/>
      <c r="D436" s="1"/>
      <c r="F436" s="6"/>
    </row>
    <row r="437" spans="1:6">
      <c r="A437" s="1"/>
      <c r="D437" s="1"/>
      <c r="F437" s="6"/>
    </row>
    <row r="438" spans="1:6">
      <c r="A438" s="1"/>
      <c r="D438" s="1"/>
      <c r="F438" s="6"/>
    </row>
    <row r="439" spans="1:6">
      <c r="A439" s="1"/>
      <c r="D439" s="1"/>
      <c r="F439" s="6"/>
    </row>
    <row r="440" spans="1:6">
      <c r="A440" s="1"/>
      <c r="D440" s="1"/>
      <c r="F440" s="6"/>
    </row>
    <row r="441" spans="1:6">
      <c r="A441" s="1"/>
      <c r="D441" s="1"/>
      <c r="F441" s="6"/>
    </row>
    <row r="442" spans="1:6">
      <c r="A442" s="1"/>
      <c r="D442" s="1"/>
      <c r="F442" s="6"/>
    </row>
    <row r="443" spans="1:6">
      <c r="A443" s="1"/>
      <c r="D443" s="1"/>
      <c r="F443" s="6"/>
    </row>
    <row r="444" spans="1:6">
      <c r="A444" s="1"/>
      <c r="D444" s="1"/>
      <c r="F444" s="6"/>
    </row>
    <row r="445" spans="1:6">
      <c r="A445" s="1"/>
      <c r="D445" s="1"/>
      <c r="F445" s="6"/>
    </row>
    <row r="446" spans="1:6">
      <c r="A446" s="1"/>
      <c r="D446" s="1"/>
      <c r="F446" s="6"/>
    </row>
    <row r="447" spans="1:6">
      <c r="A447" s="1"/>
      <c r="D447" s="1"/>
      <c r="F447" s="6"/>
    </row>
    <row r="448" spans="1:6">
      <c r="A448" s="1"/>
      <c r="D448" s="1"/>
      <c r="F448" s="6"/>
    </row>
    <row r="449" spans="1:6">
      <c r="A449" s="1"/>
      <c r="D449" s="1"/>
      <c r="F449" s="6"/>
    </row>
    <row r="450" spans="1:6">
      <c r="A450" s="1"/>
      <c r="D450" s="1"/>
      <c r="F450" s="6"/>
    </row>
    <row r="451" spans="1:6">
      <c r="A451" s="1"/>
      <c r="D451" s="1"/>
      <c r="F451" s="6"/>
    </row>
    <row r="452" spans="1:6">
      <c r="A452" s="1"/>
      <c r="D452" s="1"/>
      <c r="F452" s="6"/>
    </row>
    <row r="453" spans="1:6">
      <c r="A453" s="1"/>
      <c r="D453" s="1"/>
      <c r="F453" s="6"/>
    </row>
    <row r="454" spans="1:6">
      <c r="A454" s="1"/>
      <c r="D454" s="1"/>
      <c r="F454" s="6"/>
    </row>
    <row r="455" spans="1:6">
      <c r="A455" s="1"/>
      <c r="D455" s="1"/>
      <c r="F455" s="6"/>
    </row>
    <row r="456" spans="1:6">
      <c r="A456" s="1"/>
      <c r="D456" s="1"/>
      <c r="F456" s="6"/>
    </row>
    <row r="457" spans="1:6">
      <c r="A457" s="1"/>
      <c r="D457" s="1"/>
      <c r="F457" s="6"/>
    </row>
    <row r="458" spans="1:6">
      <c r="A458" s="1"/>
      <c r="D458" s="1"/>
      <c r="F458" s="6"/>
    </row>
    <row r="459" spans="1:6">
      <c r="A459" s="1"/>
      <c r="D459" s="1"/>
      <c r="F459" s="6"/>
    </row>
    <row r="460" spans="1:6">
      <c r="A460" s="1"/>
      <c r="D460" s="1"/>
      <c r="F460" s="6"/>
    </row>
    <row r="461" spans="1:6">
      <c r="A461" s="1"/>
      <c r="D461" s="1"/>
      <c r="F461" s="6"/>
    </row>
    <row r="462" spans="1:6">
      <c r="A462" s="1"/>
      <c r="D462" s="1"/>
      <c r="F462" s="6"/>
    </row>
    <row r="463" spans="1:6">
      <c r="A463" s="1"/>
      <c r="D463" s="1"/>
      <c r="F463" s="6"/>
    </row>
    <row r="464" spans="1:6">
      <c r="A464" s="1"/>
      <c r="D464" s="1"/>
      <c r="F464" s="6"/>
    </row>
    <row r="465" spans="1:6">
      <c r="A465" s="1"/>
      <c r="D465" s="1"/>
      <c r="F465" s="6"/>
    </row>
    <row r="466" spans="1:6">
      <c r="A466" s="1"/>
      <c r="D466" s="1"/>
      <c r="F466" s="6"/>
    </row>
    <row r="467" spans="1:6">
      <c r="A467" s="1"/>
      <c r="D467" s="1"/>
      <c r="F467" s="6"/>
    </row>
    <row r="468" spans="1:6">
      <c r="A468" s="1"/>
      <c r="D468" s="1"/>
      <c r="F468" s="6"/>
    </row>
    <row r="469" spans="1:6">
      <c r="A469" s="1"/>
      <c r="D469" s="1"/>
      <c r="F469" s="6"/>
    </row>
    <row r="470" spans="1:6">
      <c r="A470" s="1"/>
      <c r="D470" s="1"/>
      <c r="F470" s="6"/>
    </row>
    <row r="471" spans="1:6">
      <c r="A471" s="1"/>
      <c r="D471" s="1"/>
      <c r="F471" s="6"/>
    </row>
    <row r="472" spans="1:6">
      <c r="A472" s="1"/>
      <c r="D472" s="1"/>
      <c r="F472" s="6"/>
    </row>
    <row r="473" spans="1:6">
      <c r="A473" s="1"/>
      <c r="D473" s="1"/>
      <c r="F473" s="6"/>
    </row>
    <row r="474" spans="1:6">
      <c r="A474" s="1"/>
      <c r="D474" s="1"/>
      <c r="F474" s="6"/>
    </row>
    <row r="475" spans="1:6">
      <c r="A475" s="1"/>
      <c r="D475" s="1"/>
      <c r="F475" s="6"/>
    </row>
    <row r="476" spans="1:6">
      <c r="A476" s="1"/>
      <c r="D476" s="1"/>
      <c r="F476" s="6"/>
    </row>
    <row r="477" spans="1:6">
      <c r="A477" s="1"/>
      <c r="D477" s="1"/>
      <c r="F477" s="6"/>
    </row>
    <row r="478" spans="1:6">
      <c r="A478" s="1"/>
      <c r="D478" s="1"/>
      <c r="F478" s="6"/>
    </row>
    <row r="479" spans="1:6">
      <c r="A479" s="1"/>
      <c r="D479" s="1"/>
      <c r="F479" s="6"/>
    </row>
    <row r="480" spans="1:6">
      <c r="A480" s="1"/>
      <c r="D480" s="1"/>
      <c r="F480" s="6"/>
    </row>
    <row r="481" spans="1:6">
      <c r="A481" s="1"/>
      <c r="D481" s="1"/>
      <c r="F481" s="6"/>
    </row>
    <row r="482" spans="1:6">
      <c r="A482" s="1"/>
      <c r="D482" s="1"/>
      <c r="F482" s="6"/>
    </row>
    <row r="483" spans="1:6">
      <c r="A483" s="1"/>
      <c r="D483" s="1"/>
      <c r="F483" s="6"/>
    </row>
    <row r="484" spans="1:6">
      <c r="A484" s="1"/>
      <c r="D484" s="1"/>
      <c r="F484" s="6"/>
    </row>
    <row r="485" spans="1:6">
      <c r="A485" s="1"/>
      <c r="D485" s="1"/>
      <c r="F485" s="6"/>
    </row>
    <row r="486" spans="1:6">
      <c r="A486" s="1"/>
      <c r="D486" s="1"/>
      <c r="F486" s="6"/>
    </row>
    <row r="487" spans="1:6">
      <c r="A487" s="1"/>
      <c r="D487" s="1"/>
      <c r="F487" s="6"/>
    </row>
    <row r="488" spans="1:6">
      <c r="A488" s="1"/>
      <c r="D488" s="1"/>
      <c r="F488" s="6"/>
    </row>
    <row r="489" spans="1:6">
      <c r="A489" s="1"/>
      <c r="D489" s="1"/>
      <c r="F489" s="6"/>
    </row>
    <row r="490" spans="1:6">
      <c r="A490" s="1"/>
      <c r="D490" s="1"/>
      <c r="F490" s="6"/>
    </row>
    <row r="491" spans="1:6">
      <c r="A491" s="1"/>
      <c r="D491" s="1"/>
      <c r="F491" s="6"/>
    </row>
    <row r="492" spans="1:6">
      <c r="A492" s="1"/>
      <c r="D492" s="1"/>
      <c r="F492" s="6"/>
    </row>
    <row r="493" spans="1:6">
      <c r="A493" s="1"/>
      <c r="D493" s="1"/>
      <c r="F493" s="6"/>
    </row>
    <row r="494" spans="1:6">
      <c r="A494" s="1"/>
      <c r="D494" s="1"/>
      <c r="F494" s="6"/>
    </row>
    <row r="495" spans="1:6">
      <c r="A495" s="1"/>
      <c r="D495" s="1"/>
      <c r="F495" s="6"/>
    </row>
    <row r="496" spans="1:6">
      <c r="A496" s="1"/>
      <c r="D496" s="1"/>
      <c r="F496" s="6"/>
    </row>
    <row r="497" spans="1:6">
      <c r="A497" s="1"/>
      <c r="D497" s="1"/>
      <c r="F497" s="6"/>
    </row>
    <row r="498" spans="1:6">
      <c r="A498" s="1"/>
      <c r="D498" s="1"/>
      <c r="F498" s="6"/>
    </row>
    <row r="499" spans="1:6">
      <c r="A499" s="1"/>
      <c r="D499" s="1"/>
      <c r="F499" s="6"/>
    </row>
    <row r="500" spans="1:6">
      <c r="A500" s="1"/>
      <c r="D500" s="1"/>
      <c r="F500" s="6"/>
    </row>
    <row r="501" spans="1:6">
      <c r="A501" s="1"/>
      <c r="D501" s="1"/>
      <c r="F501" s="6"/>
    </row>
    <row r="502" spans="1:6">
      <c r="A502" s="1"/>
      <c r="D502" s="1"/>
      <c r="F502" s="6"/>
    </row>
    <row r="503" spans="1:6">
      <c r="A503" s="1"/>
      <c r="D503" s="1"/>
      <c r="F503" s="6"/>
    </row>
    <row r="504" spans="1:6">
      <c r="A504" s="1"/>
      <c r="D504" s="1"/>
      <c r="F504" s="6"/>
    </row>
    <row r="505" spans="1:6">
      <c r="A505" s="1"/>
      <c r="D505" s="1"/>
      <c r="F505" s="6"/>
    </row>
    <row r="506" spans="1:6">
      <c r="A506" s="1"/>
      <c r="D506" s="1"/>
      <c r="F506" s="6"/>
    </row>
    <row r="507" spans="1:6">
      <c r="A507" s="1"/>
      <c r="D507" s="1"/>
      <c r="F507" s="6"/>
    </row>
    <row r="508" spans="1:6">
      <c r="A508" s="1"/>
      <c r="D508" s="1"/>
      <c r="F508" s="6"/>
    </row>
    <row r="509" spans="1:6">
      <c r="A509" s="1"/>
      <c r="D509" s="1"/>
      <c r="F509" s="6"/>
    </row>
    <row r="510" spans="1:6">
      <c r="A510" s="1"/>
      <c r="D510" s="1"/>
      <c r="F510" s="6"/>
    </row>
    <row r="511" spans="1:6">
      <c r="A511" s="1"/>
      <c r="D511" s="1"/>
      <c r="F511" s="6"/>
    </row>
    <row r="512" spans="1:6">
      <c r="A512" s="1"/>
      <c r="D512" s="1"/>
      <c r="F512" s="6"/>
    </row>
    <row r="513" spans="1:6">
      <c r="A513" s="1"/>
      <c r="D513" s="1"/>
      <c r="F513" s="6"/>
    </row>
    <row r="514" spans="1:6">
      <c r="A514" s="1"/>
      <c r="D514" s="1"/>
      <c r="F514" s="6"/>
    </row>
    <row r="515" spans="1:6">
      <c r="A515" s="1"/>
      <c r="D515" s="1"/>
      <c r="F515" s="6"/>
    </row>
    <row r="516" spans="1:6">
      <c r="A516" s="1"/>
      <c r="D516" s="1"/>
      <c r="F516" s="6"/>
    </row>
    <row r="517" spans="1:6">
      <c r="A517" s="1"/>
      <c r="D517" s="1"/>
      <c r="F517" s="6"/>
    </row>
    <row r="518" spans="1:6">
      <c r="A518" s="1"/>
      <c r="D518" s="1"/>
      <c r="F518" s="6"/>
    </row>
    <row r="519" spans="1:6">
      <c r="A519" s="1"/>
      <c r="D519" s="1"/>
      <c r="F519" s="6"/>
    </row>
    <row r="520" spans="1:6">
      <c r="A520" s="1"/>
      <c r="D520" s="1"/>
      <c r="F520" s="6"/>
    </row>
    <row r="521" spans="1:6">
      <c r="A521" s="1"/>
      <c r="D521" s="1"/>
      <c r="F521" s="6"/>
    </row>
    <row r="522" spans="1:6">
      <c r="A522" s="1"/>
      <c r="D522" s="1"/>
      <c r="F522" s="6"/>
    </row>
    <row r="523" spans="1:6">
      <c r="A523" s="1"/>
      <c r="D523" s="1"/>
      <c r="F523" s="6"/>
    </row>
    <row r="524" spans="1:6">
      <c r="A524" s="1"/>
      <c r="D524" s="1"/>
      <c r="F524" s="6"/>
    </row>
    <row r="525" spans="1:6">
      <c r="A525" s="1"/>
      <c r="D525" s="1"/>
      <c r="F525" s="6"/>
    </row>
    <row r="526" spans="1:6">
      <c r="A526" s="1"/>
      <c r="D526" s="1"/>
      <c r="F526" s="6"/>
    </row>
    <row r="527" spans="1:6">
      <c r="A527" s="1"/>
      <c r="D527" s="1"/>
      <c r="F527" s="6"/>
    </row>
    <row r="528" spans="1:6">
      <c r="A528" s="1"/>
      <c r="D528" s="1"/>
      <c r="F528" s="6"/>
    </row>
    <row r="529" spans="1:6">
      <c r="A529" s="1"/>
      <c r="D529" s="1"/>
      <c r="F529" s="6"/>
    </row>
    <row r="530" spans="1:6">
      <c r="A530" s="1"/>
      <c r="D530" s="1"/>
      <c r="F530" s="6"/>
    </row>
    <row r="531" spans="1:6">
      <c r="A531" s="1"/>
      <c r="D531" s="1"/>
      <c r="F531" s="6"/>
    </row>
    <row r="532" spans="1:6">
      <c r="A532" s="1"/>
      <c r="D532" s="1"/>
      <c r="F532" s="6"/>
    </row>
    <row r="533" spans="1:6">
      <c r="A533" s="1"/>
      <c r="D533" s="1"/>
      <c r="F533" s="6"/>
    </row>
    <row r="534" spans="1:6">
      <c r="A534" s="1"/>
      <c r="D534" s="1"/>
      <c r="F534" s="6"/>
    </row>
    <row r="535" spans="1:6">
      <c r="A535" s="1"/>
      <c r="D535" s="1"/>
      <c r="F535" s="6"/>
    </row>
    <row r="536" spans="1:6">
      <c r="A536" s="1"/>
      <c r="D536" s="1"/>
      <c r="F536" s="6"/>
    </row>
    <row r="537" spans="1:6">
      <c r="A537" s="1"/>
      <c r="D537" s="1"/>
      <c r="F537" s="6"/>
    </row>
    <row r="538" spans="1:6">
      <c r="A538" s="1"/>
      <c r="D538" s="1"/>
      <c r="F538" s="6"/>
    </row>
    <row r="539" spans="1:6">
      <c r="A539" s="1"/>
      <c r="D539" s="1"/>
      <c r="F539" s="6"/>
    </row>
    <row r="540" spans="1:6">
      <c r="A540" s="1"/>
      <c r="D540" s="1"/>
      <c r="F540" s="6"/>
    </row>
    <row r="541" spans="1:6">
      <c r="A541" s="1"/>
      <c r="D541" s="1"/>
      <c r="F541" s="6"/>
    </row>
    <row r="542" spans="1:6">
      <c r="A542" s="1"/>
      <c r="D542" s="1"/>
      <c r="F542" s="6"/>
    </row>
    <row r="543" spans="1:6">
      <c r="A543" s="1"/>
      <c r="D543" s="1"/>
      <c r="F543" s="6"/>
    </row>
    <row r="544" spans="1:6">
      <c r="A544" s="1"/>
      <c r="D544" s="1"/>
      <c r="F544" s="6"/>
    </row>
    <row r="545" spans="1:6">
      <c r="A545" s="1"/>
      <c r="D545" s="1"/>
      <c r="F545" s="6"/>
    </row>
    <row r="546" spans="1:6">
      <c r="A546" s="1"/>
      <c r="D546" s="1"/>
      <c r="F546" s="6"/>
    </row>
    <row r="547" spans="1:6">
      <c r="A547" s="1"/>
      <c r="D547" s="1"/>
      <c r="F547" s="6"/>
    </row>
    <row r="548" spans="1:6">
      <c r="A548" s="1"/>
      <c r="D548" s="1"/>
      <c r="F548" s="6"/>
    </row>
    <row r="549" spans="1:6">
      <c r="A549" s="1"/>
      <c r="D549" s="1"/>
      <c r="F549" s="6"/>
    </row>
    <row r="550" spans="1:6">
      <c r="A550" s="1"/>
      <c r="D550" s="1"/>
      <c r="F550" s="6"/>
    </row>
    <row r="551" spans="1:6">
      <c r="A551" s="1"/>
      <c r="D551" s="1"/>
      <c r="F551" s="6"/>
    </row>
    <row r="552" spans="1:6">
      <c r="A552" s="1"/>
      <c r="D552" s="1"/>
      <c r="F552" s="6"/>
    </row>
    <row r="553" spans="1:6">
      <c r="A553" s="1"/>
      <c r="D553" s="1"/>
      <c r="F553" s="6"/>
    </row>
    <row r="554" spans="1:6">
      <c r="A554" s="1"/>
      <c r="D554" s="1"/>
      <c r="F554" s="6"/>
    </row>
    <row r="555" spans="1:6">
      <c r="A555" s="1"/>
      <c r="D555" s="1"/>
      <c r="F555" s="6"/>
    </row>
    <row r="556" spans="1:6">
      <c r="A556" s="1"/>
      <c r="D556" s="1"/>
      <c r="F556" s="6"/>
    </row>
    <row r="557" spans="1:6">
      <c r="A557" s="1"/>
      <c r="D557" s="1"/>
      <c r="F557" s="6"/>
    </row>
    <row r="558" spans="1:6">
      <c r="A558" s="1"/>
      <c r="D558" s="1"/>
      <c r="F558" s="6"/>
    </row>
    <row r="559" spans="1:6">
      <c r="A559" s="1"/>
      <c r="D559" s="1"/>
      <c r="F559" s="6"/>
    </row>
    <row r="560" spans="1:6">
      <c r="A560" s="1"/>
      <c r="D560" s="1"/>
      <c r="F560" s="6"/>
    </row>
    <row r="561" spans="1:6">
      <c r="A561" s="1"/>
      <c r="D561" s="1"/>
      <c r="F561" s="6"/>
    </row>
    <row r="562" spans="1:6">
      <c r="A562" s="1"/>
      <c r="D562" s="1"/>
      <c r="F562" s="6"/>
    </row>
    <row r="563" spans="1:6">
      <c r="A563" s="1"/>
      <c r="D563" s="1"/>
      <c r="F563" s="6"/>
    </row>
    <row r="564" spans="1:6">
      <c r="A564" s="1"/>
      <c r="D564" s="1"/>
      <c r="F564" s="6"/>
    </row>
    <row r="565" spans="1:6">
      <c r="A565" s="1"/>
      <c r="D565" s="1"/>
      <c r="F565" s="6"/>
    </row>
    <row r="566" spans="1:6">
      <c r="A566" s="1"/>
      <c r="D566" s="1"/>
      <c r="F566" s="6"/>
    </row>
    <row r="567" spans="1:6">
      <c r="A567" s="1"/>
      <c r="D567" s="1"/>
      <c r="F567" s="6"/>
    </row>
    <row r="568" spans="1:6">
      <c r="A568" s="1"/>
      <c r="D568" s="1"/>
      <c r="F568" s="6"/>
    </row>
    <row r="569" spans="1:6">
      <c r="A569" s="1"/>
      <c r="D569" s="1"/>
      <c r="F569" s="6"/>
    </row>
    <row r="570" spans="1:6">
      <c r="A570" s="1"/>
      <c r="D570" s="1"/>
      <c r="F570" s="6"/>
    </row>
    <row r="571" spans="1:6">
      <c r="A571" s="1"/>
      <c r="D571" s="1"/>
      <c r="F571" s="6"/>
    </row>
    <row r="572" spans="1:6">
      <c r="A572" s="1"/>
      <c r="D572" s="1"/>
      <c r="F572" s="6"/>
    </row>
    <row r="573" spans="1:6">
      <c r="A573" s="1"/>
      <c r="D573" s="1"/>
      <c r="F573" s="6"/>
    </row>
    <row r="574" spans="1:6">
      <c r="A574" s="1"/>
      <c r="D574" s="1"/>
      <c r="F574" s="6"/>
    </row>
    <row r="575" spans="1:6">
      <c r="A575" s="1"/>
      <c r="D575" s="1"/>
      <c r="F575" s="6"/>
    </row>
    <row r="576" spans="1:6">
      <c r="A576" s="1"/>
      <c r="D576" s="1"/>
      <c r="F576" s="6"/>
    </row>
    <row r="577" spans="1:6">
      <c r="A577" s="1"/>
      <c r="D577" s="1"/>
      <c r="F577" s="6"/>
    </row>
    <row r="578" spans="1:6">
      <c r="A578" s="1"/>
      <c r="D578" s="1"/>
      <c r="F578" s="6"/>
    </row>
    <row r="579" spans="1:6">
      <c r="A579" s="1"/>
      <c r="D579" s="1"/>
      <c r="F579" s="6"/>
    </row>
    <row r="580" spans="1:6">
      <c r="A580" s="1"/>
      <c r="D580" s="1"/>
      <c r="F580" s="6"/>
    </row>
    <row r="581" spans="1:6">
      <c r="A581" s="1"/>
      <c r="D581" s="1"/>
      <c r="F581" s="6"/>
    </row>
    <row r="582" spans="1:6">
      <c r="A582" s="1"/>
      <c r="D582" s="1"/>
      <c r="F582" s="6"/>
    </row>
    <row r="583" spans="1:6">
      <c r="A583" s="1"/>
      <c r="D583" s="1"/>
      <c r="F583" s="6"/>
    </row>
    <row r="584" spans="1:6">
      <c r="A584" s="1"/>
      <c r="D584" s="1"/>
      <c r="F584" s="6"/>
    </row>
    <row r="585" spans="1:6">
      <c r="A585" s="1"/>
      <c r="D585" s="1"/>
      <c r="F585" s="6"/>
    </row>
    <row r="586" spans="1:6">
      <c r="A586" s="1"/>
      <c r="D586" s="1"/>
      <c r="F586" s="6"/>
    </row>
    <row r="587" spans="1:6">
      <c r="A587" s="1"/>
      <c r="D587" s="1"/>
      <c r="F587" s="6"/>
    </row>
    <row r="588" spans="1:6">
      <c r="A588" s="1"/>
      <c r="D588" s="1"/>
      <c r="F588" s="6"/>
    </row>
    <row r="589" spans="1:6">
      <c r="A589" s="1"/>
      <c r="D589" s="1"/>
      <c r="F589" s="6"/>
    </row>
    <row r="590" spans="1:6">
      <c r="A590" s="1"/>
      <c r="D590" s="1"/>
      <c r="F590" s="6"/>
    </row>
    <row r="591" spans="1:6">
      <c r="A591" s="1"/>
      <c r="D591" s="1"/>
      <c r="F591" s="6"/>
    </row>
    <row r="592" spans="1:6">
      <c r="A592" s="1"/>
      <c r="D592" s="1"/>
      <c r="F592" s="6"/>
    </row>
    <row r="593" spans="1:6">
      <c r="A593" s="1"/>
      <c r="D593" s="1"/>
      <c r="F593" s="6"/>
    </row>
    <row r="594" spans="1:6">
      <c r="A594" s="1"/>
      <c r="D594" s="1"/>
      <c r="F594" s="6"/>
    </row>
    <row r="595" spans="1:6">
      <c r="A595" s="1"/>
      <c r="D595" s="1"/>
      <c r="F595" s="6"/>
    </row>
    <row r="596" spans="1:6">
      <c r="A596" s="1"/>
      <c r="D596" s="1"/>
      <c r="F596" s="6"/>
    </row>
    <row r="597" spans="1:6">
      <c r="A597" s="1"/>
      <c r="D597" s="1"/>
      <c r="F597" s="6"/>
    </row>
    <row r="598" spans="1:6">
      <c r="A598" s="1"/>
      <c r="D598" s="1"/>
      <c r="F598" s="6"/>
    </row>
    <row r="599" spans="1:6">
      <c r="A599" s="1"/>
      <c r="D599" s="1"/>
      <c r="F599" s="6"/>
    </row>
    <row r="600" spans="1:6">
      <c r="A600" s="1"/>
      <c r="D600" s="1"/>
      <c r="F600" s="6"/>
    </row>
    <row r="601" spans="1:6">
      <c r="A601" s="1"/>
      <c r="D601" s="1"/>
      <c r="F601" s="6"/>
    </row>
    <row r="602" spans="1:6">
      <c r="A602" s="1"/>
      <c r="D602" s="1"/>
      <c r="F602" s="6"/>
    </row>
    <row r="603" spans="1:6">
      <c r="A603" s="1"/>
      <c r="D603" s="1"/>
      <c r="F603" s="6"/>
    </row>
    <row r="604" spans="1:6">
      <c r="A604" s="1"/>
      <c r="D604" s="1"/>
      <c r="F604" s="6"/>
    </row>
    <row r="605" spans="1:6">
      <c r="A605" s="1"/>
      <c r="D605" s="1"/>
      <c r="F605" s="6"/>
    </row>
    <row r="606" spans="1:6">
      <c r="A606" s="1"/>
      <c r="D606" s="1"/>
      <c r="F606" s="6"/>
    </row>
    <row r="607" spans="1:6">
      <c r="A607" s="1"/>
      <c r="D607" s="1"/>
      <c r="F607" s="6"/>
    </row>
    <row r="608" spans="1:6">
      <c r="A608" s="1"/>
      <c r="D608" s="1"/>
      <c r="F608" s="6"/>
    </row>
    <row r="609" spans="1:6">
      <c r="A609" s="1"/>
      <c r="D609" s="1"/>
      <c r="F609" s="6"/>
    </row>
    <row r="610" spans="1:6">
      <c r="A610" s="1"/>
      <c r="D610" s="1"/>
      <c r="F610" s="6"/>
    </row>
    <row r="611" spans="1:6">
      <c r="A611" s="1"/>
      <c r="D611" s="1"/>
      <c r="F611" s="6"/>
    </row>
    <row r="612" spans="1:6">
      <c r="A612" s="1"/>
      <c r="D612" s="1"/>
      <c r="F612" s="6"/>
    </row>
    <row r="613" spans="1:6">
      <c r="A613" s="1"/>
      <c r="D613" s="1"/>
      <c r="F613" s="6"/>
    </row>
    <row r="614" spans="1:6">
      <c r="A614" s="1"/>
      <c r="D614" s="1"/>
      <c r="F614" s="6"/>
    </row>
    <row r="615" spans="1:6">
      <c r="A615" s="1"/>
      <c r="D615" s="1"/>
      <c r="F615" s="6"/>
    </row>
    <row r="616" spans="1:6">
      <c r="A616" s="1"/>
      <c r="D616" s="1"/>
      <c r="F616" s="6"/>
    </row>
    <row r="617" spans="1:6">
      <c r="A617" s="1"/>
      <c r="D617" s="1"/>
      <c r="F617" s="6"/>
    </row>
    <row r="618" spans="1:6">
      <c r="A618" s="1"/>
      <c r="D618" s="1"/>
      <c r="F618" s="6"/>
    </row>
    <row r="619" spans="1:6">
      <c r="A619" s="1"/>
      <c r="D619" s="1"/>
      <c r="F619" s="6"/>
    </row>
    <row r="620" spans="1:6">
      <c r="A620" s="1"/>
      <c r="D620" s="1"/>
      <c r="F620" s="6"/>
    </row>
    <row r="621" spans="1:6">
      <c r="A621" s="1"/>
      <c r="D621" s="1"/>
      <c r="F621" s="6"/>
    </row>
    <row r="622" spans="1:6">
      <c r="A622" s="1"/>
      <c r="D622" s="1"/>
      <c r="F622" s="6"/>
    </row>
    <row r="623" spans="1:6">
      <c r="A623" s="1"/>
      <c r="D623" s="1"/>
      <c r="F623" s="6"/>
    </row>
    <row r="624" spans="1:6">
      <c r="A624" s="1"/>
      <c r="D624" s="1"/>
      <c r="F624" s="6"/>
    </row>
    <row r="625" spans="1:6">
      <c r="A625" s="1"/>
      <c r="D625" s="1"/>
      <c r="F625" s="6"/>
    </row>
    <row r="626" spans="1:6">
      <c r="A626" s="1"/>
      <c r="D626" s="1"/>
      <c r="F626" s="6"/>
    </row>
    <row r="627" spans="1:6">
      <c r="A627" s="1"/>
      <c r="D627" s="1"/>
      <c r="F627" s="6"/>
    </row>
    <row r="628" spans="1:6">
      <c r="A628" s="1"/>
      <c r="D628" s="1"/>
      <c r="F628" s="6"/>
    </row>
    <row r="629" spans="1:6">
      <c r="A629" s="1"/>
      <c r="D629" s="1"/>
      <c r="F629" s="6"/>
    </row>
    <row r="630" spans="1:6">
      <c r="A630" s="1"/>
      <c r="D630" s="1"/>
      <c r="F630" s="6"/>
    </row>
    <row r="631" spans="1:6">
      <c r="A631" s="1"/>
      <c r="D631" s="1"/>
      <c r="F631" s="6"/>
    </row>
    <row r="632" spans="1:6">
      <c r="A632" s="1"/>
      <c r="D632" s="1"/>
      <c r="F632" s="6"/>
    </row>
    <row r="633" spans="1:6">
      <c r="A633" s="1"/>
      <c r="D633" s="1"/>
      <c r="F633" s="6"/>
    </row>
    <row r="634" spans="1:6">
      <c r="A634" s="1"/>
      <c r="D634" s="1"/>
      <c r="F634" s="6"/>
    </row>
    <row r="635" spans="1:6">
      <c r="A635" s="1"/>
      <c r="D635" s="1"/>
      <c r="F635" s="6"/>
    </row>
    <row r="636" spans="1:6">
      <c r="A636" s="1"/>
      <c r="D636" s="1"/>
      <c r="F636" s="6"/>
    </row>
    <row r="637" spans="1:6">
      <c r="A637" s="1"/>
      <c r="D637" s="1"/>
      <c r="F637" s="6"/>
    </row>
    <row r="638" spans="1:6">
      <c r="A638" s="1"/>
      <c r="D638" s="1"/>
      <c r="F638" s="6"/>
    </row>
    <row r="639" spans="1:6">
      <c r="A639" s="1"/>
      <c r="D639" s="1"/>
      <c r="F639" s="6"/>
    </row>
    <row r="640" spans="1:6">
      <c r="A640" s="1"/>
      <c r="D640" s="1"/>
      <c r="F640" s="6"/>
    </row>
    <row r="641" spans="1:6">
      <c r="A641" s="1"/>
      <c r="D641" s="1"/>
      <c r="F641" s="6"/>
    </row>
    <row r="642" spans="1:6">
      <c r="A642" s="1"/>
      <c r="D642" s="1"/>
      <c r="F642" s="6"/>
    </row>
    <row r="643" spans="1:6">
      <c r="A643" s="1"/>
      <c r="D643" s="1"/>
      <c r="F643" s="6"/>
    </row>
    <row r="644" spans="1:6">
      <c r="A644" s="1"/>
      <c r="D644" s="1"/>
      <c r="F644" s="6"/>
    </row>
    <row r="645" spans="1:6">
      <c r="A645" s="1"/>
      <c r="D645" s="1"/>
      <c r="F645" s="6"/>
    </row>
    <row r="646" spans="1:6">
      <c r="A646" s="1"/>
      <c r="D646" s="1"/>
      <c r="F646" s="6"/>
    </row>
    <row r="647" spans="1:6">
      <c r="A647" s="1"/>
      <c r="D647" s="1"/>
      <c r="F647" s="6"/>
    </row>
    <row r="648" spans="1:6">
      <c r="A648" s="1"/>
      <c r="D648" s="1"/>
      <c r="F648" s="6"/>
    </row>
    <row r="649" spans="1:6">
      <c r="A649" s="1"/>
      <c r="D649" s="1"/>
      <c r="F649" s="6"/>
    </row>
    <row r="650" spans="1:6">
      <c r="A650" s="1"/>
      <c r="D650" s="1"/>
      <c r="F650" s="6"/>
    </row>
    <row r="651" spans="1:6">
      <c r="A651" s="1"/>
      <c r="D651" s="1"/>
      <c r="F651" s="6"/>
    </row>
    <row r="652" spans="1:6">
      <c r="A652" s="1"/>
      <c r="D652" s="1"/>
      <c r="F652" s="6"/>
    </row>
    <row r="653" spans="1:6">
      <c r="A653" s="1"/>
      <c r="D653" s="1"/>
      <c r="F653" s="6"/>
    </row>
    <row r="654" spans="1:6">
      <c r="A654" s="1"/>
      <c r="D654" s="1"/>
      <c r="F654" s="6"/>
    </row>
    <row r="655" spans="1:6">
      <c r="A655" s="1"/>
      <c r="D655" s="1"/>
      <c r="F655" s="6"/>
    </row>
    <row r="656" spans="1:6">
      <c r="A656" s="1"/>
      <c r="D656" s="1"/>
      <c r="F656" s="6"/>
    </row>
    <row r="657" spans="1:6">
      <c r="A657" s="1"/>
      <c r="D657" s="1"/>
      <c r="F657" s="6"/>
    </row>
    <row r="658" spans="1:6">
      <c r="A658" s="1"/>
      <c r="D658" s="1"/>
      <c r="F658" s="6"/>
    </row>
    <row r="659" spans="1:6">
      <c r="A659" s="1"/>
      <c r="D659" s="1"/>
      <c r="F659" s="6"/>
    </row>
    <row r="660" spans="1:6">
      <c r="A660" s="1"/>
      <c r="D660" s="1"/>
      <c r="F660" s="6"/>
    </row>
    <row r="661" spans="1:6">
      <c r="A661" s="1"/>
      <c r="D661" s="1"/>
      <c r="F661" s="6"/>
    </row>
    <row r="662" spans="1:6">
      <c r="A662" s="1"/>
      <c r="D662" s="1"/>
      <c r="F662" s="6"/>
    </row>
    <row r="663" spans="1:6">
      <c r="A663" s="1"/>
      <c r="D663" s="1"/>
      <c r="F663" s="6"/>
    </row>
    <row r="664" spans="1:6">
      <c r="A664" s="1"/>
      <c r="D664" s="1"/>
      <c r="F664" s="6"/>
    </row>
    <row r="665" spans="1:6">
      <c r="A665" s="1"/>
      <c r="D665" s="1"/>
      <c r="F665" s="6"/>
    </row>
    <row r="666" spans="1:6">
      <c r="A666" s="1"/>
      <c r="D666" s="1"/>
      <c r="F666" s="6"/>
    </row>
    <row r="667" spans="1:6">
      <c r="A667" s="1"/>
      <c r="D667" s="1"/>
      <c r="F667" s="6"/>
    </row>
    <row r="668" spans="1:6">
      <c r="A668" s="1"/>
      <c r="D668" s="1"/>
      <c r="F668" s="6"/>
    </row>
    <row r="669" spans="1:6">
      <c r="A669" s="1"/>
      <c r="D669" s="1"/>
      <c r="F669" s="6"/>
    </row>
    <row r="670" spans="1:6">
      <c r="A670" s="1"/>
      <c r="D670" s="1"/>
      <c r="F670" s="6"/>
    </row>
    <row r="671" spans="1:6">
      <c r="A671" s="1"/>
      <c r="D671" s="1"/>
      <c r="F671" s="6"/>
    </row>
    <row r="672" spans="1:6">
      <c r="A672" s="1"/>
      <c r="D672" s="1"/>
      <c r="F672" s="6"/>
    </row>
    <row r="673" spans="1:4">
      <c r="A673" s="1"/>
      <c r="D673" s="1"/>
    </row>
    <row r="674" spans="1:4">
      <c r="A674" s="1"/>
      <c r="D674" s="1"/>
    </row>
    <row r="675" spans="1:4">
      <c r="A675" s="1"/>
      <c r="D675" s="1"/>
    </row>
    <row r="676" spans="1:4">
      <c r="A676" s="1"/>
      <c r="D676" s="1"/>
    </row>
    <row r="677" spans="1:4">
      <c r="A677" s="1"/>
      <c r="D677" s="1"/>
    </row>
    <row r="678" spans="1:4">
      <c r="A678" s="1"/>
      <c r="D678" s="1"/>
    </row>
    <row r="679" spans="1:4">
      <c r="A679" s="1"/>
      <c r="D679" s="1"/>
    </row>
    <row r="680" spans="1:4">
      <c r="A680" s="1"/>
      <c r="D680" s="1"/>
    </row>
    <row r="681" spans="1:4">
      <c r="A681" s="1"/>
      <c r="D681" s="1"/>
    </row>
    <row r="682" spans="1:4">
      <c r="A682" s="1"/>
      <c r="D682" s="1"/>
    </row>
    <row r="683" spans="1:4">
      <c r="A683" s="1"/>
      <c r="D683" s="1"/>
    </row>
    <row r="684" spans="1:4">
      <c r="A684" s="1"/>
      <c r="D684" s="1"/>
    </row>
    <row r="685" spans="1:4">
      <c r="A685" s="1"/>
      <c r="D685" s="1"/>
    </row>
    <row r="686" spans="1:4">
      <c r="A686" s="1"/>
      <c r="D686" s="1"/>
    </row>
    <row r="687" spans="1:4">
      <c r="A687" s="1"/>
      <c r="D687" s="1"/>
    </row>
    <row r="688" spans="1:4">
      <c r="A688" s="1"/>
      <c r="D688" s="1"/>
    </row>
    <row r="689" spans="1:4">
      <c r="A689" s="1"/>
      <c r="D689" s="1"/>
    </row>
    <row r="690" spans="1:4">
      <c r="A690" s="1"/>
      <c r="D690" s="1"/>
    </row>
    <row r="691" spans="1:4">
      <c r="A691" s="1"/>
      <c r="D691" s="1"/>
    </row>
    <row r="692" spans="1:4">
      <c r="A692" s="1"/>
      <c r="D692" s="1"/>
    </row>
    <row r="693" spans="1:4">
      <c r="A693" s="1"/>
      <c r="D693" s="1"/>
    </row>
    <row r="694" spans="1:4">
      <c r="A694" s="1"/>
      <c r="D694" s="1"/>
    </row>
    <row r="695" spans="1:4">
      <c r="A695" s="1"/>
      <c r="D695" s="1"/>
    </row>
    <row r="696" spans="1:4">
      <c r="A696" s="1"/>
      <c r="D696" s="1"/>
    </row>
    <row r="697" spans="1:4">
      <c r="A697" s="1"/>
      <c r="D697" s="1"/>
    </row>
    <row r="698" spans="1:4">
      <c r="A698" s="1"/>
      <c r="D698" s="1"/>
    </row>
    <row r="699" spans="1:4">
      <c r="A699" s="1"/>
      <c r="D699" s="1"/>
    </row>
    <row r="700" spans="1:4">
      <c r="A700" s="1"/>
      <c r="D700" s="1"/>
    </row>
    <row r="701" spans="1:4">
      <c r="A701" s="1"/>
      <c r="D701" s="1"/>
    </row>
    <row r="702" spans="1:4">
      <c r="A702" s="1"/>
      <c r="D702" s="1"/>
    </row>
    <row r="703" spans="1:4">
      <c r="A703" s="1"/>
      <c r="D703" s="1"/>
    </row>
    <row r="704" spans="1:4">
      <c r="A704" s="1"/>
      <c r="D704" s="1"/>
    </row>
    <row r="705" spans="1:4">
      <c r="A705" s="1"/>
      <c r="D705" s="1"/>
    </row>
    <row r="706" spans="1:4">
      <c r="A706" s="1"/>
      <c r="D706" s="1"/>
    </row>
    <row r="707" spans="1:4">
      <c r="A707" s="1"/>
      <c r="D707" s="1"/>
    </row>
    <row r="708" spans="1:4">
      <c r="A708" s="1"/>
      <c r="D708" s="1"/>
    </row>
    <row r="709" spans="1:4">
      <c r="A709" s="1"/>
      <c r="D709" s="1"/>
    </row>
    <row r="710" spans="1:4">
      <c r="A710" s="1"/>
      <c r="D710" s="1"/>
    </row>
    <row r="711" spans="1:4">
      <c r="A711" s="1"/>
      <c r="D711" s="1"/>
    </row>
    <row r="712" spans="1:4">
      <c r="A712" s="1"/>
      <c r="D712" s="1"/>
    </row>
    <row r="713" spans="1:4">
      <c r="A713" s="1"/>
      <c r="D713" s="1"/>
    </row>
    <row r="714" spans="1:4">
      <c r="A714" s="1"/>
      <c r="D714" s="1"/>
    </row>
    <row r="715" spans="1:4">
      <c r="A715" s="1"/>
      <c r="D715" s="1"/>
    </row>
    <row r="716" spans="1:4">
      <c r="A716" s="1"/>
      <c r="D716" s="1"/>
    </row>
    <row r="717" spans="1:4">
      <c r="A717" s="1"/>
      <c r="D717" s="1"/>
    </row>
    <row r="718" spans="1:4">
      <c r="A718" s="1"/>
      <c r="D718" s="1"/>
    </row>
    <row r="719" spans="1:4">
      <c r="A719" s="1"/>
      <c r="D719" s="1"/>
    </row>
    <row r="720" spans="1:4">
      <c r="A720" s="1"/>
      <c r="D720" s="1"/>
    </row>
    <row r="721" spans="1:4">
      <c r="A721" s="1"/>
      <c r="D721" s="1"/>
    </row>
    <row r="722" spans="1:4">
      <c r="A722" s="1"/>
      <c r="D722" s="1"/>
    </row>
    <row r="723" spans="1:4">
      <c r="A723" s="1"/>
      <c r="D723" s="1"/>
    </row>
    <row r="724" spans="1:4">
      <c r="A724" s="1"/>
      <c r="D724" s="1"/>
    </row>
    <row r="725" spans="1:4">
      <c r="A725" s="1"/>
      <c r="D725" s="1"/>
    </row>
    <row r="726" spans="1:4">
      <c r="A726" s="1"/>
      <c r="D726" s="1"/>
    </row>
    <row r="727" spans="1:4">
      <c r="A727" s="1"/>
      <c r="D727" s="1"/>
    </row>
    <row r="728" spans="1:4">
      <c r="A728" s="1"/>
      <c r="D728" s="1"/>
    </row>
    <row r="729" spans="1:4">
      <c r="A729" s="1"/>
      <c r="D729" s="1"/>
    </row>
    <row r="730" spans="1:4">
      <c r="A730" s="1"/>
      <c r="D730" s="1"/>
    </row>
    <row r="731" spans="1:4">
      <c r="A731" s="1"/>
      <c r="D731" s="1"/>
    </row>
    <row r="732" spans="1:4">
      <c r="A732" s="1"/>
      <c r="D732" s="1"/>
    </row>
    <row r="733" spans="1:4">
      <c r="A733" s="1"/>
      <c r="D733" s="1"/>
    </row>
    <row r="734" spans="1:4">
      <c r="A734" s="1"/>
      <c r="D734" s="1"/>
    </row>
    <row r="735" spans="1:4">
      <c r="A735" s="1"/>
      <c r="D735" s="1"/>
    </row>
    <row r="736" spans="1:4">
      <c r="A736" s="1"/>
      <c r="D736" s="1"/>
    </row>
    <row r="737" spans="1:4">
      <c r="A737" s="1"/>
      <c r="D737" s="1"/>
    </row>
    <row r="738" spans="1:4">
      <c r="A738" s="1"/>
      <c r="D738" s="1"/>
    </row>
    <row r="739" spans="1:4">
      <c r="A739" s="1"/>
      <c r="D739" s="1"/>
    </row>
    <row r="740" spans="1:4">
      <c r="A740" s="1"/>
      <c r="D740" s="1"/>
    </row>
    <row r="741" spans="1:4">
      <c r="A741" s="1"/>
      <c r="D741" s="1"/>
    </row>
    <row r="742" spans="1:4">
      <c r="A742" s="1"/>
      <c r="D742" s="1"/>
    </row>
    <row r="743" spans="1:4">
      <c r="A743" s="1"/>
      <c r="D743" s="1"/>
    </row>
    <row r="744" spans="1:4">
      <c r="A744" s="1"/>
      <c r="D744" s="1"/>
    </row>
    <row r="745" spans="1:4">
      <c r="A745" s="1"/>
      <c r="D745" s="1"/>
    </row>
    <row r="746" spans="1:4">
      <c r="A746" s="1"/>
      <c r="D746" s="1"/>
    </row>
    <row r="747" spans="1:4">
      <c r="A747" s="1"/>
      <c r="D747" s="1"/>
    </row>
    <row r="748" spans="1:4">
      <c r="A748" s="1"/>
      <c r="D748" s="1"/>
    </row>
    <row r="749" spans="1:4">
      <c r="A749" s="1"/>
      <c r="D749" s="1"/>
    </row>
    <row r="750" spans="1:4">
      <c r="A750" s="1"/>
      <c r="D750" s="1"/>
    </row>
    <row r="751" spans="1:4">
      <c r="A751" s="1"/>
      <c r="D751" s="1"/>
    </row>
    <row r="752" spans="1:4">
      <c r="A752" s="1"/>
      <c r="D752" s="1"/>
    </row>
    <row r="753" spans="1:4">
      <c r="A753" s="1"/>
      <c r="D753" s="1"/>
    </row>
    <row r="754" spans="1:4">
      <c r="A754" s="1"/>
      <c r="D754" s="1"/>
    </row>
    <row r="755" spans="1:4">
      <c r="A755" s="1"/>
      <c r="D755" s="1"/>
    </row>
    <row r="756" spans="1:4">
      <c r="A756" s="1"/>
      <c r="D756" s="1"/>
    </row>
    <row r="757" spans="1:4">
      <c r="A757" s="1"/>
      <c r="D757" s="1"/>
    </row>
    <row r="758" spans="1:4">
      <c r="A758" s="1"/>
      <c r="D758" s="1"/>
    </row>
    <row r="759" spans="1:4">
      <c r="A759" s="1"/>
      <c r="D759" s="1"/>
    </row>
    <row r="760" spans="1:4">
      <c r="A760" s="1"/>
      <c r="D760" s="1"/>
    </row>
    <row r="761" spans="1:4">
      <c r="A761" s="1"/>
      <c r="D761" s="1"/>
    </row>
    <row r="762" spans="1:4">
      <c r="A762" s="1"/>
      <c r="D762" s="1"/>
    </row>
    <row r="763" spans="1:4">
      <c r="A763" s="1"/>
      <c r="D763" s="1"/>
    </row>
    <row r="764" spans="1:4">
      <c r="A764" s="1"/>
      <c r="D764" s="1"/>
    </row>
    <row r="765" spans="1:4">
      <c r="A765" s="1"/>
      <c r="D765" s="1"/>
    </row>
    <row r="766" spans="1:4">
      <c r="A766" s="1"/>
      <c r="D766" s="1"/>
    </row>
    <row r="767" spans="1:4">
      <c r="A767" s="1"/>
      <c r="D767" s="1"/>
    </row>
    <row r="768" spans="1:4">
      <c r="A768" s="1"/>
      <c r="D768" s="1"/>
    </row>
    <row r="769" spans="1:4">
      <c r="A769" s="1"/>
      <c r="D769" s="1"/>
    </row>
    <row r="770" spans="1:4">
      <c r="A770" s="1"/>
      <c r="D770" s="1"/>
    </row>
    <row r="771" spans="1:4">
      <c r="A771" s="1"/>
      <c r="D771" s="1"/>
    </row>
    <row r="772" spans="1:4">
      <c r="A772" s="1"/>
      <c r="D772" s="1"/>
    </row>
    <row r="773" spans="1:4">
      <c r="A773" s="1"/>
      <c r="D773" s="1"/>
    </row>
    <row r="774" spans="1:4">
      <c r="A774" s="1"/>
      <c r="D774" s="1"/>
    </row>
    <row r="775" spans="1:4">
      <c r="A775" s="1"/>
      <c r="D775" s="1"/>
    </row>
    <row r="776" spans="1:4">
      <c r="A776" s="1"/>
      <c r="D776" s="1"/>
    </row>
    <row r="777" spans="1:4">
      <c r="A777" s="1"/>
      <c r="D777" s="1"/>
    </row>
    <row r="778" spans="1:4">
      <c r="A778" s="1"/>
      <c r="D778" s="1"/>
    </row>
    <row r="779" spans="1:4">
      <c r="A779" s="1"/>
      <c r="D779" s="1"/>
    </row>
    <row r="780" spans="1:4">
      <c r="A780" s="1"/>
      <c r="D780" s="1"/>
    </row>
    <row r="781" spans="1:4">
      <c r="A781" s="1"/>
      <c r="D781" s="1"/>
    </row>
    <row r="782" spans="1:4">
      <c r="A782" s="1"/>
      <c r="D782" s="1"/>
    </row>
    <row r="783" spans="1:4">
      <c r="A783" s="1"/>
      <c r="D783" s="1"/>
    </row>
    <row r="784" spans="1:4">
      <c r="A784" s="1"/>
      <c r="D784" s="1"/>
    </row>
    <row r="785" spans="1:4">
      <c r="A785" s="1"/>
      <c r="D785" s="1"/>
    </row>
    <row r="786" spans="1:4">
      <c r="A786" s="1"/>
      <c r="D786" s="1"/>
    </row>
    <row r="787" spans="1:4">
      <c r="A787" s="1"/>
      <c r="D787" s="1"/>
    </row>
    <row r="788" spans="1:4">
      <c r="A788" s="1"/>
      <c r="D788" s="1"/>
    </row>
    <row r="789" spans="1:4">
      <c r="A789" s="1"/>
      <c r="D789" s="1"/>
    </row>
    <row r="790" spans="1:4">
      <c r="A790" s="1"/>
      <c r="D790" s="1"/>
    </row>
    <row r="791" spans="1:4">
      <c r="A791" s="1"/>
      <c r="D791" s="1"/>
    </row>
    <row r="792" spans="1:4">
      <c r="A792" s="1"/>
      <c r="D792" s="1"/>
    </row>
    <row r="793" spans="1:4">
      <c r="A793" s="1"/>
      <c r="D793" s="1"/>
    </row>
    <row r="794" spans="1:4">
      <c r="A794" s="1"/>
      <c r="D794" s="1"/>
    </row>
    <row r="795" spans="1:4">
      <c r="A795" s="1"/>
      <c r="D795" s="1"/>
    </row>
    <row r="796" spans="1:4">
      <c r="A796" s="1"/>
      <c r="D796" s="1"/>
    </row>
    <row r="797" spans="1:4">
      <c r="A797" s="1"/>
      <c r="D797" s="1"/>
    </row>
    <row r="798" spans="1:4">
      <c r="A798" s="1"/>
      <c r="D798" s="1"/>
    </row>
    <row r="799" spans="1:4">
      <c r="A799" s="1"/>
      <c r="D799" s="1"/>
    </row>
    <row r="800" spans="1:4">
      <c r="A800" s="1"/>
      <c r="D800" s="1"/>
    </row>
    <row r="801" spans="1:4">
      <c r="A801" s="1"/>
      <c r="D801" s="1"/>
    </row>
    <row r="802" spans="1:4">
      <c r="A802" s="1"/>
      <c r="D802" s="1"/>
    </row>
    <row r="803" spans="1:4">
      <c r="A803" s="1"/>
      <c r="D803" s="1"/>
    </row>
    <row r="804" spans="1:4">
      <c r="A804" s="1"/>
      <c r="D804" s="1"/>
    </row>
    <row r="805" spans="1:4">
      <c r="A805" s="1"/>
      <c r="D805" s="1"/>
    </row>
    <row r="806" spans="1:4">
      <c r="A806" s="1"/>
      <c r="D806" s="1"/>
    </row>
    <row r="807" spans="1:4">
      <c r="A807" s="1"/>
      <c r="D807" s="1"/>
    </row>
    <row r="808" spans="1:4">
      <c r="A808" s="1"/>
      <c r="D808" s="1"/>
    </row>
    <row r="809" spans="1:4">
      <c r="A809" s="1"/>
      <c r="D809" s="1"/>
    </row>
    <row r="810" spans="1:4">
      <c r="A810" s="1"/>
      <c r="D810" s="1"/>
    </row>
    <row r="811" spans="1:4">
      <c r="A811" s="1"/>
      <c r="D811" s="1"/>
    </row>
    <row r="812" spans="1:4">
      <c r="A812" s="1"/>
      <c r="D812" s="1"/>
    </row>
    <row r="813" spans="1:4">
      <c r="A813" s="1"/>
      <c r="D813" s="1"/>
    </row>
    <row r="814" spans="1:4">
      <c r="A814" s="1"/>
      <c r="D814" s="1"/>
    </row>
    <row r="815" spans="1:4">
      <c r="A815" s="1"/>
      <c r="D815" s="1"/>
    </row>
    <row r="816" spans="1:4">
      <c r="A816" s="1"/>
      <c r="D816" s="1"/>
    </row>
    <row r="817" spans="1:4">
      <c r="A817" s="1"/>
      <c r="D817" s="1"/>
    </row>
    <row r="818" spans="1:4">
      <c r="A818" s="1"/>
      <c r="D818" s="1"/>
    </row>
    <row r="819" spans="1:4">
      <c r="A819" s="1"/>
      <c r="D819" s="1"/>
    </row>
    <row r="820" spans="1:4">
      <c r="A820" s="1"/>
      <c r="D820" s="1"/>
    </row>
    <row r="821" spans="1:4">
      <c r="A821" s="1"/>
      <c r="D821" s="1"/>
    </row>
    <row r="822" spans="1:4">
      <c r="A822" s="1"/>
      <c r="D822" s="1"/>
    </row>
    <row r="823" spans="1:4">
      <c r="A823" s="1"/>
      <c r="D823" s="1"/>
    </row>
    <row r="824" spans="1:4">
      <c r="A824" s="1"/>
      <c r="D824" s="1"/>
    </row>
    <row r="825" spans="1:4">
      <c r="A825" s="1"/>
      <c r="D825" s="1"/>
    </row>
    <row r="826" spans="1:4">
      <c r="A826" s="1"/>
      <c r="D826" s="1"/>
    </row>
    <row r="827" spans="1:4">
      <c r="A827" s="1"/>
      <c r="D827" s="1"/>
    </row>
    <row r="828" spans="1:4">
      <c r="A828" s="1"/>
      <c r="D828" s="1"/>
    </row>
    <row r="829" spans="1:4">
      <c r="A829" s="1"/>
      <c r="D829" s="1"/>
    </row>
    <row r="830" spans="1:4">
      <c r="A830" s="1"/>
      <c r="D830" s="1"/>
    </row>
    <row r="831" spans="1:4">
      <c r="A831" s="1"/>
      <c r="D831" s="1"/>
    </row>
    <row r="832" spans="1:4">
      <c r="A832" s="1"/>
      <c r="D832" s="1"/>
    </row>
    <row r="833" spans="1:4">
      <c r="A833" s="1"/>
      <c r="D833" s="1"/>
    </row>
    <row r="834" spans="1:4">
      <c r="A834" s="1"/>
      <c r="D834" s="1"/>
    </row>
    <row r="835" spans="1:4">
      <c r="A835" s="1"/>
      <c r="D835" s="1"/>
    </row>
    <row r="836" spans="1:4">
      <c r="A836" s="1"/>
      <c r="D836" s="1"/>
    </row>
    <row r="837" spans="1:4">
      <c r="A837" s="1"/>
      <c r="D837" s="1"/>
    </row>
    <row r="838" spans="1:4">
      <c r="A838" s="1"/>
      <c r="D838" s="1"/>
    </row>
    <row r="839" spans="1:4">
      <c r="A839" s="1"/>
      <c r="D839" s="1"/>
    </row>
    <row r="840" spans="1:4">
      <c r="A840" s="1"/>
      <c r="D840" s="1"/>
    </row>
    <row r="841" spans="1:4">
      <c r="A841" s="1"/>
      <c r="D841" s="1"/>
    </row>
    <row r="842" spans="1:4">
      <c r="A842" s="1"/>
      <c r="D842" s="1"/>
    </row>
    <row r="843" spans="1:4">
      <c r="A843" s="1"/>
      <c r="D843" s="1"/>
    </row>
    <row r="844" spans="1:4">
      <c r="A844" s="1"/>
      <c r="D844" s="1"/>
    </row>
    <row r="845" spans="1:4">
      <c r="A845" s="1"/>
      <c r="D845" s="1"/>
    </row>
    <row r="846" spans="1:4">
      <c r="A846" s="1"/>
      <c r="D846" s="1"/>
    </row>
    <row r="847" spans="1:4">
      <c r="A847" s="1"/>
      <c r="D847" s="1"/>
    </row>
    <row r="848" spans="1:4">
      <c r="A848" s="1"/>
      <c r="D848" s="1"/>
    </row>
    <row r="849" spans="1:4">
      <c r="A849" s="1"/>
      <c r="D849" s="1"/>
    </row>
    <row r="850" spans="1:4">
      <c r="A850" s="1"/>
      <c r="D850" s="1"/>
    </row>
    <row r="851" spans="1:4">
      <c r="A851" s="1"/>
      <c r="D851" s="1"/>
    </row>
    <row r="852" spans="1:4">
      <c r="A852" s="1"/>
      <c r="D852" s="1"/>
    </row>
    <row r="853" spans="1:4">
      <c r="A853" s="1"/>
      <c r="D853" s="1"/>
    </row>
    <row r="854" spans="1:4">
      <c r="A854" s="1"/>
      <c r="D854" s="1"/>
    </row>
    <row r="855" spans="1:4">
      <c r="A855" s="1"/>
      <c r="D855" s="1"/>
    </row>
    <row r="856" spans="1:4">
      <c r="A856" s="1"/>
      <c r="D856" s="1"/>
    </row>
    <row r="857" spans="1:4">
      <c r="A857" s="1"/>
      <c r="D857" s="1"/>
    </row>
    <row r="858" spans="1:4">
      <c r="A858" s="1"/>
      <c r="D858" s="1"/>
    </row>
    <row r="859" spans="1:4">
      <c r="A859" s="1"/>
      <c r="D859" s="1"/>
    </row>
    <row r="860" spans="1:4">
      <c r="A860" s="1"/>
      <c r="D860" s="1"/>
    </row>
    <row r="861" spans="1:4">
      <c r="A861" s="1"/>
      <c r="D861" s="1"/>
    </row>
    <row r="862" spans="1:4">
      <c r="A862" s="1"/>
      <c r="D862" s="1"/>
    </row>
    <row r="863" spans="1:4">
      <c r="A863" s="1"/>
      <c r="D863" s="1"/>
    </row>
    <row r="864" spans="1:4">
      <c r="A864" s="1"/>
      <c r="D864" s="1"/>
    </row>
    <row r="865" spans="1:4">
      <c r="A865" s="1"/>
      <c r="D865" s="1"/>
    </row>
    <row r="866" spans="1:4">
      <c r="A866" s="1"/>
      <c r="D866" s="1"/>
    </row>
    <row r="867" spans="1:4">
      <c r="A867" s="1"/>
      <c r="D867" s="1"/>
    </row>
    <row r="868" spans="1:4">
      <c r="A868" s="1"/>
      <c r="D868" s="1"/>
    </row>
    <row r="869" spans="1:4">
      <c r="A869" s="1"/>
      <c r="D869" s="1"/>
    </row>
    <row r="870" spans="1:4">
      <c r="A870" s="1"/>
      <c r="D870" s="1"/>
    </row>
    <row r="871" spans="1:4">
      <c r="A871" s="1"/>
      <c r="D871" s="1"/>
    </row>
    <row r="872" spans="1:4">
      <c r="A872" s="1"/>
      <c r="D872" s="1"/>
    </row>
    <row r="873" spans="1:4">
      <c r="A873" s="1"/>
      <c r="D873" s="1"/>
    </row>
    <row r="874" spans="1:4">
      <c r="A874" s="1"/>
      <c r="D874" s="1"/>
    </row>
    <row r="875" spans="1:4">
      <c r="A875" s="1"/>
      <c r="D875" s="1"/>
    </row>
    <row r="876" spans="1:4">
      <c r="A876" s="1"/>
      <c r="D876" s="1"/>
    </row>
    <row r="877" spans="1:4">
      <c r="A877" s="1"/>
      <c r="D877" s="1"/>
    </row>
    <row r="878" spans="1:4">
      <c r="A878" s="1"/>
      <c r="D878" s="1"/>
    </row>
    <row r="879" spans="1:4">
      <c r="A879" s="1"/>
      <c r="D879" s="1"/>
    </row>
    <row r="880" spans="1:4">
      <c r="A880" s="1"/>
      <c r="D880" s="1"/>
    </row>
    <row r="881" spans="1:4">
      <c r="A881" s="1"/>
      <c r="D881" s="1"/>
    </row>
    <row r="882" spans="1:4">
      <c r="A882" s="1"/>
      <c r="D882" s="1"/>
    </row>
    <row r="883" spans="1:4">
      <c r="A883" s="1"/>
      <c r="D883" s="1"/>
    </row>
    <row r="884" spans="1:4">
      <c r="A884" s="1"/>
      <c r="D884" s="1"/>
    </row>
    <row r="885" spans="1:4">
      <c r="A885" s="1"/>
      <c r="D885" s="1"/>
    </row>
    <row r="886" spans="1:4">
      <c r="A886" s="1"/>
      <c r="D886" s="1"/>
    </row>
    <row r="887" spans="1:4">
      <c r="A887" s="1"/>
      <c r="D887" s="1"/>
    </row>
    <row r="888" spans="1:4">
      <c r="A888" s="1"/>
      <c r="D888" s="1"/>
    </row>
    <row r="889" spans="1:4">
      <c r="A889" s="1"/>
      <c r="D889" s="1"/>
    </row>
    <row r="890" spans="1:4">
      <c r="A890" s="1"/>
      <c r="D890" s="1"/>
    </row>
    <row r="891" spans="1:4">
      <c r="A891" s="1"/>
      <c r="D891" s="1"/>
    </row>
    <row r="892" spans="1:4">
      <c r="A892" s="1"/>
      <c r="D892" s="1"/>
    </row>
    <row r="893" spans="1:4">
      <c r="A893" s="1"/>
      <c r="D893" s="1"/>
    </row>
    <row r="894" spans="1:4">
      <c r="A894" s="1"/>
      <c r="D894" s="1"/>
    </row>
    <row r="895" spans="1:4">
      <c r="A895" s="1"/>
      <c r="D895" s="1"/>
    </row>
    <row r="896" spans="1:4">
      <c r="A896" s="1"/>
      <c r="D896" s="1"/>
    </row>
    <row r="897" spans="1:4">
      <c r="A897" s="1"/>
      <c r="D897" s="1"/>
    </row>
    <row r="898" spans="1:4">
      <c r="A898" s="1"/>
      <c r="D898" s="1"/>
    </row>
    <row r="899" spans="1:4">
      <c r="A899" s="1"/>
      <c r="D899" s="1"/>
    </row>
    <row r="900" spans="1:4">
      <c r="A900" s="1"/>
      <c r="D900" s="1"/>
    </row>
    <row r="901" spans="1:4">
      <c r="A901" s="1"/>
      <c r="D901" s="1"/>
    </row>
    <row r="902" spans="1:4">
      <c r="A902" s="1"/>
      <c r="D902" s="1"/>
    </row>
    <row r="903" spans="1:4">
      <c r="A903" s="1"/>
      <c r="D903" s="1"/>
    </row>
    <row r="904" spans="1:4">
      <c r="A904" s="1"/>
      <c r="D904" s="1"/>
    </row>
    <row r="905" spans="1:4">
      <c r="A905" s="1"/>
      <c r="D905" s="1"/>
    </row>
    <row r="906" spans="1:4">
      <c r="A906" s="1"/>
      <c r="D906" s="1"/>
    </row>
    <row r="907" spans="1:4">
      <c r="A907" s="1"/>
      <c r="D907" s="1"/>
    </row>
    <row r="908" spans="1:4">
      <c r="A908" s="1"/>
      <c r="D908" s="1"/>
    </row>
    <row r="909" spans="1:4">
      <c r="A909" s="1"/>
      <c r="D909" s="1"/>
    </row>
    <row r="910" spans="1:4">
      <c r="A910" s="1"/>
      <c r="D910" s="1"/>
    </row>
    <row r="911" spans="1:4">
      <c r="A911" s="1"/>
      <c r="D911" s="1"/>
    </row>
    <row r="912" spans="1:4">
      <c r="A912" s="1"/>
      <c r="D912" s="1"/>
    </row>
    <row r="913" spans="1:4">
      <c r="A913" s="1"/>
      <c r="D913" s="1"/>
    </row>
    <row r="914" spans="1:4">
      <c r="A914" s="1"/>
      <c r="D914" s="1"/>
    </row>
    <row r="915" spans="1:4">
      <c r="A915" s="1"/>
      <c r="D915" s="1"/>
    </row>
    <row r="916" spans="1:4">
      <c r="A916" s="1"/>
      <c r="D916" s="1"/>
    </row>
    <row r="917" spans="1:4">
      <c r="A917" s="1"/>
      <c r="D917" s="1"/>
    </row>
    <row r="918" spans="1:4">
      <c r="A918" s="1"/>
      <c r="D918" s="1"/>
    </row>
    <row r="919" spans="1:4">
      <c r="A919" s="1"/>
      <c r="D919" s="1"/>
    </row>
    <row r="920" spans="1:4">
      <c r="A920" s="1"/>
      <c r="D920" s="1"/>
    </row>
    <row r="921" spans="1:4">
      <c r="A921" s="1"/>
      <c r="D921" s="1"/>
    </row>
    <row r="922" spans="1:4">
      <c r="A922" s="1"/>
      <c r="D922" s="1"/>
    </row>
    <row r="923" spans="1:4">
      <c r="A923" s="1"/>
      <c r="D923" s="1"/>
    </row>
    <row r="924" spans="1:4">
      <c r="A924" s="1"/>
      <c r="D924" s="1"/>
    </row>
    <row r="925" spans="1:4">
      <c r="A925" s="1"/>
      <c r="D925" s="1"/>
    </row>
    <row r="926" spans="1:4">
      <c r="A926" s="1"/>
      <c r="D926" s="1"/>
    </row>
    <row r="927" spans="1:4">
      <c r="A927" s="1"/>
      <c r="D927" s="1"/>
    </row>
    <row r="928" spans="1:4">
      <c r="A928" s="1"/>
      <c r="D928" s="1"/>
    </row>
    <row r="929" spans="1:4">
      <c r="A929" s="1"/>
      <c r="D929" s="1"/>
    </row>
    <row r="930" spans="1:4">
      <c r="A930" s="1"/>
      <c r="D930" s="1"/>
    </row>
    <row r="931" spans="1:4">
      <c r="A931" s="1"/>
      <c r="D931" s="1"/>
    </row>
    <row r="932" spans="1:4">
      <c r="A932" s="1"/>
      <c r="D932" s="1"/>
    </row>
    <row r="933" spans="1:4">
      <c r="A933" s="1"/>
      <c r="D933" s="1"/>
    </row>
    <row r="934" spans="1:4">
      <c r="A934" s="1"/>
      <c r="D934" s="1"/>
    </row>
    <row r="935" spans="1:4">
      <c r="A935" s="1"/>
      <c r="D935" s="1"/>
    </row>
    <row r="936" spans="1:4">
      <c r="A936" s="1"/>
      <c r="D936" s="1"/>
    </row>
    <row r="937" spans="1:4">
      <c r="A937" s="1"/>
      <c r="D937" s="1"/>
    </row>
    <row r="938" spans="1:4">
      <c r="A938" s="1"/>
      <c r="D938" s="1"/>
    </row>
    <row r="939" spans="1:4">
      <c r="A939" s="1"/>
      <c r="D939" s="1"/>
    </row>
    <row r="940" spans="1:4">
      <c r="A940" s="1"/>
      <c r="D940" s="1"/>
    </row>
    <row r="941" spans="1:4">
      <c r="A941" s="1"/>
      <c r="D941" s="1"/>
    </row>
    <row r="942" spans="1:4">
      <c r="A942" s="1"/>
      <c r="D942" s="1"/>
    </row>
    <row r="943" spans="1:4">
      <c r="A943" s="1"/>
      <c r="D943" s="1"/>
    </row>
    <row r="944" spans="1:4">
      <c r="A944" s="1"/>
      <c r="D944" s="1"/>
    </row>
    <row r="945" spans="1:4">
      <c r="A945" s="1"/>
      <c r="D945" s="1"/>
    </row>
    <row r="946" spans="1:4">
      <c r="A946" s="1"/>
      <c r="D946" s="1"/>
    </row>
    <row r="947" spans="1:4">
      <c r="A947" s="1"/>
      <c r="D947" s="1"/>
    </row>
    <row r="948" spans="1:4">
      <c r="A948" s="1"/>
      <c r="D948" s="1"/>
    </row>
    <row r="949" spans="1:4">
      <c r="A949" s="1"/>
      <c r="D949" s="1"/>
    </row>
    <row r="950" spans="1:4">
      <c r="A950" s="1"/>
      <c r="D950" s="1"/>
    </row>
    <row r="951" spans="1:4">
      <c r="A951" s="1"/>
      <c r="D951" s="1"/>
    </row>
    <row r="952" spans="1:4">
      <c r="A952" s="1"/>
      <c r="D952" s="1"/>
    </row>
    <row r="953" spans="1:4">
      <c r="A953" s="1"/>
      <c r="D953" s="1"/>
    </row>
    <row r="954" spans="1:4">
      <c r="A954" s="1"/>
      <c r="D954" s="1"/>
    </row>
    <row r="955" spans="1:4">
      <c r="A955" s="1"/>
      <c r="D955" s="1"/>
    </row>
    <row r="956" spans="1:4">
      <c r="A956" s="1"/>
      <c r="D956" s="1"/>
    </row>
    <row r="957" spans="1:4">
      <c r="A957" s="1"/>
      <c r="D957" s="1"/>
    </row>
    <row r="958" spans="1:4">
      <c r="A958" s="1"/>
      <c r="D958" s="1"/>
    </row>
    <row r="959" spans="1:4">
      <c r="A959" s="1"/>
      <c r="D959" s="1"/>
    </row>
    <row r="960" spans="1:4">
      <c r="A960" s="1"/>
      <c r="D960" s="1"/>
    </row>
    <row r="961" spans="1:4">
      <c r="A961" s="1"/>
      <c r="D961" s="1"/>
    </row>
    <row r="962" spans="1:4">
      <c r="A962" s="1"/>
      <c r="D962" s="1"/>
    </row>
    <row r="963" spans="1:4">
      <c r="A963" s="1"/>
      <c r="D963" s="1"/>
    </row>
    <row r="964" spans="1:4">
      <c r="A964" s="1"/>
      <c r="D964" s="1"/>
    </row>
    <row r="965" spans="1:4">
      <c r="A965" s="1"/>
      <c r="D965" s="1"/>
    </row>
    <row r="966" spans="1:4">
      <c r="A966" s="1"/>
      <c r="D966" s="1"/>
    </row>
    <row r="967" spans="1:4">
      <c r="A967" s="1"/>
      <c r="D967" s="1"/>
    </row>
    <row r="968" spans="1:4">
      <c r="A968" s="1"/>
      <c r="D968" s="1"/>
    </row>
    <row r="969" spans="1:4">
      <c r="A969" s="1"/>
      <c r="D969" s="1"/>
    </row>
    <row r="970" spans="1:4">
      <c r="A970" s="1"/>
      <c r="D970" s="1"/>
    </row>
    <row r="971" spans="1:4">
      <c r="A971" s="1"/>
      <c r="D971" s="1"/>
    </row>
    <row r="972" spans="1:4">
      <c r="A972" s="1"/>
      <c r="D972" s="1"/>
    </row>
    <row r="973" spans="1:4">
      <c r="A973" s="1"/>
      <c r="D973" s="1"/>
    </row>
    <row r="974" spans="1:4">
      <c r="A974" s="1"/>
      <c r="D974" s="1"/>
    </row>
    <row r="975" spans="1:4">
      <c r="A975" s="1"/>
      <c r="D975" s="1"/>
    </row>
    <row r="976" spans="1:4">
      <c r="A976" s="1"/>
      <c r="D976" s="1"/>
    </row>
    <row r="977" spans="1:4">
      <c r="A977" s="1"/>
      <c r="D977" s="1"/>
    </row>
    <row r="978" spans="1:4">
      <c r="A978" s="1"/>
      <c r="D978" s="1"/>
    </row>
    <row r="979" spans="1:4">
      <c r="A979" s="1"/>
      <c r="D979" s="1"/>
    </row>
    <row r="980" spans="1:4">
      <c r="A980" s="1"/>
      <c r="D980" s="1"/>
    </row>
    <row r="981" spans="1:4">
      <c r="A981" s="1"/>
      <c r="D981" s="1"/>
    </row>
    <row r="982" spans="1:4">
      <c r="A982" s="1"/>
      <c r="D982" s="1"/>
    </row>
    <row r="983" spans="1:4">
      <c r="A983" s="1"/>
      <c r="D983" s="1"/>
    </row>
    <row r="984" spans="1:4">
      <c r="A984" s="1"/>
      <c r="D984" s="1"/>
    </row>
    <row r="985" spans="1:4">
      <c r="A985" s="1"/>
      <c r="D985" s="1"/>
    </row>
    <row r="986" spans="1:4">
      <c r="A986" s="1"/>
      <c r="D986" s="1"/>
    </row>
    <row r="987" spans="1:4">
      <c r="A987" s="1"/>
      <c r="D987" s="1"/>
    </row>
    <row r="988" spans="1:4">
      <c r="A988" s="1"/>
      <c r="D988" s="1"/>
    </row>
    <row r="989" spans="1:4">
      <c r="A989" s="1"/>
      <c r="D989" s="1"/>
    </row>
    <row r="990" spans="1:4">
      <c r="A990" s="1"/>
      <c r="D990" s="1"/>
    </row>
    <row r="991" spans="1:4">
      <c r="A991" s="1"/>
      <c r="D991" s="1"/>
    </row>
    <row r="992" spans="1:4">
      <c r="A992" s="1"/>
      <c r="D992" s="1"/>
    </row>
    <row r="993" spans="1:4">
      <c r="A993" s="1"/>
      <c r="D993" s="1"/>
    </row>
    <row r="994" spans="1:4">
      <c r="A994" s="1"/>
      <c r="D994" s="1"/>
    </row>
    <row r="995" spans="1:4">
      <c r="A995" s="1"/>
      <c r="D995" s="1"/>
    </row>
    <row r="996" spans="1:4">
      <c r="A996" s="1"/>
      <c r="D996" s="1"/>
    </row>
    <row r="997" spans="1:4">
      <c r="A997" s="1"/>
      <c r="D997" s="1"/>
    </row>
    <row r="998" spans="1:4">
      <c r="A998" s="1"/>
      <c r="D998" s="1"/>
    </row>
    <row r="999" spans="1:4">
      <c r="A999" s="1"/>
      <c r="D999" s="1"/>
    </row>
    <row r="1000" spans="1:4">
      <c r="A1000" s="1"/>
      <c r="D1000" s="1"/>
    </row>
    <row r="1001" spans="1:4">
      <c r="A1001" s="1"/>
      <c r="D1001" s="1"/>
    </row>
    <row r="1002" spans="1:4">
      <c r="A1002" s="1"/>
      <c r="D1002" s="1"/>
    </row>
    <row r="1003" spans="1:4">
      <c r="A1003" s="1"/>
      <c r="D1003" s="1"/>
    </row>
    <row r="1004" spans="1:4">
      <c r="A1004" s="1"/>
      <c r="D1004" s="1"/>
    </row>
    <row r="1005" spans="1:4">
      <c r="A1005" s="1"/>
      <c r="D1005" s="1"/>
    </row>
    <row r="1006" spans="1:4">
      <c r="A1006" s="1"/>
      <c r="D1006" s="1"/>
    </row>
    <row r="1007" spans="1:4">
      <c r="A1007" s="1"/>
      <c r="D1007" s="1"/>
    </row>
    <row r="1008" spans="1:4">
      <c r="A1008" s="1"/>
      <c r="D1008" s="1"/>
    </row>
    <row r="1009" spans="1:4">
      <c r="A1009" s="1"/>
      <c r="D1009" s="1"/>
    </row>
    <row r="1010" spans="1:4">
      <c r="A1010" s="1"/>
      <c r="D1010" s="1"/>
    </row>
    <row r="1011" spans="1:4">
      <c r="A1011" s="1"/>
      <c r="D1011" s="1"/>
    </row>
    <row r="1012" spans="1:4">
      <c r="A1012" s="1"/>
      <c r="D1012" s="1"/>
    </row>
    <row r="1013" spans="1:4">
      <c r="A1013" s="1"/>
      <c r="D1013" s="1"/>
    </row>
    <row r="1014" spans="1:4">
      <c r="A1014" s="1"/>
      <c r="D1014" s="1"/>
    </row>
    <row r="1015" spans="1:4">
      <c r="A1015" s="1"/>
      <c r="D1015" s="1"/>
    </row>
    <row r="1016" spans="1:4">
      <c r="A1016" s="1"/>
      <c r="D1016" s="1"/>
    </row>
    <row r="1017" spans="1:4">
      <c r="A1017" s="1"/>
      <c r="D1017" s="1"/>
    </row>
    <row r="1018" spans="1:4">
      <c r="A1018" s="1"/>
      <c r="D1018" s="1"/>
    </row>
    <row r="1019" spans="1:4">
      <c r="A1019" s="1"/>
      <c r="D1019" s="1"/>
    </row>
    <row r="1020" spans="1:4">
      <c r="A1020" s="1"/>
      <c r="D1020" s="1"/>
    </row>
    <row r="1021" spans="1:4">
      <c r="A1021" s="1"/>
      <c r="D1021" s="1"/>
    </row>
    <row r="1022" spans="1:4">
      <c r="A1022" s="1"/>
      <c r="D1022" s="1"/>
    </row>
    <row r="1023" spans="1:4">
      <c r="A1023" s="1"/>
      <c r="D1023" s="1"/>
    </row>
    <row r="1024" spans="1:4">
      <c r="A1024" s="1"/>
      <c r="D1024" s="1"/>
    </row>
    <row r="1025" spans="1:4">
      <c r="A1025" s="1"/>
      <c r="D1025" s="1"/>
    </row>
    <row r="1026" spans="1:4">
      <c r="A1026" s="1"/>
      <c r="D1026" s="1"/>
    </row>
    <row r="1027" spans="1:4">
      <c r="A1027" s="1"/>
      <c r="D1027" s="1"/>
    </row>
    <row r="1028" spans="1:4">
      <c r="A1028" s="1"/>
      <c r="D1028" s="1"/>
    </row>
    <row r="1029" spans="1:4">
      <c r="A1029" s="1"/>
      <c r="D1029" s="1"/>
    </row>
    <row r="1030" spans="1:4">
      <c r="A1030" s="1"/>
      <c r="D1030" s="1"/>
    </row>
    <row r="1031" spans="1:4">
      <c r="A1031" s="1"/>
      <c r="D1031" s="1"/>
    </row>
    <row r="1032" spans="1:4">
      <c r="A1032" s="1"/>
      <c r="D1032" s="1"/>
    </row>
    <row r="1033" spans="1:4">
      <c r="A1033" s="1"/>
      <c r="D1033" s="1"/>
    </row>
    <row r="1034" spans="1:4">
      <c r="A1034" s="1"/>
      <c r="D1034" s="1"/>
    </row>
    <row r="1035" spans="1:4">
      <c r="A1035" s="1"/>
      <c r="D1035" s="1"/>
    </row>
    <row r="1036" spans="1:4">
      <c r="A1036" s="1"/>
      <c r="D1036" s="1"/>
    </row>
    <row r="1037" spans="1:4">
      <c r="A1037" s="1"/>
      <c r="D1037" s="1"/>
    </row>
    <row r="1038" spans="1:4">
      <c r="A1038" s="1"/>
      <c r="D1038" s="1"/>
    </row>
    <row r="1039" spans="1:4">
      <c r="A1039" s="1"/>
      <c r="D1039" s="1"/>
    </row>
    <row r="1040" spans="1:4">
      <c r="A1040" s="1"/>
      <c r="D1040" s="1"/>
    </row>
    <row r="1041" spans="1:4">
      <c r="A1041" s="1"/>
      <c r="D1041" s="1"/>
    </row>
    <row r="1042" spans="1:4">
      <c r="A1042" s="1"/>
      <c r="D1042" s="1"/>
    </row>
    <row r="1043" spans="1:4">
      <c r="A1043" s="1"/>
      <c r="D1043" s="1"/>
    </row>
    <row r="1044" spans="1:4">
      <c r="A1044" s="1"/>
      <c r="D1044" s="1"/>
    </row>
    <row r="1045" spans="1:4">
      <c r="A1045" s="1"/>
      <c r="D1045" s="1"/>
    </row>
    <row r="1046" spans="1:4">
      <c r="A1046" s="1"/>
      <c r="D1046" s="1"/>
    </row>
    <row r="1047" spans="1:4">
      <c r="A1047" s="1"/>
      <c r="D1047" s="1"/>
    </row>
    <row r="1048" spans="1:4">
      <c r="A1048" s="1"/>
      <c r="D1048" s="1"/>
    </row>
    <row r="1049" spans="1:4">
      <c r="A1049" s="1"/>
      <c r="D1049" s="1"/>
    </row>
    <row r="1050" spans="1:4">
      <c r="A1050" s="1"/>
      <c r="D1050" s="1"/>
    </row>
    <row r="1051" spans="1:4">
      <c r="A1051" s="1"/>
      <c r="D1051" s="1"/>
    </row>
    <row r="1052" spans="1:4">
      <c r="A1052" s="1"/>
      <c r="D1052" s="1"/>
    </row>
    <row r="1053" spans="1:4">
      <c r="A1053" s="1"/>
      <c r="D1053" s="1"/>
    </row>
    <row r="1054" spans="1:4">
      <c r="A1054" s="1"/>
      <c r="D1054" s="1"/>
    </row>
    <row r="1055" spans="1:4">
      <c r="A1055" s="1"/>
      <c r="D1055" s="1"/>
    </row>
    <row r="1056" spans="1:4">
      <c r="A1056" s="1"/>
      <c r="D1056" s="1"/>
    </row>
    <row r="1057" spans="1:4">
      <c r="A1057" s="1"/>
      <c r="D1057" s="1"/>
    </row>
    <row r="1058" spans="1:4">
      <c r="A1058" s="1"/>
      <c r="D1058" s="1"/>
    </row>
    <row r="1059" spans="1:4">
      <c r="A1059" s="1"/>
      <c r="D1059" s="1"/>
    </row>
    <row r="1060" spans="1:4">
      <c r="A1060" s="1"/>
      <c r="D1060" s="1"/>
    </row>
    <row r="1061" spans="1:4">
      <c r="A1061" s="1"/>
      <c r="D1061" s="1"/>
    </row>
    <row r="1062" spans="1:4">
      <c r="A1062" s="1"/>
      <c r="D1062" s="1"/>
    </row>
    <row r="1063" spans="1:4">
      <c r="A1063" s="1"/>
      <c r="D1063" s="1"/>
    </row>
    <row r="1064" spans="1:4">
      <c r="A1064" s="1"/>
      <c r="D1064" s="1"/>
    </row>
    <row r="1065" spans="1:4">
      <c r="A1065" s="1"/>
      <c r="D1065" s="1"/>
    </row>
    <row r="1066" spans="1:4">
      <c r="A1066" s="1"/>
      <c r="D1066" s="1"/>
    </row>
    <row r="1067" spans="1:4">
      <c r="A1067" s="1"/>
      <c r="D1067" s="1"/>
    </row>
    <row r="1068" spans="1:4">
      <c r="A1068" s="1"/>
      <c r="D1068" s="1"/>
    </row>
    <row r="1069" spans="1:4">
      <c r="A1069" s="1"/>
      <c r="D1069" s="1"/>
    </row>
    <row r="1070" spans="1:4">
      <c r="A1070" s="1"/>
      <c r="D1070" s="1"/>
    </row>
    <row r="1071" spans="1:4">
      <c r="A1071" s="1"/>
      <c r="D1071" s="1"/>
    </row>
    <row r="1072" spans="1:4">
      <c r="A1072" s="1"/>
      <c r="D1072" s="1"/>
    </row>
    <row r="1073" spans="1:4">
      <c r="A1073" s="1"/>
      <c r="D1073" s="1"/>
    </row>
    <row r="1074" spans="1:4">
      <c r="A1074" s="1"/>
      <c r="D1074" s="1"/>
    </row>
    <row r="1075" spans="1:4">
      <c r="A1075" s="1"/>
      <c r="D1075" s="1"/>
    </row>
    <row r="1076" spans="1:4">
      <c r="A1076" s="1"/>
      <c r="D1076" s="1"/>
    </row>
    <row r="1077" spans="1:4">
      <c r="A1077" s="1"/>
      <c r="D1077" s="1"/>
    </row>
    <row r="1078" spans="1:4">
      <c r="A1078" s="1"/>
      <c r="D1078" s="1"/>
    </row>
    <row r="1079" spans="1:4">
      <c r="A1079" s="1"/>
      <c r="D1079" s="1"/>
    </row>
    <row r="1080" spans="1:4">
      <c r="A1080" s="1"/>
      <c r="D1080" s="1"/>
    </row>
    <row r="1081" spans="1:4">
      <c r="A1081" s="1"/>
      <c r="D1081" s="1"/>
    </row>
    <row r="1082" spans="1:4">
      <c r="A1082" s="1"/>
      <c r="D1082" s="1"/>
    </row>
    <row r="1083" spans="1:4">
      <c r="A1083" s="1"/>
      <c r="D1083" s="1"/>
    </row>
    <row r="1084" spans="1:4">
      <c r="A1084" s="1"/>
      <c r="D1084" s="1"/>
    </row>
    <row r="1085" spans="1:4">
      <c r="A1085" s="1"/>
      <c r="D1085" s="1"/>
    </row>
    <row r="1086" spans="1:4">
      <c r="A1086" s="1"/>
      <c r="D1086" s="1"/>
    </row>
    <row r="1087" spans="1:4">
      <c r="A1087" s="1"/>
      <c r="D1087" s="1"/>
    </row>
    <row r="1088" spans="1:4">
      <c r="A1088" s="1"/>
      <c r="D1088" s="1"/>
    </row>
    <row r="1089" spans="1:4">
      <c r="A1089" s="1"/>
      <c r="D1089" s="1"/>
    </row>
    <row r="1090" spans="1:4">
      <c r="A1090" s="1"/>
      <c r="D1090" s="1"/>
    </row>
    <row r="1091" spans="1:4">
      <c r="A1091" s="1"/>
      <c r="D1091" s="1"/>
    </row>
    <row r="1092" spans="1:4">
      <c r="A1092" s="1"/>
      <c r="D1092" s="1"/>
    </row>
    <row r="1093" spans="1:4">
      <c r="A1093" s="1"/>
      <c r="D1093" s="1"/>
    </row>
    <row r="1094" spans="1:4">
      <c r="A1094" s="1"/>
      <c r="D1094" s="1"/>
    </row>
    <row r="1095" spans="1:4">
      <c r="A1095" s="1"/>
      <c r="D1095" s="1"/>
    </row>
    <row r="1096" spans="1:4">
      <c r="A1096" s="1"/>
      <c r="D1096" s="1"/>
    </row>
    <row r="1097" spans="1:4">
      <c r="A1097" s="1"/>
      <c r="D1097" s="1"/>
    </row>
    <row r="1098" spans="1:4">
      <c r="A1098" s="1"/>
      <c r="D1098" s="1"/>
    </row>
    <row r="1099" spans="1:4">
      <c r="A1099" s="1"/>
      <c r="D1099" s="1"/>
    </row>
    <row r="1100" spans="1:4">
      <c r="A1100" s="1"/>
      <c r="D1100" s="1"/>
    </row>
    <row r="1101" spans="1:4">
      <c r="A1101" s="1"/>
      <c r="D1101" s="1"/>
    </row>
    <row r="1102" spans="1:4">
      <c r="A1102" s="1"/>
      <c r="D1102" s="1"/>
    </row>
    <row r="1103" spans="1:4">
      <c r="A1103" s="1"/>
      <c r="D1103" s="1"/>
    </row>
    <row r="1104" spans="1:4">
      <c r="A1104" s="1"/>
      <c r="D1104" s="1"/>
    </row>
    <row r="1105" spans="1:4">
      <c r="A1105" s="1"/>
      <c r="D1105" s="1"/>
    </row>
    <row r="1106" spans="1:4">
      <c r="A1106" s="1"/>
      <c r="D1106" s="1"/>
    </row>
    <row r="1107" spans="1:4">
      <c r="A1107" s="1"/>
      <c r="D1107" s="1"/>
    </row>
    <row r="1108" spans="1:4">
      <c r="A1108" s="1"/>
      <c r="D1108" s="1"/>
    </row>
    <row r="1109" spans="1:4">
      <c r="A1109" s="1"/>
      <c r="D1109" s="1"/>
    </row>
    <row r="1110" spans="1:4">
      <c r="A1110" s="1"/>
      <c r="D1110" s="1"/>
    </row>
    <row r="1111" spans="1:4">
      <c r="A1111" s="1"/>
      <c r="D1111" s="1"/>
    </row>
    <row r="1112" spans="1:4">
      <c r="A1112" s="1"/>
      <c r="D1112" s="1"/>
    </row>
    <row r="1113" spans="1:4">
      <c r="A1113" s="1"/>
      <c r="D1113" s="1"/>
    </row>
    <row r="1114" spans="1:4">
      <c r="A1114" s="1"/>
      <c r="D1114" s="1"/>
    </row>
    <row r="1115" spans="1:4">
      <c r="A1115" s="1"/>
      <c r="D1115" s="1"/>
    </row>
    <row r="1116" spans="1:4">
      <c r="A1116" s="1"/>
      <c r="D1116" s="1"/>
    </row>
    <row r="1117" spans="1:4">
      <c r="A1117" s="1"/>
      <c r="D1117" s="1"/>
    </row>
    <row r="1118" spans="1:4">
      <c r="A1118" s="1"/>
      <c r="D1118" s="1"/>
    </row>
    <row r="1119" spans="1:4">
      <c r="A1119" s="1"/>
      <c r="D1119" s="1"/>
    </row>
    <row r="1120" spans="1:4">
      <c r="A1120" s="1"/>
      <c r="D1120" s="1"/>
    </row>
    <row r="1121" spans="1:4">
      <c r="A1121" s="1"/>
      <c r="D1121" s="1"/>
    </row>
    <row r="1122" spans="1:4">
      <c r="A1122" s="1"/>
      <c r="D1122" s="1"/>
    </row>
    <row r="1123" spans="1:4">
      <c r="A1123" s="1"/>
      <c r="D1123" s="1"/>
    </row>
    <row r="1124" spans="1:4">
      <c r="A1124" s="1"/>
      <c r="D1124" s="1"/>
    </row>
    <row r="1125" spans="1:4">
      <c r="A1125" s="1"/>
      <c r="D1125" s="1"/>
    </row>
    <row r="1126" spans="1:4">
      <c r="A1126" s="1"/>
      <c r="D1126" s="1"/>
    </row>
    <row r="1127" spans="1:4">
      <c r="A1127" s="1"/>
      <c r="D1127" s="1"/>
    </row>
    <row r="1128" spans="1:4">
      <c r="A1128" s="1"/>
      <c r="D1128" s="1"/>
    </row>
    <row r="1129" spans="1:4">
      <c r="A1129" s="1"/>
      <c r="D1129" s="1"/>
    </row>
    <row r="1130" spans="1:4">
      <c r="A1130" s="1"/>
      <c r="D1130" s="1"/>
    </row>
    <row r="1131" spans="1:4">
      <c r="A1131" s="1"/>
      <c r="D1131" s="1"/>
    </row>
    <row r="1132" spans="1:4">
      <c r="A1132" s="1"/>
      <c r="D1132" s="1"/>
    </row>
    <row r="1133" spans="1:4">
      <c r="A1133" s="1"/>
      <c r="D1133" s="1"/>
    </row>
    <row r="1134" spans="1:4">
      <c r="A1134" s="1"/>
      <c r="D1134" s="1"/>
    </row>
    <row r="1135" spans="1:4">
      <c r="A1135" s="1"/>
      <c r="D1135" s="1"/>
    </row>
    <row r="1136" spans="1:4">
      <c r="A1136" s="1"/>
      <c r="D1136" s="1"/>
    </row>
    <row r="1137" spans="1:4">
      <c r="A1137" s="1"/>
      <c r="D1137" s="1"/>
    </row>
    <row r="1138" spans="1:4">
      <c r="A1138" s="1"/>
      <c r="D1138" s="1"/>
    </row>
    <row r="1139" spans="1:4">
      <c r="A1139" s="1"/>
      <c r="D1139" s="1"/>
    </row>
    <row r="1140" spans="1:4">
      <c r="A1140" s="1"/>
      <c r="D1140" s="1"/>
    </row>
    <row r="1141" spans="1:4">
      <c r="A1141" s="1"/>
      <c r="D1141" s="1"/>
    </row>
    <row r="1142" spans="1:4">
      <c r="A1142" s="1"/>
      <c r="D1142" s="1"/>
    </row>
    <row r="1143" spans="1:4">
      <c r="A1143" s="1"/>
      <c r="D1143" s="1"/>
    </row>
    <row r="1144" spans="1:4">
      <c r="A1144" s="1"/>
      <c r="D1144" s="1"/>
    </row>
    <row r="1145" spans="1:4">
      <c r="A1145" s="1"/>
      <c r="D1145" s="1"/>
    </row>
    <row r="1146" spans="1:4">
      <c r="A1146" s="1"/>
      <c r="D1146" s="1"/>
    </row>
    <row r="1147" spans="1:4">
      <c r="A1147" s="1"/>
      <c r="D1147" s="1"/>
    </row>
    <row r="1148" spans="1:4">
      <c r="A1148" s="1"/>
      <c r="D1148" s="1"/>
    </row>
    <row r="1149" spans="1:4">
      <c r="A1149" s="1"/>
      <c r="D1149" s="1"/>
    </row>
    <row r="1150" spans="1:4">
      <c r="A1150" s="1"/>
      <c r="D1150" s="1"/>
    </row>
    <row r="1151" spans="1:4">
      <c r="A1151" s="1"/>
      <c r="D1151" s="1"/>
    </row>
    <row r="1152" spans="1:4">
      <c r="A1152" s="1"/>
      <c r="D1152" s="1"/>
    </row>
    <row r="1153" spans="1:4">
      <c r="A1153" s="1"/>
      <c r="D1153" s="1"/>
    </row>
    <row r="1154" spans="1:4">
      <c r="A1154" s="1"/>
      <c r="D1154" s="1"/>
    </row>
    <row r="1155" spans="1:4">
      <c r="A1155" s="1"/>
      <c r="D1155" s="1"/>
    </row>
    <row r="1156" spans="1:4">
      <c r="A1156" s="1"/>
      <c r="D1156" s="1"/>
    </row>
    <row r="1157" spans="1:4">
      <c r="A1157" s="1"/>
      <c r="D1157" s="1"/>
    </row>
    <row r="1158" spans="1:4">
      <c r="A1158" s="1"/>
      <c r="D1158" s="1"/>
    </row>
    <row r="1159" spans="1:4">
      <c r="A1159" s="1"/>
      <c r="D1159" s="1"/>
    </row>
    <row r="1160" spans="1:4">
      <c r="A1160" s="1"/>
      <c r="D1160" s="1"/>
    </row>
    <row r="1161" spans="1:4">
      <c r="A1161" s="1"/>
      <c r="D1161" s="1"/>
    </row>
    <row r="1162" spans="1:4">
      <c r="A1162" s="1"/>
      <c r="D1162" s="1"/>
    </row>
    <row r="1163" spans="1:4">
      <c r="A1163" s="1"/>
      <c r="D1163" s="1"/>
    </row>
    <row r="1164" spans="1:4">
      <c r="A1164" s="1"/>
      <c r="D1164" s="1"/>
    </row>
    <row r="1165" spans="1:4">
      <c r="A1165" s="1"/>
      <c r="D1165" s="1"/>
    </row>
    <row r="1166" spans="1:4">
      <c r="A1166" s="1"/>
      <c r="D1166" s="1"/>
    </row>
    <row r="1167" spans="1:4">
      <c r="A1167" s="1"/>
      <c r="D1167" s="1"/>
    </row>
    <row r="1168" spans="1:4">
      <c r="A1168" s="1"/>
      <c r="D1168" s="1"/>
    </row>
    <row r="1169" spans="1:4">
      <c r="A1169" s="1"/>
      <c r="D1169" s="1"/>
    </row>
    <row r="1170" spans="1:4">
      <c r="A1170" s="1"/>
      <c r="D1170" s="1"/>
    </row>
    <row r="1171" spans="1:4">
      <c r="A1171" s="1"/>
      <c r="D1171" s="1"/>
    </row>
    <row r="1172" spans="1:4">
      <c r="A1172" s="1"/>
      <c r="D1172" s="1"/>
    </row>
    <row r="1173" spans="1:4">
      <c r="A1173" s="1"/>
      <c r="D1173" s="1"/>
    </row>
    <row r="1174" spans="1:4">
      <c r="A1174" s="1"/>
      <c r="D1174" s="1"/>
    </row>
    <row r="1175" spans="1:4">
      <c r="A1175" s="1"/>
      <c r="D1175" s="1"/>
    </row>
    <row r="1176" spans="1:4">
      <c r="A1176" s="1"/>
      <c r="D1176" s="1"/>
    </row>
    <row r="1177" spans="1:4">
      <c r="A1177" s="1"/>
      <c r="D1177" s="1"/>
    </row>
    <row r="1178" spans="1:4">
      <c r="A1178" s="1"/>
      <c r="D1178" s="1"/>
    </row>
    <row r="1179" spans="1:4">
      <c r="A1179" s="1"/>
      <c r="D1179" s="1"/>
    </row>
    <row r="1180" spans="1:4">
      <c r="A1180" s="1"/>
      <c r="D1180" s="1"/>
    </row>
    <row r="1181" spans="1:4">
      <c r="A1181" s="1"/>
      <c r="D1181" s="1"/>
    </row>
    <row r="1182" spans="1:4">
      <c r="A1182" s="1"/>
      <c r="D1182" s="1"/>
    </row>
    <row r="1183" spans="1:4">
      <c r="A1183" s="1"/>
      <c r="D1183" s="1"/>
    </row>
    <row r="1184" spans="1:4">
      <c r="A1184" s="1"/>
      <c r="D1184" s="1"/>
    </row>
    <row r="1185" spans="1:4">
      <c r="A1185" s="1"/>
      <c r="D1185" s="1"/>
    </row>
    <row r="1186" spans="1:4">
      <c r="A1186" s="1"/>
      <c r="D1186" s="1"/>
    </row>
    <row r="1187" spans="1:4">
      <c r="A1187" s="1"/>
      <c r="D1187" s="1"/>
    </row>
    <row r="1188" spans="1:4">
      <c r="A1188" s="1"/>
      <c r="D1188" s="1"/>
    </row>
    <row r="1189" spans="1:4">
      <c r="A1189" s="1"/>
      <c r="D1189" s="1"/>
    </row>
    <row r="1190" spans="1:4">
      <c r="A1190" s="1"/>
      <c r="D1190" s="1"/>
    </row>
    <row r="1191" spans="1:4">
      <c r="A1191" s="1"/>
      <c r="D1191" s="1"/>
    </row>
    <row r="1192" spans="1:4">
      <c r="A1192" s="1"/>
      <c r="D1192" s="1"/>
    </row>
    <row r="1193" spans="1:4">
      <c r="A1193" s="1"/>
      <c r="D1193" s="1"/>
    </row>
    <row r="1194" spans="1:4">
      <c r="A1194" s="1"/>
      <c r="D1194" s="1"/>
    </row>
    <row r="1195" spans="1:4">
      <c r="A1195" s="1"/>
      <c r="D1195" s="1"/>
    </row>
    <row r="1196" spans="1:4">
      <c r="A1196" s="1"/>
      <c r="D1196" s="1"/>
    </row>
    <row r="1197" spans="1:4">
      <c r="A1197" s="1"/>
      <c r="D1197" s="1"/>
    </row>
    <row r="1198" spans="1:4">
      <c r="A1198" s="1"/>
      <c r="D1198" s="1"/>
    </row>
    <row r="1199" spans="1:4">
      <c r="A1199" s="1"/>
      <c r="D1199" s="1"/>
    </row>
    <row r="1200" spans="1:4">
      <c r="A1200" s="1"/>
      <c r="D1200" s="1"/>
    </row>
    <row r="1201" spans="1:4">
      <c r="A1201" s="1"/>
      <c r="D1201" s="1"/>
    </row>
    <row r="1202" spans="1:4">
      <c r="A1202" s="1"/>
      <c r="D1202" s="1"/>
    </row>
    <row r="1203" spans="1:4">
      <c r="A1203" s="1"/>
      <c r="D1203" s="1"/>
    </row>
    <row r="1204" spans="1:4">
      <c r="A1204" s="1"/>
      <c r="D1204" s="1"/>
    </row>
    <row r="1205" spans="1:4">
      <c r="A1205" s="1"/>
      <c r="D1205" s="1"/>
    </row>
    <row r="1206" spans="1:4">
      <c r="A1206" s="1"/>
      <c r="D1206" s="1"/>
    </row>
    <row r="1207" spans="1:4">
      <c r="A1207" s="1"/>
      <c r="D1207" s="1"/>
    </row>
    <row r="1208" spans="1:4">
      <c r="A1208" s="1"/>
      <c r="D1208" s="1"/>
    </row>
    <row r="1209" spans="1:4">
      <c r="A1209" s="1"/>
      <c r="D1209" s="1"/>
    </row>
    <row r="1210" spans="1:4">
      <c r="A1210" s="1"/>
      <c r="D1210" s="1"/>
    </row>
    <row r="1211" spans="1:4">
      <c r="A1211" s="1"/>
      <c r="D1211" s="1"/>
    </row>
    <row r="1212" spans="1:4">
      <c r="A1212" s="1"/>
      <c r="D1212" s="1"/>
    </row>
    <row r="1213" spans="1:4">
      <c r="A1213" s="1"/>
      <c r="D1213" s="1"/>
    </row>
    <row r="1214" spans="1:4">
      <c r="A1214" s="1"/>
      <c r="D1214" s="1"/>
    </row>
    <row r="1215" spans="1:4">
      <c r="A1215" s="1"/>
      <c r="D1215" s="1"/>
    </row>
    <row r="1216" spans="1:4">
      <c r="A1216" s="1"/>
      <c r="D1216" s="1"/>
    </row>
    <row r="1217" spans="1:4">
      <c r="A1217" s="1"/>
      <c r="D1217" s="1"/>
    </row>
    <row r="1218" spans="1:4">
      <c r="A1218" s="1"/>
      <c r="D1218" s="1"/>
    </row>
    <row r="1219" spans="1:4">
      <c r="A1219" s="1"/>
      <c r="D1219" s="1"/>
    </row>
    <row r="1220" spans="1:4">
      <c r="A1220" s="1"/>
      <c r="D1220" s="1"/>
    </row>
    <row r="1221" spans="1:4">
      <c r="A1221" s="1"/>
      <c r="D1221" s="1"/>
    </row>
    <row r="1222" spans="1:4">
      <c r="A1222" s="1"/>
      <c r="D1222" s="1"/>
    </row>
    <row r="1223" spans="1:4">
      <c r="A1223" s="1"/>
      <c r="D1223" s="1"/>
    </row>
    <row r="1224" spans="1:4">
      <c r="A1224" s="1"/>
      <c r="D1224" s="1"/>
    </row>
    <row r="1225" spans="1:4">
      <c r="A1225" s="1"/>
      <c r="D1225" s="1"/>
    </row>
    <row r="1226" spans="1:4">
      <c r="A1226" s="1"/>
      <c r="D1226" s="1"/>
    </row>
    <row r="1227" spans="1:4">
      <c r="A1227" s="1"/>
      <c r="D1227" s="1"/>
    </row>
    <row r="1228" spans="1:4">
      <c r="A1228" s="1"/>
      <c r="D1228" s="1"/>
    </row>
    <row r="1229" spans="1:4">
      <c r="A1229" s="1"/>
      <c r="D1229" s="1"/>
    </row>
    <row r="1230" spans="1:4">
      <c r="A1230" s="1"/>
      <c r="D1230" s="1"/>
    </row>
    <row r="1231" spans="1:4">
      <c r="A1231" s="1"/>
      <c r="D1231" s="1"/>
    </row>
    <row r="1232" spans="1:4">
      <c r="A1232" s="1"/>
      <c r="D1232" s="1"/>
    </row>
    <row r="1233" spans="1:4">
      <c r="A1233" s="1"/>
      <c r="D1233" s="1"/>
    </row>
    <row r="1234" spans="1:4">
      <c r="A1234" s="1"/>
      <c r="D1234" s="1"/>
    </row>
    <row r="1235" spans="1:4">
      <c r="A1235" s="1"/>
      <c r="D1235" s="1"/>
    </row>
    <row r="1236" spans="1:4">
      <c r="A1236" s="1"/>
      <c r="D1236" s="1"/>
    </row>
    <row r="1237" spans="1:4">
      <c r="A1237" s="1"/>
      <c r="D1237" s="1"/>
    </row>
    <row r="1238" spans="1:4">
      <c r="A1238" s="1"/>
      <c r="D1238" s="1"/>
    </row>
    <row r="1239" spans="1:4">
      <c r="A1239" s="1"/>
      <c r="D1239" s="1"/>
    </row>
    <row r="1240" spans="1:4">
      <c r="A1240" s="1"/>
      <c r="D1240" s="1"/>
    </row>
    <row r="1241" spans="1:4">
      <c r="A1241" s="1"/>
      <c r="D1241" s="1"/>
    </row>
    <row r="1242" spans="1:4">
      <c r="A1242" s="1"/>
      <c r="D1242" s="1"/>
    </row>
    <row r="1243" spans="1:4">
      <c r="A1243" s="1"/>
      <c r="D1243" s="1"/>
    </row>
    <row r="1244" spans="1:4">
      <c r="A1244" s="1"/>
      <c r="D1244" s="1"/>
    </row>
    <row r="1245" spans="1:4">
      <c r="A1245" s="1"/>
      <c r="D1245" s="1"/>
    </row>
    <row r="1246" spans="1:4">
      <c r="A1246" s="1"/>
      <c r="D1246" s="1"/>
    </row>
    <row r="1247" spans="1:4">
      <c r="A1247" s="1"/>
      <c r="D1247" s="1"/>
    </row>
    <row r="1248" spans="1:4">
      <c r="A1248" s="1"/>
      <c r="D1248" s="1"/>
    </row>
    <row r="1249" spans="1:4">
      <c r="A1249" s="1"/>
      <c r="D1249" s="1"/>
    </row>
    <row r="1250" spans="1:4">
      <c r="A1250" s="1"/>
      <c r="D1250" s="1"/>
    </row>
    <row r="1251" spans="1:4">
      <c r="A1251" s="1"/>
      <c r="D1251" s="1"/>
    </row>
    <row r="1252" spans="1:4">
      <c r="A1252" s="1"/>
      <c r="D1252" s="1"/>
    </row>
    <row r="1253" spans="1:4">
      <c r="A1253" s="1"/>
      <c r="D1253" s="1"/>
    </row>
    <row r="1254" spans="1:4">
      <c r="A1254" s="1"/>
      <c r="D1254" s="1"/>
    </row>
    <row r="1255" spans="1:4">
      <c r="A1255" s="1"/>
      <c r="D1255" s="1"/>
    </row>
    <row r="1256" spans="1:4">
      <c r="A1256" s="1"/>
      <c r="D1256" s="1"/>
    </row>
    <row r="1257" spans="1:4">
      <c r="A1257" s="1"/>
      <c r="D1257" s="1"/>
    </row>
    <row r="1258" spans="1:4">
      <c r="A1258" s="1"/>
      <c r="D1258" s="1"/>
    </row>
    <row r="1259" spans="1:4">
      <c r="A1259" s="1"/>
      <c r="D1259" s="1"/>
    </row>
    <row r="1260" spans="1:4">
      <c r="A1260" s="1"/>
      <c r="D1260" s="1"/>
    </row>
    <row r="1261" spans="1:4">
      <c r="A1261" s="1"/>
      <c r="D1261" s="1"/>
    </row>
    <row r="1262" spans="1:4">
      <c r="A1262" s="1"/>
      <c r="D1262" s="1"/>
    </row>
    <row r="1263" spans="1:4">
      <c r="A1263" s="1"/>
      <c r="D1263" s="1"/>
    </row>
    <row r="1264" spans="1:4">
      <c r="A1264" s="1"/>
      <c r="D1264" s="1"/>
    </row>
    <row r="1265" spans="1:4">
      <c r="A1265" s="1"/>
      <c r="D1265" s="1"/>
    </row>
    <row r="1266" spans="1:4">
      <c r="A1266" s="1"/>
      <c r="D1266" s="1"/>
    </row>
    <row r="1267" spans="1:4">
      <c r="A1267" s="1"/>
      <c r="D1267" s="1"/>
    </row>
    <row r="1268" spans="1:4">
      <c r="A1268" s="1"/>
      <c r="D1268" s="1"/>
    </row>
    <row r="1269" spans="1:4">
      <c r="A1269" s="1"/>
      <c r="D1269" s="1"/>
    </row>
    <row r="1270" spans="1:4">
      <c r="A1270" s="1"/>
      <c r="D1270" s="1"/>
    </row>
    <row r="1271" spans="1:4">
      <c r="A1271" s="1"/>
      <c r="D1271" s="1"/>
    </row>
    <row r="1272" spans="1:4">
      <c r="A1272" s="1"/>
      <c r="D1272" s="1"/>
    </row>
    <row r="1273" spans="1:4">
      <c r="A1273" s="1"/>
      <c r="D1273" s="1"/>
    </row>
    <row r="1274" spans="1:4">
      <c r="A1274" s="1"/>
      <c r="D1274" s="1"/>
    </row>
    <row r="1275" spans="1:4">
      <c r="A1275" s="1"/>
      <c r="D1275" s="1"/>
    </row>
    <row r="1276" spans="1:4">
      <c r="A1276" s="1"/>
      <c r="D1276" s="1"/>
    </row>
    <row r="1277" spans="1:4">
      <c r="A1277" s="1"/>
      <c r="D1277" s="1"/>
    </row>
    <row r="1278" spans="1:4">
      <c r="A1278" s="1"/>
      <c r="D1278" s="1"/>
    </row>
    <row r="1279" spans="1:4">
      <c r="A1279" s="1"/>
      <c r="D1279" s="1"/>
    </row>
    <row r="1280" spans="1:4">
      <c r="A1280" s="1"/>
      <c r="D1280" s="1"/>
    </row>
    <row r="1281" spans="1:4">
      <c r="A1281" s="1"/>
      <c r="D1281" s="1"/>
    </row>
    <row r="1282" spans="1:4">
      <c r="A1282" s="1"/>
      <c r="D1282" s="1"/>
    </row>
    <row r="1283" spans="1:4">
      <c r="A1283" s="1"/>
      <c r="D1283" s="1"/>
    </row>
    <row r="1284" spans="1:4">
      <c r="A1284" s="1"/>
      <c r="D1284" s="1"/>
    </row>
    <row r="1285" spans="1:4">
      <c r="A1285" s="1"/>
      <c r="D1285" s="1"/>
    </row>
    <row r="1286" spans="1:4">
      <c r="A1286" s="1"/>
      <c r="D1286" s="1"/>
    </row>
    <row r="1287" spans="1:4">
      <c r="A1287" s="1"/>
      <c r="D1287" s="1"/>
    </row>
    <row r="1288" spans="1:4">
      <c r="A1288" s="1"/>
      <c r="D1288" s="1"/>
    </row>
    <row r="1289" spans="1:4">
      <c r="A1289" s="1"/>
      <c r="D1289" s="1"/>
    </row>
    <row r="1290" spans="1:4">
      <c r="A1290" s="1"/>
      <c r="D1290" s="1"/>
    </row>
    <row r="1291" spans="1:4">
      <c r="A1291" s="1"/>
      <c r="D1291" s="1"/>
    </row>
    <row r="1292" spans="1:4">
      <c r="A1292" s="1"/>
      <c r="D1292" s="1"/>
    </row>
    <row r="1293" spans="1:4">
      <c r="A1293" s="1"/>
      <c r="D1293" s="1"/>
    </row>
    <row r="1294" spans="1:4">
      <c r="A1294" s="1"/>
      <c r="D1294" s="1"/>
    </row>
    <row r="1295" spans="1:4">
      <c r="A1295" s="1"/>
      <c r="D1295" s="1"/>
    </row>
    <row r="1296" spans="1:4">
      <c r="A1296" s="1"/>
      <c r="D1296" s="1"/>
    </row>
    <row r="1297" spans="1:4">
      <c r="A1297" s="1"/>
      <c r="D1297" s="1"/>
    </row>
    <row r="1298" spans="1:4">
      <c r="A1298" s="1"/>
      <c r="D1298" s="1"/>
    </row>
    <row r="1299" spans="1:4">
      <c r="A1299" s="1"/>
      <c r="D1299" s="1"/>
    </row>
    <row r="1300" spans="1:4">
      <c r="A1300" s="1"/>
      <c r="D1300" s="1"/>
    </row>
    <row r="1301" spans="1:4">
      <c r="A1301" s="1"/>
      <c r="D1301" s="1"/>
    </row>
    <row r="1302" spans="1:4">
      <c r="A1302" s="1"/>
      <c r="D1302" s="1"/>
    </row>
    <row r="1303" spans="1:4">
      <c r="A1303" s="1"/>
      <c r="D1303" s="1"/>
    </row>
    <row r="1304" spans="1:4">
      <c r="A1304" s="1"/>
      <c r="D1304" s="1"/>
    </row>
    <row r="1305" spans="1:4">
      <c r="A1305" s="1"/>
      <c r="D1305" s="1"/>
    </row>
    <row r="1306" spans="1:4">
      <c r="A1306" s="1"/>
      <c r="D1306" s="1"/>
    </row>
    <row r="1307" spans="1:4">
      <c r="A1307" s="1"/>
      <c r="D1307" s="1"/>
    </row>
    <row r="1308" spans="1:4">
      <c r="A1308" s="1"/>
      <c r="D1308" s="1"/>
    </row>
    <row r="1309" spans="1:4">
      <c r="A1309" s="1"/>
      <c r="D1309" s="1"/>
    </row>
    <row r="1310" spans="1:4">
      <c r="A1310" s="1"/>
      <c r="D1310" s="1"/>
    </row>
    <row r="1311" spans="1:4">
      <c r="A1311" s="1"/>
      <c r="D1311" s="1"/>
    </row>
    <row r="1312" spans="1:4">
      <c r="A1312" s="1"/>
      <c r="D1312" s="1"/>
    </row>
    <row r="1313" spans="1:4">
      <c r="A1313" s="1"/>
      <c r="D1313" s="1"/>
    </row>
    <row r="1314" spans="1:4">
      <c r="A1314" s="1"/>
      <c r="D1314" s="1"/>
    </row>
    <row r="1315" spans="1:4">
      <c r="A1315" s="1"/>
      <c r="D1315" s="1"/>
    </row>
    <row r="1316" spans="1:4">
      <c r="A1316" s="1"/>
      <c r="D1316" s="1"/>
    </row>
    <row r="1317" spans="1:4">
      <c r="A1317" s="1"/>
      <c r="D1317" s="1"/>
    </row>
    <row r="1318" spans="1:4">
      <c r="A1318" s="1"/>
      <c r="D1318" s="1"/>
    </row>
    <row r="1319" spans="1:4">
      <c r="A1319" s="1"/>
      <c r="D1319" s="1"/>
    </row>
    <row r="1320" spans="1:4">
      <c r="A1320" s="1"/>
      <c r="D1320" s="1"/>
    </row>
    <row r="1321" spans="1:4">
      <c r="A1321" s="1"/>
      <c r="D1321" s="1"/>
    </row>
    <row r="1322" spans="1:4">
      <c r="A1322" s="1"/>
      <c r="D1322" s="1"/>
    </row>
    <row r="1323" spans="1:4">
      <c r="A1323" s="1"/>
      <c r="D1323" s="1"/>
    </row>
    <row r="1324" spans="1:4">
      <c r="A1324" s="1"/>
      <c r="D1324" s="1"/>
    </row>
    <row r="1325" spans="1:4">
      <c r="A1325" s="1"/>
      <c r="D1325" s="1"/>
    </row>
    <row r="1326" spans="1:4">
      <c r="A1326" s="1"/>
      <c r="D1326" s="1"/>
    </row>
    <row r="1327" spans="1:4">
      <c r="A1327" s="1"/>
      <c r="D1327" s="1"/>
    </row>
    <row r="1328" spans="1:4">
      <c r="A1328" s="1"/>
      <c r="D1328" s="1"/>
    </row>
    <row r="1329" spans="1:4">
      <c r="A1329" s="1"/>
      <c r="D1329" s="1"/>
    </row>
    <row r="1330" spans="1:4">
      <c r="A1330" s="1"/>
      <c r="D1330" s="1"/>
    </row>
    <row r="1331" spans="1:4">
      <c r="A1331" s="1"/>
      <c r="D1331" s="1"/>
    </row>
    <row r="1332" spans="1:4">
      <c r="A1332" s="1"/>
      <c r="D1332" s="1"/>
    </row>
    <row r="1333" spans="1:4">
      <c r="A1333" s="1"/>
      <c r="D1333" s="1"/>
    </row>
    <row r="1334" spans="1:4">
      <c r="A1334" s="1"/>
      <c r="D1334" s="1"/>
    </row>
    <row r="1335" spans="1:4">
      <c r="A1335" s="1"/>
      <c r="D1335" s="1"/>
    </row>
    <row r="1336" spans="1:4">
      <c r="A1336" s="1"/>
      <c r="D1336" s="1"/>
    </row>
    <row r="1337" spans="1:4">
      <c r="A1337" s="1"/>
      <c r="D1337" s="1"/>
    </row>
    <row r="1338" spans="1:4">
      <c r="A1338" s="1"/>
      <c r="D1338" s="1"/>
    </row>
    <row r="1339" spans="1:4">
      <c r="A1339" s="1"/>
      <c r="D1339" s="1"/>
    </row>
    <row r="1340" spans="1:4">
      <c r="A1340" s="1"/>
      <c r="D1340" s="1"/>
    </row>
    <row r="1341" spans="1:4">
      <c r="A1341" s="1"/>
      <c r="D1341" s="1"/>
    </row>
    <row r="1342" spans="1:4">
      <c r="A1342" s="1"/>
      <c r="D1342" s="1"/>
    </row>
    <row r="1343" spans="1:4">
      <c r="A1343" s="1"/>
      <c r="D1343" s="1"/>
    </row>
    <row r="1344" spans="1:4">
      <c r="A1344" s="1"/>
      <c r="D1344" s="1"/>
    </row>
    <row r="1345" spans="1:4">
      <c r="A1345" s="1"/>
      <c r="D1345" s="1"/>
    </row>
    <row r="1346" spans="1:4">
      <c r="A1346" s="1"/>
      <c r="D1346" s="1"/>
    </row>
    <row r="1347" spans="1:4">
      <c r="A1347" s="1"/>
      <c r="D1347" s="1"/>
    </row>
    <row r="1348" spans="1:4">
      <c r="A1348" s="1"/>
      <c r="D1348" s="1"/>
    </row>
    <row r="1349" spans="1:4">
      <c r="A1349" s="1"/>
      <c r="D1349" s="1"/>
    </row>
    <row r="1350" spans="1:4">
      <c r="A1350" s="1"/>
      <c r="D1350" s="1"/>
    </row>
    <row r="1351" spans="1:4">
      <c r="A1351" s="1"/>
      <c r="D1351" s="1"/>
    </row>
    <row r="1352" spans="1:4">
      <c r="A1352" s="1"/>
      <c r="D1352" s="1"/>
    </row>
    <row r="1353" spans="1:4">
      <c r="A1353" s="1"/>
      <c r="D1353" s="1"/>
    </row>
    <row r="1354" spans="1:4">
      <c r="A1354" s="1"/>
      <c r="D1354" s="1"/>
    </row>
    <row r="1355" spans="1:4">
      <c r="A1355" s="1"/>
      <c r="D1355" s="1"/>
    </row>
    <row r="1356" spans="1:4">
      <c r="A1356" s="1"/>
      <c r="D1356" s="1"/>
    </row>
    <row r="1357" spans="1:4">
      <c r="A1357" s="1"/>
      <c r="D1357" s="1"/>
    </row>
    <row r="1358" spans="1:4">
      <c r="A1358" s="1"/>
      <c r="D1358" s="1"/>
    </row>
    <row r="1359" spans="1:4">
      <c r="A1359" s="1"/>
      <c r="D1359" s="1"/>
    </row>
    <row r="1360" spans="1:4">
      <c r="A1360" s="1"/>
      <c r="D1360" s="1"/>
    </row>
    <row r="1361" spans="1:4">
      <c r="A1361" s="1"/>
      <c r="D1361" s="1"/>
    </row>
    <row r="1362" spans="1:4">
      <c r="A1362" s="1"/>
      <c r="D1362" s="1"/>
    </row>
    <row r="1363" spans="1:4">
      <c r="A1363" s="1"/>
      <c r="D1363" s="1"/>
    </row>
    <row r="1364" spans="1:4">
      <c r="A1364" s="1"/>
      <c r="D1364" s="1"/>
    </row>
    <row r="1365" spans="1:4">
      <c r="A1365" s="1"/>
      <c r="D1365" s="1"/>
    </row>
    <row r="1366" spans="1:4">
      <c r="A1366" s="1"/>
      <c r="D1366" s="1"/>
    </row>
    <row r="1367" spans="1:4">
      <c r="A1367" s="1"/>
      <c r="D1367" s="1"/>
    </row>
    <row r="1368" spans="1:4">
      <c r="A1368" s="1"/>
      <c r="D1368" s="1"/>
    </row>
    <row r="1369" spans="1:4">
      <c r="A1369" s="1"/>
      <c r="D1369" s="1"/>
    </row>
    <row r="1370" spans="1:4">
      <c r="A1370" s="1"/>
      <c r="D1370" s="1"/>
    </row>
    <row r="1371" spans="1:4">
      <c r="A1371" s="1"/>
      <c r="D1371" s="1"/>
    </row>
    <row r="1372" spans="1:4">
      <c r="A1372" s="1"/>
      <c r="D1372" s="1"/>
    </row>
    <row r="1373" spans="1:4">
      <c r="A1373" s="1"/>
      <c r="D1373" s="1"/>
    </row>
    <row r="1374" spans="1:4">
      <c r="A1374" s="1"/>
      <c r="D1374" s="1"/>
    </row>
    <row r="1375" spans="1:4">
      <c r="A1375" s="1"/>
      <c r="D1375" s="1"/>
    </row>
    <row r="1376" spans="1:4">
      <c r="A1376" s="1"/>
      <c r="D1376" s="1"/>
    </row>
    <row r="1377" spans="1:4">
      <c r="A1377" s="1"/>
      <c r="D1377" s="1"/>
    </row>
    <row r="1378" spans="1:4">
      <c r="A1378" s="1"/>
      <c r="D1378" s="1"/>
    </row>
    <row r="1379" spans="1:4">
      <c r="A1379" s="1"/>
      <c r="D1379" s="1"/>
    </row>
    <row r="1380" spans="1:4">
      <c r="A1380" s="1"/>
      <c r="D1380" s="1"/>
    </row>
    <row r="1381" spans="1:4">
      <c r="A1381" s="1"/>
      <c r="D1381" s="1"/>
    </row>
    <row r="1382" spans="1:4">
      <c r="A1382" s="1"/>
      <c r="D1382" s="1"/>
    </row>
    <row r="1383" spans="1:4">
      <c r="A1383" s="1"/>
      <c r="D1383" s="1"/>
    </row>
    <row r="1384" spans="1:4">
      <c r="A1384" s="1"/>
      <c r="D1384" s="1"/>
    </row>
    <row r="1385" spans="1:4">
      <c r="A1385" s="1"/>
      <c r="D1385" s="1"/>
    </row>
    <row r="1386" spans="1:4">
      <c r="A1386" s="1"/>
      <c r="D1386" s="1"/>
    </row>
    <row r="1387" spans="1:4">
      <c r="A1387" s="1"/>
      <c r="D1387" s="1"/>
    </row>
    <row r="1388" spans="1:4">
      <c r="A1388" s="1"/>
      <c r="D1388" s="1"/>
    </row>
    <row r="1389" spans="1:4">
      <c r="A1389" s="1"/>
      <c r="D1389" s="1"/>
    </row>
    <row r="1390" spans="1:4">
      <c r="A1390" s="1"/>
      <c r="D1390" s="1"/>
    </row>
    <row r="1391" spans="1:4">
      <c r="A1391" s="1"/>
      <c r="D1391" s="1"/>
    </row>
    <row r="1392" spans="1:4">
      <c r="A1392" s="1"/>
      <c r="D1392" s="1"/>
    </row>
    <row r="1393" spans="1:4">
      <c r="A1393" s="1"/>
      <c r="D1393" s="1"/>
    </row>
    <row r="1394" spans="1:4">
      <c r="A1394" s="1"/>
      <c r="D1394" s="1"/>
    </row>
    <row r="1395" spans="1:4">
      <c r="A1395" s="1"/>
      <c r="D1395" s="1"/>
    </row>
    <row r="1396" spans="1:4">
      <c r="A1396" s="1"/>
      <c r="D1396" s="1"/>
    </row>
    <row r="1397" spans="1:4">
      <c r="A1397" s="1"/>
      <c r="D1397" s="1"/>
    </row>
    <row r="1398" spans="1:4">
      <c r="A1398" s="1"/>
      <c r="D1398" s="1"/>
    </row>
    <row r="1399" spans="1:4">
      <c r="A1399" s="1"/>
      <c r="D1399" s="1"/>
    </row>
    <row r="1400" spans="1:4">
      <c r="A1400" s="1"/>
      <c r="D1400" s="1"/>
    </row>
    <row r="1401" spans="1:4">
      <c r="A1401" s="1"/>
      <c r="D1401" s="1"/>
    </row>
    <row r="1402" spans="1:4">
      <c r="A1402" s="1"/>
      <c r="D1402" s="1"/>
    </row>
    <row r="1403" spans="1:4">
      <c r="A1403" s="1"/>
      <c r="D1403" s="1"/>
    </row>
    <row r="1404" spans="1:4">
      <c r="A1404" s="1"/>
      <c r="D1404" s="1"/>
    </row>
    <row r="1405" spans="1:4">
      <c r="A1405" s="1"/>
      <c r="D1405" s="1"/>
    </row>
    <row r="1406" spans="1:4">
      <c r="A1406" s="1"/>
      <c r="D1406" s="1"/>
    </row>
    <row r="1407" spans="1:4">
      <c r="A1407" s="1"/>
      <c r="D1407" s="1"/>
    </row>
    <row r="1408" spans="1:4">
      <c r="A1408" s="1"/>
      <c r="D1408" s="1"/>
    </row>
    <row r="1409" spans="1:4">
      <c r="A1409" s="1"/>
      <c r="D1409" s="1"/>
    </row>
    <row r="1410" spans="1:4">
      <c r="A1410" s="1"/>
      <c r="D1410" s="1"/>
    </row>
    <row r="1411" spans="1:4">
      <c r="A1411" s="1"/>
      <c r="D1411" s="1"/>
    </row>
    <row r="1412" spans="1:4">
      <c r="A1412" s="1"/>
      <c r="D1412" s="1"/>
    </row>
    <row r="1413" spans="1:4">
      <c r="A1413" s="1"/>
      <c r="D1413" s="1"/>
    </row>
    <row r="1414" spans="1:4">
      <c r="A1414" s="1"/>
      <c r="D1414" s="1"/>
    </row>
    <row r="1415" spans="1:4">
      <c r="A1415" s="1"/>
      <c r="D1415" s="1"/>
    </row>
    <row r="1416" spans="1:4">
      <c r="A1416" s="1"/>
      <c r="D1416" s="1"/>
    </row>
    <row r="1417" spans="1:4">
      <c r="A1417" s="1"/>
      <c r="D1417" s="1"/>
    </row>
    <row r="1418" spans="1:4">
      <c r="A1418" s="1"/>
      <c r="D1418" s="1"/>
    </row>
    <row r="1419" spans="1:4">
      <c r="A1419" s="1"/>
      <c r="D1419" s="1"/>
    </row>
    <row r="1420" spans="1:4">
      <c r="A1420" s="1"/>
      <c r="D1420" s="1"/>
    </row>
    <row r="1421" spans="1:4">
      <c r="A1421" s="1"/>
      <c r="D1421" s="1"/>
    </row>
    <row r="1422" spans="1:4">
      <c r="A1422" s="1"/>
      <c r="D1422" s="1"/>
    </row>
    <row r="1423" spans="1:4">
      <c r="A1423" s="1"/>
      <c r="D1423" s="1"/>
    </row>
    <row r="1424" spans="1:4">
      <c r="A1424" s="1"/>
      <c r="D1424" s="1"/>
    </row>
    <row r="1425" spans="1:4">
      <c r="A1425" s="1"/>
      <c r="D1425" s="1"/>
    </row>
    <row r="1426" spans="1:4">
      <c r="A1426" s="1"/>
      <c r="D1426" s="1"/>
    </row>
    <row r="1427" spans="1:4">
      <c r="A1427" s="1"/>
      <c r="D1427" s="1"/>
    </row>
    <row r="1428" spans="1:4">
      <c r="A1428" s="1"/>
      <c r="D1428" s="1"/>
    </row>
    <row r="1429" spans="1:4">
      <c r="A1429" s="1"/>
      <c r="D1429" s="1"/>
    </row>
    <row r="1430" spans="1:4">
      <c r="A1430" s="1"/>
      <c r="D1430" s="1"/>
    </row>
    <row r="1431" spans="1:4">
      <c r="A1431" s="1"/>
      <c r="D1431" s="1"/>
    </row>
    <row r="1432" spans="1:4">
      <c r="A1432" s="1"/>
      <c r="D1432" s="1"/>
    </row>
    <row r="1433" spans="1:4">
      <c r="A1433" s="1"/>
      <c r="D1433" s="1"/>
    </row>
    <row r="1434" spans="1:4">
      <c r="A1434" s="1"/>
      <c r="D1434" s="1"/>
    </row>
    <row r="1435" spans="1:4">
      <c r="A1435" s="1"/>
      <c r="D1435" s="1"/>
    </row>
    <row r="1436" spans="1:4">
      <c r="A1436" s="1"/>
      <c r="D1436" s="1"/>
    </row>
    <row r="1437" spans="1:4">
      <c r="A1437" s="1"/>
      <c r="D1437" s="1"/>
    </row>
    <row r="1438" spans="1:4">
      <c r="A1438" s="1"/>
      <c r="D1438" s="1"/>
    </row>
    <row r="1439" spans="1:4">
      <c r="A1439" s="1"/>
      <c r="D1439" s="1"/>
    </row>
    <row r="1440" spans="1:4">
      <c r="A1440" s="1"/>
      <c r="D1440" s="1"/>
    </row>
    <row r="1441" spans="1:4">
      <c r="A1441" s="1"/>
      <c r="D1441" s="1"/>
    </row>
    <row r="1442" spans="1:4">
      <c r="A1442" s="1"/>
      <c r="D1442" s="1"/>
    </row>
    <row r="1443" spans="1:4">
      <c r="A1443" s="1"/>
      <c r="D1443" s="1"/>
    </row>
    <row r="1444" spans="1:4">
      <c r="A1444" s="1"/>
      <c r="D1444" s="1"/>
    </row>
    <row r="1445" spans="1:4">
      <c r="A1445" s="1"/>
      <c r="D1445" s="1"/>
    </row>
    <row r="1446" spans="1:4">
      <c r="A1446" s="1"/>
      <c r="D1446" s="1"/>
    </row>
    <row r="1447" spans="1:4">
      <c r="A1447" s="1"/>
      <c r="D1447" s="1"/>
    </row>
    <row r="1448" spans="1:4">
      <c r="A1448" s="1"/>
      <c r="D1448" s="1"/>
    </row>
    <row r="1449" spans="1:4">
      <c r="A1449" s="1"/>
      <c r="D1449" s="1"/>
    </row>
    <row r="1450" spans="1:4">
      <c r="A1450" s="1"/>
      <c r="D1450" s="1"/>
    </row>
    <row r="1451" spans="1:4">
      <c r="A1451" s="1"/>
      <c r="D1451" s="1"/>
    </row>
    <row r="1452" spans="1:4">
      <c r="A1452" s="1"/>
      <c r="D1452" s="1"/>
    </row>
    <row r="1453" spans="1:4">
      <c r="A1453" s="1"/>
      <c r="D1453" s="1"/>
    </row>
    <row r="1454" spans="1:4">
      <c r="A1454" s="1"/>
      <c r="D1454" s="1"/>
    </row>
    <row r="1455" spans="1:4">
      <c r="A1455" s="1"/>
      <c r="D1455" s="1"/>
    </row>
    <row r="1456" spans="1:4">
      <c r="A1456" s="1"/>
      <c r="D1456" s="1"/>
    </row>
    <row r="1457" spans="1:4">
      <c r="A1457" s="1"/>
      <c r="D1457" s="1"/>
    </row>
    <row r="1458" spans="1:4">
      <c r="A1458" s="1"/>
      <c r="D1458" s="1"/>
    </row>
    <row r="1459" spans="1:4">
      <c r="A1459" s="1"/>
      <c r="D1459" s="1"/>
    </row>
    <row r="1460" spans="1:4">
      <c r="A1460" s="1"/>
      <c r="D1460" s="1"/>
    </row>
    <row r="1461" spans="1:4">
      <c r="A1461" s="1"/>
      <c r="D1461" s="1"/>
    </row>
    <row r="1462" spans="1:4">
      <c r="A1462" s="1"/>
      <c r="D1462" s="1"/>
    </row>
    <row r="1463" spans="1:4">
      <c r="A1463" s="1"/>
      <c r="D1463" s="1"/>
    </row>
    <row r="1464" spans="1:4">
      <c r="A1464" s="1"/>
      <c r="D1464" s="1"/>
    </row>
    <row r="1465" spans="1:4">
      <c r="A1465" s="1"/>
      <c r="D1465" s="1"/>
    </row>
    <row r="1466" spans="1:4">
      <c r="A1466" s="1"/>
      <c r="D1466" s="1"/>
    </row>
    <row r="1467" spans="1:4">
      <c r="A1467" s="1"/>
      <c r="D1467" s="1"/>
    </row>
    <row r="1468" spans="1:4">
      <c r="A1468" s="1"/>
      <c r="D1468" s="1"/>
    </row>
    <row r="1469" spans="1:4">
      <c r="A1469" s="1"/>
      <c r="D1469" s="1"/>
    </row>
    <row r="1470" spans="1:4">
      <c r="A1470" s="1"/>
      <c r="D1470" s="1"/>
    </row>
    <row r="1471" spans="1:4">
      <c r="A1471" s="1"/>
      <c r="D1471" s="1"/>
    </row>
    <row r="1472" spans="1:4">
      <c r="A1472" s="1"/>
      <c r="D1472" s="1"/>
    </row>
    <row r="1473" spans="1:4">
      <c r="A1473" s="1"/>
      <c r="D1473" s="1"/>
    </row>
    <row r="1474" spans="1:4">
      <c r="A1474" s="1"/>
      <c r="D1474" s="1"/>
    </row>
    <row r="1475" spans="1:4">
      <c r="A1475" s="1"/>
      <c r="D1475" s="1"/>
    </row>
    <row r="1476" spans="1:4">
      <c r="A1476" s="1"/>
      <c r="D1476" s="1"/>
    </row>
    <row r="1477" spans="1:4">
      <c r="A1477" s="1"/>
      <c r="D1477" s="1"/>
    </row>
    <row r="1478" spans="1:4">
      <c r="A1478" s="1"/>
      <c r="D1478" s="1"/>
    </row>
    <row r="1479" spans="1:4">
      <c r="A1479" s="1"/>
      <c r="D1479" s="1"/>
    </row>
    <row r="1480" spans="1:4">
      <c r="A1480" s="1"/>
      <c r="D1480" s="1"/>
    </row>
    <row r="1481" spans="1:4">
      <c r="A1481" s="1"/>
      <c r="D1481" s="1"/>
    </row>
    <row r="1482" spans="1:4">
      <c r="A1482" s="1"/>
      <c r="D1482" s="1"/>
    </row>
    <row r="1483" spans="1:4">
      <c r="A1483" s="1"/>
      <c r="D1483" s="1"/>
    </row>
    <row r="1484" spans="1:4">
      <c r="A1484" s="1"/>
      <c r="D1484" s="1"/>
    </row>
    <row r="1485" spans="1:4">
      <c r="A1485" s="1"/>
      <c r="D1485" s="1"/>
    </row>
    <row r="1486" spans="1:4">
      <c r="A1486" s="1"/>
      <c r="D1486" s="1"/>
    </row>
    <row r="1487" spans="1:4">
      <c r="A1487" s="1"/>
      <c r="D1487" s="1"/>
    </row>
    <row r="1488" spans="1:4">
      <c r="A1488" s="1"/>
      <c r="D1488" s="1"/>
    </row>
    <row r="1489" spans="1:4">
      <c r="A1489" s="1"/>
      <c r="D1489" s="1"/>
    </row>
    <row r="1490" spans="1:4">
      <c r="A1490" s="1"/>
      <c r="D1490" s="1"/>
    </row>
    <row r="1491" spans="1:4">
      <c r="A1491" s="1"/>
      <c r="D1491" s="1"/>
    </row>
    <row r="1492" spans="1:4">
      <c r="A1492" s="1"/>
      <c r="D1492" s="1"/>
    </row>
    <row r="1493" spans="1:4">
      <c r="A1493" s="1"/>
      <c r="D1493" s="1"/>
    </row>
    <row r="1494" spans="1:4">
      <c r="A1494" s="1"/>
      <c r="D1494" s="1"/>
    </row>
    <row r="1495" spans="1:4">
      <c r="A1495" s="1"/>
      <c r="D1495" s="1"/>
    </row>
    <row r="1496" spans="1:4">
      <c r="A1496" s="1"/>
      <c r="D1496" s="1"/>
    </row>
    <row r="1497" spans="1:4">
      <c r="A1497" s="1"/>
      <c r="D1497" s="1"/>
    </row>
    <row r="1498" spans="1:4">
      <c r="A1498" s="1"/>
      <c r="D1498" s="1"/>
    </row>
    <row r="1499" spans="1:4">
      <c r="A1499" s="1"/>
      <c r="D1499" s="1"/>
    </row>
    <row r="1500" spans="1:4">
      <c r="A1500" s="1"/>
      <c r="D1500" s="1"/>
    </row>
    <row r="1501" spans="1:4">
      <c r="A1501" s="1"/>
      <c r="D1501" s="1"/>
    </row>
    <row r="1502" spans="1:4">
      <c r="A1502" s="1"/>
      <c r="D1502" s="1"/>
    </row>
    <row r="1503" spans="1:4">
      <c r="A1503" s="1"/>
      <c r="D1503" s="1"/>
    </row>
    <row r="1504" spans="1:4">
      <c r="A1504" s="1"/>
      <c r="D1504" s="1"/>
    </row>
    <row r="1505" spans="1:4">
      <c r="A1505" s="1"/>
      <c r="D1505" s="1"/>
    </row>
    <row r="1506" spans="1:4">
      <c r="A1506" s="1"/>
      <c r="D1506" s="1"/>
    </row>
    <row r="1507" spans="1:4">
      <c r="A1507" s="1"/>
      <c r="D1507" s="1"/>
    </row>
    <row r="1508" spans="1:4">
      <c r="A1508" s="1"/>
      <c r="D1508" s="1"/>
    </row>
    <row r="1509" spans="1:4">
      <c r="A1509" s="1"/>
      <c r="D1509" s="1"/>
    </row>
    <row r="1510" spans="1:4">
      <c r="A1510" s="1"/>
      <c r="D1510" s="1"/>
    </row>
    <row r="1511" spans="1:4">
      <c r="A1511" s="1"/>
      <c r="D1511" s="1"/>
    </row>
    <row r="1512" spans="1:4">
      <c r="A1512" s="1"/>
      <c r="D1512" s="1"/>
    </row>
    <row r="1513" spans="1:4">
      <c r="A1513" s="1"/>
      <c r="D1513" s="1"/>
    </row>
    <row r="1514" spans="1:4">
      <c r="A1514" s="1"/>
      <c r="D1514" s="1"/>
    </row>
    <row r="1515" spans="1:4">
      <c r="A1515" s="1"/>
      <c r="D1515" s="1"/>
    </row>
    <row r="1516" spans="1:4">
      <c r="A1516" s="1"/>
      <c r="D1516" s="1"/>
    </row>
    <row r="1517" spans="1:4">
      <c r="A1517" s="1"/>
      <c r="D1517" s="1"/>
    </row>
    <row r="1518" spans="1:4">
      <c r="A1518" s="1"/>
      <c r="D1518" s="1"/>
    </row>
    <row r="1519" spans="1:4">
      <c r="A1519" s="1"/>
      <c r="D1519" s="1"/>
    </row>
    <row r="1520" spans="1:4">
      <c r="A1520" s="1"/>
      <c r="D1520" s="1"/>
    </row>
    <row r="1521" spans="1:4">
      <c r="A1521" s="1"/>
      <c r="D1521" s="1"/>
    </row>
    <row r="1522" spans="1:4">
      <c r="A1522" s="1"/>
      <c r="D1522" s="1"/>
    </row>
    <row r="1523" spans="1:4">
      <c r="A1523" s="1"/>
      <c r="D1523" s="1"/>
    </row>
    <row r="1524" spans="1:4">
      <c r="A1524" s="1"/>
      <c r="D1524" s="1"/>
    </row>
    <row r="1525" spans="1:4">
      <c r="A1525" s="1"/>
      <c r="D1525" s="1"/>
    </row>
    <row r="1526" spans="1:4">
      <c r="A1526" s="1"/>
      <c r="D1526" s="1"/>
    </row>
    <row r="1527" spans="1:4">
      <c r="A1527" s="1"/>
      <c r="D1527" s="1"/>
    </row>
    <row r="1528" spans="1:4">
      <c r="A1528" s="1"/>
      <c r="D1528" s="1"/>
    </row>
    <row r="1529" spans="1:4">
      <c r="A1529" s="1"/>
      <c r="D1529" s="1"/>
    </row>
    <row r="1530" spans="1:4">
      <c r="A1530" s="1"/>
      <c r="D1530" s="1"/>
    </row>
    <row r="1531" spans="1:4">
      <c r="A1531" s="1"/>
      <c r="D1531" s="1"/>
    </row>
    <row r="1532" spans="1:4">
      <c r="A1532" s="1"/>
      <c r="D1532" s="1"/>
    </row>
    <row r="1533" spans="1:4">
      <c r="A1533" s="1"/>
      <c r="D1533" s="1"/>
    </row>
    <row r="1534" spans="1:4">
      <c r="A1534" s="1"/>
      <c r="D1534" s="1"/>
    </row>
    <row r="1535" spans="1:4">
      <c r="A1535" s="1"/>
      <c r="D1535" s="1"/>
    </row>
    <row r="1536" spans="1:4">
      <c r="A1536" s="1"/>
      <c r="D1536" s="1"/>
    </row>
    <row r="1537" spans="1:4">
      <c r="A1537" s="1"/>
      <c r="D1537" s="1"/>
    </row>
    <row r="1538" spans="1:4">
      <c r="A1538" s="1"/>
      <c r="D1538" s="1"/>
    </row>
    <row r="1539" spans="1:4">
      <c r="A1539" s="1"/>
      <c r="D1539" s="1"/>
    </row>
    <row r="1540" spans="1:4">
      <c r="A1540" s="1"/>
      <c r="D1540" s="1"/>
    </row>
    <row r="1541" spans="1:4">
      <c r="A1541" s="1"/>
      <c r="D1541" s="1"/>
    </row>
    <row r="1542" spans="1:4">
      <c r="A1542" s="1"/>
      <c r="D1542" s="1"/>
    </row>
    <row r="1543" spans="1:4">
      <c r="A1543" s="1"/>
      <c r="D1543" s="1"/>
    </row>
    <row r="1544" spans="1:4">
      <c r="A1544" s="1"/>
      <c r="D1544" s="1"/>
    </row>
    <row r="1545" spans="1:4">
      <c r="A1545" s="1"/>
      <c r="D1545" s="1"/>
    </row>
    <row r="1546" spans="1:4">
      <c r="A1546" s="1"/>
      <c r="D1546" s="1"/>
    </row>
    <row r="1547" spans="1:4">
      <c r="A1547" s="1"/>
      <c r="D1547" s="1"/>
    </row>
    <row r="1548" spans="1:4">
      <c r="A1548" s="1"/>
      <c r="D1548" s="1"/>
    </row>
    <row r="1549" spans="1:4">
      <c r="A1549" s="1"/>
      <c r="D1549" s="1"/>
    </row>
    <row r="1550" spans="1:4">
      <c r="A1550" s="1"/>
      <c r="D1550" s="1"/>
    </row>
    <row r="1551" spans="1:4">
      <c r="A1551" s="1"/>
      <c r="D1551" s="1"/>
    </row>
    <row r="1552" spans="1:4">
      <c r="A1552" s="1"/>
      <c r="D1552" s="1"/>
    </row>
    <row r="1553" spans="1:4">
      <c r="A1553" s="1"/>
      <c r="D1553" s="1"/>
    </row>
    <row r="1554" spans="1:4">
      <c r="A1554" s="1"/>
      <c r="D1554" s="1"/>
    </row>
    <row r="1555" spans="1:4">
      <c r="A1555" s="1"/>
      <c r="D1555" s="1"/>
    </row>
    <row r="1556" spans="1:4">
      <c r="A1556" s="1"/>
      <c r="D1556" s="1"/>
    </row>
    <row r="1557" spans="1:4">
      <c r="A1557" s="1"/>
      <c r="D1557" s="1"/>
    </row>
    <row r="1558" spans="1:4">
      <c r="A1558" s="1"/>
      <c r="D1558" s="1"/>
    </row>
    <row r="1559" spans="1:4">
      <c r="A1559" s="1"/>
      <c r="D1559" s="1"/>
    </row>
    <row r="1560" spans="1:4">
      <c r="A1560" s="1"/>
      <c r="D1560" s="1"/>
    </row>
    <row r="1561" spans="1:4">
      <c r="A1561" s="1"/>
      <c r="D1561" s="1"/>
    </row>
    <row r="1562" spans="1:4">
      <c r="A1562" s="1"/>
      <c r="D1562" s="1"/>
    </row>
    <row r="1563" spans="1:4">
      <c r="A1563" s="1"/>
      <c r="D1563" s="1"/>
    </row>
    <row r="1564" spans="1:4">
      <c r="A1564" s="1"/>
      <c r="D1564" s="1"/>
    </row>
    <row r="1565" spans="1:4">
      <c r="A1565" s="1"/>
      <c r="D1565" s="1"/>
    </row>
    <row r="1566" spans="1:4">
      <c r="A1566" s="1"/>
      <c r="D1566" s="1"/>
    </row>
    <row r="1567" spans="1:4">
      <c r="A1567" s="1"/>
      <c r="D1567" s="1"/>
    </row>
    <row r="1568" spans="1:4">
      <c r="A1568" s="1"/>
      <c r="D1568" s="1"/>
    </row>
    <row r="1569" spans="1:4">
      <c r="A1569" s="1"/>
      <c r="D1569" s="1"/>
    </row>
    <row r="1570" spans="1:4">
      <c r="A1570" s="1"/>
      <c r="D1570" s="1"/>
    </row>
    <row r="1571" spans="1:4">
      <c r="A1571" s="1"/>
      <c r="D1571" s="1"/>
    </row>
    <row r="1572" spans="1:4">
      <c r="A1572" s="1"/>
      <c r="D1572" s="1"/>
    </row>
    <row r="1573" spans="1:4">
      <c r="A1573" s="1"/>
      <c r="D1573" s="1"/>
    </row>
    <row r="1574" spans="1:4">
      <c r="A1574" s="1"/>
      <c r="D1574" s="1"/>
    </row>
    <row r="1575" spans="1:4">
      <c r="A1575" s="1"/>
      <c r="D1575" s="1"/>
    </row>
    <row r="1576" spans="1:4">
      <c r="A1576" s="1"/>
      <c r="D1576" s="1"/>
    </row>
    <row r="1577" spans="1:4">
      <c r="A1577" s="1"/>
      <c r="D1577" s="1"/>
    </row>
    <row r="1578" spans="1:4">
      <c r="A1578" s="1"/>
      <c r="D1578" s="1"/>
    </row>
    <row r="1579" spans="1:4">
      <c r="A1579" s="1"/>
      <c r="D1579" s="1"/>
    </row>
    <row r="1580" spans="1:4">
      <c r="A1580" s="1"/>
      <c r="D1580" s="1"/>
    </row>
    <row r="1581" spans="1:4">
      <c r="A1581" s="1"/>
      <c r="D1581" s="1"/>
    </row>
    <row r="1582" spans="1:4">
      <c r="A1582" s="1"/>
      <c r="D1582" s="1"/>
    </row>
    <row r="1583" spans="1:4">
      <c r="A1583" s="1"/>
      <c r="D1583" s="1"/>
    </row>
    <row r="1584" spans="1:4">
      <c r="A1584" s="1"/>
      <c r="D1584" s="1"/>
    </row>
    <row r="1585" spans="1:4">
      <c r="A1585" s="1"/>
      <c r="D1585" s="1"/>
    </row>
    <row r="1586" spans="1:4">
      <c r="A1586" s="1"/>
      <c r="D1586" s="1"/>
    </row>
    <row r="1587" spans="1:4">
      <c r="A1587" s="1"/>
      <c r="D1587" s="1"/>
    </row>
    <row r="1588" spans="1:4">
      <c r="A1588" s="1"/>
      <c r="D1588" s="1"/>
    </row>
    <row r="1589" spans="1:4">
      <c r="A1589" s="1"/>
      <c r="D1589" s="1"/>
    </row>
    <row r="1590" spans="1:4">
      <c r="A1590" s="1"/>
      <c r="D1590" s="1"/>
    </row>
    <row r="1591" spans="1:4">
      <c r="A1591" s="1"/>
      <c r="D1591" s="1"/>
    </row>
    <row r="1592" spans="1:4">
      <c r="A1592" s="1"/>
      <c r="D1592" s="1"/>
    </row>
    <row r="1593" spans="1:4">
      <c r="A1593" s="1"/>
      <c r="D1593" s="1"/>
    </row>
    <row r="1594" spans="1:4">
      <c r="A1594" s="1"/>
      <c r="D1594" s="1"/>
    </row>
    <row r="1595" spans="1:4">
      <c r="A1595" s="1"/>
      <c r="D1595" s="1"/>
    </row>
    <row r="1596" spans="1:4">
      <c r="A1596" s="1"/>
      <c r="D1596" s="1"/>
    </row>
    <row r="1597" spans="1:4">
      <c r="A1597" s="1"/>
      <c r="D1597" s="1"/>
    </row>
    <row r="1598" spans="1:4">
      <c r="A1598" s="1"/>
      <c r="D1598" s="1"/>
    </row>
    <row r="1599" spans="1:4">
      <c r="A1599" s="1"/>
      <c r="D1599" s="1"/>
    </row>
    <row r="1600" spans="1:4">
      <c r="A1600" s="1"/>
      <c r="D1600" s="1"/>
    </row>
    <row r="1601" spans="1:4">
      <c r="A1601" s="1"/>
      <c r="D1601" s="1"/>
    </row>
    <row r="1602" spans="1:4">
      <c r="A1602" s="1"/>
      <c r="D1602" s="1"/>
    </row>
    <row r="1603" spans="1:4">
      <c r="A1603" s="1"/>
      <c r="D1603" s="1"/>
    </row>
    <row r="1604" spans="1:4">
      <c r="A1604" s="1"/>
      <c r="D1604" s="1"/>
    </row>
    <row r="1605" spans="1:4">
      <c r="A1605" s="1"/>
      <c r="D1605" s="1"/>
    </row>
    <row r="1606" spans="1:4">
      <c r="A1606" s="1"/>
      <c r="D1606" s="1"/>
    </row>
    <row r="1607" spans="1:4">
      <c r="A1607" s="1"/>
      <c r="D1607" s="1"/>
    </row>
    <row r="1608" spans="1:4">
      <c r="A1608" s="1"/>
      <c r="D1608" s="1"/>
    </row>
    <row r="1609" spans="1:4">
      <c r="A1609" s="1"/>
      <c r="D1609" s="1"/>
    </row>
    <row r="1610" spans="1:4">
      <c r="A1610" s="1"/>
      <c r="D1610" s="1"/>
    </row>
    <row r="1611" spans="1:4">
      <c r="A1611" s="1"/>
      <c r="D1611" s="1"/>
    </row>
    <row r="1612" spans="1:4">
      <c r="A1612" s="1"/>
      <c r="D1612" s="1"/>
    </row>
    <row r="1613" spans="1:4">
      <c r="A1613" s="1"/>
      <c r="D1613" s="1"/>
    </row>
    <row r="1614" spans="1:4">
      <c r="A1614" s="1"/>
      <c r="D1614" s="1"/>
    </row>
    <row r="1615" spans="1:4">
      <c r="A1615" s="1"/>
      <c r="D1615" s="1"/>
    </row>
    <row r="1616" spans="1:4">
      <c r="A1616" s="1"/>
      <c r="D1616" s="1"/>
    </row>
    <row r="1617" spans="1:4">
      <c r="A1617" s="1"/>
      <c r="D1617" s="1"/>
    </row>
    <row r="1618" spans="1:4">
      <c r="A1618" s="1"/>
      <c r="D1618" s="1"/>
    </row>
    <row r="1619" spans="1:4">
      <c r="A1619" s="1"/>
      <c r="D1619" s="1"/>
    </row>
    <row r="1620" spans="1:4">
      <c r="A1620" s="1"/>
      <c r="D1620" s="1"/>
    </row>
    <row r="1621" spans="1:4">
      <c r="A1621" s="1"/>
      <c r="D1621" s="1"/>
    </row>
    <row r="1622" spans="1:4">
      <c r="A1622" s="1"/>
      <c r="D1622" s="1"/>
    </row>
    <row r="1623" spans="1:4">
      <c r="A1623" s="1"/>
      <c r="D1623" s="1"/>
    </row>
    <row r="1624" spans="1:4">
      <c r="A1624" s="1"/>
      <c r="D1624" s="1"/>
    </row>
    <row r="1625" spans="1:4">
      <c r="A1625" s="1"/>
      <c r="D1625" s="1"/>
    </row>
    <row r="1626" spans="1:4">
      <c r="A1626" s="1"/>
      <c r="D1626" s="1"/>
    </row>
    <row r="1627" spans="1:4">
      <c r="A1627" s="1"/>
      <c r="D1627" s="1"/>
    </row>
    <row r="1628" spans="1:4">
      <c r="A1628" s="1"/>
      <c r="D1628" s="1"/>
    </row>
    <row r="1629" spans="1:4">
      <c r="A1629" s="1"/>
      <c r="D1629" s="1"/>
    </row>
    <row r="1630" spans="1:4">
      <c r="A1630" s="1"/>
      <c r="D1630" s="1"/>
    </row>
    <row r="1631" spans="1:4">
      <c r="A1631" s="1"/>
      <c r="D1631" s="1"/>
    </row>
    <row r="1632" spans="1:4">
      <c r="A1632" s="1"/>
      <c r="D1632" s="1"/>
    </row>
    <row r="1633" spans="1:4">
      <c r="A1633" s="1"/>
      <c r="D1633" s="1"/>
    </row>
    <row r="1634" spans="1:4">
      <c r="A1634" s="1"/>
      <c r="D1634" s="1"/>
    </row>
    <row r="1635" spans="1:4">
      <c r="A1635" s="1"/>
      <c r="D1635" s="1"/>
    </row>
    <row r="1636" spans="1:4">
      <c r="A1636" s="1"/>
      <c r="D1636" s="1"/>
    </row>
    <row r="1637" spans="1:4">
      <c r="A1637" s="1"/>
      <c r="D1637" s="1"/>
    </row>
    <row r="1638" spans="1:4">
      <c r="A1638" s="1"/>
      <c r="D1638" s="1"/>
    </row>
    <row r="1639" spans="1:4">
      <c r="A1639" s="1"/>
      <c r="D1639" s="1"/>
    </row>
    <row r="1640" spans="1:4">
      <c r="A1640" s="1"/>
      <c r="D1640" s="1"/>
    </row>
    <row r="1641" spans="1:4">
      <c r="A1641" s="1"/>
      <c r="D1641" s="1"/>
    </row>
    <row r="1642" spans="1:4">
      <c r="A1642" s="1"/>
      <c r="D1642" s="1"/>
    </row>
    <row r="1643" spans="1:4">
      <c r="A1643" s="1"/>
      <c r="D1643" s="1"/>
    </row>
    <row r="1644" spans="1:4">
      <c r="A1644" s="1"/>
      <c r="D1644" s="1"/>
    </row>
    <row r="1645" spans="1:4">
      <c r="A1645" s="1"/>
      <c r="D1645" s="1"/>
    </row>
    <row r="1646" spans="1:4">
      <c r="A1646" s="1"/>
      <c r="D1646" s="1"/>
    </row>
    <row r="1647" spans="1:4">
      <c r="A1647" s="1"/>
      <c r="D1647" s="1"/>
    </row>
    <row r="1648" spans="1:4">
      <c r="A1648" s="1"/>
      <c r="D1648" s="1"/>
    </row>
    <row r="1649" spans="1:4">
      <c r="A1649" s="1"/>
      <c r="D1649" s="1"/>
    </row>
    <row r="1650" spans="1:4">
      <c r="A1650" s="1"/>
      <c r="D1650" s="1"/>
    </row>
    <row r="1651" spans="1:4">
      <c r="A1651" s="1"/>
      <c r="D1651" s="1"/>
    </row>
    <row r="1652" spans="1:4">
      <c r="A1652" s="1"/>
      <c r="D1652" s="1"/>
    </row>
    <row r="1653" spans="1:4">
      <c r="A1653" s="1"/>
      <c r="D1653" s="1"/>
    </row>
    <row r="1654" spans="1:4">
      <c r="A1654" s="1"/>
      <c r="D1654" s="1"/>
    </row>
    <row r="1655" spans="1:4">
      <c r="A1655" s="1"/>
      <c r="D1655" s="1"/>
    </row>
    <row r="1656" spans="1:4">
      <c r="A1656" s="1"/>
      <c r="D1656" s="1"/>
    </row>
    <row r="1657" spans="1:4">
      <c r="A1657" s="1"/>
      <c r="D1657" s="1"/>
    </row>
    <row r="1658" spans="1:4">
      <c r="A1658" s="1"/>
      <c r="D1658" s="1"/>
    </row>
    <row r="1659" spans="1:4">
      <c r="A1659" s="1"/>
      <c r="D1659" s="1"/>
    </row>
    <row r="1660" spans="1:4">
      <c r="A1660" s="1"/>
      <c r="D1660" s="1"/>
    </row>
    <row r="1661" spans="1:4">
      <c r="A1661" s="1"/>
      <c r="D1661" s="1"/>
    </row>
    <row r="1662" spans="1:4">
      <c r="A1662" s="1"/>
      <c r="D1662" s="1"/>
    </row>
    <row r="1663" spans="1:4">
      <c r="A1663" s="1"/>
      <c r="D1663" s="1"/>
    </row>
    <row r="1664" spans="1:4">
      <c r="A1664" s="1"/>
      <c r="D1664" s="1"/>
    </row>
    <row r="1665" spans="1:4">
      <c r="A1665" s="1"/>
      <c r="D1665" s="1"/>
    </row>
    <row r="1666" spans="1:4">
      <c r="A1666" s="1"/>
      <c r="D1666" s="1"/>
    </row>
    <row r="1667" spans="1:4">
      <c r="A1667" s="1"/>
      <c r="D1667" s="1"/>
    </row>
    <row r="1668" spans="1:4">
      <c r="A1668" s="1"/>
      <c r="D1668" s="1"/>
    </row>
    <row r="1669" spans="1:4">
      <c r="A1669" s="1"/>
      <c r="D1669" s="1"/>
    </row>
    <row r="1670" spans="1:4">
      <c r="A1670" s="1"/>
      <c r="D1670" s="1"/>
    </row>
    <row r="1671" spans="1:4">
      <c r="A1671" s="1"/>
      <c r="D1671" s="1"/>
    </row>
    <row r="1672" spans="1:4">
      <c r="A1672" s="1"/>
      <c r="D1672" s="1"/>
    </row>
    <row r="1673" spans="1:4">
      <c r="A1673" s="1"/>
      <c r="D1673" s="1"/>
    </row>
    <row r="1674" spans="1:4">
      <c r="A1674" s="1"/>
      <c r="D1674" s="1"/>
    </row>
    <row r="1675" spans="1:4">
      <c r="A1675" s="1"/>
      <c r="D1675" s="1"/>
    </row>
    <row r="1676" spans="1:4">
      <c r="A1676" s="1"/>
      <c r="D1676" s="1"/>
    </row>
    <row r="1677" spans="1:4">
      <c r="A1677" s="1"/>
      <c r="D1677" s="1"/>
    </row>
    <row r="1678" spans="1:4">
      <c r="A1678" s="1"/>
      <c r="D1678" s="1"/>
    </row>
    <row r="1679" spans="1:4">
      <c r="A1679" s="1"/>
      <c r="D1679" s="1"/>
    </row>
    <row r="1680" spans="1:4">
      <c r="A1680" s="1"/>
      <c r="D1680" s="1"/>
    </row>
    <row r="1681" spans="1:4">
      <c r="A1681" s="1"/>
      <c r="D1681" s="1"/>
    </row>
    <row r="1682" spans="1:4">
      <c r="A1682" s="1"/>
      <c r="D1682" s="1"/>
    </row>
    <row r="1683" spans="1:4">
      <c r="A1683" s="1"/>
      <c r="D1683" s="1"/>
    </row>
    <row r="1684" spans="1:4">
      <c r="A1684" s="1"/>
      <c r="D1684" s="1"/>
    </row>
    <row r="1685" spans="1:4">
      <c r="A1685" s="1"/>
      <c r="D1685" s="1"/>
    </row>
    <row r="1686" spans="1:4">
      <c r="A1686" s="1"/>
      <c r="D1686" s="1"/>
    </row>
    <row r="1687" spans="1:4">
      <c r="A1687" s="1"/>
      <c r="D1687" s="1"/>
    </row>
    <row r="1688" spans="1:4">
      <c r="A1688" s="1"/>
      <c r="D1688" s="1"/>
    </row>
    <row r="1689" spans="1:4">
      <c r="A1689" s="1"/>
      <c r="D1689" s="1"/>
    </row>
    <row r="1690" spans="1:4">
      <c r="A1690" s="1"/>
      <c r="D1690" s="1"/>
    </row>
    <row r="1691" spans="1:4">
      <c r="A1691" s="1"/>
      <c r="D1691" s="1"/>
    </row>
    <row r="1692" spans="1:4">
      <c r="A1692" s="1"/>
      <c r="D1692" s="1"/>
    </row>
    <row r="1693" spans="1:4">
      <c r="A1693" s="1"/>
      <c r="D1693" s="1"/>
    </row>
    <row r="1694" spans="1:4">
      <c r="A1694" s="1"/>
      <c r="D1694" s="1"/>
    </row>
    <row r="1695" spans="1:4">
      <c r="A1695" s="1"/>
      <c r="D1695" s="1"/>
    </row>
    <row r="1696" spans="1:4">
      <c r="A1696" s="1"/>
      <c r="D1696" s="1"/>
    </row>
    <row r="1697" spans="1:4">
      <c r="A1697" s="1"/>
      <c r="D1697" s="1"/>
    </row>
    <row r="1698" spans="1:4">
      <c r="A1698" s="1"/>
      <c r="D1698" s="1"/>
    </row>
    <row r="1699" spans="1:4">
      <c r="A1699" s="1"/>
      <c r="D1699" s="1"/>
    </row>
    <row r="1700" spans="1:4">
      <c r="A1700" s="1"/>
      <c r="D1700" s="1"/>
    </row>
    <row r="1701" spans="1:4">
      <c r="A1701" s="1"/>
      <c r="D1701" s="1"/>
    </row>
    <row r="1702" spans="1:4">
      <c r="A1702" s="1"/>
      <c r="D1702" s="1"/>
    </row>
    <row r="1703" spans="1:4">
      <c r="A1703" s="1"/>
      <c r="D1703" s="1"/>
    </row>
    <row r="1704" spans="1:4">
      <c r="A1704" s="1"/>
      <c r="D1704" s="1"/>
    </row>
    <row r="1705" spans="1:4">
      <c r="A1705" s="1"/>
      <c r="D1705" s="1"/>
    </row>
    <row r="1706" spans="1:4">
      <c r="A1706" s="1"/>
      <c r="D1706" s="1"/>
    </row>
    <row r="1707" spans="1:4">
      <c r="A1707" s="1"/>
      <c r="D1707" s="1"/>
    </row>
    <row r="1708" spans="1:4">
      <c r="A1708" s="1"/>
      <c r="D1708" s="1"/>
    </row>
    <row r="1709" spans="1:4">
      <c r="A1709" s="1"/>
      <c r="D1709" s="1"/>
    </row>
    <row r="1710" spans="1:4">
      <c r="A1710" s="1"/>
      <c r="D1710" s="1"/>
    </row>
    <row r="1711" spans="1:4">
      <c r="A1711" s="1"/>
      <c r="D1711" s="1"/>
    </row>
    <row r="1712" spans="1:4">
      <c r="A1712" s="1"/>
      <c r="D1712" s="1"/>
    </row>
    <row r="1713" spans="1:4">
      <c r="A1713" s="1"/>
      <c r="D1713" s="1"/>
    </row>
    <row r="1714" spans="1:4">
      <c r="A1714" s="1"/>
      <c r="D1714" s="1"/>
    </row>
    <row r="1715" spans="1:4">
      <c r="A1715" s="1"/>
      <c r="D1715" s="1"/>
    </row>
    <row r="1716" spans="1:4">
      <c r="A1716" s="1"/>
      <c r="D1716" s="1"/>
    </row>
    <row r="1717" spans="1:4">
      <c r="A1717" s="1"/>
      <c r="D1717" s="1"/>
    </row>
    <row r="1718" spans="1:4">
      <c r="A1718" s="1"/>
      <c r="D1718" s="1"/>
    </row>
    <row r="1719" spans="1:4">
      <c r="A1719" s="1"/>
      <c r="D1719" s="1"/>
    </row>
    <row r="1720" spans="1:4">
      <c r="A1720" s="1"/>
      <c r="D1720" s="1"/>
    </row>
    <row r="1721" spans="1:4">
      <c r="A1721" s="1"/>
      <c r="D1721" s="1"/>
    </row>
    <row r="1722" spans="1:4">
      <c r="A1722" s="1"/>
      <c r="D1722" s="1"/>
    </row>
    <row r="1723" spans="1:4">
      <c r="A1723" s="1"/>
      <c r="D1723" s="1"/>
    </row>
    <row r="1724" spans="1:4">
      <c r="A1724" s="1"/>
      <c r="D1724" s="1"/>
    </row>
    <row r="1725" spans="1:4">
      <c r="A1725" s="1"/>
      <c r="D1725" s="1"/>
    </row>
    <row r="1726" spans="1:4">
      <c r="A1726" s="1"/>
      <c r="D1726" s="1"/>
    </row>
    <row r="1727" spans="1:4">
      <c r="A1727" s="1"/>
      <c r="D1727" s="1"/>
    </row>
    <row r="1728" spans="1:4">
      <c r="A1728" s="1"/>
      <c r="D1728" s="1"/>
    </row>
    <row r="1729" spans="1:4">
      <c r="A1729" s="1"/>
      <c r="D1729" s="1"/>
    </row>
    <row r="1730" spans="1:4">
      <c r="A1730" s="1"/>
      <c r="D1730" s="1"/>
    </row>
    <row r="1731" spans="1:4">
      <c r="A1731" s="1"/>
      <c r="D1731" s="1"/>
    </row>
    <row r="1732" spans="1:4">
      <c r="A1732" s="1"/>
      <c r="D1732" s="1"/>
    </row>
    <row r="1733" spans="1:4">
      <c r="A1733" s="1"/>
      <c r="D1733" s="1"/>
    </row>
    <row r="1734" spans="1:4">
      <c r="A1734" s="1"/>
      <c r="D1734" s="1"/>
    </row>
    <row r="1735" spans="1:4">
      <c r="A1735" s="1"/>
      <c r="D1735" s="1"/>
    </row>
    <row r="1736" spans="1:4">
      <c r="A1736" s="1"/>
      <c r="D1736" s="1"/>
    </row>
    <row r="1737" spans="1:4">
      <c r="A1737" s="1"/>
      <c r="D1737" s="1"/>
    </row>
    <row r="1738" spans="1:4">
      <c r="A1738" s="1"/>
      <c r="D1738" s="1"/>
    </row>
    <row r="1739" spans="1:4">
      <c r="A1739" s="1"/>
      <c r="D1739" s="1"/>
    </row>
    <row r="1740" spans="1:4">
      <c r="A1740" s="1"/>
      <c r="D1740" s="1"/>
    </row>
    <row r="1741" spans="1:4">
      <c r="A1741" s="1"/>
      <c r="D1741" s="1"/>
    </row>
    <row r="1742" spans="1:4">
      <c r="A1742" s="1"/>
      <c r="D1742" s="1"/>
    </row>
    <row r="1743" spans="1:4">
      <c r="A1743" s="1"/>
      <c r="D1743" s="1"/>
    </row>
    <row r="1744" spans="1:4">
      <c r="A1744" s="1"/>
      <c r="D1744" s="1"/>
    </row>
    <row r="1745" spans="1:4">
      <c r="A1745" s="1"/>
      <c r="D1745" s="1"/>
    </row>
    <row r="1746" spans="1:4">
      <c r="A1746" s="1"/>
      <c r="D1746" s="1"/>
    </row>
    <row r="1747" spans="1:4">
      <c r="A1747" s="1"/>
      <c r="D1747" s="1"/>
    </row>
    <row r="1748" spans="1:4">
      <c r="A1748" s="1"/>
      <c r="D1748" s="1"/>
    </row>
    <row r="1749" spans="1:4">
      <c r="A1749" s="1"/>
      <c r="D1749" s="1"/>
    </row>
    <row r="1750" spans="1:4">
      <c r="A1750" s="1"/>
      <c r="D1750" s="1"/>
    </row>
    <row r="1751" spans="1:4">
      <c r="A1751" s="1"/>
      <c r="D1751" s="1"/>
    </row>
    <row r="1752" spans="1:4">
      <c r="A1752" s="1"/>
      <c r="D1752" s="1"/>
    </row>
    <row r="1753" spans="1:4">
      <c r="A1753" s="1"/>
      <c r="D1753" s="1"/>
    </row>
    <row r="1754" spans="1:4">
      <c r="A1754" s="1"/>
      <c r="D1754" s="1"/>
    </row>
    <row r="1755" spans="1:4">
      <c r="A1755" s="1"/>
      <c r="D1755" s="1"/>
    </row>
    <row r="1756" spans="1:4">
      <c r="A1756" s="1"/>
      <c r="D1756" s="1"/>
    </row>
    <row r="1757" spans="1:4">
      <c r="A1757" s="1"/>
      <c r="D1757" s="1"/>
    </row>
    <row r="1758" spans="1:4">
      <c r="A1758" s="1"/>
      <c r="D1758" s="1"/>
    </row>
    <row r="1759" spans="1:4">
      <c r="A1759" s="1"/>
      <c r="D1759" s="1"/>
    </row>
    <row r="1760" spans="1:4">
      <c r="A1760" s="1"/>
      <c r="D1760" s="1"/>
    </row>
    <row r="1761" spans="1:4">
      <c r="A1761" s="1"/>
      <c r="D1761" s="1"/>
    </row>
    <row r="1762" spans="1:4">
      <c r="A1762" s="1"/>
      <c r="D1762" s="1"/>
    </row>
    <row r="1763" spans="1:4">
      <c r="A1763" s="1"/>
      <c r="D1763" s="1"/>
    </row>
    <row r="1764" spans="1:4">
      <c r="A1764" s="1"/>
      <c r="D1764" s="1"/>
    </row>
    <row r="1765" spans="1:4">
      <c r="A1765" s="1"/>
      <c r="D1765" s="1"/>
    </row>
    <row r="1766" spans="1:4">
      <c r="A1766" s="1"/>
      <c r="D1766" s="1"/>
    </row>
    <row r="1767" spans="1:4">
      <c r="A1767" s="1"/>
      <c r="D1767" s="1"/>
    </row>
    <row r="1768" spans="1:4">
      <c r="A1768" s="1"/>
      <c r="D1768" s="1"/>
    </row>
    <row r="1769" spans="1:4">
      <c r="A1769" s="1"/>
      <c r="D1769" s="1"/>
    </row>
    <row r="1770" spans="1:4">
      <c r="A1770" s="1"/>
      <c r="D1770" s="1"/>
    </row>
    <row r="1771" spans="1:4">
      <c r="A1771" s="1"/>
      <c r="D1771" s="1"/>
    </row>
    <row r="1772" spans="1:4">
      <c r="A1772" s="1"/>
      <c r="D1772" s="1"/>
    </row>
    <row r="1773" spans="1:4">
      <c r="A1773" s="1"/>
      <c r="D1773" s="1"/>
    </row>
    <row r="1774" spans="1:4">
      <c r="A1774" s="1"/>
      <c r="D1774" s="1"/>
    </row>
    <row r="1775" spans="1:4">
      <c r="A1775" s="1"/>
      <c r="D1775" s="1"/>
    </row>
    <row r="1776" spans="1:4">
      <c r="A1776" s="1"/>
      <c r="D1776" s="1"/>
    </row>
    <row r="1777" spans="1:4">
      <c r="A1777" s="1"/>
      <c r="D1777" s="1"/>
    </row>
    <row r="1778" spans="1:4">
      <c r="A1778" s="1"/>
      <c r="D1778" s="1"/>
    </row>
    <row r="1779" spans="1:4">
      <c r="A1779" s="1"/>
      <c r="D1779" s="1"/>
    </row>
    <row r="1780" spans="1:4">
      <c r="A1780" s="1"/>
      <c r="D1780" s="1"/>
    </row>
    <row r="1781" spans="1:4">
      <c r="A1781" s="1"/>
      <c r="D1781" s="1"/>
    </row>
    <row r="1782" spans="1:4">
      <c r="A1782" s="1"/>
      <c r="D1782" s="1"/>
    </row>
    <row r="1783" spans="1:4">
      <c r="A1783" s="1"/>
      <c r="D1783" s="1"/>
    </row>
    <row r="1784" spans="1:4">
      <c r="A1784" s="1"/>
      <c r="D1784" s="1"/>
    </row>
    <row r="1785" spans="1:4">
      <c r="A1785" s="1"/>
      <c r="D1785" s="1"/>
    </row>
    <row r="1786" spans="1:4">
      <c r="A1786" s="1"/>
      <c r="D1786" s="1"/>
    </row>
    <row r="1787" spans="1:4">
      <c r="A1787" s="1"/>
      <c r="D1787" s="1"/>
    </row>
    <row r="1788" spans="1:4">
      <c r="A1788" s="1"/>
      <c r="D1788" s="1"/>
    </row>
    <row r="1789" spans="1:4">
      <c r="A1789" s="1"/>
      <c r="D1789" s="1"/>
    </row>
    <row r="1790" spans="1:4">
      <c r="A1790" s="1"/>
      <c r="D1790" s="1"/>
    </row>
    <row r="1791" spans="1:4">
      <c r="A1791" s="1"/>
      <c r="D1791" s="1"/>
    </row>
    <row r="1792" spans="1:4">
      <c r="A1792" s="1"/>
      <c r="D1792" s="1"/>
    </row>
    <row r="1793" spans="1:4">
      <c r="A1793" s="1"/>
      <c r="D1793" s="1"/>
    </row>
    <row r="1794" spans="1:4">
      <c r="A1794" s="1"/>
      <c r="D1794" s="1"/>
    </row>
    <row r="1795" spans="1:4">
      <c r="A1795" s="1"/>
      <c r="D1795" s="1"/>
    </row>
    <row r="1796" spans="1:4">
      <c r="A1796" s="1"/>
      <c r="D1796" s="1"/>
    </row>
    <row r="1797" spans="1:4">
      <c r="A1797" s="1"/>
      <c r="D1797" s="1"/>
    </row>
    <row r="1798" spans="1:4">
      <c r="A1798" s="1"/>
      <c r="D1798" s="1"/>
    </row>
    <row r="1799" spans="1:4">
      <c r="A1799" s="1"/>
      <c r="D1799" s="1"/>
    </row>
    <row r="1800" spans="1:4">
      <c r="A1800" s="1"/>
      <c r="D1800" s="1"/>
    </row>
    <row r="1801" spans="1:4">
      <c r="A1801" s="1"/>
      <c r="D1801" s="1"/>
    </row>
    <row r="1802" spans="1:4">
      <c r="A1802" s="1"/>
      <c r="D1802" s="1"/>
    </row>
    <row r="1803" spans="1:4">
      <c r="A1803" s="1"/>
      <c r="D1803" s="1"/>
    </row>
    <row r="1804" spans="1:4">
      <c r="A1804" s="1"/>
      <c r="D1804" s="1"/>
    </row>
    <row r="1805" spans="1:4">
      <c r="A1805" s="1"/>
      <c r="D1805" s="1"/>
    </row>
    <row r="1806" spans="1:4">
      <c r="A1806" s="1"/>
      <c r="D1806" s="1"/>
    </row>
    <row r="1807" spans="1:4">
      <c r="A1807" s="1"/>
      <c r="D1807" s="1"/>
    </row>
    <row r="1808" spans="1:4">
      <c r="A1808" s="1"/>
      <c r="D1808" s="1"/>
    </row>
    <row r="1809" spans="1:4">
      <c r="A1809" s="1"/>
      <c r="D1809" s="1"/>
    </row>
    <row r="1810" spans="1:4">
      <c r="A1810" s="1"/>
      <c r="D1810" s="1"/>
    </row>
    <row r="1811" spans="1:4">
      <c r="A1811" s="1"/>
      <c r="D1811" s="1"/>
    </row>
    <row r="1812" spans="1:4">
      <c r="A1812" s="1"/>
      <c r="D1812" s="1"/>
    </row>
    <row r="1813" spans="1:4">
      <c r="A1813" s="1"/>
      <c r="D1813" s="1"/>
    </row>
    <row r="1814" spans="1:4">
      <c r="A1814" s="1"/>
      <c r="D1814" s="1"/>
    </row>
    <row r="1815" spans="1:4">
      <c r="A1815" s="1"/>
      <c r="D1815" s="1"/>
    </row>
    <row r="1816" spans="1:4">
      <c r="A1816" s="1"/>
      <c r="D1816" s="1"/>
    </row>
    <row r="1817" spans="1:4">
      <c r="A1817" s="1"/>
      <c r="D1817" s="1"/>
    </row>
    <row r="1818" spans="1:4">
      <c r="A1818" s="1"/>
      <c r="D1818" s="1"/>
    </row>
    <row r="1819" spans="1:4">
      <c r="A1819" s="1"/>
      <c r="D1819" s="1"/>
    </row>
    <row r="1820" spans="1:4">
      <c r="A1820" s="1"/>
      <c r="D1820" s="1"/>
    </row>
    <row r="1821" spans="1:4">
      <c r="A1821" s="1"/>
      <c r="D1821" s="1"/>
    </row>
    <row r="1822" spans="1:4">
      <c r="A1822" s="1"/>
      <c r="D1822" s="1"/>
    </row>
    <row r="1823" spans="1:4">
      <c r="A1823" s="1"/>
      <c r="D1823" s="1"/>
    </row>
    <row r="1824" spans="1:4">
      <c r="A1824" s="1"/>
      <c r="D1824" s="1"/>
    </row>
    <row r="1825" spans="1:4">
      <c r="A1825" s="1"/>
      <c r="D1825" s="1"/>
    </row>
    <row r="1826" spans="1:4">
      <c r="A1826" s="1"/>
      <c r="D1826" s="1"/>
    </row>
    <row r="1827" spans="1:4">
      <c r="A1827" s="1"/>
      <c r="D1827" s="1"/>
    </row>
    <row r="1828" spans="1:4">
      <c r="A1828" s="1"/>
      <c r="D1828" s="1"/>
    </row>
    <row r="1829" spans="1:4">
      <c r="A1829" s="1"/>
      <c r="D1829" s="1"/>
    </row>
    <row r="1830" spans="1:4">
      <c r="A1830" s="1"/>
      <c r="D1830" s="1"/>
    </row>
    <row r="1831" spans="1:4">
      <c r="A1831" s="1"/>
      <c r="D1831" s="1"/>
    </row>
    <row r="1832" spans="1:4">
      <c r="A1832" s="1"/>
      <c r="D1832" s="1"/>
    </row>
    <row r="1833" spans="1:4">
      <c r="A1833" s="1"/>
      <c r="D1833" s="1"/>
    </row>
    <row r="1834" spans="1:4">
      <c r="A1834" s="1"/>
      <c r="D1834" s="1"/>
    </row>
    <row r="1835" spans="1:4">
      <c r="A1835" s="1"/>
      <c r="D1835" s="1"/>
    </row>
    <row r="1836" spans="1:4">
      <c r="A1836" s="1"/>
      <c r="D1836" s="1"/>
    </row>
    <row r="1837" spans="1:4">
      <c r="A1837" s="1"/>
      <c r="D1837" s="1"/>
    </row>
    <row r="1838" spans="1:4">
      <c r="A1838" s="1"/>
      <c r="D1838" s="1"/>
    </row>
    <row r="1839" spans="1:4">
      <c r="A1839" s="1"/>
      <c r="D1839" s="1"/>
    </row>
    <row r="1840" spans="1:4">
      <c r="A1840" s="1"/>
      <c r="D1840" s="1"/>
    </row>
    <row r="1841" spans="1:4">
      <c r="A1841" s="1"/>
      <c r="D1841" s="1"/>
    </row>
    <row r="1842" spans="1:4">
      <c r="A1842" s="1"/>
      <c r="D1842" s="1"/>
    </row>
    <row r="1843" spans="1:4">
      <c r="A1843" s="1"/>
      <c r="D1843" s="1"/>
    </row>
    <row r="1844" spans="1:4">
      <c r="A1844" s="1"/>
      <c r="D1844" s="1"/>
    </row>
    <row r="1845" spans="1:4">
      <c r="A1845" s="1"/>
      <c r="D1845" s="1"/>
    </row>
    <row r="1846" spans="1:4">
      <c r="A1846" s="1"/>
      <c r="D1846" s="1"/>
    </row>
    <row r="1847" spans="1:4">
      <c r="A1847" s="1"/>
      <c r="D1847" s="1"/>
    </row>
    <row r="1848" spans="1:4">
      <c r="A1848" s="1"/>
      <c r="D1848" s="1"/>
    </row>
    <row r="1849" spans="1:4">
      <c r="A1849" s="1"/>
      <c r="D1849" s="1"/>
    </row>
    <row r="1850" spans="1:4">
      <c r="A1850" s="1"/>
      <c r="D1850" s="1"/>
    </row>
    <row r="1851" spans="1:4">
      <c r="A1851" s="1"/>
      <c r="D1851" s="1"/>
    </row>
    <row r="1852" spans="1:4">
      <c r="A1852" s="1"/>
      <c r="D1852" s="1"/>
    </row>
    <row r="1853" spans="1:4">
      <c r="A1853" s="1"/>
      <c r="D1853" s="1"/>
    </row>
    <row r="1854" spans="1:4">
      <c r="A1854" s="1"/>
      <c r="D1854" s="1"/>
    </row>
    <row r="1855" spans="1:4">
      <c r="A1855" s="1"/>
      <c r="D1855" s="1"/>
    </row>
    <row r="1856" spans="1:4">
      <c r="A1856" s="1"/>
      <c r="D1856" s="1"/>
    </row>
    <row r="1857" spans="1:4">
      <c r="A1857" s="1"/>
      <c r="D1857" s="1"/>
    </row>
    <row r="1858" spans="1:4">
      <c r="A1858" s="1"/>
      <c r="D1858" s="1"/>
    </row>
    <row r="1859" spans="1:4">
      <c r="A1859" s="1"/>
      <c r="D1859" s="1"/>
    </row>
    <row r="1860" spans="1:4">
      <c r="A1860" s="1"/>
      <c r="D1860" s="1"/>
    </row>
    <row r="1861" spans="1:4">
      <c r="A1861" s="1"/>
      <c r="D1861" s="1"/>
    </row>
    <row r="1862" spans="1:4">
      <c r="A1862" s="1"/>
      <c r="D1862" s="1"/>
    </row>
    <row r="1863" spans="1:4">
      <c r="A1863" s="1"/>
      <c r="D1863" s="1"/>
    </row>
    <row r="1864" spans="1:4">
      <c r="A1864" s="1"/>
      <c r="D1864" s="1"/>
    </row>
    <row r="1865" spans="1:4">
      <c r="A1865" s="1"/>
      <c r="D1865" s="1"/>
    </row>
    <row r="1866" spans="1:4">
      <c r="A1866" s="1"/>
      <c r="D1866" s="1"/>
    </row>
    <row r="1867" spans="1:4">
      <c r="A1867" s="1"/>
      <c r="D1867" s="1"/>
    </row>
    <row r="1868" spans="1:4">
      <c r="A1868" s="1"/>
      <c r="D1868" s="1"/>
    </row>
    <row r="1869" spans="1:4">
      <c r="A1869" s="1"/>
      <c r="D1869" s="1"/>
    </row>
    <row r="1870" spans="1:4">
      <c r="A1870" s="1"/>
      <c r="D1870" s="1"/>
    </row>
    <row r="1871" spans="1:4">
      <c r="A1871" s="1"/>
      <c r="D1871" s="1"/>
    </row>
    <row r="1872" spans="1:4">
      <c r="A1872" s="1"/>
      <c r="D1872" s="1"/>
    </row>
    <row r="1873" spans="1:4">
      <c r="A1873" s="1"/>
      <c r="D1873" s="1"/>
    </row>
    <row r="1874" spans="1:4">
      <c r="A1874" s="1"/>
      <c r="D1874" s="1"/>
    </row>
    <row r="1875" spans="1:4">
      <c r="A1875" s="1"/>
      <c r="D1875" s="1"/>
    </row>
    <row r="1876" spans="1:4">
      <c r="A1876" s="1"/>
      <c r="D1876" s="1"/>
    </row>
    <row r="1877" spans="1:4">
      <c r="A1877" s="1"/>
      <c r="D1877" s="1"/>
    </row>
    <row r="1878" spans="1:4">
      <c r="A1878" s="1"/>
      <c r="D1878" s="1"/>
    </row>
    <row r="1879" spans="1:4">
      <c r="A1879" s="1"/>
      <c r="D1879" s="1"/>
    </row>
    <row r="1880" spans="1:4">
      <c r="A1880" s="1"/>
      <c r="D1880" s="1"/>
    </row>
    <row r="1881" spans="1:4">
      <c r="A1881" s="1"/>
      <c r="D1881" s="1"/>
    </row>
    <row r="1882" spans="1:4">
      <c r="A1882" s="1"/>
      <c r="D1882" s="1"/>
    </row>
    <row r="1883" spans="1:4">
      <c r="A1883" s="1"/>
      <c r="D1883" s="1"/>
    </row>
    <row r="1884" spans="1:4">
      <c r="A1884" s="1"/>
      <c r="D1884" s="1"/>
    </row>
    <row r="1885" spans="1:4">
      <c r="A1885" s="1"/>
      <c r="D1885" s="1"/>
    </row>
    <row r="1886" spans="1:4">
      <c r="A1886" s="1"/>
      <c r="D1886" s="1"/>
    </row>
    <row r="1887" spans="1:4">
      <c r="A1887" s="1"/>
      <c r="D1887" s="1"/>
    </row>
    <row r="1888" spans="1:4">
      <c r="A1888" s="1"/>
      <c r="D1888" s="1"/>
    </row>
    <row r="1889" spans="1:4">
      <c r="A1889" s="1"/>
      <c r="D1889" s="1"/>
    </row>
    <row r="1890" spans="1:4">
      <c r="A1890" s="1"/>
      <c r="D1890" s="1"/>
    </row>
    <row r="1891" spans="1:4">
      <c r="A1891" s="1"/>
      <c r="D1891" s="1"/>
    </row>
    <row r="1892" spans="1:4">
      <c r="A1892" s="1"/>
      <c r="D1892" s="1"/>
    </row>
    <row r="1893" spans="1:4">
      <c r="A1893" s="1"/>
      <c r="D1893" s="1"/>
    </row>
    <row r="1894" spans="1:4">
      <c r="A1894" s="1"/>
      <c r="D1894" s="1"/>
    </row>
    <row r="1895" spans="1:4">
      <c r="A1895" s="1"/>
      <c r="D1895" s="1"/>
    </row>
    <row r="1896" spans="1:4">
      <c r="A1896" s="1"/>
      <c r="D1896" s="1"/>
    </row>
    <row r="1897" spans="1:4">
      <c r="A1897" s="1"/>
      <c r="D1897" s="1"/>
    </row>
    <row r="1898" spans="1:4">
      <c r="A1898" s="1"/>
      <c r="D1898" s="1"/>
    </row>
    <row r="1899" spans="1:4">
      <c r="A1899" s="1"/>
      <c r="D1899" s="1"/>
    </row>
    <row r="1900" spans="1:4">
      <c r="A1900" s="1"/>
      <c r="D1900" s="1"/>
    </row>
    <row r="1901" spans="1:4">
      <c r="A1901" s="1"/>
      <c r="D1901" s="1"/>
    </row>
    <row r="1902" spans="1:4">
      <c r="A1902" s="1"/>
      <c r="D1902" s="1"/>
    </row>
    <row r="1903" spans="1:4">
      <c r="A1903" s="1"/>
      <c r="D1903" s="1"/>
    </row>
    <row r="1904" spans="1:4">
      <c r="A1904" s="1"/>
      <c r="D1904" s="1"/>
    </row>
    <row r="1905" spans="1:4">
      <c r="A1905" s="1"/>
      <c r="D1905" s="1"/>
    </row>
    <row r="1906" spans="1:4">
      <c r="A1906" s="1"/>
      <c r="D1906" s="1"/>
    </row>
    <row r="1907" spans="1:4">
      <c r="A1907" s="1"/>
      <c r="D1907" s="1"/>
    </row>
    <row r="1908" spans="1:4">
      <c r="A1908" s="1"/>
      <c r="D1908" s="1"/>
    </row>
    <row r="1909" spans="1:4">
      <c r="A1909" s="1"/>
      <c r="D1909" s="1"/>
    </row>
    <row r="1910" spans="1:4">
      <c r="A1910" s="1"/>
      <c r="D1910" s="1"/>
    </row>
    <row r="1911" spans="1:4">
      <c r="A1911" s="1"/>
      <c r="D1911" s="1"/>
    </row>
    <row r="1912" spans="1:4">
      <c r="A1912" s="1"/>
      <c r="D1912" s="1"/>
    </row>
    <row r="1913" spans="1:4">
      <c r="A1913" s="1"/>
      <c r="D1913" s="1"/>
    </row>
    <row r="1914" spans="1:4">
      <c r="A1914" s="1"/>
      <c r="D1914" s="1"/>
    </row>
    <row r="1915" spans="1:4">
      <c r="A1915" s="1"/>
      <c r="D1915" s="1"/>
    </row>
    <row r="1916" spans="1:4">
      <c r="A1916" s="1"/>
      <c r="D1916" s="1"/>
    </row>
    <row r="1917" spans="1:4">
      <c r="A1917" s="1"/>
      <c r="D1917" s="1"/>
    </row>
    <row r="1918" spans="1:4">
      <c r="A1918" s="1"/>
      <c r="D1918" s="1"/>
    </row>
    <row r="1919" spans="1:4">
      <c r="A1919" s="1"/>
      <c r="D1919" s="1"/>
    </row>
    <row r="1920" spans="1:4">
      <c r="A1920" s="1"/>
      <c r="D1920" s="1"/>
    </row>
    <row r="1921" spans="1:4">
      <c r="A1921" s="1"/>
      <c r="D1921" s="1"/>
    </row>
    <row r="1922" spans="1:4">
      <c r="A1922" s="1"/>
      <c r="D1922" s="1"/>
    </row>
    <row r="1923" spans="1:4">
      <c r="A1923" s="1"/>
      <c r="D1923" s="1"/>
    </row>
    <row r="1924" spans="1:4">
      <c r="A1924" s="1"/>
      <c r="D1924" s="1"/>
    </row>
    <row r="1925" spans="1:4">
      <c r="A1925" s="1"/>
      <c r="D1925" s="1"/>
    </row>
    <row r="1926" spans="1:4">
      <c r="A1926" s="1"/>
      <c r="D1926" s="1"/>
    </row>
    <row r="1927" spans="1:4">
      <c r="A1927" s="1"/>
      <c r="D1927" s="1"/>
    </row>
    <row r="1928" spans="1:4">
      <c r="A1928" s="1"/>
      <c r="D1928" s="1"/>
    </row>
    <row r="1929" spans="1:4">
      <c r="A1929" s="1"/>
      <c r="D1929" s="1"/>
    </row>
    <row r="1930" spans="1:4">
      <c r="A1930" s="1"/>
      <c r="D1930" s="1"/>
    </row>
    <row r="1931" spans="1:4">
      <c r="A1931" s="1"/>
      <c r="D1931" s="1"/>
    </row>
    <row r="1932" spans="1:4">
      <c r="A1932" s="1"/>
      <c r="D1932" s="1"/>
    </row>
    <row r="1933" spans="1:4">
      <c r="A1933" s="1"/>
      <c r="D1933" s="1"/>
    </row>
    <row r="1934" spans="1:4">
      <c r="A1934" s="1"/>
      <c r="D1934" s="1"/>
    </row>
    <row r="1935" spans="1:4">
      <c r="A1935" s="1"/>
      <c r="D1935" s="1"/>
    </row>
    <row r="1936" spans="1:4">
      <c r="A1936" s="1"/>
      <c r="D1936" s="1"/>
    </row>
    <row r="1937" spans="1:4">
      <c r="A1937" s="1"/>
      <c r="D1937" s="1"/>
    </row>
    <row r="1938" spans="1:4">
      <c r="A1938" s="1"/>
      <c r="D1938" s="1"/>
    </row>
    <row r="1939" spans="1:4">
      <c r="A1939" s="1"/>
      <c r="D1939" s="1"/>
    </row>
    <row r="1940" spans="1:4">
      <c r="A1940" s="1"/>
      <c r="D1940" s="1"/>
    </row>
    <row r="1941" spans="1:4">
      <c r="A1941" s="1"/>
      <c r="D1941" s="1"/>
    </row>
    <row r="1942" spans="1:4">
      <c r="A1942" s="1"/>
      <c r="D1942" s="1"/>
    </row>
    <row r="1943" spans="1:4">
      <c r="A1943" s="1"/>
      <c r="D1943" s="1"/>
    </row>
    <row r="1944" spans="1:4">
      <c r="A1944" s="1"/>
      <c r="D1944" s="1"/>
    </row>
    <row r="1945" spans="1:4">
      <c r="A1945" s="1"/>
      <c r="D1945" s="1"/>
    </row>
    <row r="1946" spans="1:4">
      <c r="A1946" s="1"/>
      <c r="D1946" s="1"/>
    </row>
    <row r="1947" spans="1:4">
      <c r="A1947" s="1"/>
      <c r="D1947" s="1"/>
    </row>
    <row r="1948" spans="1:4">
      <c r="A1948" s="1"/>
      <c r="D1948" s="1"/>
    </row>
    <row r="1949" spans="1:4">
      <c r="A1949" s="1"/>
      <c r="D1949" s="1"/>
    </row>
    <row r="1950" spans="1:4">
      <c r="A1950" s="1"/>
      <c r="D1950" s="1"/>
    </row>
    <row r="1951" spans="1:4">
      <c r="A1951" s="1"/>
      <c r="D1951" s="1"/>
    </row>
    <row r="1952" spans="1:4">
      <c r="A1952" s="1"/>
      <c r="D1952" s="1"/>
    </row>
    <row r="1953" spans="1:4">
      <c r="A1953" s="1"/>
      <c r="D1953" s="1"/>
    </row>
    <row r="1954" spans="1:4">
      <c r="A1954" s="1"/>
      <c r="D1954" s="1"/>
    </row>
    <row r="1955" spans="1:4">
      <c r="A1955" s="1"/>
      <c r="D1955" s="1"/>
    </row>
    <row r="1956" spans="1:4">
      <c r="A1956" s="1"/>
      <c r="D1956" s="1"/>
    </row>
    <row r="1957" spans="1:4">
      <c r="A1957" s="1"/>
      <c r="D1957" s="1"/>
    </row>
    <row r="1958" spans="1:4">
      <c r="A1958" s="1"/>
      <c r="D1958" s="1"/>
    </row>
    <row r="1959" spans="1:4">
      <c r="A1959" s="1"/>
      <c r="D1959" s="1"/>
    </row>
    <row r="1960" spans="1:4">
      <c r="A1960" s="1"/>
      <c r="D1960" s="1"/>
    </row>
    <row r="1961" spans="1:4">
      <c r="A1961" s="1"/>
      <c r="D1961" s="1"/>
    </row>
    <row r="1962" spans="1:4">
      <c r="A1962" s="1"/>
      <c r="D1962" s="1"/>
    </row>
    <row r="1963" spans="1:4">
      <c r="A1963" s="1"/>
      <c r="D1963" s="1"/>
    </row>
    <row r="1964" spans="1:4">
      <c r="A1964" s="1"/>
      <c r="D1964" s="1"/>
    </row>
    <row r="1965" spans="1:4">
      <c r="A1965" s="1"/>
      <c r="D1965" s="1"/>
    </row>
    <row r="1966" spans="1:4">
      <c r="A1966" s="1"/>
      <c r="D1966" s="1"/>
    </row>
    <row r="1967" spans="1:4">
      <c r="A1967" s="1"/>
      <c r="D1967" s="1"/>
    </row>
    <row r="1968" spans="1:4">
      <c r="A1968" s="1"/>
      <c r="D1968" s="1"/>
    </row>
    <row r="1969" spans="1:4">
      <c r="A1969" s="1"/>
      <c r="D1969" s="1"/>
    </row>
    <row r="1970" spans="1:4">
      <c r="A1970" s="1"/>
      <c r="D1970" s="1"/>
    </row>
    <row r="1971" spans="1:4">
      <c r="A1971" s="1"/>
      <c r="D1971" s="1"/>
    </row>
    <row r="1972" spans="1:4">
      <c r="A1972" s="1"/>
      <c r="D1972" s="1"/>
    </row>
    <row r="1973" spans="1:4">
      <c r="A1973" s="1"/>
      <c r="D1973" s="1"/>
    </row>
    <row r="1974" spans="1:4">
      <c r="A1974" s="1"/>
      <c r="D1974" s="1"/>
    </row>
    <row r="1975" spans="1:4">
      <c r="A1975" s="1"/>
      <c r="D1975" s="1"/>
    </row>
    <row r="1976" spans="1:4">
      <c r="A1976" s="1"/>
      <c r="D1976" s="1"/>
    </row>
    <row r="1977" spans="1:4">
      <c r="A1977" s="1"/>
      <c r="D1977" s="1"/>
    </row>
    <row r="1978" spans="1:4">
      <c r="A1978" s="1"/>
      <c r="D1978" s="1"/>
    </row>
    <row r="1979" spans="1:4">
      <c r="A1979" s="1"/>
      <c r="D1979" s="1"/>
    </row>
    <row r="1980" spans="1:4">
      <c r="A1980" s="1"/>
      <c r="D1980" s="1"/>
    </row>
    <row r="1981" spans="1:4">
      <c r="A1981" s="1"/>
      <c r="D1981" s="1"/>
    </row>
    <row r="1982" spans="1:4">
      <c r="A1982" s="1"/>
      <c r="D1982" s="1"/>
    </row>
    <row r="1983" spans="1:4">
      <c r="A1983" s="1"/>
      <c r="D1983" s="1"/>
    </row>
    <row r="1984" spans="1:4">
      <c r="A1984" s="1"/>
      <c r="D1984" s="1"/>
    </row>
    <row r="1985" spans="1:4">
      <c r="A1985" s="1"/>
      <c r="D1985" s="1"/>
    </row>
    <row r="1986" spans="1:4">
      <c r="A1986" s="1"/>
      <c r="D1986" s="1"/>
    </row>
    <row r="1987" spans="1:4">
      <c r="A1987" s="1"/>
      <c r="D1987" s="1"/>
    </row>
    <row r="1988" spans="1:4">
      <c r="A1988" s="1"/>
      <c r="D1988" s="1"/>
    </row>
    <row r="1989" spans="1:4">
      <c r="A1989" s="1"/>
      <c r="D1989" s="1"/>
    </row>
    <row r="1990" spans="1:4">
      <c r="A1990" s="1"/>
      <c r="D1990" s="1"/>
    </row>
    <row r="1991" spans="1:4">
      <c r="A1991" s="1"/>
      <c r="D1991" s="1"/>
    </row>
    <row r="1992" spans="1:4">
      <c r="A1992" s="1"/>
      <c r="D1992" s="1"/>
    </row>
    <row r="1993" spans="1:4">
      <c r="A1993" s="1"/>
      <c r="D1993" s="1"/>
    </row>
    <row r="1994" spans="1:4">
      <c r="A1994" s="1"/>
      <c r="D1994" s="1"/>
    </row>
    <row r="1995" spans="1:4">
      <c r="A1995" s="1"/>
      <c r="D1995" s="1"/>
    </row>
    <row r="1996" spans="1:4">
      <c r="A1996" s="1"/>
      <c r="D1996" s="1"/>
    </row>
    <row r="1997" spans="1:4">
      <c r="A1997" s="1"/>
      <c r="D1997" s="1"/>
    </row>
    <row r="1998" spans="1:4">
      <c r="A1998" s="1"/>
      <c r="D1998" s="1"/>
    </row>
    <row r="1999" spans="1:4">
      <c r="A1999" s="1"/>
      <c r="D1999" s="1"/>
    </row>
    <row r="2000" spans="1:4">
      <c r="A2000" s="1"/>
      <c r="D2000" s="1"/>
    </row>
    <row r="2001" spans="1:4">
      <c r="A2001" s="1"/>
      <c r="D2001" s="1"/>
    </row>
    <row r="2002" spans="1:4">
      <c r="A2002" s="1"/>
      <c r="D2002" s="1"/>
    </row>
    <row r="2003" spans="1:4">
      <c r="A2003" s="1"/>
      <c r="D2003" s="1"/>
    </row>
    <row r="2004" spans="1:4">
      <c r="A2004" s="1"/>
      <c r="D2004" s="1"/>
    </row>
    <row r="2005" spans="1:4">
      <c r="A2005" s="1"/>
      <c r="D2005" s="1"/>
    </row>
    <row r="2006" spans="1:4">
      <c r="A2006" s="1"/>
      <c r="D2006" s="1"/>
    </row>
    <row r="2007" spans="1:4">
      <c r="A2007" s="1"/>
      <c r="D2007" s="1"/>
    </row>
    <row r="2008" spans="1:4">
      <c r="A2008" s="1"/>
      <c r="D2008" s="1"/>
    </row>
    <row r="2009" spans="1:4">
      <c r="A2009" s="1"/>
      <c r="D2009" s="1"/>
    </row>
    <row r="2010" spans="1:4">
      <c r="A2010" s="1"/>
      <c r="D2010" s="1"/>
    </row>
    <row r="2011" spans="1:4">
      <c r="A2011" s="1"/>
      <c r="D2011" s="1"/>
    </row>
    <row r="2012" spans="1:4">
      <c r="A2012" s="1"/>
      <c r="D2012" s="1"/>
    </row>
    <row r="2013" spans="1:4">
      <c r="A2013" s="1"/>
      <c r="D2013" s="1"/>
    </row>
    <row r="2014" spans="1:4">
      <c r="A2014" s="1"/>
      <c r="D2014" s="1"/>
    </row>
    <row r="2015" spans="1:4">
      <c r="A2015" s="1"/>
      <c r="D2015" s="1"/>
    </row>
    <row r="2016" spans="1:4">
      <c r="A2016" s="1"/>
      <c r="D2016" s="1"/>
    </row>
    <row r="2017" spans="1:4">
      <c r="A2017" s="1"/>
      <c r="D2017" s="1"/>
    </row>
    <row r="2018" spans="1:4">
      <c r="A2018" s="1"/>
      <c r="D2018" s="1"/>
    </row>
    <row r="2019" spans="1:4">
      <c r="A2019" s="1"/>
      <c r="D2019" s="1"/>
    </row>
    <row r="2020" spans="1:4">
      <c r="A2020" s="1"/>
      <c r="D2020" s="1"/>
    </row>
    <row r="2021" spans="1:4">
      <c r="A2021" s="1"/>
      <c r="D2021" s="1"/>
    </row>
    <row r="2022" spans="1:4">
      <c r="A2022" s="1"/>
      <c r="D2022" s="1"/>
    </row>
    <row r="2023" spans="1:4">
      <c r="A2023" s="1"/>
      <c r="D2023" s="1"/>
    </row>
    <row r="2024" spans="1:4">
      <c r="A2024" s="1"/>
      <c r="D2024" s="1"/>
    </row>
    <row r="2025" spans="1:4">
      <c r="A2025" s="1"/>
      <c r="D2025" s="1"/>
    </row>
    <row r="2026" spans="1:4">
      <c r="A2026" s="1"/>
      <c r="D2026" s="1"/>
    </row>
    <row r="2027" spans="1:4">
      <c r="A2027" s="1"/>
      <c r="D2027" s="1"/>
    </row>
    <row r="2028" spans="1:4">
      <c r="A2028" s="1"/>
      <c r="D2028" s="1"/>
    </row>
    <row r="2029" spans="1:4">
      <c r="A2029" s="1"/>
      <c r="D2029" s="1"/>
    </row>
    <row r="2030" spans="1:4">
      <c r="A2030" s="1"/>
      <c r="D2030" s="1"/>
    </row>
    <row r="2031" spans="1:4">
      <c r="A2031" s="1"/>
      <c r="D2031" s="1"/>
    </row>
    <row r="2032" spans="1:4">
      <c r="A2032" s="1"/>
      <c r="D2032" s="1"/>
    </row>
    <row r="2033" spans="1:4">
      <c r="A2033" s="1"/>
      <c r="D2033" s="1"/>
    </row>
    <row r="2034" spans="1:4">
      <c r="A2034" s="1"/>
      <c r="D2034" s="1"/>
    </row>
    <row r="2035" spans="1:4">
      <c r="A2035" s="1"/>
      <c r="D2035" s="1"/>
    </row>
    <row r="2036" spans="1:4">
      <c r="A2036" s="1"/>
      <c r="D2036" s="1"/>
    </row>
    <row r="2037" spans="1:4">
      <c r="A2037" s="1"/>
      <c r="D2037" s="1"/>
    </row>
    <row r="2038" spans="1:4">
      <c r="A2038" s="1"/>
      <c r="D2038" s="1"/>
    </row>
    <row r="2039" spans="1:4">
      <c r="A2039" s="1"/>
      <c r="D2039" s="1"/>
    </row>
    <row r="2040" spans="1:4">
      <c r="A2040" s="1"/>
      <c r="D2040" s="1"/>
    </row>
    <row r="2041" spans="1:4">
      <c r="A2041" s="1"/>
      <c r="D2041" s="1"/>
    </row>
    <row r="2042" spans="1:4">
      <c r="A2042" s="1"/>
      <c r="D2042" s="1"/>
    </row>
    <row r="2043" spans="1:4">
      <c r="A2043" s="1"/>
      <c r="D2043" s="1"/>
    </row>
    <row r="2044" spans="1:4">
      <c r="A2044" s="1"/>
      <c r="D2044" s="1"/>
    </row>
    <row r="2045" spans="1:4">
      <c r="A2045" s="1"/>
      <c r="D2045" s="1"/>
    </row>
    <row r="2046" spans="1:4">
      <c r="A2046" s="1"/>
      <c r="D2046" s="1"/>
    </row>
    <row r="2047" spans="1:4">
      <c r="A2047" s="1"/>
      <c r="D2047" s="1"/>
    </row>
    <row r="2048" spans="1:4">
      <c r="A2048" s="1"/>
      <c r="D2048" s="1"/>
    </row>
    <row r="2049" spans="1:4">
      <c r="A2049" s="1"/>
      <c r="D2049" s="1"/>
    </row>
    <row r="2050" spans="1:4">
      <c r="A2050" s="1"/>
      <c r="D2050" s="1"/>
    </row>
    <row r="2051" spans="1:4">
      <c r="A2051" s="1"/>
      <c r="D2051" s="1"/>
    </row>
    <row r="2052" spans="1:4">
      <c r="A2052" s="1"/>
      <c r="D2052" s="1"/>
    </row>
    <row r="2053" spans="1:4">
      <c r="A2053" s="1"/>
      <c r="D2053" s="1"/>
    </row>
    <row r="2054" spans="1:4">
      <c r="A2054" s="1"/>
      <c r="D2054" s="1"/>
    </row>
    <row r="2055" spans="1:4">
      <c r="A2055" s="1"/>
      <c r="D2055" s="1"/>
    </row>
    <row r="2056" spans="1:4">
      <c r="A2056" s="1"/>
      <c r="D2056" s="1"/>
    </row>
    <row r="2057" spans="1:4">
      <c r="A2057" s="1"/>
      <c r="D2057" s="1"/>
    </row>
    <row r="2058" spans="1:4">
      <c r="A2058" s="1"/>
      <c r="D2058" s="1"/>
    </row>
    <row r="2059" spans="1:4">
      <c r="A2059" s="1"/>
      <c r="D2059" s="1"/>
    </row>
    <row r="2060" spans="1:4">
      <c r="A2060" s="1"/>
      <c r="D2060" s="1"/>
    </row>
    <row r="2061" spans="1:4">
      <c r="A2061" s="1"/>
      <c r="D2061" s="1"/>
    </row>
    <row r="2062" spans="1:4">
      <c r="A2062" s="1"/>
      <c r="D2062" s="1"/>
    </row>
    <row r="2063" spans="1:4">
      <c r="A2063" s="1"/>
      <c r="D2063" s="1"/>
    </row>
    <row r="2064" spans="1:4">
      <c r="A2064" s="1"/>
      <c r="D2064" s="1"/>
    </row>
    <row r="2065" spans="1:4">
      <c r="A2065" s="1"/>
      <c r="D2065" s="1"/>
    </row>
    <row r="2066" spans="1:4">
      <c r="A2066" s="1"/>
      <c r="D2066" s="1"/>
    </row>
    <row r="2067" spans="1:4">
      <c r="A2067" s="1"/>
      <c r="D2067" s="1"/>
    </row>
    <row r="2068" spans="1:4">
      <c r="A2068" s="1"/>
      <c r="D2068" s="1"/>
    </row>
    <row r="2069" spans="1:4">
      <c r="A2069" s="1"/>
      <c r="D2069" s="1"/>
    </row>
    <row r="2070" spans="1:4">
      <c r="A2070" s="1"/>
      <c r="D2070" s="1"/>
    </row>
    <row r="2071" spans="1:4">
      <c r="A2071" s="1"/>
      <c r="D2071" s="1"/>
    </row>
    <row r="2072" spans="1:4">
      <c r="A2072" s="1"/>
      <c r="D2072" s="1"/>
    </row>
    <row r="2073" spans="1:4">
      <c r="A2073" s="1"/>
      <c r="D2073" s="1"/>
    </row>
    <row r="2074" spans="1:4">
      <c r="A2074" s="1"/>
      <c r="D2074" s="1"/>
    </row>
    <row r="2075" spans="1:4">
      <c r="A2075" s="1"/>
      <c r="D2075" s="1"/>
    </row>
    <row r="2076" spans="1:4">
      <c r="A2076" s="1"/>
      <c r="D2076" s="1"/>
    </row>
    <row r="2077" spans="1:4">
      <c r="A2077" s="1"/>
      <c r="D2077" s="1"/>
    </row>
    <row r="2078" spans="1:4">
      <c r="A2078" s="1"/>
      <c r="D2078" s="1"/>
    </row>
    <row r="2079" spans="1:4">
      <c r="A2079" s="1"/>
      <c r="D2079" s="1"/>
    </row>
    <row r="2080" spans="1:4">
      <c r="A2080" s="1"/>
      <c r="D2080" s="1"/>
    </row>
    <row r="2081" spans="1:4">
      <c r="A2081" s="1"/>
      <c r="D2081" s="1"/>
    </row>
    <row r="2082" spans="1:4">
      <c r="A2082" s="1"/>
      <c r="D2082" s="1"/>
    </row>
    <row r="2083" spans="1:4">
      <c r="A2083" s="1"/>
      <c r="D2083" s="1"/>
    </row>
    <row r="2084" spans="1:4">
      <c r="A2084" s="1"/>
      <c r="D2084" s="1"/>
    </row>
    <row r="2085" spans="1:4">
      <c r="A2085" s="1"/>
      <c r="D2085" s="1"/>
    </row>
    <row r="2086" spans="1:4">
      <c r="A2086" s="1"/>
      <c r="D2086" s="1"/>
    </row>
    <row r="2087" spans="1:4">
      <c r="A2087" s="1"/>
      <c r="D2087" s="1"/>
    </row>
    <row r="2088" spans="1:4">
      <c r="A2088" s="1"/>
      <c r="D2088" s="1"/>
    </row>
    <row r="2089" spans="1:4">
      <c r="A2089" s="1"/>
      <c r="D2089" s="1"/>
    </row>
    <row r="2090" spans="1:4">
      <c r="A2090" s="1"/>
      <c r="D2090" s="1"/>
    </row>
    <row r="2091" spans="1:4">
      <c r="A2091" s="1"/>
      <c r="D2091" s="1"/>
    </row>
    <row r="2092" spans="1:4">
      <c r="A2092" s="1"/>
      <c r="D2092" s="1"/>
    </row>
    <row r="2093" spans="1:4">
      <c r="A2093" s="1"/>
      <c r="D2093" s="1"/>
    </row>
    <row r="2094" spans="1:4">
      <c r="A2094" s="1"/>
      <c r="D2094" s="1"/>
    </row>
    <row r="2095" spans="1:4">
      <c r="A2095" s="1"/>
      <c r="D2095" s="1"/>
    </row>
    <row r="2096" spans="1:4">
      <c r="A2096" s="1"/>
      <c r="D2096" s="1"/>
    </row>
    <row r="2097" spans="1:4">
      <c r="A2097" s="1"/>
      <c r="D2097" s="1"/>
    </row>
    <row r="2098" spans="1:4">
      <c r="A2098" s="1"/>
      <c r="D2098" s="1"/>
    </row>
    <row r="2099" spans="1:4">
      <c r="A2099" s="1"/>
      <c r="D2099" s="1"/>
    </row>
    <row r="2100" spans="1:4">
      <c r="A2100" s="1"/>
      <c r="D2100" s="1"/>
    </row>
    <row r="2101" spans="1:4">
      <c r="A2101" s="1"/>
      <c r="D2101" s="1"/>
    </row>
    <row r="2102" spans="1:4">
      <c r="A2102" s="1"/>
      <c r="D2102" s="1"/>
    </row>
    <row r="2103" spans="1:4">
      <c r="A2103" s="1"/>
      <c r="D2103" s="1"/>
    </row>
    <row r="2104" spans="1:4">
      <c r="A2104" s="1"/>
      <c r="D2104" s="1"/>
    </row>
    <row r="2105" spans="1:4">
      <c r="A2105" s="1"/>
      <c r="D2105" s="1"/>
    </row>
    <row r="2106" spans="1:4">
      <c r="A2106" s="1"/>
      <c r="D2106" s="1"/>
    </row>
    <row r="2107" spans="1:4">
      <c r="A2107" s="1"/>
      <c r="D2107" s="1"/>
    </row>
    <row r="2108" spans="1:4">
      <c r="A2108" s="1"/>
      <c r="D2108" s="1"/>
    </row>
    <row r="2109" spans="1:4">
      <c r="A2109" s="1"/>
      <c r="D2109" s="1"/>
    </row>
    <row r="2110" spans="1:4">
      <c r="A2110" s="1"/>
      <c r="D2110" s="1"/>
    </row>
    <row r="2111" spans="1:4">
      <c r="A2111" s="1"/>
      <c r="D2111" s="1"/>
    </row>
    <row r="2112" spans="1:4">
      <c r="A2112" s="1"/>
      <c r="D2112" s="1"/>
    </row>
    <row r="2113" spans="1:4">
      <c r="A2113" s="1"/>
      <c r="D2113" s="1"/>
    </row>
    <row r="2114" spans="1:4">
      <c r="A2114" s="1"/>
      <c r="D2114" s="1"/>
    </row>
    <row r="2115" spans="1:4">
      <c r="A2115" s="1"/>
      <c r="D2115" s="1"/>
    </row>
    <row r="2116" spans="1:4">
      <c r="A2116" s="1"/>
      <c r="D2116" s="1"/>
    </row>
    <row r="2117" spans="1:4">
      <c r="A2117" s="1"/>
      <c r="D2117" s="1"/>
    </row>
    <row r="2118" spans="1:4">
      <c r="A2118" s="1"/>
      <c r="D2118" s="1"/>
    </row>
    <row r="2119" spans="1:4">
      <c r="A2119" s="1"/>
      <c r="D2119" s="1"/>
    </row>
    <row r="2120" spans="1:4">
      <c r="A2120" s="1"/>
      <c r="D2120" s="1"/>
    </row>
    <row r="2121" spans="1:4">
      <c r="A2121" s="1"/>
      <c r="D2121" s="1"/>
    </row>
    <row r="2122" spans="1:4">
      <c r="A2122" s="1"/>
      <c r="D2122" s="1"/>
    </row>
    <row r="2123" spans="1:4">
      <c r="A2123" s="1"/>
      <c r="D2123" s="1"/>
    </row>
    <row r="2124" spans="1:4">
      <c r="A2124" s="1"/>
      <c r="D2124" s="1"/>
    </row>
    <row r="2125" spans="1:4">
      <c r="A2125" s="1"/>
      <c r="D2125" s="1"/>
    </row>
    <row r="2126" spans="1:4">
      <c r="A2126" s="1"/>
      <c r="D2126" s="1"/>
    </row>
    <row r="2127" spans="1:4">
      <c r="A2127" s="1"/>
      <c r="D2127" s="1"/>
    </row>
    <row r="2128" spans="1:4">
      <c r="A2128" s="1"/>
      <c r="D2128" s="1"/>
    </row>
    <row r="2129" spans="1:4">
      <c r="A2129" s="1"/>
      <c r="D2129" s="1"/>
    </row>
    <row r="2130" spans="1:4">
      <c r="A2130" s="1"/>
      <c r="D2130" s="1"/>
    </row>
    <row r="2131" spans="1:4">
      <c r="A2131" s="1"/>
      <c r="D2131" s="1"/>
    </row>
    <row r="2132" spans="1:4">
      <c r="A2132" s="1"/>
      <c r="D2132" s="1"/>
    </row>
    <row r="2133" spans="1:4">
      <c r="A2133" s="1"/>
      <c r="D2133" s="1"/>
    </row>
    <row r="2134" spans="1:4">
      <c r="A2134" s="1"/>
      <c r="D2134" s="1"/>
    </row>
    <row r="2135" spans="1:4">
      <c r="A2135" s="1"/>
      <c r="D2135" s="1"/>
    </row>
    <row r="2136" spans="1:4">
      <c r="A2136" s="1"/>
      <c r="D2136" s="1"/>
    </row>
    <row r="2137" spans="1:4">
      <c r="A2137" s="1"/>
      <c r="D2137" s="1"/>
    </row>
    <row r="2138" spans="1:4">
      <c r="A2138" s="1"/>
      <c r="D2138" s="1"/>
    </row>
    <row r="2139" spans="1:4">
      <c r="A2139" s="1"/>
      <c r="D2139" s="1"/>
    </row>
    <row r="2140" spans="1:4">
      <c r="A2140" s="1"/>
      <c r="D2140" s="1"/>
    </row>
    <row r="2141" spans="1:4">
      <c r="A2141" s="1"/>
      <c r="D2141" s="1"/>
    </row>
    <row r="2142" spans="1:4">
      <c r="A2142" s="1"/>
      <c r="D2142" s="1"/>
    </row>
    <row r="2143" spans="1:4">
      <c r="A2143" s="1"/>
      <c r="D2143" s="1"/>
    </row>
    <row r="2144" spans="1:4">
      <c r="A2144" s="1"/>
      <c r="D2144" s="1"/>
    </row>
    <row r="2145" spans="1:4">
      <c r="A2145" s="1"/>
      <c r="D2145" s="1"/>
    </row>
    <row r="2146" spans="1:4">
      <c r="A2146" s="1"/>
      <c r="D2146" s="1"/>
    </row>
    <row r="2147" spans="1:4">
      <c r="A2147" s="1"/>
      <c r="D2147" s="1"/>
    </row>
    <row r="2148" spans="1:4">
      <c r="A2148" s="1"/>
      <c r="D2148" s="1"/>
    </row>
    <row r="2149" spans="1:4">
      <c r="A2149" s="1"/>
      <c r="D2149" s="1"/>
    </row>
    <row r="2150" spans="1:4">
      <c r="A2150" s="1"/>
      <c r="D2150" s="1"/>
    </row>
    <row r="2151" spans="1:4">
      <c r="A2151" s="1"/>
      <c r="D2151" s="1"/>
    </row>
    <row r="2152" spans="1:4">
      <c r="A2152" s="1"/>
      <c r="D2152" s="1"/>
    </row>
    <row r="2153" spans="1:4">
      <c r="A2153" s="1"/>
      <c r="D2153" s="1"/>
    </row>
    <row r="2154" spans="1:4">
      <c r="A2154" s="1"/>
      <c r="D2154" s="1"/>
    </row>
    <row r="2155" spans="1:4">
      <c r="A2155" s="1"/>
      <c r="D2155" s="1"/>
    </row>
    <row r="2156" spans="1:4">
      <c r="A2156" s="1"/>
      <c r="D2156" s="1"/>
    </row>
    <row r="2157" spans="1:4">
      <c r="A2157" s="1"/>
      <c r="D2157" s="1"/>
    </row>
    <row r="2158" spans="1:4">
      <c r="A2158" s="1"/>
      <c r="D2158" s="1"/>
    </row>
    <row r="2159" spans="1:4">
      <c r="A2159" s="1"/>
      <c r="D2159" s="1"/>
    </row>
    <row r="2160" spans="1:4">
      <c r="A2160" s="1"/>
      <c r="D2160" s="1"/>
    </row>
    <row r="2161" spans="1:4">
      <c r="A2161" s="1"/>
      <c r="D2161" s="1"/>
    </row>
    <row r="2162" spans="1:4">
      <c r="A2162" s="1"/>
      <c r="D2162" s="1"/>
    </row>
    <row r="2163" spans="1:4">
      <c r="A2163" s="1"/>
      <c r="D2163" s="1"/>
    </row>
    <row r="2164" spans="1:4">
      <c r="A2164" s="1"/>
      <c r="D2164" s="1"/>
    </row>
    <row r="2165" spans="1:4">
      <c r="A2165" s="1"/>
      <c r="D2165" s="1"/>
    </row>
    <row r="2166" spans="1:4">
      <c r="A2166" s="1"/>
      <c r="D2166" s="1"/>
    </row>
    <row r="2167" spans="1:4">
      <c r="A2167" s="1"/>
      <c r="D2167" s="1"/>
    </row>
    <row r="2168" spans="1:4">
      <c r="A2168" s="1"/>
      <c r="D2168" s="1"/>
    </row>
    <row r="2169" spans="1:4">
      <c r="A2169" s="1"/>
      <c r="D2169" s="1"/>
    </row>
    <row r="2170" spans="1:4">
      <c r="A2170" s="1"/>
      <c r="D2170" s="1"/>
    </row>
    <row r="2171" spans="1:4">
      <c r="A2171" s="1"/>
      <c r="D2171" s="1"/>
    </row>
    <row r="2172" spans="1:4">
      <c r="A2172" s="1"/>
      <c r="D2172" s="1"/>
    </row>
    <row r="2173" spans="1:4">
      <c r="A2173" s="1"/>
      <c r="D2173" s="1"/>
    </row>
    <row r="2174" spans="1:4">
      <c r="A2174" s="1"/>
      <c r="D2174" s="1"/>
    </row>
    <row r="2175" spans="1:4">
      <c r="A2175" s="1"/>
      <c r="D2175" s="1"/>
    </row>
    <row r="2176" spans="1:4">
      <c r="A2176" s="1"/>
      <c r="D2176" s="1"/>
    </row>
    <row r="2177" spans="1:4">
      <c r="A2177" s="1"/>
      <c r="D2177" s="1"/>
    </row>
    <row r="2178" spans="1:4">
      <c r="A2178" s="1"/>
      <c r="D2178" s="1"/>
    </row>
    <row r="2179" spans="1:4">
      <c r="A2179" s="1"/>
      <c r="D2179" s="1"/>
    </row>
    <row r="2180" spans="1:4">
      <c r="A2180" s="1"/>
      <c r="D2180" s="1"/>
    </row>
    <row r="2181" spans="1:4">
      <c r="A2181" s="1"/>
      <c r="D2181" s="1"/>
    </row>
    <row r="2182" spans="1:4">
      <c r="A2182" s="1"/>
      <c r="D2182" s="1"/>
    </row>
    <row r="2183" spans="1:4">
      <c r="A2183" s="1"/>
      <c r="D2183" s="1"/>
    </row>
    <row r="2184" spans="1:4">
      <c r="A2184" s="1"/>
      <c r="D2184" s="1"/>
    </row>
    <row r="2185" spans="1:4">
      <c r="A2185" s="1"/>
      <c r="D2185" s="1"/>
    </row>
    <row r="2186" spans="1:4">
      <c r="A2186" s="1"/>
      <c r="D2186" s="1"/>
    </row>
    <row r="2187" spans="1:4">
      <c r="A2187" s="1"/>
      <c r="D2187" s="1"/>
    </row>
    <row r="2188" spans="1:4">
      <c r="A2188" s="1"/>
      <c r="D2188" s="1"/>
    </row>
    <row r="2189" spans="1:4">
      <c r="A2189" s="1"/>
      <c r="D2189" s="1"/>
    </row>
    <row r="2190" spans="1:4">
      <c r="A2190" s="1"/>
      <c r="D2190" s="1"/>
    </row>
    <row r="2191" spans="1:4">
      <c r="A2191" s="1"/>
      <c r="D2191" s="1"/>
    </row>
    <row r="2192" spans="1:4">
      <c r="A2192" s="1"/>
      <c r="D2192" s="1"/>
    </row>
    <row r="2193" spans="1:4">
      <c r="A2193" s="1"/>
      <c r="D2193" s="1"/>
    </row>
    <row r="2194" spans="1:4">
      <c r="A2194" s="1"/>
      <c r="D2194" s="1"/>
    </row>
    <row r="2195" spans="1:4">
      <c r="A2195" s="1"/>
      <c r="D2195" s="1"/>
    </row>
    <row r="2196" spans="1:4">
      <c r="A2196" s="1"/>
      <c r="D2196" s="1"/>
    </row>
    <row r="2197" spans="1:4">
      <c r="A2197" s="1"/>
      <c r="D2197" s="1"/>
    </row>
    <row r="2198" spans="1:4">
      <c r="A2198" s="1"/>
      <c r="D2198" s="1"/>
    </row>
    <row r="2199" spans="1:4">
      <c r="A2199" s="1"/>
      <c r="D2199" s="1"/>
    </row>
    <row r="2200" spans="1:4">
      <c r="A2200" s="1"/>
      <c r="D2200" s="1"/>
    </row>
    <row r="2201" spans="1:4">
      <c r="A2201" s="1"/>
      <c r="D2201" s="1"/>
    </row>
    <row r="2202" spans="1:4">
      <c r="A2202" s="1"/>
      <c r="D2202" s="1"/>
    </row>
    <row r="2203" spans="1:4">
      <c r="A2203" s="1"/>
      <c r="D2203" s="1"/>
    </row>
    <row r="2204" spans="1:4">
      <c r="A2204" s="1"/>
      <c r="D2204" s="1"/>
    </row>
    <row r="2205" spans="1:4">
      <c r="A2205" s="1"/>
      <c r="D2205" s="1"/>
    </row>
    <row r="2206" spans="1:4">
      <c r="A2206" s="1"/>
      <c r="D2206" s="1"/>
    </row>
    <row r="2207" spans="1:4">
      <c r="A2207" s="1"/>
      <c r="D2207" s="1"/>
    </row>
    <row r="2208" spans="1:4">
      <c r="A2208" s="1"/>
      <c r="D2208" s="1"/>
    </row>
    <row r="2209" spans="1:4">
      <c r="A2209" s="1"/>
      <c r="D2209" s="1"/>
    </row>
    <row r="2210" spans="1:4">
      <c r="A2210" s="1"/>
      <c r="D2210" s="1"/>
    </row>
    <row r="2211" spans="1:4">
      <c r="A2211" s="1"/>
      <c r="D2211" s="1"/>
    </row>
    <row r="2212" spans="1:4">
      <c r="A2212" s="1"/>
      <c r="D2212" s="1"/>
    </row>
    <row r="2213" spans="1:4">
      <c r="A2213" s="1"/>
      <c r="D2213" s="1"/>
    </row>
    <row r="2214" spans="1:4">
      <c r="A2214" s="1"/>
      <c r="D2214" s="1"/>
    </row>
    <row r="2215" spans="1:4">
      <c r="A2215" s="1"/>
      <c r="D2215" s="1"/>
    </row>
    <row r="2216" spans="1:4">
      <c r="A2216" s="1"/>
      <c r="D2216" s="1"/>
    </row>
    <row r="2217" spans="1:4">
      <c r="A2217" s="1"/>
      <c r="D2217" s="1"/>
    </row>
    <row r="2218" spans="1:4">
      <c r="A2218" s="1"/>
      <c r="D2218" s="1"/>
    </row>
    <row r="2219" spans="1:4">
      <c r="A2219" s="1"/>
      <c r="D2219" s="1"/>
    </row>
    <row r="2220" spans="1:4">
      <c r="A2220" s="1"/>
      <c r="D2220" s="1"/>
    </row>
    <row r="2221" spans="1:4">
      <c r="A2221" s="1"/>
      <c r="D2221" s="1"/>
    </row>
    <row r="2222" spans="1:4">
      <c r="A2222" s="1"/>
      <c r="D2222" s="1"/>
    </row>
    <row r="2223" spans="1:4">
      <c r="A2223" s="1"/>
      <c r="D2223" s="1"/>
    </row>
    <row r="2224" spans="1:4">
      <c r="A2224" s="1"/>
      <c r="D2224" s="1"/>
    </row>
    <row r="2225" spans="1:4">
      <c r="A2225" s="1"/>
      <c r="D2225" s="1"/>
    </row>
    <row r="2226" spans="1:4">
      <c r="A2226" s="1"/>
      <c r="D2226" s="1"/>
    </row>
    <row r="2227" spans="1:4">
      <c r="A2227" s="1"/>
      <c r="D2227" s="1"/>
    </row>
    <row r="2228" spans="1:4">
      <c r="A2228" s="1"/>
      <c r="D2228" s="1"/>
    </row>
    <row r="2229" spans="1:4">
      <c r="A2229" s="1"/>
      <c r="D2229" s="1"/>
    </row>
    <row r="2230" spans="1:4">
      <c r="A2230" s="1"/>
      <c r="D2230" s="1"/>
    </row>
    <row r="2231" spans="1:4">
      <c r="A2231" s="1"/>
      <c r="D2231" s="1"/>
    </row>
    <row r="2232" spans="1:4">
      <c r="A2232" s="1"/>
      <c r="D2232" s="1"/>
    </row>
    <row r="2233" spans="1:4">
      <c r="A2233" s="1"/>
      <c r="D2233" s="1"/>
    </row>
    <row r="2234" spans="1:4">
      <c r="A2234" s="1"/>
      <c r="D2234" s="1"/>
    </row>
    <row r="2235" spans="1:4">
      <c r="A2235" s="1"/>
      <c r="D2235" s="1"/>
    </row>
    <row r="2236" spans="1:4">
      <c r="A2236" s="1"/>
      <c r="D2236" s="1"/>
    </row>
    <row r="2237" spans="1:4">
      <c r="A2237" s="1"/>
      <c r="D2237" s="1"/>
    </row>
    <row r="2238" spans="1:4">
      <c r="A2238" s="1"/>
      <c r="D2238" s="1"/>
    </row>
    <row r="2239" spans="1:4">
      <c r="A2239" s="1"/>
      <c r="D2239" s="1"/>
    </row>
    <row r="2240" spans="1:4">
      <c r="A2240" s="1"/>
      <c r="D2240" s="1"/>
    </row>
    <row r="2241" spans="1:4">
      <c r="A2241" s="1"/>
      <c r="D2241" s="1"/>
    </row>
    <row r="2242" spans="1:4">
      <c r="A2242" s="1"/>
      <c r="D2242" s="1"/>
    </row>
    <row r="2243" spans="1:4">
      <c r="A2243" s="1"/>
      <c r="D2243" s="1"/>
    </row>
    <row r="2244" spans="1:4">
      <c r="A2244" s="1"/>
      <c r="D2244" s="1"/>
    </row>
    <row r="2245" spans="1:4">
      <c r="A2245" s="1"/>
      <c r="D2245" s="1"/>
    </row>
    <row r="2246" spans="1:4">
      <c r="A2246" s="1"/>
      <c r="D2246" s="1"/>
    </row>
    <row r="2247" spans="1:4">
      <c r="A2247" s="1"/>
      <c r="D2247" s="1"/>
    </row>
    <row r="2248" spans="1:4">
      <c r="A2248" s="1"/>
      <c r="D2248" s="1"/>
    </row>
    <row r="2249" spans="1:4">
      <c r="A2249" s="1"/>
      <c r="D2249" s="1"/>
    </row>
    <row r="2250" spans="1:4">
      <c r="A2250" s="1"/>
      <c r="D2250" s="1"/>
    </row>
    <row r="2251" spans="1:4">
      <c r="A2251" s="1"/>
      <c r="D2251" s="1"/>
    </row>
    <row r="2252" spans="1:4">
      <c r="A2252" s="1"/>
      <c r="D2252" s="1"/>
    </row>
    <row r="2253" spans="1:4">
      <c r="A2253" s="1"/>
      <c r="D2253" s="1"/>
    </row>
    <row r="2254" spans="1:4">
      <c r="A2254" s="1"/>
      <c r="D2254" s="1"/>
    </row>
    <row r="2255" spans="1:4">
      <c r="A2255" s="1"/>
      <c r="D2255" s="1"/>
    </row>
    <row r="2256" spans="1:4">
      <c r="A2256" s="1"/>
      <c r="D2256" s="1"/>
    </row>
    <row r="2257" spans="1:4">
      <c r="A2257" s="1"/>
      <c r="D2257" s="1"/>
    </row>
    <row r="2258" spans="1:4">
      <c r="A2258" s="1"/>
      <c r="D2258" s="1"/>
    </row>
    <row r="2259" spans="1:4">
      <c r="A2259" s="1"/>
      <c r="D2259" s="1"/>
    </row>
    <row r="2260" spans="1:4">
      <c r="A2260" s="1"/>
      <c r="D2260" s="1"/>
    </row>
    <row r="2261" spans="1:4">
      <c r="A2261" s="1"/>
      <c r="D2261" s="1"/>
    </row>
    <row r="2262" spans="1:4">
      <c r="A2262" s="1"/>
      <c r="D2262" s="1"/>
    </row>
    <row r="2263" spans="1:4">
      <c r="A2263" s="1"/>
      <c r="D2263" s="1"/>
    </row>
    <row r="2264" spans="1:4">
      <c r="A2264" s="1"/>
      <c r="D2264" s="1"/>
    </row>
    <row r="2265" spans="1:4">
      <c r="A2265" s="1"/>
      <c r="D2265" s="1"/>
    </row>
    <row r="2266" spans="1:4">
      <c r="A2266" s="1"/>
      <c r="D2266" s="1"/>
    </row>
    <row r="2267" spans="1:4">
      <c r="A2267" s="1"/>
      <c r="D2267" s="1"/>
    </row>
    <row r="2268" spans="1:4">
      <c r="A2268" s="1"/>
      <c r="D2268" s="1"/>
    </row>
    <row r="2269" spans="1:4">
      <c r="A2269" s="1"/>
      <c r="D2269" s="1"/>
    </row>
    <row r="2270" spans="1:4">
      <c r="A2270" s="1"/>
      <c r="D2270" s="1"/>
    </row>
    <row r="2271" spans="1:4">
      <c r="A2271" s="1"/>
      <c r="D2271" s="1"/>
    </row>
    <row r="2272" spans="1:4">
      <c r="A2272" s="1"/>
      <c r="D2272" s="1"/>
    </row>
    <row r="2273" spans="1:4">
      <c r="A2273" s="1"/>
      <c r="D2273" s="1"/>
    </row>
    <row r="2274" spans="1:4">
      <c r="A2274" s="1"/>
      <c r="D2274" s="1"/>
    </row>
    <row r="2275" spans="1:4">
      <c r="A2275" s="1"/>
      <c r="D2275" s="1"/>
    </row>
    <row r="2276" spans="1:4">
      <c r="A2276" s="1"/>
      <c r="D2276" s="1"/>
    </row>
    <row r="2277" spans="1:4">
      <c r="A2277" s="1"/>
      <c r="D2277" s="1"/>
    </row>
    <row r="2278" spans="1:4">
      <c r="A2278" s="1"/>
      <c r="D2278" s="1"/>
    </row>
    <row r="2279" spans="1:4">
      <c r="A2279" s="1"/>
      <c r="D2279" s="1"/>
    </row>
    <row r="2280" spans="1:4">
      <c r="A2280" s="1"/>
      <c r="D2280" s="1"/>
    </row>
    <row r="2281" spans="1:4">
      <c r="A2281" s="1"/>
      <c r="D2281" s="1"/>
    </row>
    <row r="2282" spans="1:4">
      <c r="A2282" s="1"/>
      <c r="D2282" s="1"/>
    </row>
    <row r="2283" spans="1:4">
      <c r="A2283" s="1"/>
      <c r="D2283" s="1"/>
    </row>
    <row r="2284" spans="1:4">
      <c r="A2284" s="1"/>
      <c r="D2284" s="1"/>
    </row>
    <row r="2285" spans="1:4">
      <c r="A2285" s="1"/>
      <c r="D2285" s="1"/>
    </row>
    <row r="2286" spans="1:4">
      <c r="A2286" s="1"/>
      <c r="D2286" s="1"/>
    </row>
    <row r="2287" spans="1:4">
      <c r="A2287" s="1"/>
      <c r="D2287" s="1"/>
    </row>
    <row r="2288" spans="1:4">
      <c r="A2288" s="1"/>
      <c r="D2288" s="1"/>
    </row>
    <row r="2289" spans="1:4">
      <c r="A2289" s="1"/>
      <c r="D2289" s="1"/>
    </row>
    <row r="2290" spans="1:4">
      <c r="A2290" s="1"/>
      <c r="D2290" s="1"/>
    </row>
    <row r="2291" spans="1:4">
      <c r="A2291" s="1"/>
      <c r="D2291" s="1"/>
    </row>
    <row r="2292" spans="1:4">
      <c r="A2292" s="1"/>
      <c r="D2292" s="1"/>
    </row>
    <row r="2293" spans="1:4">
      <c r="A2293" s="1"/>
      <c r="D2293" s="1"/>
    </row>
    <row r="2294" spans="1:4">
      <c r="A2294" s="1"/>
      <c r="D2294" s="1"/>
    </row>
    <row r="2295" spans="1:4">
      <c r="A2295" s="1"/>
      <c r="D2295" s="1"/>
    </row>
    <row r="2296" spans="1:4">
      <c r="A2296" s="1"/>
      <c r="D2296" s="1"/>
    </row>
    <row r="2297" spans="1:4">
      <c r="A2297" s="1"/>
      <c r="D2297" s="1"/>
    </row>
    <row r="2298" spans="1:4">
      <c r="A2298" s="1"/>
      <c r="D2298" s="1"/>
    </row>
    <row r="2299" spans="1:4">
      <c r="A2299" s="1"/>
      <c r="D2299" s="1"/>
    </row>
    <row r="2300" spans="1:4">
      <c r="A2300" s="1"/>
      <c r="D2300" s="1"/>
    </row>
    <row r="2301" spans="1:4">
      <c r="A2301" s="1"/>
      <c r="D2301" s="1"/>
    </row>
    <row r="2302" spans="1:4">
      <c r="A2302" s="1"/>
      <c r="D2302" s="1"/>
    </row>
    <row r="2303" spans="1:4">
      <c r="A2303" s="1"/>
      <c r="D2303" s="1"/>
    </row>
    <row r="2304" spans="1:4">
      <c r="A2304" s="1"/>
      <c r="D2304" s="1"/>
    </row>
    <row r="2305" spans="1:4">
      <c r="A2305" s="1"/>
      <c r="D2305" s="1"/>
    </row>
    <row r="2306" spans="1:4">
      <c r="A2306" s="1"/>
      <c r="D2306" s="1"/>
    </row>
    <row r="2307" spans="1:4">
      <c r="A2307" s="1"/>
      <c r="D2307" s="1"/>
    </row>
    <row r="2308" spans="1:4">
      <c r="A2308" s="1"/>
      <c r="D2308" s="1"/>
    </row>
    <row r="2309" spans="1:4">
      <c r="A2309" s="1"/>
      <c r="D2309" s="1"/>
    </row>
    <row r="2310" spans="1:4">
      <c r="A2310" s="1"/>
      <c r="D2310" s="1"/>
    </row>
    <row r="2311" spans="1:4">
      <c r="A2311" s="1"/>
      <c r="D2311" s="1"/>
    </row>
    <row r="2312" spans="1:4">
      <c r="A2312" s="1"/>
      <c r="D2312" s="1"/>
    </row>
    <row r="2313" spans="1:4">
      <c r="A2313" s="1"/>
      <c r="D2313" s="1"/>
    </row>
    <row r="2314" spans="1:4">
      <c r="A2314" s="1"/>
      <c r="D2314" s="1"/>
    </row>
    <row r="2315" spans="1:4">
      <c r="A2315" s="1"/>
      <c r="D2315" s="1"/>
    </row>
    <row r="2316" spans="1:4">
      <c r="A2316" s="1"/>
      <c r="D2316" s="1"/>
    </row>
    <row r="2317" spans="1:4">
      <c r="A2317" s="1"/>
      <c r="D2317" s="1"/>
    </row>
    <row r="2318" spans="1:4">
      <c r="A2318" s="1"/>
      <c r="D2318" s="1"/>
    </row>
    <row r="2319" spans="1:4">
      <c r="A2319" s="1"/>
      <c r="D2319" s="1"/>
    </row>
    <row r="2320" spans="1:4">
      <c r="A2320" s="1"/>
      <c r="D2320" s="1"/>
    </row>
    <row r="2321" spans="1:4">
      <c r="A2321" s="1"/>
      <c r="D2321" s="1"/>
    </row>
    <row r="2322" spans="1:4">
      <c r="A2322" s="1"/>
      <c r="D2322" s="1"/>
    </row>
    <row r="2323" spans="1:4">
      <c r="A2323" s="1"/>
      <c r="D2323" s="1"/>
    </row>
    <row r="2324" spans="1:4">
      <c r="A2324" s="1"/>
      <c r="D2324" s="1"/>
    </row>
    <row r="2325" spans="1:4">
      <c r="A2325" s="1"/>
      <c r="D2325" s="1"/>
    </row>
    <row r="2326" spans="1:4">
      <c r="A2326" s="1"/>
      <c r="D2326" s="1"/>
    </row>
    <row r="2327" spans="1:4">
      <c r="A2327" s="1"/>
      <c r="D2327" s="1"/>
    </row>
    <row r="2328" spans="1:4">
      <c r="A2328" s="1"/>
      <c r="D2328" s="1"/>
    </row>
    <row r="2329" spans="1:4">
      <c r="A2329" s="1"/>
      <c r="D2329" s="1"/>
    </row>
    <row r="2330" spans="1:4">
      <c r="A2330" s="1"/>
      <c r="D2330" s="1"/>
    </row>
    <row r="2331" spans="1:4">
      <c r="A2331" s="1"/>
      <c r="D2331" s="1"/>
    </row>
    <row r="2332" spans="1:4">
      <c r="A2332" s="1"/>
      <c r="D2332" s="1"/>
    </row>
    <row r="2333" spans="1:4">
      <c r="A2333" s="1"/>
      <c r="D2333" s="1"/>
    </row>
    <row r="2334" spans="1:4">
      <c r="A2334" s="1"/>
      <c r="D2334" s="1"/>
    </row>
    <row r="2335" spans="1:4">
      <c r="A2335" s="1"/>
      <c r="D2335" s="1"/>
    </row>
    <row r="2336" spans="1:4">
      <c r="A2336" s="1"/>
      <c r="D2336" s="1"/>
    </row>
    <row r="2337" spans="1:4">
      <c r="A2337" s="1"/>
      <c r="D2337" s="1"/>
    </row>
    <row r="2338" spans="1:4">
      <c r="A2338" s="1"/>
      <c r="D2338" s="1"/>
    </row>
    <row r="2339" spans="1:4">
      <c r="A2339" s="1"/>
      <c r="D2339" s="1"/>
    </row>
    <row r="2340" spans="1:4">
      <c r="A2340" s="1"/>
      <c r="D2340" s="1"/>
    </row>
    <row r="2341" spans="1:4">
      <c r="A2341" s="1"/>
      <c r="D2341" s="1"/>
    </row>
    <row r="2342" spans="1:4">
      <c r="A2342" s="1"/>
      <c r="D2342" s="1"/>
    </row>
    <row r="2343" spans="1:4">
      <c r="A2343" s="1"/>
      <c r="D2343" s="1"/>
    </row>
    <row r="2344" spans="1:4">
      <c r="A2344" s="1"/>
      <c r="D2344" s="1"/>
    </row>
    <row r="2345" spans="1:4">
      <c r="A2345" s="1"/>
      <c r="D2345" s="1"/>
    </row>
    <row r="2346" spans="1:4">
      <c r="A2346" s="1"/>
      <c r="D2346" s="1"/>
    </row>
    <row r="2347" spans="1:4">
      <c r="A2347" s="1"/>
      <c r="D2347" s="1"/>
    </row>
    <row r="2348" spans="1:4">
      <c r="A2348" s="1"/>
      <c r="D2348" s="1"/>
    </row>
    <row r="2349" spans="1:4">
      <c r="A2349" s="1"/>
      <c r="D2349" s="1"/>
    </row>
    <row r="2350" spans="1:4">
      <c r="A2350" s="1"/>
      <c r="D2350" s="1"/>
    </row>
    <row r="2351" spans="1:4">
      <c r="A2351" s="1"/>
      <c r="D2351" s="1"/>
    </row>
    <row r="2352" spans="1:4">
      <c r="A2352" s="1"/>
      <c r="D2352" s="1"/>
    </row>
    <row r="2353" spans="1:4">
      <c r="A2353" s="1"/>
      <c r="D2353" s="1"/>
    </row>
    <row r="2354" spans="1:4">
      <c r="A2354" s="1"/>
      <c r="D2354" s="1"/>
    </row>
    <row r="2355" spans="1:4">
      <c r="A2355" s="1"/>
      <c r="D2355" s="1"/>
    </row>
    <row r="2356" spans="1:4">
      <c r="A2356" s="1"/>
      <c r="D2356" s="1"/>
    </row>
    <row r="2357" spans="1:4">
      <c r="A2357" s="1"/>
      <c r="D2357" s="1"/>
    </row>
    <row r="2358" spans="1:4">
      <c r="A2358" s="1"/>
      <c r="D2358" s="1"/>
    </row>
    <row r="2359" spans="1:4">
      <c r="A2359" s="1"/>
      <c r="D2359" s="1"/>
    </row>
    <row r="2360" spans="1:4">
      <c r="A2360" s="1"/>
      <c r="D2360" s="1"/>
    </row>
    <row r="2361" spans="1:4">
      <c r="A2361" s="1"/>
      <c r="D2361" s="1"/>
    </row>
    <row r="2362" spans="1:4">
      <c r="A2362" s="1"/>
      <c r="D2362" s="1"/>
    </row>
    <row r="2363" spans="1:4">
      <c r="A2363" s="1"/>
      <c r="D2363" s="1"/>
    </row>
    <row r="2364" spans="1:4">
      <c r="A2364" s="1"/>
      <c r="D2364" s="1"/>
    </row>
    <row r="2365" spans="1:4">
      <c r="A2365" s="1"/>
      <c r="D2365" s="1"/>
    </row>
    <row r="2366" spans="1:4">
      <c r="A2366" s="1"/>
      <c r="D2366" s="1"/>
    </row>
    <row r="2367" spans="1:4">
      <c r="A2367" s="1"/>
      <c r="D2367" s="1"/>
    </row>
    <row r="2368" spans="1:4">
      <c r="A2368" s="1"/>
      <c r="D2368" s="1"/>
    </row>
    <row r="2369" spans="1:4">
      <c r="A2369" s="1"/>
      <c r="D2369" s="1"/>
    </row>
    <row r="2370" spans="1:4">
      <c r="A2370" s="1"/>
      <c r="D2370" s="1"/>
    </row>
    <row r="2371" spans="1:4">
      <c r="A2371" s="1"/>
      <c r="D2371" s="1"/>
    </row>
    <row r="2372" spans="1:4">
      <c r="A2372" s="1"/>
      <c r="D2372" s="1"/>
    </row>
    <row r="2373" spans="1:4">
      <c r="A2373" s="1"/>
      <c r="D2373" s="1"/>
    </row>
    <row r="2374" spans="1:4">
      <c r="A2374" s="1"/>
      <c r="D2374" s="1"/>
    </row>
    <row r="2375" spans="1:4">
      <c r="A2375" s="1"/>
      <c r="D2375" s="1"/>
    </row>
    <row r="2376" spans="1:4">
      <c r="A2376" s="1"/>
      <c r="D2376" s="1"/>
    </row>
    <row r="2377" spans="1:4">
      <c r="A2377" s="1"/>
      <c r="D2377" s="1"/>
    </row>
    <row r="2378" spans="1:4">
      <c r="A2378" s="1"/>
      <c r="D2378" s="1"/>
    </row>
    <row r="2379" spans="1:4">
      <c r="A2379" s="1"/>
      <c r="D2379" s="1"/>
    </row>
    <row r="2380" spans="1:4">
      <c r="A2380" s="1"/>
      <c r="D2380" s="1"/>
    </row>
    <row r="2381" spans="1:4">
      <c r="A2381" s="1"/>
      <c r="D2381" s="1"/>
    </row>
    <row r="2382" spans="1:4">
      <c r="A2382" s="1"/>
      <c r="D2382" s="1"/>
    </row>
    <row r="2383" spans="1:4">
      <c r="A2383" s="1"/>
      <c r="D2383" s="1"/>
    </row>
    <row r="2384" spans="1:4">
      <c r="A2384" s="1"/>
      <c r="D2384" s="1"/>
    </row>
    <row r="2385" spans="1:4">
      <c r="A2385" s="1"/>
      <c r="D2385" s="1"/>
    </row>
    <row r="2386" spans="1:4">
      <c r="A2386" s="1"/>
      <c r="D2386" s="1"/>
    </row>
    <row r="2387" spans="1:4">
      <c r="A2387" s="1"/>
      <c r="D2387" s="1"/>
    </row>
    <row r="2388" spans="1:4">
      <c r="A2388" s="1"/>
      <c r="D2388" s="1"/>
    </row>
    <row r="2389" spans="1:4">
      <c r="A2389" s="1"/>
      <c r="D2389" s="1"/>
    </row>
    <row r="2390" spans="1:4">
      <c r="A2390" s="1"/>
      <c r="D2390" s="1"/>
    </row>
    <row r="2391" spans="1:4">
      <c r="A2391" s="1"/>
      <c r="D2391" s="1"/>
    </row>
    <row r="2392" spans="1:4">
      <c r="A2392" s="1"/>
      <c r="D2392" s="1"/>
    </row>
    <row r="2393" spans="1:4">
      <c r="A2393" s="1"/>
      <c r="D2393" s="1"/>
    </row>
    <row r="2394" spans="1:4">
      <c r="A2394" s="1"/>
      <c r="D2394" s="1"/>
    </row>
    <row r="2395" spans="1:4">
      <c r="A2395" s="1"/>
      <c r="D2395" s="1"/>
    </row>
    <row r="2396" spans="1:4">
      <c r="A2396" s="1"/>
      <c r="D2396" s="1"/>
    </row>
    <row r="2397" spans="1:4">
      <c r="A2397" s="1"/>
      <c r="D2397" s="1"/>
    </row>
    <row r="2398" spans="1:4">
      <c r="A2398" s="1"/>
      <c r="D2398" s="1"/>
    </row>
    <row r="2399" spans="1:4">
      <c r="A2399" s="1"/>
      <c r="D2399" s="1"/>
    </row>
    <row r="2400" spans="1:4">
      <c r="A2400" s="1"/>
      <c r="D2400" s="1"/>
    </row>
    <row r="2401" spans="1:4">
      <c r="A2401" s="1"/>
      <c r="D2401" s="1"/>
    </row>
    <row r="2402" spans="1:4">
      <c r="A2402" s="1"/>
      <c r="D2402" s="1"/>
    </row>
    <row r="2403" spans="1:4">
      <c r="A2403" s="1"/>
      <c r="D2403" s="1"/>
    </row>
    <row r="2404" spans="1:4">
      <c r="A2404" s="1"/>
      <c r="D2404" s="1"/>
    </row>
    <row r="2405" spans="1:4">
      <c r="A2405" s="1"/>
      <c r="D2405" s="1"/>
    </row>
    <row r="2406" spans="1:4">
      <c r="A2406" s="1"/>
      <c r="D2406" s="1"/>
    </row>
    <row r="2407" spans="1:4">
      <c r="A2407" s="1"/>
      <c r="D2407" s="1"/>
    </row>
    <row r="2408" spans="1:4">
      <c r="A2408" s="1"/>
      <c r="D2408" s="1"/>
    </row>
    <row r="2409" spans="1:4">
      <c r="A2409" s="1"/>
      <c r="D2409" s="1"/>
    </row>
    <row r="2410" spans="1:4">
      <c r="A2410" s="1"/>
      <c r="D2410" s="1"/>
    </row>
    <row r="2411" spans="1:4">
      <c r="A2411" s="1"/>
      <c r="D2411" s="1"/>
    </row>
    <row r="2412" spans="1:4">
      <c r="A2412" s="1"/>
      <c r="D2412" s="1"/>
    </row>
    <row r="2413" spans="1:4">
      <c r="A2413" s="1"/>
      <c r="D2413" s="1"/>
    </row>
    <row r="2414" spans="1:4">
      <c r="A2414" s="1"/>
      <c r="D2414" s="1"/>
    </row>
    <row r="2415" spans="1:4">
      <c r="A2415" s="1"/>
      <c r="D2415" s="1"/>
    </row>
    <row r="2416" spans="1:4">
      <c r="A2416" s="1"/>
      <c r="D2416" s="1"/>
    </row>
    <row r="2417" spans="1:4">
      <c r="A2417" s="1"/>
      <c r="D2417" s="1"/>
    </row>
    <row r="2418" spans="1:4">
      <c r="A2418" s="1"/>
      <c r="D2418" s="1"/>
    </row>
    <row r="2419" spans="1:4">
      <c r="A2419" s="1"/>
      <c r="D2419" s="1"/>
    </row>
    <row r="2420" spans="1:4">
      <c r="A2420" s="1"/>
      <c r="D2420" s="1"/>
    </row>
    <row r="2421" spans="1:4">
      <c r="A2421" s="1"/>
      <c r="D2421" s="1"/>
    </row>
    <row r="2422" spans="1:4">
      <c r="A2422" s="1"/>
      <c r="D2422" s="1"/>
    </row>
    <row r="2423" spans="1:4">
      <c r="A2423" s="1"/>
      <c r="D2423" s="1"/>
    </row>
    <row r="2424" spans="1:4">
      <c r="A2424" s="1"/>
      <c r="D2424" s="1"/>
    </row>
    <row r="2425" spans="1:4">
      <c r="A2425" s="1"/>
      <c r="D2425" s="1"/>
    </row>
    <row r="2426" spans="1:4">
      <c r="A2426" s="1"/>
      <c r="D2426" s="1"/>
    </row>
    <row r="2427" spans="1:4">
      <c r="A2427" s="1"/>
      <c r="D2427" s="1"/>
    </row>
    <row r="2428" spans="1:4">
      <c r="A2428" s="1"/>
      <c r="D2428" s="1"/>
    </row>
    <row r="2429" spans="1:4">
      <c r="A2429" s="1"/>
      <c r="D2429" s="1"/>
    </row>
    <row r="2430" spans="1:4">
      <c r="A2430" s="1"/>
      <c r="D2430" s="1"/>
    </row>
    <row r="2431" spans="1:4">
      <c r="A2431" s="1"/>
      <c r="D2431" s="1"/>
    </row>
    <row r="2432" spans="1:4">
      <c r="A2432" s="1"/>
      <c r="D2432" s="1"/>
    </row>
    <row r="2433" spans="1:4">
      <c r="A2433" s="1"/>
      <c r="D2433" s="1"/>
    </row>
    <row r="2434" spans="1:4">
      <c r="A2434" s="1"/>
      <c r="D2434" s="1"/>
    </row>
    <row r="2435" spans="1:4">
      <c r="A2435" s="1"/>
      <c r="D2435" s="1"/>
    </row>
    <row r="2436" spans="1:4">
      <c r="A2436" s="1"/>
      <c r="D2436" s="1"/>
    </row>
    <row r="2437" spans="1:4">
      <c r="A2437" s="1"/>
      <c r="D2437" s="1"/>
    </row>
    <row r="2438" spans="1:4">
      <c r="A2438" s="1"/>
      <c r="D2438" s="1"/>
    </row>
    <row r="2439" spans="1:4">
      <c r="A2439" s="1"/>
      <c r="D2439" s="1"/>
    </row>
    <row r="2440" spans="1:4">
      <c r="A2440" s="1"/>
      <c r="D2440" s="1"/>
    </row>
    <row r="2441" spans="1:4">
      <c r="A2441" s="1"/>
      <c r="D2441" s="1"/>
    </row>
    <row r="2442" spans="1:4">
      <c r="A2442" s="1"/>
      <c r="D2442" s="1"/>
    </row>
    <row r="2443" spans="1:4">
      <c r="A2443" s="1"/>
      <c r="D2443" s="1"/>
    </row>
    <row r="2444" spans="1:4">
      <c r="A2444" s="1"/>
      <c r="D2444" s="1"/>
    </row>
    <row r="2445" spans="1:4">
      <c r="A2445" s="1"/>
      <c r="D2445" s="1"/>
    </row>
    <row r="2446" spans="1:4">
      <c r="A2446" s="1"/>
      <c r="D2446" s="1"/>
    </row>
    <row r="2447" spans="1:4">
      <c r="A2447" s="1"/>
      <c r="D2447" s="1"/>
    </row>
    <row r="2448" spans="1:4">
      <c r="A2448" s="1"/>
      <c r="D2448" s="1"/>
    </row>
    <row r="2449" spans="1:4">
      <c r="A2449" s="1"/>
      <c r="D2449" s="1"/>
    </row>
    <row r="2450" spans="1:4">
      <c r="A2450" s="1"/>
      <c r="D2450" s="1"/>
    </row>
    <row r="2451" spans="1:4">
      <c r="A2451" s="1"/>
      <c r="D2451" s="1"/>
    </row>
    <row r="2452" spans="1:4">
      <c r="A2452" s="1"/>
      <c r="D2452" s="1"/>
    </row>
    <row r="2453" spans="1:4">
      <c r="A2453" s="1"/>
      <c r="D2453" s="1"/>
    </row>
    <row r="2454" spans="1:4">
      <c r="A2454" s="1"/>
      <c r="D2454" s="1"/>
    </row>
    <row r="2455" spans="1:4">
      <c r="A2455" s="1"/>
      <c r="D2455" s="1"/>
    </row>
    <row r="2456" spans="1:4">
      <c r="A2456" s="1"/>
      <c r="D2456" s="1"/>
    </row>
    <row r="2457" spans="1:4">
      <c r="A2457" s="1"/>
      <c r="D2457" s="1"/>
    </row>
    <row r="2458" spans="1:4">
      <c r="A2458" s="1"/>
      <c r="D2458" s="1"/>
    </row>
    <row r="2459" spans="1:4">
      <c r="A2459" s="1"/>
      <c r="D2459" s="1"/>
    </row>
    <row r="2460" spans="1:4">
      <c r="A2460" s="1"/>
      <c r="D2460" s="1"/>
    </row>
    <row r="2461" spans="1:4">
      <c r="A2461" s="1"/>
      <c r="D2461" s="1"/>
    </row>
    <row r="2462" spans="1:4">
      <c r="A2462" s="1"/>
      <c r="D2462" s="1"/>
    </row>
    <row r="2463" spans="1:4">
      <c r="A2463" s="1"/>
      <c r="D2463" s="1"/>
    </row>
    <row r="2464" spans="1:4">
      <c r="A2464" s="1"/>
      <c r="D2464" s="1"/>
    </row>
    <row r="2465" spans="1:4">
      <c r="A2465" s="1"/>
      <c r="D2465" s="1"/>
    </row>
    <row r="2466" spans="1:4">
      <c r="A2466" s="1"/>
      <c r="D2466" s="1"/>
    </row>
    <row r="2467" spans="1:4">
      <c r="A2467" s="1"/>
      <c r="D2467" s="1"/>
    </row>
    <row r="2468" spans="1:4">
      <c r="A2468" s="1"/>
      <c r="D2468" s="1"/>
    </row>
    <row r="2469" spans="1:4">
      <c r="A2469" s="1"/>
      <c r="D2469" s="1"/>
    </row>
    <row r="2470" spans="1:4">
      <c r="A2470" s="1"/>
      <c r="D2470" s="1"/>
    </row>
    <row r="2471" spans="1:4">
      <c r="A2471" s="1"/>
      <c r="D2471" s="1"/>
    </row>
    <row r="2472" spans="1:4">
      <c r="A2472" s="1"/>
      <c r="D2472" s="1"/>
    </row>
    <row r="2473" spans="1:4">
      <c r="A2473" s="1"/>
      <c r="D2473" s="1"/>
    </row>
    <row r="2474" spans="1:4">
      <c r="A2474" s="1"/>
      <c r="D2474" s="1"/>
    </row>
    <row r="2475" spans="1:4">
      <c r="A2475" s="1"/>
      <c r="D2475" s="1"/>
    </row>
    <row r="2476" spans="1:4">
      <c r="A2476" s="1"/>
      <c r="D2476" s="1"/>
    </row>
    <row r="2477" spans="1:4">
      <c r="A2477" s="1"/>
      <c r="D2477" s="1"/>
    </row>
    <row r="2478" spans="1:4">
      <c r="A2478" s="1"/>
      <c r="D2478" s="1"/>
    </row>
    <row r="2479" spans="1:4">
      <c r="A2479" s="1"/>
      <c r="D2479" s="1"/>
    </row>
    <row r="2480" spans="1:4">
      <c r="A2480" s="1"/>
      <c r="D2480" s="1"/>
    </row>
    <row r="2481" spans="1:4">
      <c r="A2481" s="1"/>
      <c r="D2481" s="1"/>
    </row>
    <row r="2482" spans="1:4">
      <c r="A2482" s="1"/>
      <c r="D2482" s="1"/>
    </row>
    <row r="2483" spans="1:4">
      <c r="A2483" s="1"/>
      <c r="D2483" s="1"/>
    </row>
    <row r="2484" spans="1:4">
      <c r="A2484" s="1"/>
      <c r="D2484" s="1"/>
    </row>
    <row r="2485" spans="1:4">
      <c r="A2485" s="1"/>
      <c r="D2485" s="1"/>
    </row>
    <row r="2486" spans="1:4">
      <c r="A2486" s="1"/>
      <c r="D2486" s="1"/>
    </row>
    <row r="2487" spans="1:4">
      <c r="A2487" s="1"/>
      <c r="D2487" s="1"/>
    </row>
    <row r="2488" spans="1:4">
      <c r="A2488" s="1"/>
      <c r="D2488" s="1"/>
    </row>
    <row r="2489" spans="1:4">
      <c r="A2489" s="1"/>
      <c r="D2489" s="1"/>
    </row>
    <row r="2490" spans="1:4">
      <c r="A2490" s="1"/>
      <c r="D2490" s="1"/>
    </row>
    <row r="2491" spans="1:4">
      <c r="A2491" s="1"/>
      <c r="D2491" s="1"/>
    </row>
    <row r="2492" spans="1:4">
      <c r="A2492" s="1"/>
      <c r="D2492" s="1"/>
    </row>
    <row r="2493" spans="1:4">
      <c r="A2493" s="1"/>
      <c r="D2493" s="1"/>
    </row>
    <row r="2494" spans="1:4">
      <c r="A2494" s="1"/>
      <c r="D2494" s="1"/>
    </row>
    <row r="2495" spans="1:4">
      <c r="A2495" s="1"/>
      <c r="D2495" s="1"/>
    </row>
    <row r="2496" spans="1:4">
      <c r="A2496" s="1"/>
      <c r="D2496" s="1"/>
    </row>
    <row r="2497" spans="1:4">
      <c r="A2497" s="1"/>
      <c r="D2497" s="1"/>
    </row>
    <row r="2498" spans="1:4">
      <c r="A2498" s="1"/>
      <c r="D2498" s="1"/>
    </row>
    <row r="2499" spans="1:4">
      <c r="A2499" s="1"/>
      <c r="D2499" s="1"/>
    </row>
    <row r="2500" spans="1:4">
      <c r="A2500" s="1"/>
      <c r="D2500" s="1"/>
    </row>
    <row r="2501" spans="1:4">
      <c r="A2501" s="1"/>
      <c r="D2501" s="1"/>
    </row>
    <row r="2502" spans="1:4">
      <c r="A2502" s="1"/>
      <c r="D2502" s="1"/>
    </row>
    <row r="2503" spans="1:4">
      <c r="A2503" s="1"/>
      <c r="D2503" s="1"/>
    </row>
    <row r="2504" spans="1:4">
      <c r="A2504" s="1"/>
      <c r="D2504" s="1"/>
    </row>
    <row r="2505" spans="1:4">
      <c r="A2505" s="1"/>
      <c r="D2505" s="1"/>
    </row>
    <row r="2506" spans="1:4">
      <c r="A2506" s="1"/>
      <c r="D2506" s="1"/>
    </row>
    <row r="2507" spans="1:4">
      <c r="A2507" s="1"/>
      <c r="D2507" s="1"/>
    </row>
    <row r="2508" spans="1:4">
      <c r="A2508" s="1"/>
      <c r="D2508" s="1"/>
    </row>
    <row r="2509" spans="1:4">
      <c r="A2509" s="1"/>
      <c r="D2509" s="1"/>
    </row>
    <row r="2510" spans="1:4">
      <c r="A2510" s="1"/>
      <c r="D2510" s="1"/>
    </row>
    <row r="2511" spans="1:4">
      <c r="A2511" s="1"/>
      <c r="D2511" s="1"/>
    </row>
    <row r="2512" spans="1:4">
      <c r="A2512" s="1"/>
      <c r="D2512" s="1"/>
    </row>
    <row r="2513" spans="1:4">
      <c r="A2513" s="1"/>
      <c r="D2513" s="1"/>
    </row>
    <row r="2514" spans="1:4">
      <c r="A2514" s="1"/>
      <c r="D2514" s="1"/>
    </row>
    <row r="2515" spans="1:4">
      <c r="A2515" s="1"/>
      <c r="D2515" s="1"/>
    </row>
    <row r="2516" spans="1:4">
      <c r="A2516" s="1"/>
      <c r="D2516" s="1"/>
    </row>
    <row r="2517" spans="1:4">
      <c r="A2517" s="1"/>
      <c r="D2517" s="1"/>
    </row>
    <row r="2518" spans="1:4">
      <c r="A2518" s="1"/>
      <c r="D2518" s="1"/>
    </row>
    <row r="2519" spans="1:4">
      <c r="A2519" s="1"/>
      <c r="D2519" s="1"/>
    </row>
    <row r="2520" spans="1:4">
      <c r="A2520" s="1"/>
      <c r="D2520" s="1"/>
    </row>
    <row r="2521" spans="1:4">
      <c r="A2521" s="1"/>
      <c r="D2521" s="1"/>
    </row>
    <row r="2522" spans="1:4">
      <c r="A2522" s="1"/>
      <c r="D2522" s="1"/>
    </row>
    <row r="2523" spans="1:4">
      <c r="A2523" s="1"/>
      <c r="D2523" s="1"/>
    </row>
    <row r="2524" spans="1:4">
      <c r="A2524" s="1"/>
      <c r="D2524" s="1"/>
    </row>
    <row r="2525" spans="1:4">
      <c r="A2525" s="1"/>
      <c r="D2525" s="1"/>
    </row>
    <row r="2526" spans="1:4">
      <c r="A2526" s="1"/>
      <c r="D2526" s="1"/>
    </row>
    <row r="2527" spans="1:4">
      <c r="A2527" s="1"/>
      <c r="D2527" s="1"/>
    </row>
    <row r="2528" spans="1:4">
      <c r="A2528" s="1"/>
      <c r="D2528" s="1"/>
    </row>
    <row r="2529" spans="1:4">
      <c r="A2529" s="1"/>
      <c r="D2529" s="1"/>
    </row>
    <row r="2530" spans="1:4">
      <c r="A2530" s="1"/>
      <c r="D2530" s="1"/>
    </row>
    <row r="2531" spans="1:4">
      <c r="A2531" s="1"/>
      <c r="D2531" s="1"/>
    </row>
    <row r="2532" spans="1:4">
      <c r="A2532" s="1"/>
      <c r="D2532" s="1"/>
    </row>
    <row r="2533" spans="1:4">
      <c r="A2533" s="1"/>
      <c r="D2533" s="1"/>
    </row>
    <row r="2534" spans="1:4">
      <c r="A2534" s="1"/>
      <c r="D2534" s="1"/>
    </row>
    <row r="2535" spans="1:4">
      <c r="A2535" s="1"/>
      <c r="D2535" s="1"/>
    </row>
    <row r="2536" spans="1:4">
      <c r="A2536" s="1"/>
      <c r="D2536" s="1"/>
    </row>
    <row r="2537" spans="1:4">
      <c r="A2537" s="1"/>
      <c r="D2537" s="1"/>
    </row>
    <row r="2538" spans="1:4">
      <c r="A2538" s="1"/>
      <c r="D2538" s="1"/>
    </row>
    <row r="2539" spans="1:4">
      <c r="A2539" s="1"/>
      <c r="D2539" s="1"/>
    </row>
    <row r="2540" spans="1:4">
      <c r="A2540" s="1"/>
      <c r="D2540" s="1"/>
    </row>
    <row r="2541" spans="1:4">
      <c r="A2541" s="1"/>
      <c r="D2541" s="1"/>
    </row>
    <row r="2542" spans="1:4">
      <c r="A2542" s="1"/>
      <c r="D2542" s="1"/>
    </row>
    <row r="2543" spans="1:4">
      <c r="A2543" s="1"/>
      <c r="D2543" s="1"/>
    </row>
    <row r="2544" spans="1:4">
      <c r="A2544" s="1"/>
      <c r="D2544" s="1"/>
    </row>
    <row r="2545" spans="1:4">
      <c r="A2545" s="1"/>
      <c r="D2545" s="1"/>
    </row>
    <row r="2546" spans="1:4">
      <c r="A2546" s="1"/>
      <c r="D2546" s="1"/>
    </row>
    <row r="2547" spans="1:4">
      <c r="A2547" s="1"/>
      <c r="D2547" s="1"/>
    </row>
    <row r="2548" spans="1:4">
      <c r="A2548" s="1"/>
      <c r="D2548" s="1"/>
    </row>
    <row r="2549" spans="1:4">
      <c r="A2549" s="1"/>
      <c r="D2549" s="1"/>
    </row>
    <row r="2550" spans="1:4">
      <c r="A2550" s="1"/>
      <c r="D2550" s="1"/>
    </row>
    <row r="2551" spans="1:4">
      <c r="A2551" s="1"/>
      <c r="D2551" s="1"/>
    </row>
    <row r="2552" spans="1:4">
      <c r="A2552" s="1"/>
      <c r="D2552" s="1"/>
    </row>
    <row r="2553" spans="1:4">
      <c r="A2553" s="1"/>
      <c r="D2553" s="1"/>
    </row>
    <row r="2554" spans="1:4">
      <c r="A2554" s="1"/>
      <c r="D2554" s="1"/>
    </row>
    <row r="2555" spans="1:4">
      <c r="A2555" s="1"/>
      <c r="D2555" s="1"/>
    </row>
    <row r="2556" spans="1:4">
      <c r="A2556" s="1"/>
      <c r="D2556" s="1"/>
    </row>
    <row r="2557" spans="1:4">
      <c r="A2557" s="1"/>
      <c r="D2557" s="1"/>
    </row>
    <row r="2558" spans="1:4">
      <c r="A2558" s="1"/>
      <c r="D2558" s="1"/>
    </row>
    <row r="2559" spans="1:4">
      <c r="A2559" s="1"/>
      <c r="D2559" s="1"/>
    </row>
    <row r="2560" spans="1:4">
      <c r="A2560" s="1"/>
      <c r="D2560" s="1"/>
    </row>
    <row r="2561" spans="1:4">
      <c r="A2561" s="1"/>
      <c r="D2561" s="1"/>
    </row>
    <row r="2562" spans="1:4">
      <c r="A2562" s="1"/>
      <c r="D2562" s="1"/>
    </row>
    <row r="2563" spans="1:4">
      <c r="A2563" s="1"/>
      <c r="D2563" s="1"/>
    </row>
    <row r="2564" spans="1:4">
      <c r="A2564" s="1"/>
      <c r="D2564" s="1"/>
    </row>
    <row r="2565" spans="1:4">
      <c r="A2565" s="1"/>
      <c r="D2565" s="1"/>
    </row>
    <row r="2566" spans="1:4">
      <c r="A2566" s="1"/>
      <c r="D2566" s="1"/>
    </row>
    <row r="2567" spans="1:4">
      <c r="A2567" s="1"/>
      <c r="D2567" s="1"/>
    </row>
    <row r="2568" spans="1:4">
      <c r="A2568" s="1"/>
      <c r="D2568" s="1"/>
    </row>
    <row r="2569" spans="1:4">
      <c r="A2569" s="1"/>
      <c r="D2569" s="1"/>
    </row>
    <row r="2570" spans="1:4">
      <c r="A2570" s="1"/>
      <c r="D2570" s="1"/>
    </row>
    <row r="2571" spans="1:4">
      <c r="A2571" s="1"/>
      <c r="D2571" s="1"/>
    </row>
    <row r="2572" spans="1:4">
      <c r="A2572" s="1"/>
      <c r="D2572" s="1"/>
    </row>
    <row r="2573" spans="1:4">
      <c r="A2573" s="1"/>
      <c r="D2573" s="1"/>
    </row>
    <row r="2574" spans="1:4">
      <c r="A2574" s="1"/>
      <c r="D2574" s="1"/>
    </row>
    <row r="2575" spans="1:4">
      <c r="A2575" s="1"/>
      <c r="D2575" s="1"/>
    </row>
    <row r="2576" spans="1:4">
      <c r="A2576" s="1"/>
      <c r="D2576" s="1"/>
    </row>
    <row r="2577" spans="1:4">
      <c r="A2577" s="1"/>
      <c r="D2577" s="1"/>
    </row>
    <row r="2578" spans="1:4">
      <c r="A2578" s="1"/>
      <c r="D2578" s="1"/>
    </row>
    <row r="2579" spans="1:4">
      <c r="A2579" s="1"/>
      <c r="D2579" s="1"/>
    </row>
    <row r="2580" spans="1:4">
      <c r="A2580" s="1"/>
      <c r="D2580" s="1"/>
    </row>
    <row r="2581" spans="1:4">
      <c r="A2581" s="1"/>
      <c r="D2581" s="1"/>
    </row>
    <row r="2582" spans="1:4">
      <c r="A2582" s="1"/>
      <c r="D2582" s="1"/>
    </row>
    <row r="2583" spans="1:4">
      <c r="A2583" s="1"/>
      <c r="D2583" s="1"/>
    </row>
    <row r="2584" spans="1:4">
      <c r="A2584" s="1"/>
      <c r="D2584" s="1"/>
    </row>
    <row r="2585" spans="1:4">
      <c r="A2585" s="1"/>
      <c r="D2585" s="1"/>
    </row>
    <row r="2586" spans="1:4">
      <c r="A2586" s="1"/>
      <c r="D2586" s="1"/>
    </row>
    <row r="2587" spans="1:4">
      <c r="A2587" s="1"/>
      <c r="D2587" s="1"/>
    </row>
    <row r="2588" spans="1:4">
      <c r="A2588" s="1"/>
      <c r="D2588" s="1"/>
    </row>
    <row r="2589" spans="1:4">
      <c r="A2589" s="1"/>
      <c r="D2589" s="1"/>
    </row>
    <row r="2590" spans="1:4">
      <c r="A2590" s="1"/>
      <c r="D2590" s="1"/>
    </row>
    <row r="2591" spans="1:4">
      <c r="A2591" s="1"/>
      <c r="D2591" s="1"/>
    </row>
    <row r="2592" spans="1:4">
      <c r="A2592" s="1"/>
      <c r="D2592" s="1"/>
    </row>
    <row r="2593" spans="1:4">
      <c r="A2593" s="1"/>
      <c r="D2593" s="1"/>
    </row>
    <row r="2594" spans="1:4">
      <c r="A2594" s="1"/>
      <c r="D2594" s="1"/>
    </row>
    <row r="2595" spans="1:4">
      <c r="A2595" s="1"/>
      <c r="D2595" s="1"/>
    </row>
    <row r="2596" spans="1:4">
      <c r="A2596" s="1"/>
      <c r="D2596" s="1"/>
    </row>
    <row r="2597" spans="1:4">
      <c r="A2597" s="1"/>
      <c r="D2597" s="1"/>
    </row>
    <row r="2598" spans="1:4">
      <c r="A2598" s="1"/>
      <c r="D2598" s="1"/>
    </row>
    <row r="2599" spans="1:4">
      <c r="A2599" s="1"/>
      <c r="D2599" s="1"/>
    </row>
    <row r="2600" spans="1:4">
      <c r="A2600" s="1"/>
      <c r="D2600" s="1"/>
    </row>
    <row r="2601" spans="1:4">
      <c r="A2601" s="1"/>
      <c r="D2601" s="1"/>
    </row>
    <row r="2602" spans="1:4">
      <c r="A2602" s="1"/>
      <c r="D2602" s="1"/>
    </row>
    <row r="2603" spans="1:4">
      <c r="A2603" s="1"/>
      <c r="D2603" s="1"/>
    </row>
    <row r="2604" spans="1:4">
      <c r="A2604" s="1"/>
      <c r="D2604" s="1"/>
    </row>
    <row r="2605" spans="1:4">
      <c r="A2605" s="1"/>
      <c r="D2605" s="1"/>
    </row>
    <row r="2606" spans="1:4">
      <c r="A2606" s="1"/>
      <c r="D2606" s="1"/>
    </row>
    <row r="2607" spans="1:4">
      <c r="A2607" s="1"/>
      <c r="D2607" s="1"/>
    </row>
    <row r="2608" spans="1:4">
      <c r="A2608" s="1"/>
      <c r="D2608" s="1"/>
    </row>
    <row r="2609" spans="1:4">
      <c r="A2609" s="1"/>
      <c r="D2609" s="1"/>
    </row>
    <row r="2610" spans="1:4">
      <c r="A2610" s="1"/>
      <c r="D2610" s="1"/>
    </row>
    <row r="2611" spans="1:4">
      <c r="A2611" s="1"/>
      <c r="D2611" s="1"/>
    </row>
    <row r="2612" spans="1:4">
      <c r="A2612" s="1"/>
      <c r="D2612" s="1"/>
    </row>
    <row r="2613" spans="1:4">
      <c r="A2613" s="1"/>
      <c r="D2613" s="1"/>
    </row>
    <row r="2614" spans="1:4">
      <c r="A2614" s="1"/>
      <c r="D2614" s="1"/>
    </row>
    <row r="2615" spans="1:4">
      <c r="A2615" s="1"/>
      <c r="D2615" s="1"/>
    </row>
    <row r="2616" spans="1:4">
      <c r="A2616" s="1"/>
      <c r="D2616" s="1"/>
    </row>
    <row r="2617" spans="1:4">
      <c r="A2617" s="1"/>
      <c r="D2617" s="1"/>
    </row>
    <row r="2618" spans="1:4">
      <c r="A2618" s="1"/>
      <c r="D2618" s="1"/>
    </row>
    <row r="2619" spans="1:4">
      <c r="A2619" s="1"/>
      <c r="D2619" s="1"/>
    </row>
    <row r="2620" spans="1:4">
      <c r="A2620" s="1"/>
      <c r="D2620" s="1"/>
    </row>
    <row r="2621" spans="1:4">
      <c r="A2621" s="1"/>
      <c r="D2621" s="1"/>
    </row>
    <row r="2622" spans="1:4">
      <c r="A2622" s="1"/>
      <c r="D2622" s="1"/>
    </row>
    <row r="2623" spans="1:4">
      <c r="A2623" s="1"/>
      <c r="D2623" s="1"/>
    </row>
    <row r="2624" spans="1:4">
      <c r="A2624" s="1"/>
      <c r="D2624" s="1"/>
    </row>
    <row r="2625" spans="1:4">
      <c r="A2625" s="1"/>
      <c r="D2625" s="1"/>
    </row>
    <row r="2626" spans="1:4">
      <c r="A2626" s="1"/>
      <c r="D2626" s="1"/>
    </row>
    <row r="2627" spans="1:4">
      <c r="A2627" s="1"/>
      <c r="D2627" s="1"/>
    </row>
    <row r="2628" spans="1:4">
      <c r="A2628" s="1"/>
      <c r="D2628" s="1"/>
    </row>
    <row r="2629" spans="1:4">
      <c r="A2629" s="1"/>
      <c r="D2629" s="1"/>
    </row>
    <row r="2630" spans="1:4">
      <c r="A2630" s="1"/>
      <c r="D2630" s="1"/>
    </row>
    <row r="2631" spans="1:4">
      <c r="A2631" s="1"/>
      <c r="D2631" s="1"/>
    </row>
    <row r="2632" spans="1:4">
      <c r="A2632" s="1"/>
      <c r="D2632" s="1"/>
    </row>
    <row r="2633" spans="1:4">
      <c r="A2633" s="1"/>
      <c r="D2633" s="1"/>
    </row>
    <row r="2634" spans="1:4">
      <c r="A2634" s="1"/>
      <c r="D2634" s="1"/>
    </row>
    <row r="2635" spans="1:4">
      <c r="A2635" s="1"/>
      <c r="D2635" s="1"/>
    </row>
    <row r="2636" spans="1:4">
      <c r="A2636" s="1"/>
      <c r="D2636" s="1"/>
    </row>
    <row r="2637" spans="1:4">
      <c r="A2637" s="1"/>
      <c r="D2637" s="1"/>
    </row>
    <row r="2638" spans="1:4">
      <c r="A2638" s="1"/>
      <c r="D2638" s="1"/>
    </row>
    <row r="2639" spans="1:4">
      <c r="A2639" s="1"/>
      <c r="D2639" s="1"/>
    </row>
    <row r="2640" spans="1:4">
      <c r="A2640" s="1"/>
      <c r="D2640" s="1"/>
    </row>
    <row r="2641" spans="1:4">
      <c r="A2641" s="1"/>
      <c r="D2641" s="1"/>
    </row>
    <row r="2642" spans="1:4">
      <c r="A2642" s="1"/>
      <c r="D2642" s="1"/>
    </row>
    <row r="2643" spans="1:4">
      <c r="A2643" s="1"/>
      <c r="D2643" s="1"/>
    </row>
    <row r="2644" spans="1:4">
      <c r="A2644" s="1"/>
      <c r="D2644" s="1"/>
    </row>
    <row r="2645" spans="1:4">
      <c r="A2645" s="1"/>
      <c r="D2645" s="1"/>
    </row>
    <row r="2646" spans="1:4">
      <c r="A2646" s="1"/>
      <c r="D2646" s="1"/>
    </row>
    <row r="2647" spans="1:4">
      <c r="A2647" s="1"/>
      <c r="D2647" s="1"/>
    </row>
    <row r="2648" spans="1:4">
      <c r="A2648" s="1"/>
      <c r="D2648" s="1"/>
    </row>
    <row r="2649" spans="1:4">
      <c r="A2649" s="1"/>
      <c r="D2649" s="1"/>
    </row>
    <row r="2650" spans="1:4">
      <c r="A2650" s="1"/>
      <c r="D2650" s="1"/>
    </row>
    <row r="2651" spans="1:4">
      <c r="A2651" s="1"/>
      <c r="D2651" s="1"/>
    </row>
    <row r="2652" spans="1:4">
      <c r="A2652" s="1"/>
      <c r="D2652" s="1"/>
    </row>
    <row r="2653" spans="1:4">
      <c r="A2653" s="1"/>
      <c r="D2653" s="1"/>
    </row>
    <row r="2654" spans="1:4">
      <c r="A2654" s="1"/>
      <c r="D2654" s="1"/>
    </row>
    <row r="2655" spans="1:4">
      <c r="A2655" s="1"/>
      <c r="D2655" s="1"/>
    </row>
    <row r="2656" spans="1:4">
      <c r="A2656" s="1"/>
      <c r="D2656" s="1"/>
    </row>
    <row r="2657" spans="1:4">
      <c r="A2657" s="1"/>
      <c r="D2657" s="1"/>
    </row>
    <row r="2658" spans="1:4">
      <c r="A2658" s="1"/>
      <c r="D2658" s="1"/>
    </row>
    <row r="2659" spans="1:4">
      <c r="A2659" s="1"/>
      <c r="D2659" s="1"/>
    </row>
    <row r="2660" spans="1:4">
      <c r="A2660" s="1"/>
      <c r="D2660" s="1"/>
    </row>
    <row r="2661" spans="1:4">
      <c r="A2661" s="1"/>
      <c r="D2661" s="1"/>
    </row>
    <row r="2662" spans="1:4">
      <c r="A2662" s="1"/>
      <c r="D2662" s="1"/>
    </row>
    <row r="2663" spans="1:4">
      <c r="A2663" s="1"/>
      <c r="D2663" s="1"/>
    </row>
    <row r="2664" spans="1:4">
      <c r="A2664" s="1"/>
      <c r="D2664" s="1"/>
    </row>
    <row r="2665" spans="1:4">
      <c r="A2665" s="1"/>
      <c r="D2665" s="1"/>
    </row>
    <row r="2666" spans="1:4">
      <c r="A2666" s="1"/>
      <c r="D2666" s="1"/>
    </row>
    <row r="2667" spans="1:4">
      <c r="A2667" s="1"/>
      <c r="D2667" s="1"/>
    </row>
    <row r="2668" spans="1:4">
      <c r="A2668" s="1"/>
      <c r="D2668" s="1"/>
    </row>
    <row r="2669" spans="1:4">
      <c r="A2669" s="1"/>
      <c r="D2669" s="1"/>
    </row>
    <row r="2670" spans="1:4">
      <c r="A2670" s="1"/>
      <c r="D2670" s="1"/>
    </row>
    <row r="2671" spans="1:4">
      <c r="A2671" s="1"/>
      <c r="D2671" s="1"/>
    </row>
    <row r="2672" spans="1:4">
      <c r="A2672" s="1"/>
      <c r="D2672" s="1"/>
    </row>
    <row r="2673" spans="1:4">
      <c r="A2673" s="1"/>
      <c r="D2673" s="1"/>
    </row>
    <row r="2674" spans="1:4">
      <c r="A2674" s="1"/>
      <c r="D2674" s="1"/>
    </row>
    <row r="2675" spans="1:4">
      <c r="A2675" s="1"/>
      <c r="D2675" s="1"/>
    </row>
    <row r="2676" spans="1:4">
      <c r="A2676" s="1"/>
      <c r="D2676" s="1"/>
    </row>
    <row r="2677" spans="1:4">
      <c r="A2677" s="1"/>
      <c r="D2677" s="1"/>
    </row>
    <row r="2678" spans="1:4">
      <c r="A2678" s="1"/>
      <c r="D2678" s="1"/>
    </row>
    <row r="2679" spans="1:4">
      <c r="A2679" s="1"/>
      <c r="D2679" s="1"/>
    </row>
    <row r="2680" spans="1:4">
      <c r="A2680" s="1"/>
      <c r="D2680" s="1"/>
    </row>
    <row r="2681" spans="1:4">
      <c r="A2681" s="1"/>
      <c r="D2681" s="1"/>
    </row>
    <row r="2682" spans="1:4">
      <c r="A2682" s="1"/>
      <c r="D2682" s="1"/>
    </row>
    <row r="2683" spans="1:4">
      <c r="A2683" s="1"/>
      <c r="D2683" s="1"/>
    </row>
    <row r="2684" spans="1:4">
      <c r="A2684" s="1"/>
      <c r="D2684" s="1"/>
    </row>
    <row r="2685" spans="1:4">
      <c r="A2685" s="1"/>
      <c r="D2685" s="1"/>
    </row>
    <row r="2686" spans="1:4">
      <c r="A2686" s="1"/>
      <c r="D2686" s="1"/>
    </row>
    <row r="2687" spans="1:4">
      <c r="A2687" s="1"/>
      <c r="D2687" s="1"/>
    </row>
    <row r="2688" spans="1:4">
      <c r="A2688" s="1"/>
      <c r="D2688" s="1"/>
    </row>
    <row r="2689" spans="1:4">
      <c r="A2689" s="1"/>
      <c r="D2689" s="1"/>
    </row>
    <row r="2690" spans="1:4">
      <c r="A2690" s="1"/>
      <c r="D2690" s="1"/>
    </row>
    <row r="2691" spans="1:4">
      <c r="A2691" s="1"/>
      <c r="D2691" s="1"/>
    </row>
    <row r="2692" spans="1:4">
      <c r="A2692" s="1"/>
      <c r="D2692" s="1"/>
    </row>
    <row r="2693" spans="1:4">
      <c r="A2693" s="1"/>
      <c r="D2693" s="1"/>
    </row>
    <row r="2694" spans="1:4">
      <c r="A2694" s="1"/>
      <c r="D2694" s="1"/>
    </row>
    <row r="2695" spans="1:4">
      <c r="A2695" s="1"/>
      <c r="D2695" s="1"/>
    </row>
    <row r="2696" spans="1:4">
      <c r="A2696" s="1"/>
      <c r="D2696" s="1"/>
    </row>
    <row r="2697" spans="1:4">
      <c r="A2697" s="1"/>
      <c r="D2697" s="1"/>
    </row>
    <row r="2698" spans="1:4">
      <c r="A2698" s="1"/>
      <c r="D2698" s="1"/>
    </row>
    <row r="2699" spans="1:4">
      <c r="A2699" s="1"/>
      <c r="D2699" s="1"/>
    </row>
    <row r="2700" spans="1:4">
      <c r="A2700" s="1"/>
      <c r="D2700" s="1"/>
    </row>
    <row r="2701" spans="1:4">
      <c r="A2701" s="1"/>
      <c r="D2701" s="1"/>
    </row>
    <row r="2702" spans="1:4">
      <c r="A2702" s="1"/>
      <c r="D2702" s="1"/>
    </row>
    <row r="2703" spans="1:4">
      <c r="A2703" s="1"/>
      <c r="D2703" s="1"/>
    </row>
    <row r="2704" spans="1:4">
      <c r="A2704" s="1"/>
      <c r="D2704" s="1"/>
    </row>
    <row r="2705" spans="1:4">
      <c r="A2705" s="1"/>
      <c r="D2705" s="1"/>
    </row>
    <row r="2706" spans="1:4">
      <c r="A2706" s="1"/>
      <c r="D2706" s="1"/>
    </row>
    <row r="2707" spans="1:4">
      <c r="A2707" s="1"/>
      <c r="D2707" s="1"/>
    </row>
    <row r="2708" spans="1:4">
      <c r="A2708" s="1"/>
      <c r="D2708" s="1"/>
    </row>
    <row r="2709" spans="1:4">
      <c r="A2709" s="1"/>
      <c r="D2709" s="1"/>
    </row>
    <row r="2710" spans="1:4">
      <c r="A2710" s="1"/>
      <c r="D2710" s="1"/>
    </row>
    <row r="2711" spans="1:4">
      <c r="A2711" s="1"/>
      <c r="D2711" s="1"/>
    </row>
    <row r="2712" spans="1:4">
      <c r="A2712" s="1"/>
      <c r="D2712" s="1"/>
    </row>
    <row r="2713" spans="1:4">
      <c r="A2713" s="1"/>
      <c r="D2713" s="1"/>
    </row>
    <row r="2714" spans="1:4">
      <c r="A2714" s="1"/>
      <c r="D2714" s="1"/>
    </row>
    <row r="2715" spans="1:4">
      <c r="A2715" s="1"/>
      <c r="D2715" s="1"/>
    </row>
    <row r="2716" spans="1:4">
      <c r="A2716" s="1"/>
      <c r="D2716" s="1"/>
    </row>
    <row r="2717" spans="1:4">
      <c r="A2717" s="1"/>
      <c r="D2717" s="1"/>
    </row>
    <row r="2718" spans="1:4">
      <c r="A2718" s="1"/>
      <c r="D2718" s="1"/>
    </row>
    <row r="2719" spans="1:4">
      <c r="A2719" s="1"/>
      <c r="D2719" s="1"/>
    </row>
    <row r="2720" spans="1:4">
      <c r="A2720" s="1"/>
      <c r="D2720" s="1"/>
    </row>
    <row r="2721" spans="1:4">
      <c r="A2721" s="1"/>
      <c r="D2721" s="1"/>
    </row>
    <row r="2722" spans="1:4">
      <c r="A2722" s="1"/>
      <c r="D2722" s="1"/>
    </row>
    <row r="2723" spans="1:4">
      <c r="A2723" s="1"/>
      <c r="D2723" s="1"/>
    </row>
    <row r="2724" spans="1:4">
      <c r="A2724" s="1"/>
      <c r="D2724" s="1"/>
    </row>
    <row r="2725" spans="1:4">
      <c r="A2725" s="1"/>
      <c r="D2725" s="1"/>
    </row>
    <row r="2726" spans="1:4">
      <c r="A2726" s="1"/>
      <c r="D2726" s="1"/>
    </row>
    <row r="2727" spans="1:4">
      <c r="A2727" s="1"/>
      <c r="D2727" s="1"/>
    </row>
    <row r="2728" spans="1:4">
      <c r="A2728" s="1"/>
      <c r="D2728" s="1"/>
    </row>
    <row r="2729" spans="1:4">
      <c r="A2729" s="1"/>
      <c r="D2729" s="1"/>
    </row>
    <row r="2730" spans="1:4">
      <c r="A2730" s="1"/>
      <c r="D2730" s="1"/>
    </row>
    <row r="2731" spans="1:4">
      <c r="A2731" s="1"/>
      <c r="D2731" s="1"/>
    </row>
    <row r="2732" spans="1:4">
      <c r="A2732" s="1"/>
      <c r="D2732" s="1"/>
    </row>
    <row r="2733" spans="1:4">
      <c r="A2733" s="1"/>
      <c r="D2733" s="1"/>
    </row>
    <row r="2734" spans="1:4">
      <c r="A2734" s="1"/>
      <c r="D2734" s="1"/>
    </row>
    <row r="2735" spans="1:4">
      <c r="A2735" s="1"/>
      <c r="D2735" s="1"/>
    </row>
    <row r="2736" spans="1:4">
      <c r="A2736" s="1"/>
      <c r="D2736" s="1"/>
    </row>
    <row r="2737" spans="1:4">
      <c r="A2737" s="1"/>
      <c r="D2737" s="1"/>
    </row>
    <row r="2738" spans="1:4">
      <c r="A2738" s="1"/>
      <c r="D2738" s="1"/>
    </row>
    <row r="2739" spans="1:4">
      <c r="A2739" s="1"/>
      <c r="D2739" s="1"/>
    </row>
    <row r="2740" spans="1:4">
      <c r="A2740" s="1"/>
      <c r="D2740" s="1"/>
    </row>
    <row r="2741" spans="1:4">
      <c r="A2741" s="1"/>
      <c r="D2741" s="1"/>
    </row>
    <row r="2742" spans="1:4">
      <c r="A2742" s="1"/>
      <c r="D2742" s="1"/>
    </row>
    <row r="2743" spans="1:4">
      <c r="A2743" s="1"/>
      <c r="D2743" s="1"/>
    </row>
    <row r="2744" spans="1:4">
      <c r="A2744" s="1"/>
      <c r="D2744" s="1"/>
    </row>
    <row r="2745" spans="1:4">
      <c r="A2745" s="1"/>
      <c r="D2745" s="1"/>
    </row>
    <row r="2746" spans="1:4">
      <c r="A2746" s="1"/>
      <c r="D2746" s="1"/>
    </row>
    <row r="2747" spans="1:4">
      <c r="A2747" s="1"/>
      <c r="D2747" s="1"/>
    </row>
    <row r="2748" spans="1:4">
      <c r="A2748" s="1"/>
      <c r="D2748" s="1"/>
    </row>
    <row r="2749" spans="1:4">
      <c r="A2749" s="1"/>
      <c r="D2749" s="1"/>
    </row>
    <row r="2750" spans="1:4">
      <c r="A2750" s="1"/>
      <c r="D2750" s="1"/>
    </row>
    <row r="2751" spans="1:4">
      <c r="A2751" s="1"/>
      <c r="D2751" s="1"/>
    </row>
    <row r="2752" spans="1:4">
      <c r="A2752" s="1"/>
      <c r="D2752" s="1"/>
    </row>
    <row r="2753" spans="1:4">
      <c r="A2753" s="1"/>
      <c r="D2753" s="1"/>
    </row>
    <row r="2754" spans="1:4">
      <c r="A2754" s="1"/>
      <c r="D2754" s="1"/>
    </row>
    <row r="2755" spans="1:4">
      <c r="A2755" s="1"/>
      <c r="D2755" s="1"/>
    </row>
    <row r="2756" spans="1:4">
      <c r="A2756" s="1"/>
      <c r="D2756" s="1"/>
    </row>
    <row r="2757" spans="1:4">
      <c r="A2757" s="1"/>
      <c r="D2757" s="1"/>
    </row>
    <row r="2758" spans="1:4">
      <c r="A2758" s="1"/>
      <c r="D2758" s="1"/>
    </row>
    <row r="2759" spans="1:4">
      <c r="A2759" s="1"/>
      <c r="D2759" s="1"/>
    </row>
    <row r="2760" spans="1:4">
      <c r="A2760" s="1"/>
      <c r="D2760" s="1"/>
    </row>
    <row r="2761" spans="1:4">
      <c r="A2761" s="1"/>
      <c r="D2761" s="1"/>
    </row>
    <row r="2762" spans="1:4">
      <c r="A2762" s="1"/>
      <c r="D2762" s="1"/>
    </row>
    <row r="2763" spans="1:4">
      <c r="A2763" s="1"/>
      <c r="D2763" s="1"/>
    </row>
    <row r="2764" spans="1:4">
      <c r="A2764" s="1"/>
      <c r="D2764" s="1"/>
    </row>
    <row r="2765" spans="1:4">
      <c r="A2765" s="1"/>
      <c r="D2765" s="1"/>
    </row>
    <row r="2766" spans="1:4">
      <c r="A2766" s="1"/>
      <c r="D2766" s="1"/>
    </row>
    <row r="2767" spans="1:4">
      <c r="A2767" s="1"/>
      <c r="D2767" s="1"/>
    </row>
    <row r="2768" spans="1:4">
      <c r="A2768" s="1"/>
      <c r="D2768" s="1"/>
    </row>
    <row r="2769" spans="1:4">
      <c r="A2769" s="1"/>
      <c r="D2769" s="1"/>
    </row>
    <row r="2770" spans="1:4">
      <c r="A2770" s="1"/>
      <c r="D2770" s="1"/>
    </row>
    <row r="2771" spans="1:4">
      <c r="A2771" s="1"/>
      <c r="D2771" s="1"/>
    </row>
    <row r="2772" spans="1:4">
      <c r="A2772" s="1"/>
      <c r="D2772" s="1"/>
    </row>
    <row r="2773" spans="1:4">
      <c r="A2773" s="1"/>
      <c r="D2773" s="1"/>
    </row>
    <row r="2774" spans="1:4">
      <c r="A2774" s="1"/>
      <c r="D2774" s="1"/>
    </row>
    <row r="2775" spans="1:4">
      <c r="A2775" s="1"/>
      <c r="D2775" s="1"/>
    </row>
    <row r="2776" spans="1:4">
      <c r="A2776" s="1"/>
      <c r="D2776" s="1"/>
    </row>
    <row r="2777" spans="1:4">
      <c r="A2777" s="1"/>
      <c r="D2777" s="1"/>
    </row>
    <row r="2778" spans="1:4">
      <c r="A2778" s="1"/>
      <c r="D2778" s="1"/>
    </row>
    <row r="2779" spans="1:4">
      <c r="A2779" s="1"/>
      <c r="D2779" s="1"/>
    </row>
    <row r="2780" spans="1:4">
      <c r="A2780" s="1"/>
      <c r="D2780" s="1"/>
    </row>
    <row r="2781" spans="1:4">
      <c r="A2781" s="1"/>
      <c r="D2781" s="1"/>
    </row>
  </sheetData>
  <pageMargins left="0.75" right="0.75" top="1" bottom="1" header="0.5" footer="0.5"/>
  <headerFooter alignWithMargins="0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8"/>
  <dimension ref="A1:K2781"/>
  <sheetViews>
    <sheetView topLeftCell="A3" workbookViewId="0">
      <selection activeCell="I4" sqref="I4"/>
    </sheetView>
  </sheetViews>
  <sheetFormatPr defaultRowHeight="13.2"/>
  <cols>
    <col min="1" max="1" width="9.77734375" bestFit="1" customWidth="1"/>
    <col min="4" max="4" width="9.77734375" bestFit="1" customWidth="1"/>
    <col min="16" max="16" width="11.21875" bestFit="1" customWidth="1"/>
    <col min="17" max="17" width="10.109375" bestFit="1" customWidth="1"/>
    <col min="18" max="20" width="10.109375" customWidth="1"/>
    <col min="21" max="21" width="12.5546875" bestFit="1" customWidth="1"/>
    <col min="22" max="22" width="9.5546875" bestFit="1" customWidth="1"/>
    <col min="23" max="23" width="9.5546875" customWidth="1"/>
    <col min="24" max="24" width="9.33203125" bestFit="1" customWidth="1"/>
    <col min="27" max="27" width="9.33203125" bestFit="1" customWidth="1"/>
    <col min="28" max="28" width="9.33203125" customWidth="1"/>
    <col min="30" max="30" width="10.109375" bestFit="1" customWidth="1"/>
    <col min="31" max="34" width="10.109375" customWidth="1"/>
    <col min="40" max="40" width="9.33203125" bestFit="1" customWidth="1"/>
    <col min="41" max="41" width="9.33203125" customWidth="1"/>
    <col min="52" max="52" width="10.109375" bestFit="1" customWidth="1"/>
    <col min="53" max="53" width="12.33203125" bestFit="1" customWidth="1"/>
  </cols>
  <sheetData>
    <row r="1" spans="1:11">
      <c r="A1" t="s">
        <v>8</v>
      </c>
      <c r="B1">
        <v>-24.38</v>
      </c>
    </row>
    <row r="3" spans="1:11">
      <c r="A3" t="s">
        <v>9</v>
      </c>
      <c r="B3" t="s">
        <v>6</v>
      </c>
      <c r="C3" t="s">
        <v>7</v>
      </c>
      <c r="D3" t="s">
        <v>11</v>
      </c>
      <c r="E3" t="s">
        <v>0</v>
      </c>
      <c r="F3" t="s">
        <v>1</v>
      </c>
      <c r="G3" t="s">
        <v>2</v>
      </c>
      <c r="H3" t="s">
        <v>3</v>
      </c>
      <c r="I3" s="3" t="s">
        <v>88</v>
      </c>
      <c r="J3" t="s">
        <v>4</v>
      </c>
      <c r="K3" s="3"/>
    </row>
    <row r="4" spans="1:11">
      <c r="A4" s="1">
        <f>DATE(E4,1,1)+F4-1</f>
        <v>32933</v>
      </c>
      <c r="B4">
        <f>J4</f>
        <v>11.752907174028723</v>
      </c>
      <c r="C4">
        <f>day_length(F4,$B$1,Fitting!$B$4)</f>
        <v>13.415824890136719</v>
      </c>
      <c r="D4" s="1">
        <f>A4</f>
        <v>32933</v>
      </c>
      <c r="E4" s="5">
        <v>1990</v>
      </c>
      <c r="F4" s="5">
        <v>60</v>
      </c>
      <c r="G4">
        <v>33.700000000000003</v>
      </c>
      <c r="H4">
        <v>20</v>
      </c>
      <c r="I4">
        <f>MAX(0,1-Fitting!$B$7*(Fitting!$B$6-Herm8889!C4)^2)</f>
        <v>0.49649376843153181</v>
      </c>
      <c r="J4">
        <f>tt(G4,H4,Fitting!$B$1:$E$1,Fitting!$B$2:$E$2)*I4</f>
        <v>11.752907174028723</v>
      </c>
      <c r="K4" s="3"/>
    </row>
    <row r="5" spans="1:11">
      <c r="A5" s="1">
        <f>A4+1</f>
        <v>32934</v>
      </c>
      <c r="B5">
        <f t="shared" ref="B5:B68" si="0">B4+J5</f>
        <v>24.325698941229469</v>
      </c>
      <c r="C5">
        <f>day_length(F5,$B$1,Fitting!$B$4)</f>
        <v>13.391345024108887</v>
      </c>
      <c r="D5" s="1">
        <f t="shared" ref="D5:D68" si="1">A5</f>
        <v>32934</v>
      </c>
      <c r="E5">
        <f>YEAR(A5)</f>
        <v>1990</v>
      </c>
      <c r="F5" s="6">
        <f>A5-DATE(E5,1,1)+1</f>
        <v>61</v>
      </c>
      <c r="G5">
        <v>29.9</v>
      </c>
      <c r="H5">
        <v>21</v>
      </c>
      <c r="I5">
        <f>MAX(0,1-Fitting!$B$7*(Fitting!$B$6-Herm8889!C5)^2)</f>
        <v>0.49401934509080636</v>
      </c>
      <c r="J5">
        <f>tt(G5,H5,Fitting!$B$1:$E$1,Fitting!$B$2:$E$2)*I5</f>
        <v>12.572791767200748</v>
      </c>
    </row>
    <row r="6" spans="1:11">
      <c r="A6" s="1">
        <f t="shared" ref="A6:A69" si="2">A5+1</f>
        <v>32935</v>
      </c>
      <c r="B6">
        <f t="shared" si="0"/>
        <v>37.049889800963044</v>
      </c>
      <c r="C6">
        <f>day_length(F6,$B$1,Fitting!$B$4)</f>
        <v>13.366804122924805</v>
      </c>
      <c r="D6" s="1">
        <f t="shared" si="1"/>
        <v>32935</v>
      </c>
      <c r="E6">
        <f t="shared" ref="E6:E69" si="3">YEAR(A6)</f>
        <v>1990</v>
      </c>
      <c r="F6" s="6">
        <f t="shared" ref="F6:F69" si="4">A6-DATE(E6,1,1)+1</f>
        <v>62</v>
      </c>
      <c r="G6">
        <v>30.5</v>
      </c>
      <c r="H6">
        <v>21.5</v>
      </c>
      <c r="I6">
        <f>MAX(0,1-Fitting!$B$7*(Fitting!$B$6-Herm8889!C6)^2)</f>
        <v>0.49157046102295321</v>
      </c>
      <c r="J6">
        <f>tt(G6,H6,Fitting!$B$1:$E$1,Fitting!$B$2:$E$2)*I6</f>
        <v>12.724190859733575</v>
      </c>
    </row>
    <row r="7" spans="1:11">
      <c r="A7" s="1">
        <f t="shared" si="2"/>
        <v>32936</v>
      </c>
      <c r="B7">
        <f t="shared" si="0"/>
        <v>49.709907738308431</v>
      </c>
      <c r="C7">
        <f>day_length(F7,$B$1,Fitting!$B$4)</f>
        <v>13.342208862304688</v>
      </c>
      <c r="D7" s="1">
        <f t="shared" si="1"/>
        <v>32936</v>
      </c>
      <c r="E7">
        <f t="shared" si="3"/>
        <v>1990</v>
      </c>
      <c r="F7" s="6">
        <f t="shared" si="4"/>
        <v>63</v>
      </c>
      <c r="G7">
        <v>30.3</v>
      </c>
      <c r="H7">
        <v>21.5</v>
      </c>
      <c r="I7">
        <f>MAX(0,1-Fitting!$B$7*(Fitting!$B$6-Herm8889!C7)^2)</f>
        <v>0.4891478728250731</v>
      </c>
      <c r="J7">
        <f>tt(G7,H7,Fitting!$B$1:$E$1,Fitting!$B$2:$E$2)*I7</f>
        <v>12.660017937345389</v>
      </c>
    </row>
    <row r="8" spans="1:11">
      <c r="A8" s="1">
        <f t="shared" si="2"/>
        <v>32937</v>
      </c>
      <c r="B8">
        <f t="shared" si="0"/>
        <v>62.598532020787232</v>
      </c>
      <c r="C8">
        <f>day_length(F8,$B$1,Fitting!$B$4)</f>
        <v>13.317564964294434</v>
      </c>
      <c r="D8" s="1">
        <f t="shared" si="1"/>
        <v>32937</v>
      </c>
      <c r="E8">
        <f t="shared" si="3"/>
        <v>1990</v>
      </c>
      <c r="F8" s="6">
        <f t="shared" si="4"/>
        <v>64</v>
      </c>
      <c r="G8">
        <v>31</v>
      </c>
      <c r="H8">
        <v>23</v>
      </c>
      <c r="I8">
        <f>MAX(0,1-Fitting!$B$7*(Fitting!$B$6-Herm8889!C8)^2)</f>
        <v>0.48675255078453661</v>
      </c>
      <c r="J8">
        <f>tt(G8,H8,Fitting!$B$1:$E$1,Fitting!$B$2:$E$2)*I8</f>
        <v>12.888624282478798</v>
      </c>
    </row>
    <row r="9" spans="1:11">
      <c r="A9" s="1">
        <f t="shared" si="2"/>
        <v>32938</v>
      </c>
      <c r="B9">
        <f t="shared" si="0"/>
        <v>74.503517272308315</v>
      </c>
      <c r="C9">
        <f>day_length(F9,$B$1,Fitting!$B$4)</f>
        <v>13.292879104614258</v>
      </c>
      <c r="D9" s="1">
        <f t="shared" si="1"/>
        <v>32938</v>
      </c>
      <c r="E9">
        <f t="shared" si="3"/>
        <v>1990</v>
      </c>
      <c r="F9" s="6">
        <f t="shared" si="4"/>
        <v>65</v>
      </c>
      <c r="G9">
        <v>33</v>
      </c>
      <c r="H9">
        <v>21</v>
      </c>
      <c r="I9">
        <f>MAX(0,1-Fitting!$B$7*(Fitting!$B$6-Herm8889!C9)^2)</f>
        <v>0.4843855750608782</v>
      </c>
      <c r="J9">
        <f>tt(G9,H9,Fitting!$B$1:$E$1,Fitting!$B$2:$E$2)*I9</f>
        <v>11.904985251521078</v>
      </c>
    </row>
    <row r="10" spans="1:11">
      <c r="A10" s="1">
        <f t="shared" si="2"/>
        <v>32939</v>
      </c>
      <c r="B10">
        <f t="shared" si="0"/>
        <v>84.16625896934589</v>
      </c>
      <c r="C10">
        <f>day_length(F10,$B$1,Fitting!$B$4)</f>
        <v>13.268156051635742</v>
      </c>
      <c r="D10" s="1">
        <f t="shared" si="1"/>
        <v>32939</v>
      </c>
      <c r="E10">
        <f t="shared" si="3"/>
        <v>1990</v>
      </c>
      <c r="F10" s="6">
        <f t="shared" si="4"/>
        <v>66</v>
      </c>
      <c r="G10">
        <v>36.9</v>
      </c>
      <c r="H10">
        <v>17</v>
      </c>
      <c r="I10">
        <f>MAX(0,1-Fitting!$B$7*(Fitting!$B$6-Herm8889!C10)^2)</f>
        <v>0.48204792398846619</v>
      </c>
      <c r="J10">
        <f>tt(G10,H10,Fitting!$B$1:$E$1,Fitting!$B$2:$E$2)*I10</f>
        <v>9.6627416970375712</v>
      </c>
    </row>
    <row r="11" spans="1:11">
      <c r="A11" s="1">
        <f t="shared" si="2"/>
        <v>32940</v>
      </c>
      <c r="B11">
        <f t="shared" si="0"/>
        <v>95.665614701874006</v>
      </c>
      <c r="C11">
        <f>day_length(F11,$B$1,Fitting!$B$4)</f>
        <v>13.243403434753418</v>
      </c>
      <c r="D11" s="1">
        <f t="shared" si="1"/>
        <v>32940</v>
      </c>
      <c r="E11">
        <f t="shared" si="3"/>
        <v>1990</v>
      </c>
      <c r="F11" s="6">
        <f t="shared" si="4"/>
        <v>67</v>
      </c>
      <c r="G11">
        <v>31.7</v>
      </c>
      <c r="H11">
        <v>18</v>
      </c>
      <c r="I11">
        <f>MAX(0,1-Fitting!$B$7*(Fitting!$B$6-Herm8889!C11)^2)</f>
        <v>0.47974057917609025</v>
      </c>
      <c r="J11">
        <f>tt(G11,H11,Fitting!$B$1:$E$1,Fitting!$B$2:$E$2)*I11</f>
        <v>11.499355732528111</v>
      </c>
    </row>
    <row r="12" spans="1:11">
      <c r="A12" s="1">
        <f t="shared" si="2"/>
        <v>32941</v>
      </c>
      <c r="B12">
        <f t="shared" si="0"/>
        <v>105.05088514867295</v>
      </c>
      <c r="C12">
        <f>day_length(F12,$B$1,Fitting!$B$4)</f>
        <v>13.218626022338867</v>
      </c>
      <c r="D12" s="1">
        <f t="shared" si="1"/>
        <v>32941</v>
      </c>
      <c r="E12">
        <f t="shared" si="3"/>
        <v>1990</v>
      </c>
      <c r="F12" s="6">
        <f t="shared" si="4"/>
        <v>68</v>
      </c>
      <c r="G12">
        <v>33.5</v>
      </c>
      <c r="H12">
        <v>10</v>
      </c>
      <c r="I12">
        <f>MAX(0,1-Fitting!$B$7*(Fitting!$B$6-Herm8889!C12)^2)</f>
        <v>0.47746452525446692</v>
      </c>
      <c r="J12">
        <f>tt(G12,H12,Fitting!$B$1:$E$1,Fitting!$B$2:$E$2)*I12</f>
        <v>9.3852704467989412</v>
      </c>
    </row>
    <row r="13" spans="1:11">
      <c r="A13" s="1">
        <f t="shared" si="2"/>
        <v>32942</v>
      </c>
      <c r="B13">
        <f t="shared" si="0"/>
        <v>113.76079437348689</v>
      </c>
      <c r="C13">
        <f>day_length(F13,$B$1,Fitting!$B$4)</f>
        <v>13.193829536437988</v>
      </c>
      <c r="D13" s="1">
        <f t="shared" si="1"/>
        <v>32942</v>
      </c>
      <c r="E13">
        <f t="shared" si="3"/>
        <v>1990</v>
      </c>
      <c r="F13" s="6">
        <f t="shared" si="4"/>
        <v>69</v>
      </c>
      <c r="G13">
        <v>37</v>
      </c>
      <c r="H13">
        <v>12</v>
      </c>
      <c r="I13">
        <f>MAX(0,1-Fitting!$B$7*(Fitting!$B$6-Herm8889!C13)^2)</f>
        <v>0.47522096367271294</v>
      </c>
      <c r="J13">
        <f>tt(G13,H13,Fitting!$B$1:$E$1,Fitting!$B$2:$E$2)*I13</f>
        <v>8.7099092248139414</v>
      </c>
    </row>
    <row r="14" spans="1:11">
      <c r="A14" s="1">
        <f t="shared" si="2"/>
        <v>32943</v>
      </c>
      <c r="B14">
        <f t="shared" si="0"/>
        <v>122.1418618877413</v>
      </c>
      <c r="C14">
        <f>day_length(F14,$B$1,Fitting!$B$4)</f>
        <v>13.16901969909668</v>
      </c>
      <c r="D14" s="1">
        <f t="shared" si="1"/>
        <v>32943</v>
      </c>
      <c r="E14">
        <f t="shared" si="3"/>
        <v>1990</v>
      </c>
      <c r="F14" s="6">
        <f t="shared" si="4"/>
        <v>70</v>
      </c>
      <c r="G14">
        <v>37.5</v>
      </c>
      <c r="H14">
        <v>11.4</v>
      </c>
      <c r="I14">
        <f>MAX(0,1-Fitting!$B$7*(Fitting!$B$6-Herm8889!C14)^2)</f>
        <v>0.47301056392056673</v>
      </c>
      <c r="J14">
        <f>tt(G14,H14,Fitting!$B$1:$E$1,Fitting!$B$2:$E$2)*I14</f>
        <v>8.381067514254406</v>
      </c>
    </row>
    <row r="15" spans="1:11">
      <c r="A15" s="1">
        <f t="shared" si="2"/>
        <v>32944</v>
      </c>
      <c r="B15">
        <f t="shared" si="0"/>
        <v>130.49520659538913</v>
      </c>
      <c r="C15">
        <f>day_length(F15,$B$1,Fitting!$B$4)</f>
        <v>13.144203186035156</v>
      </c>
      <c r="D15" s="1">
        <f t="shared" si="1"/>
        <v>32944</v>
      </c>
      <c r="E15">
        <f t="shared" si="3"/>
        <v>1990</v>
      </c>
      <c r="F15" s="6">
        <f t="shared" si="4"/>
        <v>71</v>
      </c>
      <c r="G15">
        <v>38.5</v>
      </c>
      <c r="H15">
        <v>14</v>
      </c>
      <c r="I15">
        <f>MAX(0,1-Fitting!$B$7*(Fitting!$B$6-Herm8889!C15)^2)</f>
        <v>0.47083474733279762</v>
      </c>
      <c r="J15">
        <f>tt(G15,H15,Fitting!$B$1:$E$1,Fitting!$B$2:$E$2)*I15</f>
        <v>8.3533447076478247</v>
      </c>
    </row>
    <row r="16" spans="1:11">
      <c r="A16" s="1">
        <f t="shared" si="2"/>
        <v>32945</v>
      </c>
      <c r="B16">
        <f t="shared" si="0"/>
        <v>141.12589599422202</v>
      </c>
      <c r="C16">
        <f>day_length(F16,$B$1,Fitting!$B$4)</f>
        <v>13.119381904602051</v>
      </c>
      <c r="D16" s="1">
        <f t="shared" si="1"/>
        <v>32945</v>
      </c>
      <c r="E16">
        <f t="shared" si="3"/>
        <v>1990</v>
      </c>
      <c r="F16" s="6">
        <f t="shared" si="4"/>
        <v>72</v>
      </c>
      <c r="G16">
        <v>34.700000000000003</v>
      </c>
      <c r="H16">
        <v>19.5</v>
      </c>
      <c r="I16">
        <f>MAX(0,1-Fitting!$B$7*(Fitting!$B$6-Herm8889!C16)^2)</f>
        <v>0.46869429455683898</v>
      </c>
      <c r="J16">
        <f>tt(G16,H16,Fitting!$B$1:$E$1,Fitting!$B$2:$E$2)*I16</f>
        <v>10.630689398832892</v>
      </c>
    </row>
    <row r="17" spans="1:10">
      <c r="A17" s="1">
        <f t="shared" si="2"/>
        <v>32946</v>
      </c>
      <c r="B17">
        <f t="shared" si="0"/>
        <v>152.66977622885162</v>
      </c>
      <c r="C17">
        <f>day_length(F17,$B$1,Fitting!$B$4)</f>
        <v>13.094564437866211</v>
      </c>
      <c r="D17" s="1">
        <f t="shared" si="1"/>
        <v>32946</v>
      </c>
      <c r="E17">
        <f t="shared" si="3"/>
        <v>1990</v>
      </c>
      <c r="F17" s="6">
        <f t="shared" si="4"/>
        <v>73</v>
      </c>
      <c r="G17">
        <v>33</v>
      </c>
      <c r="H17">
        <v>21.5</v>
      </c>
      <c r="I17">
        <f>MAX(0,1-Fitting!$B$7*(Fitting!$B$6-Herm8889!C17)^2)</f>
        <v>0.4665903098517683</v>
      </c>
      <c r="J17">
        <f>tt(G17,H17,Fitting!$B$1:$E$1,Fitting!$B$2:$E$2)*I17</f>
        <v>11.543880234629595</v>
      </c>
    </row>
    <row r="18" spans="1:10">
      <c r="A18" s="1">
        <f t="shared" si="2"/>
        <v>32947</v>
      </c>
      <c r="B18">
        <f t="shared" si="0"/>
        <v>162.81642955153242</v>
      </c>
      <c r="C18">
        <f>day_length(F18,$B$1,Fitting!$B$4)</f>
        <v>13.069754600524902</v>
      </c>
      <c r="D18" s="1">
        <f t="shared" si="1"/>
        <v>32947</v>
      </c>
      <c r="E18">
        <f t="shared" si="3"/>
        <v>1990</v>
      </c>
      <c r="F18" s="6">
        <f t="shared" si="4"/>
        <v>74</v>
      </c>
      <c r="G18">
        <v>35.200000000000003</v>
      </c>
      <c r="H18">
        <v>18.2</v>
      </c>
      <c r="I18">
        <f>MAX(0,1-Fitting!$B$7*(Fitting!$B$6-Herm8889!C18)^2)</f>
        <v>0.46452389968027452</v>
      </c>
      <c r="J18">
        <f>tt(G18,H18,Fitting!$B$1:$E$1,Fitting!$B$2:$E$2)*I18</f>
        <v>10.146653322680809</v>
      </c>
    </row>
    <row r="19" spans="1:10">
      <c r="A19" s="1">
        <f t="shared" si="2"/>
        <v>32948</v>
      </c>
      <c r="B19">
        <f t="shared" si="0"/>
        <v>172.92500092604456</v>
      </c>
      <c r="C19">
        <f>day_length(F19,$B$1,Fitting!$B$4)</f>
        <v>13.044957160949707</v>
      </c>
      <c r="D19" s="1">
        <f t="shared" si="1"/>
        <v>32948</v>
      </c>
      <c r="E19">
        <f t="shared" si="3"/>
        <v>1990</v>
      </c>
      <c r="F19" s="6">
        <f t="shared" si="4"/>
        <v>75</v>
      </c>
      <c r="G19">
        <v>35.5</v>
      </c>
      <c r="H19">
        <v>19</v>
      </c>
      <c r="I19">
        <f>MAX(0,1-Fitting!$B$7*(Fitting!$B$6-Herm8889!C19)^2)</f>
        <v>0.46249595574117297</v>
      </c>
      <c r="J19">
        <f>tt(G19,H19,Fitting!$B$1:$E$1,Fitting!$B$2:$E$2)*I19</f>
        <v>10.108571374512128</v>
      </c>
    </row>
    <row r="20" spans="1:10">
      <c r="A20" s="1">
        <f t="shared" si="2"/>
        <v>32949</v>
      </c>
      <c r="B20">
        <f t="shared" si="0"/>
        <v>183.64982065040394</v>
      </c>
      <c r="C20">
        <f>day_length(F20,$B$1,Fitting!$B$4)</f>
        <v>13.02017879486084</v>
      </c>
      <c r="D20" s="1">
        <f t="shared" si="1"/>
        <v>32949</v>
      </c>
      <c r="E20">
        <f t="shared" si="3"/>
        <v>1990</v>
      </c>
      <c r="F20" s="6">
        <f t="shared" si="4"/>
        <v>76</v>
      </c>
      <c r="G20">
        <v>34.4</v>
      </c>
      <c r="H20">
        <v>20.6</v>
      </c>
      <c r="I20">
        <f>MAX(0,1-Fitting!$B$7*(Fitting!$B$6-Herm8889!C20)^2)</f>
        <v>0.46050769521310575</v>
      </c>
      <c r="J20">
        <f>tt(G20,H20,Fitting!$B$1:$E$1,Fitting!$B$2:$E$2)*I20</f>
        <v>10.72481972435938</v>
      </c>
    </row>
    <row r="21" spans="1:10">
      <c r="A21" s="1">
        <f t="shared" si="2"/>
        <v>32950</v>
      </c>
      <c r="B21">
        <f t="shared" si="0"/>
        <v>194.16617544308767</v>
      </c>
      <c r="C21">
        <f>day_length(F21,$B$1,Fitting!$B$4)</f>
        <v>12.99542236328125</v>
      </c>
      <c r="D21" s="1">
        <f t="shared" si="1"/>
        <v>32950</v>
      </c>
      <c r="E21">
        <f t="shared" si="3"/>
        <v>1990</v>
      </c>
      <c r="F21" s="6">
        <f t="shared" si="4"/>
        <v>77</v>
      </c>
      <c r="G21">
        <v>34</v>
      </c>
      <c r="H21">
        <v>18.5</v>
      </c>
      <c r="I21">
        <f>MAX(0,1-Fitting!$B$7*(Fitting!$B$6-Herm8889!C21)^2)</f>
        <v>0.4585599024417697</v>
      </c>
      <c r="J21">
        <f>tt(G21,H21,Fitting!$B$1:$E$1,Fitting!$B$2:$E$2)*I21</f>
        <v>10.516354792683735</v>
      </c>
    </row>
    <row r="22" spans="1:10">
      <c r="A22" s="1">
        <f t="shared" si="2"/>
        <v>32951</v>
      </c>
      <c r="B22">
        <f t="shared" si="0"/>
        <v>204.33585568794584</v>
      </c>
      <c r="C22">
        <f>day_length(F22,$B$1,Fitting!$B$4)</f>
        <v>12.970693588256836</v>
      </c>
      <c r="D22" s="1">
        <f t="shared" si="1"/>
        <v>32951</v>
      </c>
      <c r="E22">
        <f t="shared" si="3"/>
        <v>1990</v>
      </c>
      <c r="F22" s="6">
        <f t="shared" si="4"/>
        <v>78</v>
      </c>
      <c r="G22">
        <v>35</v>
      </c>
      <c r="H22">
        <v>19</v>
      </c>
      <c r="I22">
        <f>MAX(0,1-Fitting!$B$7*(Fitting!$B$6-Herm8889!C22)^2)</f>
        <v>0.45665379595054578</v>
      </c>
      <c r="J22">
        <f>tt(G22,H22,Fitting!$B$1:$E$1,Fitting!$B$2:$E$2)*I22</f>
        <v>10.169680244858172</v>
      </c>
    </row>
    <row r="23" spans="1:10">
      <c r="A23" s="1">
        <f t="shared" si="2"/>
        <v>32952</v>
      </c>
      <c r="B23">
        <f t="shared" si="0"/>
        <v>215.19252731736302</v>
      </c>
      <c r="C23">
        <f>day_length(F23,$B$1,Fitting!$B$4)</f>
        <v>12.94599723815918</v>
      </c>
      <c r="D23" s="1">
        <f t="shared" si="1"/>
        <v>32952</v>
      </c>
      <c r="E23">
        <f t="shared" si="3"/>
        <v>1990</v>
      </c>
      <c r="F23" s="6">
        <f t="shared" si="4"/>
        <v>79</v>
      </c>
      <c r="G23">
        <v>33.299999999999997</v>
      </c>
      <c r="H23">
        <v>19.600000000000001</v>
      </c>
      <c r="I23">
        <f>MAX(0,1-Fitting!$B$7*(Fitting!$B$6-Herm8889!C23)^2)</f>
        <v>0.45479037740610695</v>
      </c>
      <c r="J23">
        <f>tt(G23,H23,Fitting!$B$1:$E$1,Fitting!$B$2:$E$2)*I23</f>
        <v>10.856671629417185</v>
      </c>
    </row>
    <row r="24" spans="1:10">
      <c r="A24" s="1">
        <f t="shared" si="2"/>
        <v>32953</v>
      </c>
      <c r="B24">
        <f t="shared" si="0"/>
        <v>226.09008418941437</v>
      </c>
      <c r="C24">
        <f>day_length(F24,$B$1,Fitting!$B$4)</f>
        <v>12.921337127685547</v>
      </c>
      <c r="D24" s="1">
        <f t="shared" si="1"/>
        <v>32953</v>
      </c>
      <c r="E24">
        <f t="shared" si="3"/>
        <v>1990</v>
      </c>
      <c r="F24" s="6">
        <f t="shared" si="4"/>
        <v>80</v>
      </c>
      <c r="G24">
        <v>33</v>
      </c>
      <c r="H24">
        <v>19.5</v>
      </c>
      <c r="I24">
        <f>MAX(0,1-Fitting!$B$7*(Fitting!$B$6-Herm8889!C24)^2)</f>
        <v>0.45297064793264874</v>
      </c>
      <c r="J24">
        <f>tt(G24,H24,Fitting!$B$1:$E$1,Fitting!$B$2:$E$2)*I24</f>
        <v>10.897556872051357</v>
      </c>
    </row>
    <row r="25" spans="1:10">
      <c r="A25" s="1">
        <f t="shared" si="2"/>
        <v>32954</v>
      </c>
      <c r="B25">
        <f t="shared" si="0"/>
        <v>236.84563918066624</v>
      </c>
      <c r="C25">
        <f>day_length(F25,$B$1,Fitting!$B$4)</f>
        <v>12.896719932556152</v>
      </c>
      <c r="D25" s="1">
        <f t="shared" si="1"/>
        <v>32954</v>
      </c>
      <c r="E25">
        <f t="shared" si="3"/>
        <v>1990</v>
      </c>
      <c r="F25" s="6">
        <f t="shared" si="4"/>
        <v>81</v>
      </c>
      <c r="G25">
        <v>32.5</v>
      </c>
      <c r="H25">
        <v>18.5</v>
      </c>
      <c r="I25">
        <f>MAX(0,1-Fitting!$B$7*(Fitting!$B$6-Herm8889!C25)^2)</f>
        <v>0.45119560778681811</v>
      </c>
      <c r="J25">
        <f>tt(G25,H25,Fitting!$B$1:$E$1,Fitting!$B$2:$E$2)*I25</f>
        <v>10.755554991251872</v>
      </c>
    </row>
    <row r="26" spans="1:10">
      <c r="A26" s="1">
        <f t="shared" si="2"/>
        <v>32955</v>
      </c>
      <c r="B26">
        <f t="shared" si="0"/>
        <v>248.47997216072324</v>
      </c>
      <c r="C26">
        <f>day_length(F26,$B$1,Fitting!$B$4)</f>
        <v>12.872149467468262</v>
      </c>
      <c r="D26" s="1">
        <f t="shared" si="1"/>
        <v>32955</v>
      </c>
      <c r="E26">
        <f t="shared" si="3"/>
        <v>1990</v>
      </c>
      <c r="F26" s="6">
        <f t="shared" si="4"/>
        <v>82</v>
      </c>
      <c r="G26">
        <v>30.5</v>
      </c>
      <c r="H26">
        <v>21.5</v>
      </c>
      <c r="I26">
        <f>MAX(0,1-Fitting!$B$7*(Fitting!$B$6-Herm8889!C26)^2)</f>
        <v>0.44946625602729362</v>
      </c>
      <c r="J26">
        <f>tt(G26,H26,Fitting!$B$1:$E$1,Fitting!$B$2:$E$2)*I26</f>
        <v>11.634332980056984</v>
      </c>
    </row>
    <row r="27" spans="1:10">
      <c r="A27" s="1">
        <f t="shared" si="2"/>
        <v>32956</v>
      </c>
      <c r="B27">
        <f t="shared" si="0"/>
        <v>259.67456191519869</v>
      </c>
      <c r="C27">
        <f>day_length(F27,$B$1,Fitting!$B$4)</f>
        <v>12.847629547119141</v>
      </c>
      <c r="D27" s="1">
        <f t="shared" si="1"/>
        <v>32956</v>
      </c>
      <c r="E27">
        <f t="shared" si="3"/>
        <v>1990</v>
      </c>
      <c r="F27" s="6">
        <f t="shared" si="4"/>
        <v>83</v>
      </c>
      <c r="G27">
        <v>27.5</v>
      </c>
      <c r="H27">
        <v>22.5</v>
      </c>
      <c r="I27">
        <f>MAX(0,1-Fitting!$B$7*(Fitting!$B$6-Herm8889!C27)^2)</f>
        <v>0.44778359017901859</v>
      </c>
      <c r="J27">
        <f>tt(G27,H27,Fitting!$B$1:$E$1,Fitting!$B$2:$E$2)*I27</f>
        <v>11.194589754475464</v>
      </c>
    </row>
    <row r="28" spans="1:10">
      <c r="A28" s="1">
        <f t="shared" si="2"/>
        <v>32957</v>
      </c>
      <c r="B28">
        <f t="shared" si="0"/>
        <v>269.06598826531808</v>
      </c>
      <c r="C28">
        <f>day_length(F28,$B$1,Fitting!$B$4)</f>
        <v>12.823164939880371</v>
      </c>
      <c r="D28" s="1">
        <f t="shared" si="1"/>
        <v>32957</v>
      </c>
      <c r="E28">
        <f t="shared" si="3"/>
        <v>1990</v>
      </c>
      <c r="F28" s="6">
        <f t="shared" si="4"/>
        <v>84</v>
      </c>
      <c r="G28">
        <v>23.4</v>
      </c>
      <c r="H28">
        <v>18.7</v>
      </c>
      <c r="I28">
        <f>MAX(0,1-Fitting!$B$7*(Fitting!$B$6-Herm8889!C28)^2)</f>
        <v>0.44614849594028239</v>
      </c>
      <c r="J28">
        <f>tt(G28,H28,Fitting!$B$1:$E$1,Fitting!$B$2:$E$2)*I28</f>
        <v>9.391426350119378</v>
      </c>
    </row>
    <row r="29" spans="1:10">
      <c r="A29" s="1">
        <f t="shared" si="2"/>
        <v>32958</v>
      </c>
      <c r="B29">
        <f t="shared" si="0"/>
        <v>278.69075943315568</v>
      </c>
      <c r="C29">
        <f>day_length(F29,$B$1,Fitting!$B$4)</f>
        <v>12.798760414123535</v>
      </c>
      <c r="D29" s="1">
        <f t="shared" si="1"/>
        <v>32958</v>
      </c>
      <c r="E29">
        <f t="shared" si="3"/>
        <v>1990</v>
      </c>
      <c r="F29" s="6">
        <f t="shared" si="4"/>
        <v>85</v>
      </c>
      <c r="G29">
        <v>23</v>
      </c>
      <c r="H29">
        <v>20.3</v>
      </c>
      <c r="I29">
        <f>MAX(0,1-Fitting!$B$7*(Fitting!$B$6-Herm8889!C29)^2)</f>
        <v>0.44456218648612411</v>
      </c>
      <c r="J29">
        <f>tt(G29,H29,Fitting!$B$1:$E$1,Fitting!$B$2:$E$2)*I29</f>
        <v>9.6247711678375705</v>
      </c>
    </row>
    <row r="30" spans="1:10">
      <c r="A30" s="1">
        <f t="shared" si="2"/>
        <v>32959</v>
      </c>
      <c r="B30">
        <f t="shared" si="0"/>
        <v>288.85818754381989</v>
      </c>
      <c r="C30">
        <f>day_length(F30,$B$1,Fitting!$B$4)</f>
        <v>12.774419784545898</v>
      </c>
      <c r="D30" s="1">
        <f t="shared" si="1"/>
        <v>32959</v>
      </c>
      <c r="E30">
        <f t="shared" si="3"/>
        <v>1990</v>
      </c>
      <c r="F30" s="6">
        <f t="shared" si="4"/>
        <v>86</v>
      </c>
      <c r="G30">
        <v>25.9</v>
      </c>
      <c r="H30">
        <v>20</v>
      </c>
      <c r="I30">
        <f>MAX(0,1-Fitting!$B$7*(Fitting!$B$6-Herm8889!C30)^2)</f>
        <v>0.44302521209875156</v>
      </c>
      <c r="J30">
        <f>tt(G30,H30,Fitting!$B$1:$E$1,Fitting!$B$2:$E$2)*I30</f>
        <v>10.167428110664229</v>
      </c>
    </row>
    <row r="31" spans="1:10">
      <c r="A31" s="1">
        <f t="shared" si="2"/>
        <v>32960</v>
      </c>
      <c r="B31">
        <f t="shared" si="0"/>
        <v>299.47719752601984</v>
      </c>
      <c r="C31">
        <f>day_length(F31,$B$1,Fitting!$B$4)</f>
        <v>12.750147819519043</v>
      </c>
      <c r="D31" s="1">
        <f t="shared" si="1"/>
        <v>32960</v>
      </c>
      <c r="E31">
        <f t="shared" si="3"/>
        <v>1990</v>
      </c>
      <c r="F31" s="6">
        <f t="shared" si="4"/>
        <v>87</v>
      </c>
      <c r="G31">
        <v>27.1</v>
      </c>
      <c r="H31">
        <v>21</v>
      </c>
      <c r="I31">
        <f>MAX(0,1-Fitting!$B$7*(Fitting!$B$6-Herm8889!C31)^2)</f>
        <v>0.44153889060571239</v>
      </c>
      <c r="J31">
        <f>tt(G31,H31,Fitting!$B$1:$E$1,Fitting!$B$2:$E$2)*I31</f>
        <v>10.619009982199943</v>
      </c>
    </row>
    <row r="32" spans="1:10">
      <c r="A32" s="1">
        <f t="shared" si="2"/>
        <v>32961</v>
      </c>
      <c r="B32">
        <f t="shared" si="0"/>
        <v>310.47979716569478</v>
      </c>
      <c r="C32">
        <f>day_length(F32,$B$1,Fitting!$B$4)</f>
        <v>12.725950241088867</v>
      </c>
      <c r="D32" s="1">
        <f t="shared" si="1"/>
        <v>32961</v>
      </c>
      <c r="E32">
        <f t="shared" si="3"/>
        <v>1990</v>
      </c>
      <c r="F32" s="6">
        <f t="shared" si="4"/>
        <v>88</v>
      </c>
      <c r="G32">
        <v>29</v>
      </c>
      <c r="H32">
        <v>21</v>
      </c>
      <c r="I32">
        <f>MAX(0,1-Fitting!$B$7*(Fitting!$B$6-Herm8889!C32)^2)</f>
        <v>0.4401039855869967</v>
      </c>
      <c r="J32">
        <f>tt(G32,H32,Fitting!$B$1:$E$1,Fitting!$B$2:$E$2)*I32</f>
        <v>11.002599639674917</v>
      </c>
    </row>
    <row r="33" spans="1:10">
      <c r="A33" s="1">
        <f t="shared" si="2"/>
        <v>32962</v>
      </c>
      <c r="B33">
        <f t="shared" si="0"/>
        <v>321.22846793455233</v>
      </c>
      <c r="C33">
        <f>day_length(F33,$B$1,Fitting!$B$4)</f>
        <v>12.70182991027832</v>
      </c>
      <c r="D33" s="1">
        <f t="shared" si="1"/>
        <v>32962</v>
      </c>
      <c r="E33">
        <f t="shared" si="3"/>
        <v>1990</v>
      </c>
      <c r="F33" s="6">
        <f t="shared" si="4"/>
        <v>89</v>
      </c>
      <c r="G33">
        <v>30</v>
      </c>
      <c r="H33">
        <v>19</v>
      </c>
      <c r="I33">
        <f>MAX(0,1-Fitting!$B$7*(Fitting!$B$6-Herm8889!C33)^2)</f>
        <v>0.43872125587173649</v>
      </c>
      <c r="J33">
        <f>tt(G33,H33,Fitting!$B$1:$E$1,Fitting!$B$2:$E$2)*I33</f>
        <v>10.748670768857544</v>
      </c>
    </row>
    <row r="34" spans="1:10">
      <c r="A34" s="1">
        <f t="shared" si="2"/>
        <v>32963</v>
      </c>
      <c r="B34">
        <f t="shared" si="0"/>
        <v>331.91316002922144</v>
      </c>
      <c r="C34">
        <f>day_length(F34,$B$1,Fitting!$B$4)</f>
        <v>12.677789688110352</v>
      </c>
      <c r="D34" s="1">
        <f t="shared" si="1"/>
        <v>32963</v>
      </c>
      <c r="E34">
        <f t="shared" si="3"/>
        <v>1990</v>
      </c>
      <c r="F34" s="6">
        <f t="shared" si="4"/>
        <v>90</v>
      </c>
      <c r="G34">
        <v>30.4</v>
      </c>
      <c r="H34">
        <v>18.5</v>
      </c>
      <c r="I34">
        <f>MAX(0,1-Fitting!$B$7*(Fitting!$B$6-Herm8889!C34)^2)</f>
        <v>0.43739167690851355</v>
      </c>
      <c r="J34">
        <f>tt(G34,H34,Fitting!$B$1:$E$1,Fitting!$B$2:$E$2)*I34</f>
        <v>10.684692094669144</v>
      </c>
    </row>
    <row r="35" spans="1:10">
      <c r="A35" s="1">
        <f t="shared" si="2"/>
        <v>32964</v>
      </c>
      <c r="B35">
        <f t="shared" si="0"/>
        <v>341.5731316755207</v>
      </c>
      <c r="C35">
        <f>day_length(F35,$B$1,Fitting!$B$4)</f>
        <v>12.653837203979492</v>
      </c>
      <c r="D35" s="1">
        <f t="shared" si="1"/>
        <v>32964</v>
      </c>
      <c r="E35">
        <f t="shared" si="3"/>
        <v>1990</v>
      </c>
      <c r="F35" s="6">
        <f t="shared" si="4"/>
        <v>91</v>
      </c>
      <c r="G35">
        <v>27.3</v>
      </c>
      <c r="H35">
        <v>17</v>
      </c>
      <c r="I35">
        <f>MAX(0,1-Fitting!$B$7*(Fitting!$B$6-Herm8889!C35)^2)</f>
        <v>0.43611610892389763</v>
      </c>
      <c r="J35">
        <f>tt(G35,H35,Fitting!$B$1:$E$1,Fitting!$B$2:$E$2)*I35</f>
        <v>9.6599716462992404</v>
      </c>
    </row>
    <row r="36" spans="1:10">
      <c r="A36" s="1">
        <f t="shared" si="2"/>
        <v>32965</v>
      </c>
      <c r="B36">
        <f t="shared" si="0"/>
        <v>350.70593439312324</v>
      </c>
      <c r="C36">
        <f>day_length(F36,$B$1,Fitting!$B$4)</f>
        <v>12.629974365234375</v>
      </c>
      <c r="D36" s="1">
        <f t="shared" si="1"/>
        <v>32965</v>
      </c>
      <c r="E36">
        <f t="shared" si="3"/>
        <v>1990</v>
      </c>
      <c r="F36" s="6">
        <f t="shared" si="4"/>
        <v>92</v>
      </c>
      <c r="G36">
        <v>22</v>
      </c>
      <c r="H36">
        <v>20</v>
      </c>
      <c r="I36">
        <f>MAX(0,1-Fitting!$B$7*(Fitting!$B$6-Herm8889!C36)^2)</f>
        <v>0.43489540700474749</v>
      </c>
      <c r="J36">
        <f>tt(G36,H36,Fitting!$B$1:$E$1,Fitting!$B$2:$E$2)*I36</f>
        <v>9.1328027176025373</v>
      </c>
    </row>
    <row r="37" spans="1:10">
      <c r="A37" s="1">
        <f t="shared" si="2"/>
        <v>32966</v>
      </c>
      <c r="B37">
        <f t="shared" si="0"/>
        <v>359.70583831712736</v>
      </c>
      <c r="C37">
        <f>day_length(F37,$B$1,Fitting!$B$4)</f>
        <v>12.606206893920898</v>
      </c>
      <c r="D37" s="1">
        <f t="shared" si="1"/>
        <v>32966</v>
      </c>
      <c r="E37">
        <f t="shared" si="3"/>
        <v>1990</v>
      </c>
      <c r="F37" s="6">
        <f t="shared" si="4"/>
        <v>93</v>
      </c>
      <c r="G37">
        <v>23.5</v>
      </c>
      <c r="H37">
        <v>18</v>
      </c>
      <c r="I37">
        <f>MAX(0,1-Fitting!$B$7*(Fitting!$B$6-Herm8889!C37)^2)</f>
        <v>0.4337303095905608</v>
      </c>
      <c r="J37">
        <f>tt(G37,H37,Fitting!$B$1:$E$1,Fitting!$B$2:$E$2)*I37</f>
        <v>8.999903924004137</v>
      </c>
    </row>
    <row r="38" spans="1:10">
      <c r="A38" s="1">
        <f t="shared" si="2"/>
        <v>32967</v>
      </c>
      <c r="B38">
        <f t="shared" si="0"/>
        <v>369.76429191604331</v>
      </c>
      <c r="C38">
        <f>day_length(F38,$B$1,Fitting!$B$4)</f>
        <v>12.582537651062012</v>
      </c>
      <c r="D38" s="1">
        <f t="shared" si="1"/>
        <v>32967</v>
      </c>
      <c r="E38">
        <f t="shared" si="3"/>
        <v>1990</v>
      </c>
      <c r="F38" s="6">
        <f t="shared" si="4"/>
        <v>94</v>
      </c>
      <c r="G38">
        <v>27</v>
      </c>
      <c r="H38">
        <v>19.5</v>
      </c>
      <c r="I38">
        <f>MAX(0,1-Fitting!$B$7*(Fitting!$B$6-Herm8889!C38)^2)</f>
        <v>0.43262166016842818</v>
      </c>
      <c r="J38">
        <f>tt(G38,H38,Fitting!$B$1:$E$1,Fitting!$B$2:$E$2)*I38</f>
        <v>10.058453598915955</v>
      </c>
    </row>
    <row r="39" spans="1:10">
      <c r="A39" s="1">
        <f t="shared" si="2"/>
        <v>32968</v>
      </c>
      <c r="B39">
        <f t="shared" si="0"/>
        <v>379.25883435266115</v>
      </c>
      <c r="C39">
        <f>day_length(F39,$B$1,Fitting!$B$4)</f>
        <v>12.55897331237793</v>
      </c>
      <c r="D39" s="1">
        <f t="shared" si="1"/>
        <v>32968</v>
      </c>
      <c r="E39">
        <f t="shared" si="3"/>
        <v>1990</v>
      </c>
      <c r="F39" s="6">
        <f t="shared" si="4"/>
        <v>95</v>
      </c>
      <c r="G39">
        <v>27</v>
      </c>
      <c r="H39">
        <v>17</v>
      </c>
      <c r="I39">
        <f>MAX(0,1-Fitting!$B$7*(Fitting!$B$6-Herm8889!C39)^2)</f>
        <v>0.43157007333923869</v>
      </c>
      <c r="J39">
        <f>tt(G39,H39,Fitting!$B$1:$E$1,Fitting!$B$2:$E$2)*I39</f>
        <v>9.4945424366178397</v>
      </c>
    </row>
    <row r="40" spans="1:10">
      <c r="A40" s="1">
        <f t="shared" si="2"/>
        <v>32969</v>
      </c>
      <c r="B40">
        <f t="shared" si="0"/>
        <v>389.37737664981029</v>
      </c>
      <c r="C40">
        <f>day_length(F40,$B$1,Fitting!$B$4)</f>
        <v>12.535515785217285</v>
      </c>
      <c r="D40" s="1">
        <f t="shared" si="1"/>
        <v>32969</v>
      </c>
      <c r="E40">
        <f t="shared" si="3"/>
        <v>1990</v>
      </c>
      <c r="F40" s="6">
        <f t="shared" si="4"/>
        <v>96</v>
      </c>
      <c r="G40">
        <v>28</v>
      </c>
      <c r="H40">
        <v>19</v>
      </c>
      <c r="I40">
        <f>MAX(0,1-Fitting!$B$7*(Fitting!$B$6-Herm8889!C40)^2)</f>
        <v>0.43057626796379367</v>
      </c>
      <c r="J40">
        <f>tt(G40,H40,Fitting!$B$1:$E$1,Fitting!$B$2:$E$2)*I40</f>
        <v>10.118542297149151</v>
      </c>
    </row>
    <row r="41" spans="1:10">
      <c r="A41" s="1">
        <f t="shared" si="2"/>
        <v>32970</v>
      </c>
      <c r="B41">
        <f t="shared" si="0"/>
        <v>400.11839857516162</v>
      </c>
      <c r="C41">
        <f>day_length(F41,$B$1,Fitting!$B$4)</f>
        <v>12.51216983795166</v>
      </c>
      <c r="D41" s="1">
        <f t="shared" si="1"/>
        <v>32970</v>
      </c>
      <c r="E41">
        <f t="shared" si="3"/>
        <v>1990</v>
      </c>
      <c r="F41" s="6">
        <f t="shared" si="4"/>
        <v>97</v>
      </c>
      <c r="G41">
        <v>30</v>
      </c>
      <c r="H41">
        <v>20</v>
      </c>
      <c r="I41">
        <f>MAX(0,1-Fitting!$B$7*(Fitting!$B$6-Herm8889!C41)^2)</f>
        <v>0.42964084423505844</v>
      </c>
      <c r="J41">
        <f>tt(G41,H41,Fitting!$B$1:$E$1,Fitting!$B$2:$E$2)*I41</f>
        <v>10.741021925351339</v>
      </c>
    </row>
    <row r="42" spans="1:10">
      <c r="A42" s="1">
        <f t="shared" si="2"/>
        <v>32971</v>
      </c>
      <c r="B42">
        <f t="shared" si="0"/>
        <v>410.9054125243976</v>
      </c>
      <c r="C42">
        <f>day_length(F42,$B$1,Fitting!$B$4)</f>
        <v>12.488941192626953</v>
      </c>
      <c r="D42" s="1">
        <f t="shared" si="1"/>
        <v>32971</v>
      </c>
      <c r="E42">
        <f t="shared" si="3"/>
        <v>1990</v>
      </c>
      <c r="F42" s="6">
        <f t="shared" si="4"/>
        <v>98</v>
      </c>
      <c r="G42">
        <v>31</v>
      </c>
      <c r="H42">
        <v>20</v>
      </c>
      <c r="I42">
        <f>MAX(0,1-Fitting!$B$7*(Fitting!$B$6-Herm8889!C42)^2)</f>
        <v>0.4287647296169107</v>
      </c>
      <c r="J42">
        <f>tt(G42,H42,Fitting!$B$1:$E$1,Fitting!$B$2:$E$2)*I42</f>
        <v>10.787013949235968</v>
      </c>
    </row>
    <row r="43" spans="1:10">
      <c r="A43" s="1">
        <f t="shared" si="2"/>
        <v>32972</v>
      </c>
      <c r="B43">
        <f t="shared" si="0"/>
        <v>421.15477080468042</v>
      </c>
      <c r="C43">
        <f>day_length(F43,$B$1,Fitting!$B$4)</f>
        <v>12.465831756591797</v>
      </c>
      <c r="D43" s="1">
        <f t="shared" si="1"/>
        <v>32972</v>
      </c>
      <c r="E43">
        <f t="shared" si="3"/>
        <v>1990</v>
      </c>
      <c r="F43" s="6">
        <f t="shared" si="4"/>
        <v>99</v>
      </c>
      <c r="G43">
        <v>27.4</v>
      </c>
      <c r="H43">
        <v>20.5</v>
      </c>
      <c r="I43">
        <f>MAX(0,1-Fitting!$B$7*(Fitting!$B$6-Herm8889!C43)^2)</f>
        <v>0.42794817411401342</v>
      </c>
      <c r="J43">
        <f>tt(G43,H43,Fitting!$B$1:$E$1,Fitting!$B$2:$E$2)*I43</f>
        <v>10.249358280282802</v>
      </c>
    </row>
    <row r="44" spans="1:10">
      <c r="A44" s="1">
        <f t="shared" si="2"/>
        <v>32973</v>
      </c>
      <c r="B44">
        <f t="shared" si="0"/>
        <v>431.51417273601999</v>
      </c>
      <c r="C44">
        <f>day_length(F44,$B$1,Fitting!$B$4)</f>
        <v>12.442849159240723</v>
      </c>
      <c r="D44" s="1">
        <f t="shared" si="1"/>
        <v>32973</v>
      </c>
      <c r="E44">
        <f t="shared" si="3"/>
        <v>1990</v>
      </c>
      <c r="F44" s="6">
        <f t="shared" si="4"/>
        <v>100</v>
      </c>
      <c r="G44">
        <v>28.5</v>
      </c>
      <c r="H44">
        <v>20</v>
      </c>
      <c r="I44">
        <f>MAX(0,1-Fitting!$B$7*(Fitting!$B$6-Herm8889!C44)^2)</f>
        <v>0.42719186582034485</v>
      </c>
      <c r="J44">
        <f>tt(G44,H44,Fitting!$B$1:$E$1,Fitting!$B$2:$E$2)*I44</f>
        <v>10.359401931339541</v>
      </c>
    </row>
    <row r="45" spans="1:10">
      <c r="A45" s="1">
        <f t="shared" si="2"/>
        <v>32974</v>
      </c>
      <c r="B45">
        <f t="shared" si="0"/>
        <v>441.17431876472187</v>
      </c>
      <c r="C45">
        <f>day_length(F45,$B$1,Fitting!$B$4)</f>
        <v>12.419995307922363</v>
      </c>
      <c r="D45" s="1">
        <f t="shared" si="1"/>
        <v>32974</v>
      </c>
      <c r="E45">
        <f t="shared" si="3"/>
        <v>1990</v>
      </c>
      <c r="F45" s="6">
        <f t="shared" si="4"/>
        <v>101</v>
      </c>
      <c r="G45">
        <v>26.1</v>
      </c>
      <c r="H45">
        <v>19.2</v>
      </c>
      <c r="I45">
        <f>MAX(0,1-Fitting!$B$7*(Fitting!$B$6-Herm8889!C45)^2)</f>
        <v>0.42649648467637602</v>
      </c>
      <c r="J45">
        <f>tt(G45,H45,Fitting!$B$1:$E$1,Fitting!$B$2:$E$2)*I45</f>
        <v>9.6601460287019059</v>
      </c>
    </row>
    <row r="46" spans="1:10">
      <c r="A46" s="1">
        <f t="shared" si="2"/>
        <v>32975</v>
      </c>
      <c r="B46">
        <f t="shared" si="0"/>
        <v>451.35242729425624</v>
      </c>
      <c r="C46">
        <f>day_length(F46,$B$1,Fitting!$B$4)</f>
        <v>12.397274971008301</v>
      </c>
      <c r="D46" s="1">
        <f t="shared" si="1"/>
        <v>32975</v>
      </c>
      <c r="E46">
        <f t="shared" si="3"/>
        <v>1990</v>
      </c>
      <c r="F46" s="6">
        <f t="shared" si="4"/>
        <v>102</v>
      </c>
      <c r="G46">
        <v>30.2</v>
      </c>
      <c r="H46">
        <v>17.600000000000001</v>
      </c>
      <c r="I46">
        <f>MAX(0,1-Fitting!$B$7*(Fitting!$B$6-Herm8889!C46)^2)</f>
        <v>0.42586225438159631</v>
      </c>
      <c r="J46">
        <f>tt(G46,H46,Fitting!$B$1:$E$1,Fitting!$B$2:$E$2)*I46</f>
        <v>10.178108529534382</v>
      </c>
    </row>
    <row r="47" spans="1:10">
      <c r="A47" s="1">
        <f t="shared" si="2"/>
        <v>32976</v>
      </c>
      <c r="B47">
        <f t="shared" si="0"/>
        <v>461.36800263120847</v>
      </c>
      <c r="C47">
        <f>day_length(F47,$B$1,Fitting!$B$4)</f>
        <v>12.374693870544434</v>
      </c>
      <c r="D47" s="1">
        <f t="shared" si="1"/>
        <v>32976</v>
      </c>
      <c r="E47">
        <f t="shared" si="3"/>
        <v>1990</v>
      </c>
      <c r="F47" s="6">
        <f t="shared" si="4"/>
        <v>103</v>
      </c>
      <c r="G47">
        <v>28.6</v>
      </c>
      <c r="H47">
        <v>18.5</v>
      </c>
      <c r="I47">
        <f>MAX(0,1-Fitting!$B$7*(Fitting!$B$6-Herm8889!C47)^2)</f>
        <v>0.42528983700308343</v>
      </c>
      <c r="J47">
        <f>tt(G47,H47,Fitting!$B$1:$E$1,Fitting!$B$2:$E$2)*I47</f>
        <v>10.015575336952219</v>
      </c>
    </row>
    <row r="48" spans="1:10">
      <c r="A48" s="1">
        <f t="shared" si="2"/>
        <v>32977</v>
      </c>
      <c r="B48">
        <f t="shared" si="0"/>
        <v>471.54146967291126</v>
      </c>
      <c r="C48">
        <f>day_length(F48,$B$1,Fitting!$B$4)</f>
        <v>12.352254867553711</v>
      </c>
      <c r="D48" s="1">
        <f t="shared" si="1"/>
        <v>32977</v>
      </c>
      <c r="E48">
        <f t="shared" si="3"/>
        <v>1990</v>
      </c>
      <c r="F48" s="6">
        <f t="shared" si="4"/>
        <v>104</v>
      </c>
      <c r="G48">
        <v>29.9</v>
      </c>
      <c r="H48">
        <v>18</v>
      </c>
      <c r="I48">
        <f>MAX(0,1-Fitting!$B$7*(Fitting!$B$6-Herm8889!C48)^2)</f>
        <v>0.42477943748744473</v>
      </c>
      <c r="J48">
        <f>tt(G48,H48,Fitting!$B$1:$E$1,Fitting!$B$2:$E$2)*I48</f>
        <v>10.173467041702814</v>
      </c>
    </row>
    <row r="49" spans="1:10">
      <c r="A49" s="1">
        <f t="shared" si="2"/>
        <v>32978</v>
      </c>
      <c r="B49">
        <f t="shared" si="0"/>
        <v>481.23744997214118</v>
      </c>
      <c r="C49">
        <f>day_length(F49,$B$1,Fitting!$B$4)</f>
        <v>12.329963684082031</v>
      </c>
      <c r="D49" s="1">
        <f t="shared" si="1"/>
        <v>32978</v>
      </c>
      <c r="E49">
        <f t="shared" si="3"/>
        <v>1990</v>
      </c>
      <c r="F49" s="6">
        <f t="shared" si="4"/>
        <v>105</v>
      </c>
      <c r="G49">
        <v>28.2</v>
      </c>
      <c r="H49">
        <v>17.5</v>
      </c>
      <c r="I49">
        <f>MAX(0,1-Fitting!$B$7*(Fitting!$B$6-Herm8889!C49)^2)</f>
        <v>0.42433169925653058</v>
      </c>
      <c r="J49">
        <f>tt(G49,H49,Fitting!$B$1:$E$1,Fitting!$B$2:$E$2)*I49</f>
        <v>9.6959802992299071</v>
      </c>
    </row>
    <row r="50" spans="1:10">
      <c r="A50" s="1">
        <f t="shared" si="2"/>
        <v>32979</v>
      </c>
      <c r="B50">
        <f t="shared" si="0"/>
        <v>491.24259215217444</v>
      </c>
      <c r="C50">
        <f>day_length(F50,$B$1,Fitting!$B$4)</f>
        <v>12.307825088500977</v>
      </c>
      <c r="D50" s="1">
        <f t="shared" si="1"/>
        <v>32979</v>
      </c>
      <c r="E50">
        <f t="shared" si="3"/>
        <v>1990</v>
      </c>
      <c r="F50" s="6">
        <f t="shared" si="4"/>
        <v>106</v>
      </c>
      <c r="G50">
        <v>28.2</v>
      </c>
      <c r="H50">
        <v>19</v>
      </c>
      <c r="I50">
        <f>MAX(0,1-Fitting!$B$7*(Fitting!$B$6-Herm8889!C50)^2)</f>
        <v>0.42394669569112009</v>
      </c>
      <c r="J50">
        <f>tt(G50,H50,Fitting!$B$1:$E$1,Fitting!$B$2:$E$2)*I50</f>
        <v>10.005142180033264</v>
      </c>
    </row>
    <row r="51" spans="1:10">
      <c r="A51" s="1">
        <f t="shared" si="2"/>
        <v>32980</v>
      </c>
      <c r="B51">
        <f t="shared" si="0"/>
        <v>501.19777293582763</v>
      </c>
      <c r="C51">
        <f>day_length(F51,$B$1,Fitting!$B$4)</f>
        <v>12.285842895507812</v>
      </c>
      <c r="D51" s="1">
        <f t="shared" si="1"/>
        <v>32980</v>
      </c>
      <c r="E51">
        <f t="shared" si="3"/>
        <v>1990</v>
      </c>
      <c r="F51" s="6">
        <f t="shared" si="4"/>
        <v>107</v>
      </c>
      <c r="G51">
        <v>26.5</v>
      </c>
      <c r="H51">
        <v>20.5</v>
      </c>
      <c r="I51">
        <f>MAX(0,1-Fitting!$B$7*(Fitting!$B$6-Herm8889!C51)^2)</f>
        <v>0.42362471419800751</v>
      </c>
      <c r="J51">
        <f>tt(G51,H51,Fitting!$B$1:$E$1,Fitting!$B$2:$E$2)*I51</f>
        <v>9.9551807836531765</v>
      </c>
    </row>
    <row r="52" spans="1:10">
      <c r="A52" s="1">
        <f t="shared" si="2"/>
        <v>32981</v>
      </c>
      <c r="B52">
        <f t="shared" si="0"/>
        <v>511.27388417635404</v>
      </c>
      <c r="C52">
        <f>day_length(F52,$B$1,Fitting!$B$4)</f>
        <v>12.264021873474121</v>
      </c>
      <c r="D52" s="1">
        <f t="shared" si="1"/>
        <v>32981</v>
      </c>
      <c r="E52">
        <f t="shared" si="3"/>
        <v>1990</v>
      </c>
      <c r="F52" s="6">
        <f t="shared" si="4"/>
        <v>108</v>
      </c>
      <c r="G52">
        <v>26.6</v>
      </c>
      <c r="H52">
        <v>21</v>
      </c>
      <c r="I52">
        <f>MAX(0,1-Fitting!$B$7*(Fitting!$B$6-Herm8889!C52)^2)</f>
        <v>0.42336603208105406</v>
      </c>
      <c r="J52">
        <f>tt(G52,H52,Fitting!$B$1:$E$1,Fitting!$B$2:$E$2)*I52</f>
        <v>10.076111240526437</v>
      </c>
    </row>
    <row r="53" spans="1:10">
      <c r="A53" s="1">
        <f t="shared" si="2"/>
        <v>32982</v>
      </c>
      <c r="B53">
        <f t="shared" si="0"/>
        <v>521.42998617038791</v>
      </c>
      <c r="C53">
        <f>day_length(F53,$B$1,Fitting!$B$4)</f>
        <v>12.242367744445801</v>
      </c>
      <c r="D53" s="1">
        <f t="shared" si="1"/>
        <v>32982</v>
      </c>
      <c r="E53">
        <f t="shared" si="3"/>
        <v>1990</v>
      </c>
      <c r="F53" s="6">
        <f t="shared" si="4"/>
        <v>109</v>
      </c>
      <c r="G53">
        <v>26.5</v>
      </c>
      <c r="H53">
        <v>21.5</v>
      </c>
      <c r="I53">
        <f>MAX(0,1-Fitting!$B$7*(Fitting!$B$6-Herm8889!C53)^2)</f>
        <v>0.42317091641807925</v>
      </c>
      <c r="J53">
        <f>tt(G53,H53,Fitting!$B$1:$E$1,Fitting!$B$2:$E$2)*I53</f>
        <v>10.156101994033902</v>
      </c>
    </row>
    <row r="54" spans="1:10">
      <c r="A54" s="1">
        <f t="shared" si="2"/>
        <v>32983</v>
      </c>
      <c r="B54">
        <f t="shared" si="0"/>
        <v>531.43487126795776</v>
      </c>
      <c r="C54">
        <f>day_length(F54,$B$1,Fitting!$B$4)</f>
        <v>12.220883369445801</v>
      </c>
      <c r="D54" s="1">
        <f t="shared" si="1"/>
        <v>32983</v>
      </c>
      <c r="E54">
        <f t="shared" si="3"/>
        <v>1990</v>
      </c>
      <c r="F54" s="6">
        <f t="shared" si="4"/>
        <v>110</v>
      </c>
      <c r="G54">
        <v>25.5</v>
      </c>
      <c r="H54">
        <v>21.8</v>
      </c>
      <c r="I54">
        <f>MAX(0,1-Fitting!$B$7*(Fitting!$B$6-Herm8889!C54)^2)</f>
        <v>0.42303951171512921</v>
      </c>
      <c r="J54">
        <f>tt(G54,H54,Fitting!$B$1:$E$1,Fitting!$B$2:$E$2)*I54</f>
        <v>10.004885097569874</v>
      </c>
    </row>
    <row r="55" spans="1:10">
      <c r="A55" s="1">
        <f t="shared" si="2"/>
        <v>32984</v>
      </c>
      <c r="B55">
        <f t="shared" si="0"/>
        <v>540.10578938144647</v>
      </c>
      <c r="C55">
        <f>day_length(F55,$B$1,Fitting!$B$4)</f>
        <v>12.19957447052002</v>
      </c>
      <c r="D55" s="1">
        <f t="shared" si="1"/>
        <v>32984</v>
      </c>
      <c r="E55">
        <f t="shared" si="3"/>
        <v>1990</v>
      </c>
      <c r="F55" s="6">
        <f t="shared" si="4"/>
        <v>111</v>
      </c>
      <c r="G55">
        <v>23</v>
      </c>
      <c r="H55">
        <v>18</v>
      </c>
      <c r="I55">
        <f>MAX(0,1-Fitting!$B$7*(Fitting!$B$6-Herm8889!C55)^2)</f>
        <v>0.4229716152921319</v>
      </c>
      <c r="J55">
        <f>tt(G55,H55,Fitting!$B$1:$E$1,Fitting!$B$2:$E$2)*I55</f>
        <v>8.6709181134887032</v>
      </c>
    </row>
    <row r="56" spans="1:10">
      <c r="A56" s="1">
        <f t="shared" si="2"/>
        <v>32985</v>
      </c>
      <c r="B56">
        <f t="shared" si="0"/>
        <v>548.69203391723102</v>
      </c>
      <c r="C56">
        <f>day_length(F56,$B$1,Fitting!$B$4)</f>
        <v>12.178446769714355</v>
      </c>
      <c r="D56" s="1">
        <f t="shared" si="1"/>
        <v>32985</v>
      </c>
      <c r="E56">
        <f t="shared" si="3"/>
        <v>1990</v>
      </c>
      <c r="F56" s="6">
        <f t="shared" si="4"/>
        <v>112</v>
      </c>
      <c r="G56">
        <v>25.6</v>
      </c>
      <c r="H56">
        <v>15</v>
      </c>
      <c r="I56">
        <f>MAX(0,1-Fitting!$B$7*(Fitting!$B$6-Herm8889!C56)^2)</f>
        <v>0.42296768727765632</v>
      </c>
      <c r="J56">
        <f>tt(G56,H56,Fitting!$B$1:$E$1,Fitting!$B$2:$E$2)*I56</f>
        <v>8.5862445357845267</v>
      </c>
    </row>
    <row r="57" spans="1:10">
      <c r="A57" s="1">
        <f t="shared" si="2"/>
        <v>32986</v>
      </c>
      <c r="B57">
        <f t="shared" si="0"/>
        <v>556.51804273897778</v>
      </c>
      <c r="C57">
        <f>day_length(F57,$B$1,Fitting!$B$4)</f>
        <v>12.157504081726074</v>
      </c>
      <c r="D57" s="1">
        <f t="shared" si="1"/>
        <v>32986</v>
      </c>
      <c r="E57">
        <f t="shared" si="3"/>
        <v>1990</v>
      </c>
      <c r="F57" s="6">
        <f t="shared" si="4"/>
        <v>113</v>
      </c>
      <c r="G57">
        <v>25</v>
      </c>
      <c r="H57">
        <v>12</v>
      </c>
      <c r="I57">
        <f>MAX(0,1-Fitting!$B$7*(Fitting!$B$6-Herm8889!C57)^2)</f>
        <v>0.42302750387820565</v>
      </c>
      <c r="J57">
        <f>tt(G57,H57,Fitting!$B$1:$E$1,Fitting!$B$2:$E$2)*I57</f>
        <v>7.8260088217468047</v>
      </c>
    </row>
    <row r="58" spans="1:10">
      <c r="A58" s="1">
        <f t="shared" si="2"/>
        <v>32987</v>
      </c>
      <c r="B58">
        <f t="shared" si="0"/>
        <v>564.09244646530544</v>
      </c>
      <c r="C58">
        <f>day_length(F58,$B$1,Fitting!$B$4)</f>
        <v>12.136752128601074</v>
      </c>
      <c r="D58" s="1">
        <f t="shared" si="1"/>
        <v>32987</v>
      </c>
      <c r="E58">
        <f t="shared" si="3"/>
        <v>1990</v>
      </c>
      <c r="F58" s="6">
        <f t="shared" si="4"/>
        <v>114</v>
      </c>
      <c r="G58">
        <v>25.3</v>
      </c>
      <c r="H58">
        <v>10.5</v>
      </c>
      <c r="I58">
        <f>MAX(0,1-Fitting!$B$7*(Fitting!$B$6-Herm8889!C58)^2)</f>
        <v>0.42315105518139351</v>
      </c>
      <c r="J58">
        <f>tt(G58,H58,Fitting!$B$1:$E$1,Fitting!$B$2:$E$2)*I58</f>
        <v>7.5744037263276267</v>
      </c>
    </row>
    <row r="59" spans="1:10">
      <c r="A59" s="1">
        <f t="shared" si="2"/>
        <v>32988</v>
      </c>
      <c r="B59">
        <f t="shared" si="0"/>
        <v>571.92420332289601</v>
      </c>
      <c r="C59">
        <f>day_length(F59,$B$1,Fitting!$B$4)</f>
        <v>12.116195678710937</v>
      </c>
      <c r="D59" s="1">
        <f t="shared" si="1"/>
        <v>32988</v>
      </c>
      <c r="E59">
        <f t="shared" si="3"/>
        <v>1990</v>
      </c>
      <c r="F59" s="6">
        <f t="shared" si="4"/>
        <v>115</v>
      </c>
      <c r="G59">
        <v>27.5</v>
      </c>
      <c r="H59">
        <v>9.5</v>
      </c>
      <c r="I59">
        <f>MAX(0,1-Fitting!$B$7*(Fitting!$B$6-Herm8889!C59)^2)</f>
        <v>0.42333820851840753</v>
      </c>
      <c r="J59">
        <f>tt(G59,H59,Fitting!$B$1:$E$1,Fitting!$B$2:$E$2)*I59</f>
        <v>7.8317568575905394</v>
      </c>
    </row>
    <row r="60" spans="1:10">
      <c r="A60" s="1">
        <f t="shared" si="2"/>
        <v>32989</v>
      </c>
      <c r="B60">
        <f t="shared" si="0"/>
        <v>579.31582971765181</v>
      </c>
      <c r="C60">
        <f>day_length(F60,$B$1,Fitting!$B$4)</f>
        <v>12.09583854675293</v>
      </c>
      <c r="D60" s="1">
        <f t="shared" si="1"/>
        <v>32989</v>
      </c>
      <c r="E60">
        <f t="shared" si="3"/>
        <v>1990</v>
      </c>
      <c r="F60" s="6">
        <f t="shared" si="4"/>
        <v>116</v>
      </c>
      <c r="G60">
        <v>24.5</v>
      </c>
      <c r="H60">
        <v>10.4</v>
      </c>
      <c r="I60">
        <f>MAX(0,1-Fitting!$B$7*(Fitting!$B$6-Herm8889!C60)^2)</f>
        <v>0.4235889329234851</v>
      </c>
      <c r="J60">
        <f>tt(G60,H60,Fitting!$B$1:$E$1,Fitting!$B$2:$E$2)*I60</f>
        <v>7.3916263947557512</v>
      </c>
    </row>
    <row r="61" spans="1:10">
      <c r="A61" s="1">
        <f t="shared" si="2"/>
        <v>32990</v>
      </c>
      <c r="B61">
        <f t="shared" si="0"/>
        <v>585.14449431615719</v>
      </c>
      <c r="C61">
        <f>day_length(F61,$B$1,Fitting!$B$4)</f>
        <v>12.075688362121582</v>
      </c>
      <c r="D61" s="1">
        <f t="shared" si="1"/>
        <v>32990</v>
      </c>
      <c r="E61">
        <f t="shared" si="3"/>
        <v>1990</v>
      </c>
      <c r="F61" s="6">
        <f t="shared" si="4"/>
        <v>117</v>
      </c>
      <c r="G61">
        <v>22</v>
      </c>
      <c r="H61">
        <v>5.5</v>
      </c>
      <c r="I61">
        <f>MAX(0,1-Fitting!$B$7*(Fitting!$B$6-Herm8889!C61)^2)</f>
        <v>0.42390285049018894</v>
      </c>
      <c r="J61">
        <f>tt(G61,H61,Fitting!$B$1:$E$1,Fitting!$B$2:$E$2)*I61</f>
        <v>5.8286645985053589</v>
      </c>
    </row>
    <row r="62" spans="1:10">
      <c r="A62" s="1">
        <f t="shared" si="2"/>
        <v>32991</v>
      </c>
      <c r="B62">
        <f t="shared" si="0"/>
        <v>591.08441578380928</v>
      </c>
      <c r="C62">
        <f>day_length(F62,$B$1,Fitting!$B$4)</f>
        <v>12.055747985839844</v>
      </c>
      <c r="D62" s="1">
        <f t="shared" si="1"/>
        <v>32991</v>
      </c>
      <c r="E62">
        <f t="shared" si="3"/>
        <v>1990</v>
      </c>
      <c r="F62" s="6">
        <f t="shared" si="4"/>
        <v>118</v>
      </c>
      <c r="G62">
        <v>24</v>
      </c>
      <c r="H62">
        <v>4</v>
      </c>
      <c r="I62">
        <f>MAX(0,1-Fitting!$B$7*(Fitting!$B$6-Herm8889!C62)^2)</f>
        <v>0.42428013373408613</v>
      </c>
      <c r="J62">
        <f>tt(G62,H62,Fitting!$B$1:$E$1,Fitting!$B$2:$E$2)*I62</f>
        <v>5.9399214676521392</v>
      </c>
    </row>
    <row r="63" spans="1:10">
      <c r="A63" s="1">
        <f t="shared" si="2"/>
        <v>32992</v>
      </c>
      <c r="B63">
        <f t="shared" si="0"/>
        <v>597.77375694396937</v>
      </c>
      <c r="C63">
        <f>day_length(F63,$B$1,Fitting!$B$4)</f>
        <v>12.03602409362793</v>
      </c>
      <c r="D63" s="1">
        <f t="shared" si="1"/>
        <v>32992</v>
      </c>
      <c r="E63">
        <f t="shared" si="3"/>
        <v>1990</v>
      </c>
      <c r="F63" s="6">
        <f t="shared" si="4"/>
        <v>119</v>
      </c>
      <c r="G63">
        <v>26.1</v>
      </c>
      <c r="H63">
        <v>5.4</v>
      </c>
      <c r="I63">
        <f>MAX(0,1-Fitting!$B$7*(Fitting!$B$6-Herm8889!C63)^2)</f>
        <v>0.42472004794384155</v>
      </c>
      <c r="J63">
        <f>tt(G63,H63,Fitting!$B$1:$E$1,Fitting!$B$2:$E$2)*I63</f>
        <v>6.6893411601601054</v>
      </c>
    </row>
    <row r="64" spans="1:10">
      <c r="A64" s="1">
        <f t="shared" si="2"/>
        <v>32993</v>
      </c>
      <c r="B64">
        <f t="shared" si="0"/>
        <v>605.36398029708425</v>
      </c>
      <c r="C64">
        <f>day_length(F64,$B$1,Fitting!$B$4)</f>
        <v>12.016520500183105</v>
      </c>
      <c r="D64" s="1">
        <f t="shared" si="1"/>
        <v>32993</v>
      </c>
      <c r="E64">
        <f t="shared" si="3"/>
        <v>1990</v>
      </c>
      <c r="F64" s="6">
        <f t="shared" si="4"/>
        <v>120</v>
      </c>
      <c r="G64">
        <v>28.2</v>
      </c>
      <c r="H64">
        <v>7.5</v>
      </c>
      <c r="I64">
        <f>MAX(0,1-Fitting!$B$7*(Fitting!$B$6-Herm8889!C64)^2)</f>
        <v>0.42522263316263886</v>
      </c>
      <c r="J64">
        <f>tt(G64,H64,Fitting!$B$1:$E$1,Fitting!$B$2:$E$2)*I64</f>
        <v>7.5902233531148573</v>
      </c>
    </row>
    <row r="65" spans="1:10">
      <c r="A65" s="1">
        <f t="shared" si="2"/>
        <v>32994</v>
      </c>
      <c r="B65">
        <f t="shared" si="0"/>
        <v>613.19846754343291</v>
      </c>
      <c r="C65">
        <f>day_length(F65,$B$1,Fitting!$B$4)</f>
        <v>11.997243881225586</v>
      </c>
      <c r="D65" s="1">
        <f t="shared" si="1"/>
        <v>32994</v>
      </c>
      <c r="E65">
        <f t="shared" si="3"/>
        <v>1990</v>
      </c>
      <c r="F65" s="6">
        <f t="shared" si="4"/>
        <v>121</v>
      </c>
      <c r="G65">
        <v>28.2</v>
      </c>
      <c r="H65">
        <v>8.6</v>
      </c>
      <c r="I65">
        <f>MAX(0,1-Fitting!$B$7*(Fitting!$B$6-Herm8889!C65)^2)</f>
        <v>0.42578735917247834</v>
      </c>
      <c r="J65">
        <f>tt(G65,H65,Fitting!$B$1:$E$1,Fitting!$B$2:$E$2)*I65</f>
        <v>7.8344872463486137</v>
      </c>
    </row>
    <row r="66" spans="1:10">
      <c r="A66" s="1">
        <f t="shared" si="2"/>
        <v>32995</v>
      </c>
      <c r="B66">
        <f t="shared" si="0"/>
        <v>621.51353742404376</v>
      </c>
      <c r="C66">
        <f>day_length(F66,$B$1,Fitting!$B$4)</f>
        <v>11.978198051452637</v>
      </c>
      <c r="D66" s="1">
        <f t="shared" si="1"/>
        <v>32995</v>
      </c>
      <c r="E66">
        <f t="shared" si="3"/>
        <v>1990</v>
      </c>
      <c r="F66" s="6">
        <f t="shared" si="4"/>
        <v>122</v>
      </c>
      <c r="G66">
        <v>27.4</v>
      </c>
      <c r="H66">
        <v>11.6</v>
      </c>
      <c r="I66">
        <f>MAX(0,1-Fitting!$B$7*(Fitting!$B$6-Herm8889!C66)^2)</f>
        <v>0.42641379832261916</v>
      </c>
      <c r="J66">
        <f>tt(G66,H66,Fitting!$B$1:$E$1,Fitting!$B$2:$E$2)*I66</f>
        <v>8.3150698806108494</v>
      </c>
    </row>
    <row r="67" spans="1:10">
      <c r="A67" s="1">
        <f t="shared" si="2"/>
        <v>32996</v>
      </c>
      <c r="B67">
        <f t="shared" si="0"/>
        <v>629.94879371178149</v>
      </c>
      <c r="C67">
        <f>day_length(F67,$B$1,Fitting!$B$4)</f>
        <v>11.959390640258789</v>
      </c>
      <c r="D67" s="1">
        <f t="shared" si="1"/>
        <v>32996</v>
      </c>
      <c r="E67">
        <f t="shared" si="3"/>
        <v>1990</v>
      </c>
      <c r="F67" s="6">
        <f t="shared" si="4"/>
        <v>123</v>
      </c>
      <c r="G67">
        <v>26.4</v>
      </c>
      <c r="H67">
        <v>13.1</v>
      </c>
      <c r="I67">
        <f>MAX(0,1-Fitting!$B$7*(Fitting!$B$6-Herm8889!C67)^2)</f>
        <v>0.42710162543642949</v>
      </c>
      <c r="J67">
        <f>tt(G67,H67,Fitting!$B$1:$E$1,Fitting!$B$2:$E$2)*I67</f>
        <v>8.435256287737781</v>
      </c>
    </row>
    <row r="68" spans="1:10">
      <c r="A68" s="1">
        <f t="shared" si="2"/>
        <v>32997</v>
      </c>
      <c r="B68">
        <f t="shared" si="0"/>
        <v>637.43617365320006</v>
      </c>
      <c r="C68">
        <f>day_length(F68,$B$1,Fitting!$B$4)</f>
        <v>11.940826416015625</v>
      </c>
      <c r="D68" s="1">
        <f t="shared" si="1"/>
        <v>32997</v>
      </c>
      <c r="E68">
        <f t="shared" si="3"/>
        <v>1990</v>
      </c>
      <c r="F68" s="6">
        <f t="shared" si="4"/>
        <v>124</v>
      </c>
      <c r="G68">
        <v>27</v>
      </c>
      <c r="H68">
        <v>8</v>
      </c>
      <c r="I68">
        <f>MAX(0,1-Fitting!$B$7*(Fitting!$B$6-Herm8889!C68)^2)</f>
        <v>0.42785028236677503</v>
      </c>
      <c r="J68">
        <f>tt(G68,H68,Fitting!$B$1:$E$1,Fitting!$B$2:$E$2)*I68</f>
        <v>7.4873799414185633</v>
      </c>
    </row>
    <row r="69" spans="1:10">
      <c r="A69" s="1">
        <f t="shared" si="2"/>
        <v>32998</v>
      </c>
      <c r="B69">
        <f t="shared" ref="B69:B132" si="5">B68+J69</f>
        <v>645.49496842803865</v>
      </c>
      <c r="C69">
        <f>day_length(F69,$B$1,Fitting!$B$4)</f>
        <v>11.922508239746094</v>
      </c>
      <c r="D69" s="1">
        <f t="shared" ref="D69:D132" si="6">A69</f>
        <v>32998</v>
      </c>
      <c r="E69">
        <f t="shared" si="3"/>
        <v>1990</v>
      </c>
      <c r="F69" s="6">
        <f t="shared" si="4"/>
        <v>125</v>
      </c>
      <c r="G69">
        <v>27.6</v>
      </c>
      <c r="H69">
        <v>10</v>
      </c>
      <c r="I69">
        <f>MAX(0,1-Fitting!$B$7*(Fitting!$B$6-Herm8889!C69)^2)</f>
        <v>0.42865931392977108</v>
      </c>
      <c r="J69">
        <f>tt(G69,H69,Fitting!$B$1:$E$1,Fitting!$B$2:$E$2)*I69</f>
        <v>8.058794774838594</v>
      </c>
    </row>
    <row r="70" spans="1:10">
      <c r="A70" s="1">
        <f t="shared" ref="A70:A133" si="7">A69+1</f>
        <v>32999</v>
      </c>
      <c r="B70">
        <f t="shared" si="5"/>
        <v>653.74190913090513</v>
      </c>
      <c r="C70">
        <f>day_length(F70,$B$1,Fitting!$B$4)</f>
        <v>11.904445648193359</v>
      </c>
      <c r="D70" s="1">
        <f t="shared" si="6"/>
        <v>32999</v>
      </c>
      <c r="E70">
        <f t="shared" ref="E70:E133" si="8">YEAR(A70)</f>
        <v>1990</v>
      </c>
      <c r="F70" s="6">
        <f t="shared" ref="F70:F133" si="9">A70-DATE(E70,1,1)+1</f>
        <v>126</v>
      </c>
      <c r="G70">
        <v>28</v>
      </c>
      <c r="H70">
        <v>10.4</v>
      </c>
      <c r="I70">
        <f>MAX(0,1-Fitting!$B$7*(Fitting!$B$6-Herm8889!C70)^2)</f>
        <v>0.42952814453971222</v>
      </c>
      <c r="J70">
        <f>tt(G70,H70,Fitting!$B$1:$E$1,Fitting!$B$2:$E$2)*I70</f>
        <v>8.2469407028664428</v>
      </c>
    </row>
    <row r="71" spans="1:10">
      <c r="A71" s="1">
        <f t="shared" si="7"/>
        <v>33000</v>
      </c>
      <c r="B71">
        <f t="shared" si="5"/>
        <v>662.28646246010692</v>
      </c>
      <c r="C71">
        <f>day_length(F71,$B$1,Fitting!$B$4)</f>
        <v>11.886641502380371</v>
      </c>
      <c r="D71" s="1">
        <f t="shared" si="6"/>
        <v>33000</v>
      </c>
      <c r="E71">
        <f t="shared" si="8"/>
        <v>1990</v>
      </c>
      <c r="F71" s="6">
        <f t="shared" si="9"/>
        <v>127</v>
      </c>
      <c r="G71">
        <v>28.2</v>
      </c>
      <c r="H71">
        <v>11.5</v>
      </c>
      <c r="I71">
        <f>MAX(0,1-Fitting!$B$7*(Fitting!$B$6-Herm8889!C71)^2)</f>
        <v>0.43045607884109816</v>
      </c>
      <c r="J71">
        <f>tt(G71,H71,Fitting!$B$1:$E$1,Fitting!$B$2:$E$2)*I71</f>
        <v>8.5445533292017615</v>
      </c>
    </row>
    <row r="72" spans="1:10">
      <c r="A72" s="1">
        <f t="shared" si="7"/>
        <v>33001</v>
      </c>
      <c r="B72">
        <f t="shared" si="5"/>
        <v>670.89374256718588</v>
      </c>
      <c r="C72">
        <f>day_length(F72,$B$1,Fitting!$B$4)</f>
        <v>11.869102478027344</v>
      </c>
      <c r="D72" s="1">
        <f t="shared" si="6"/>
        <v>33001</v>
      </c>
      <c r="E72">
        <f t="shared" si="8"/>
        <v>1990</v>
      </c>
      <c r="F72" s="6">
        <f t="shared" si="9"/>
        <v>128</v>
      </c>
      <c r="G72">
        <v>27.5</v>
      </c>
      <c r="H72">
        <v>12.4</v>
      </c>
      <c r="I72">
        <f>MAX(0,1-Fitting!$B$7*(Fitting!$B$6-Herm8889!C72)^2)</f>
        <v>0.43144263663287896</v>
      </c>
      <c r="J72">
        <f>tt(G72,H72,Fitting!$B$1:$E$1,Fitting!$B$2:$E$2)*I72</f>
        <v>8.6072801070790206</v>
      </c>
    </row>
    <row r="73" spans="1:10">
      <c r="A73" s="1">
        <f t="shared" si="7"/>
        <v>33002</v>
      </c>
      <c r="B73">
        <f t="shared" si="5"/>
        <v>679.97597181287495</v>
      </c>
      <c r="C73">
        <f>day_length(F73,$B$1,Fitting!$B$4)</f>
        <v>11.851833343505859</v>
      </c>
      <c r="D73" s="1">
        <f t="shared" si="6"/>
        <v>33002</v>
      </c>
      <c r="E73">
        <f t="shared" si="8"/>
        <v>1990</v>
      </c>
      <c r="F73" s="6">
        <f t="shared" si="9"/>
        <v>129</v>
      </c>
      <c r="G73">
        <v>27.5</v>
      </c>
      <c r="H73">
        <v>14.5</v>
      </c>
      <c r="I73">
        <f>MAX(0,1-Fitting!$B$7*(Fitting!$B$6-Herm8889!C73)^2)</f>
        <v>0.43248710693757497</v>
      </c>
      <c r="J73">
        <f>tt(G73,H73,Fitting!$B$1:$E$1,Fitting!$B$2:$E$2)*I73</f>
        <v>9.0822292456890743</v>
      </c>
    </row>
    <row r="74" spans="1:10">
      <c r="A74" s="1">
        <f t="shared" si="7"/>
        <v>33003</v>
      </c>
      <c r="B74">
        <f t="shared" si="5"/>
        <v>690.07858727050802</v>
      </c>
      <c r="C74">
        <f>day_length(F74,$B$1,Fitting!$B$4)</f>
        <v>11.834839820861816</v>
      </c>
      <c r="D74" s="1">
        <f t="shared" si="6"/>
        <v>33003</v>
      </c>
      <c r="E74">
        <f t="shared" si="8"/>
        <v>1990</v>
      </c>
      <c r="F74" s="6">
        <f t="shared" si="9"/>
        <v>130</v>
      </c>
      <c r="G74">
        <v>28.1</v>
      </c>
      <c r="H74">
        <v>18.5</v>
      </c>
      <c r="I74">
        <f>MAX(0,1-Fitting!$B$7*(Fitting!$B$6-Herm8889!C74)^2)</f>
        <v>0.43358866044785283</v>
      </c>
      <c r="J74">
        <f>tt(G74,H74,Fitting!$B$1:$E$1,Fitting!$B$2:$E$2)*I74</f>
        <v>10.102615457633075</v>
      </c>
    </row>
    <row r="75" spans="1:10">
      <c r="A75" s="1">
        <f t="shared" si="7"/>
        <v>33004</v>
      </c>
      <c r="B75">
        <f t="shared" si="5"/>
        <v>699.90386499641465</v>
      </c>
      <c r="C75">
        <f>day_length(F75,$B$1,Fitting!$B$4)</f>
        <v>11.81812858581543</v>
      </c>
      <c r="D75" s="1">
        <f t="shared" si="6"/>
        <v>33004</v>
      </c>
      <c r="E75">
        <f t="shared" si="8"/>
        <v>1990</v>
      </c>
      <c r="F75" s="6">
        <f t="shared" si="9"/>
        <v>131</v>
      </c>
      <c r="G75">
        <v>28</v>
      </c>
      <c r="H75">
        <v>17.2</v>
      </c>
      <c r="I75">
        <f>MAX(0,1-Fitting!$B$7*(Fitting!$B$6-Herm8889!C75)^2)</f>
        <v>0.43474679469309196</v>
      </c>
      <c r="J75">
        <f>tt(G75,H75,Fitting!$B$1:$E$1,Fitting!$B$2:$E$2)*I75</f>
        <v>9.82527772590662</v>
      </c>
    </row>
    <row r="76" spans="1:10">
      <c r="A76" s="1">
        <f t="shared" si="7"/>
        <v>33005</v>
      </c>
      <c r="B76">
        <f t="shared" si="5"/>
        <v>709.08083753228698</v>
      </c>
      <c r="C76">
        <f>day_length(F76,$B$1,Fitting!$B$4)</f>
        <v>11.801704406738281</v>
      </c>
      <c r="D76" s="1">
        <f t="shared" si="6"/>
        <v>33005</v>
      </c>
      <c r="E76">
        <f t="shared" si="8"/>
        <v>1990</v>
      </c>
      <c r="F76" s="6">
        <f t="shared" si="9"/>
        <v>132</v>
      </c>
      <c r="G76">
        <v>27.6</v>
      </c>
      <c r="H76">
        <v>14.5</v>
      </c>
      <c r="I76">
        <f>MAX(0,1-Fitting!$B$7*(Fitting!$B$6-Herm8889!C76)^2)</f>
        <v>0.43596066683871326</v>
      </c>
      <c r="J76">
        <f>tt(G76,H76,Fitting!$B$1:$E$1,Fitting!$B$2:$E$2)*I76</f>
        <v>9.176972535872304</v>
      </c>
    </row>
    <row r="77" spans="1:10">
      <c r="A77" s="1">
        <f t="shared" si="7"/>
        <v>33006</v>
      </c>
      <c r="B77">
        <f t="shared" si="5"/>
        <v>717.84728584645256</v>
      </c>
      <c r="C77">
        <f>day_length(F77,$B$1,Fitting!$B$4)</f>
        <v>11.78557300567627</v>
      </c>
      <c r="D77" s="1">
        <f t="shared" si="6"/>
        <v>33006</v>
      </c>
      <c r="E77">
        <f t="shared" si="8"/>
        <v>1990</v>
      </c>
      <c r="F77" s="6">
        <f t="shared" si="9"/>
        <v>133</v>
      </c>
      <c r="G77">
        <v>28</v>
      </c>
      <c r="H77">
        <v>12.1</v>
      </c>
      <c r="I77">
        <f>MAX(0,1-Fitting!$B$7*(Fitting!$B$6-Herm8889!C77)^2)</f>
        <v>0.4372293173963262</v>
      </c>
      <c r="J77">
        <f>tt(G77,H77,Fitting!$B$1:$E$1,Fitting!$B$2:$E$2)*I77</f>
        <v>8.7664483141655847</v>
      </c>
    </row>
    <row r="78" spans="1:10">
      <c r="A78" s="1">
        <f t="shared" si="7"/>
        <v>33007</v>
      </c>
      <c r="B78">
        <f t="shared" si="5"/>
        <v>726.15784790529415</v>
      </c>
      <c r="C78">
        <f>day_length(F78,$B$1,Fitting!$B$4)</f>
        <v>11.769741058349609</v>
      </c>
      <c r="D78" s="1">
        <f t="shared" si="6"/>
        <v>33007</v>
      </c>
      <c r="E78">
        <f t="shared" si="8"/>
        <v>1990</v>
      </c>
      <c r="F78" s="6">
        <f t="shared" si="9"/>
        <v>134</v>
      </c>
      <c r="G78">
        <v>27.3</v>
      </c>
      <c r="H78">
        <v>10.6</v>
      </c>
      <c r="I78">
        <f>MAX(0,1-Fitting!$B$7*(Fitting!$B$6-Herm8889!C78)^2)</f>
        <v>0.43855211402240823</v>
      </c>
      <c r="J78">
        <f>tt(G78,H78,Fitting!$B$1:$E$1,Fitting!$B$2:$E$2)*I78</f>
        <v>8.3105620588415707</v>
      </c>
    </row>
    <row r="79" spans="1:10">
      <c r="A79" s="1">
        <f t="shared" si="7"/>
        <v>33008</v>
      </c>
      <c r="B79">
        <f t="shared" si="5"/>
        <v>734.34051253784719</v>
      </c>
      <c r="C79">
        <f>day_length(F79,$B$1,Fitting!$B$4)</f>
        <v>11.754212379455566</v>
      </c>
      <c r="D79" s="1">
        <f t="shared" si="6"/>
        <v>33008</v>
      </c>
      <c r="E79">
        <f t="shared" si="8"/>
        <v>1990</v>
      </c>
      <c r="F79" s="6">
        <f t="shared" si="9"/>
        <v>135</v>
      </c>
      <c r="G79">
        <v>26.2</v>
      </c>
      <c r="H79">
        <v>11</v>
      </c>
      <c r="I79">
        <f>MAX(0,1-Fitting!$B$7*(Fitting!$B$6-Herm8889!C79)^2)</f>
        <v>0.43992819702869745</v>
      </c>
      <c r="J79">
        <f>tt(G79,H79,Fitting!$B$1:$E$1,Fitting!$B$2:$E$2)*I79</f>
        <v>8.1826646325530614</v>
      </c>
    </row>
    <row r="80" spans="1:10">
      <c r="A80" s="1">
        <f t="shared" si="7"/>
        <v>33009</v>
      </c>
      <c r="B80">
        <f t="shared" si="5"/>
        <v>743.27798575060353</v>
      </c>
      <c r="C80">
        <f>day_length(F80,$B$1,Fitting!$B$4)</f>
        <v>11.738995552062988</v>
      </c>
      <c r="D80" s="1">
        <f t="shared" si="6"/>
        <v>33009</v>
      </c>
      <c r="E80">
        <f t="shared" si="8"/>
        <v>1990</v>
      </c>
      <c r="F80" s="6">
        <f t="shared" si="9"/>
        <v>136</v>
      </c>
      <c r="G80">
        <v>26.5</v>
      </c>
      <c r="H80">
        <v>14</v>
      </c>
      <c r="I80">
        <f>MAX(0,1-Fitting!$B$7*(Fitting!$B$6-Herm8889!C80)^2)</f>
        <v>0.4413567018645117</v>
      </c>
      <c r="J80">
        <f>tt(G80,H80,Fitting!$B$1:$E$1,Fitting!$B$2:$E$2)*I80</f>
        <v>8.9374732127563625</v>
      </c>
    </row>
    <row r="81" spans="1:10">
      <c r="A81" s="1">
        <f t="shared" si="7"/>
        <v>33010</v>
      </c>
      <c r="B81">
        <f t="shared" si="5"/>
        <v>753.02039287675711</v>
      </c>
      <c r="C81">
        <f>day_length(F81,$B$1,Fitting!$B$4)</f>
        <v>11.724092483520508</v>
      </c>
      <c r="D81" s="1">
        <f t="shared" si="6"/>
        <v>33010</v>
      </c>
      <c r="E81">
        <f t="shared" si="8"/>
        <v>1990</v>
      </c>
      <c r="F81" s="6">
        <f t="shared" si="9"/>
        <v>137</v>
      </c>
      <c r="G81">
        <v>27</v>
      </c>
      <c r="H81">
        <v>17</v>
      </c>
      <c r="I81">
        <f>MAX(0,1-Fitting!$B$7*(Fitting!$B$6-Herm8889!C81)^2)</f>
        <v>0.44283664915953158</v>
      </c>
      <c r="J81">
        <f>tt(G81,H81,Fitting!$B$1:$E$1,Fitting!$B$2:$E$2)*I81</f>
        <v>9.742407126153573</v>
      </c>
    </row>
    <row r="82" spans="1:10">
      <c r="A82" s="1">
        <f t="shared" si="7"/>
        <v>33011</v>
      </c>
      <c r="B82">
        <f t="shared" si="5"/>
        <v>761.66333673760084</v>
      </c>
      <c r="C82">
        <f>day_length(F82,$B$1,Fitting!$B$4)</f>
        <v>11.709511756896973</v>
      </c>
      <c r="D82" s="1">
        <f t="shared" si="6"/>
        <v>33011</v>
      </c>
      <c r="E82">
        <f t="shared" si="8"/>
        <v>1990</v>
      </c>
      <c r="F82" s="6">
        <f t="shared" si="9"/>
        <v>138</v>
      </c>
      <c r="G82">
        <v>25.5</v>
      </c>
      <c r="H82">
        <v>13.4</v>
      </c>
      <c r="I82">
        <f>MAX(0,1-Fitting!$B$7*(Fitting!$B$6-Herm8889!C82)^2)</f>
        <v>0.44436727618603622</v>
      </c>
      <c r="J82">
        <f>tt(G82,H82,Fitting!$B$1:$E$1,Fitting!$B$2:$E$2)*I82</f>
        <v>8.6429438608437312</v>
      </c>
    </row>
    <row r="83" spans="1:10">
      <c r="A83" s="1">
        <f t="shared" si="7"/>
        <v>33012</v>
      </c>
      <c r="B83">
        <f t="shared" si="5"/>
        <v>768.90998516888089</v>
      </c>
      <c r="C83">
        <f>day_length(F83,$B$1,Fitting!$B$4)</f>
        <v>11.695257186889648</v>
      </c>
      <c r="D83" s="1">
        <f t="shared" si="6"/>
        <v>33012</v>
      </c>
      <c r="E83">
        <f t="shared" si="8"/>
        <v>1990</v>
      </c>
      <c r="F83" s="6">
        <f t="shared" si="9"/>
        <v>139</v>
      </c>
      <c r="G83">
        <v>22</v>
      </c>
      <c r="H83">
        <v>10.5</v>
      </c>
      <c r="I83">
        <f>MAX(0,1-Fitting!$B$7*(Fitting!$B$6-Herm8889!C83)^2)</f>
        <v>0.44594759577108201</v>
      </c>
      <c r="J83">
        <f>tt(G83,H83,Fitting!$B$1:$E$1,Fitting!$B$2:$E$2)*I83</f>
        <v>7.2466484312800823</v>
      </c>
    </row>
    <row r="84" spans="1:10">
      <c r="A84" s="1">
        <f t="shared" si="7"/>
        <v>33013</v>
      </c>
      <c r="B84">
        <f t="shared" si="5"/>
        <v>776.5187876713793</v>
      </c>
      <c r="C84">
        <f>day_length(F84,$B$1,Fitting!$B$4)</f>
        <v>11.68133544921875</v>
      </c>
      <c r="D84" s="1">
        <f t="shared" si="6"/>
        <v>33013</v>
      </c>
      <c r="E84">
        <f t="shared" si="8"/>
        <v>1990</v>
      </c>
      <c r="F84" s="6">
        <f t="shared" si="9"/>
        <v>140</v>
      </c>
      <c r="G84">
        <v>24.5</v>
      </c>
      <c r="H84">
        <v>9.5</v>
      </c>
      <c r="I84">
        <f>MAX(0,1-Fitting!$B$7*(Fitting!$B$6-Herm8889!C84)^2)</f>
        <v>0.44757661779402402</v>
      </c>
      <c r="J84">
        <f>tt(G84,H84,Fitting!$B$1:$E$1,Fitting!$B$2:$E$2)*I84</f>
        <v>7.6088025024984081</v>
      </c>
    </row>
    <row r="85" spans="1:10">
      <c r="A85" s="1">
        <f t="shared" si="7"/>
        <v>33014</v>
      </c>
      <c r="B85">
        <f t="shared" si="5"/>
        <v>785.0546004558264</v>
      </c>
      <c r="C85">
        <f>day_length(F85,$B$1,Fitting!$B$4)</f>
        <v>11.667751312255859</v>
      </c>
      <c r="D85" s="1">
        <f t="shared" si="6"/>
        <v>33014</v>
      </c>
      <c r="E85">
        <f t="shared" si="8"/>
        <v>1990</v>
      </c>
      <c r="F85" s="6">
        <f t="shared" si="9"/>
        <v>141</v>
      </c>
      <c r="G85">
        <v>23</v>
      </c>
      <c r="H85">
        <v>15</v>
      </c>
      <c r="I85">
        <f>MAX(0,1-Fitting!$B$7*(Fitting!$B$6-Herm8889!C85)^2)</f>
        <v>0.44925334954367457</v>
      </c>
      <c r="J85">
        <f>tt(G85,H85,Fitting!$B$1:$E$1,Fitting!$B$2:$E$2)*I85</f>
        <v>8.5358127844470548</v>
      </c>
    </row>
    <row r="86" spans="1:10">
      <c r="A86" s="1">
        <f t="shared" si="7"/>
        <v>33015</v>
      </c>
      <c r="B86">
        <f t="shared" si="5"/>
        <v>794.07413856665846</v>
      </c>
      <c r="C86">
        <f>day_length(F86,$B$1,Fitting!$B$4)</f>
        <v>11.654511451721191</v>
      </c>
      <c r="D86" s="1">
        <f t="shared" si="6"/>
        <v>33015</v>
      </c>
      <c r="E86">
        <f t="shared" si="8"/>
        <v>1990</v>
      </c>
      <c r="F86" s="6">
        <f t="shared" si="9"/>
        <v>142</v>
      </c>
      <c r="G86">
        <v>23</v>
      </c>
      <c r="H86">
        <v>17</v>
      </c>
      <c r="I86">
        <f>MAX(0,1-Fitting!$B$7*(Fitting!$B$6-Herm8889!C86)^2)</f>
        <v>0.45097690554160541</v>
      </c>
      <c r="J86">
        <f>tt(G86,H86,Fitting!$B$1:$E$1,Fitting!$B$2:$E$2)*I86</f>
        <v>9.0195381108321087</v>
      </c>
    </row>
    <row r="87" spans="1:10">
      <c r="A87" s="1">
        <f t="shared" si="7"/>
        <v>33016</v>
      </c>
      <c r="B87">
        <f t="shared" si="5"/>
        <v>803.71763649248396</v>
      </c>
      <c r="C87">
        <f>day_length(F87,$B$1,Fitting!$B$4)</f>
        <v>11.641620635986328</v>
      </c>
      <c r="D87" s="1">
        <f t="shared" si="6"/>
        <v>33016</v>
      </c>
      <c r="E87">
        <f t="shared" si="8"/>
        <v>1990</v>
      </c>
      <c r="F87" s="6">
        <f t="shared" si="9"/>
        <v>143</v>
      </c>
      <c r="G87">
        <v>24</v>
      </c>
      <c r="H87">
        <v>18.600000000000001</v>
      </c>
      <c r="I87">
        <f>MAX(0,1-Fitting!$B$7*(Fitting!$B$6-Herm8889!C87)^2)</f>
        <v>0.45274639771096548</v>
      </c>
      <c r="J87">
        <f>tt(G87,H87,Fitting!$B$1:$E$1,Fitting!$B$2:$E$2)*I87</f>
        <v>9.6434979258254749</v>
      </c>
    </row>
    <row r="88" spans="1:10">
      <c r="A88" s="1">
        <f t="shared" si="7"/>
        <v>33017</v>
      </c>
      <c r="B88">
        <f t="shared" si="5"/>
        <v>811.78608729032442</v>
      </c>
      <c r="C88">
        <f>day_length(F88,$B$1,Fitting!$B$4)</f>
        <v>11.629082679748535</v>
      </c>
      <c r="D88" s="1">
        <f t="shared" si="6"/>
        <v>33017</v>
      </c>
      <c r="E88">
        <f t="shared" si="8"/>
        <v>1990</v>
      </c>
      <c r="F88" s="6">
        <f t="shared" si="9"/>
        <v>144</v>
      </c>
      <c r="G88">
        <v>19.5</v>
      </c>
      <c r="H88">
        <v>16</v>
      </c>
      <c r="I88">
        <f>MAX(0,1-Fitting!$B$7*(Fitting!$B$6-Herm8889!C88)^2)</f>
        <v>0.45456060832904222</v>
      </c>
      <c r="J88">
        <f>tt(G88,H88,Fitting!$B$1:$E$1,Fitting!$B$2:$E$2)*I88</f>
        <v>8.0684507978404998</v>
      </c>
    </row>
    <row r="89" spans="1:10">
      <c r="A89" s="1">
        <f t="shared" si="7"/>
        <v>33018</v>
      </c>
      <c r="B89">
        <f t="shared" si="5"/>
        <v>818.17594681875505</v>
      </c>
      <c r="C89">
        <f>day_length(F89,$B$1,Fitting!$B$4)</f>
        <v>11.61690616607666</v>
      </c>
      <c r="D89" s="1">
        <f t="shared" si="6"/>
        <v>33018</v>
      </c>
      <c r="E89">
        <f t="shared" si="8"/>
        <v>1990</v>
      </c>
      <c r="F89" s="6">
        <f t="shared" si="9"/>
        <v>145</v>
      </c>
      <c r="G89">
        <v>16</v>
      </c>
      <c r="H89">
        <v>12</v>
      </c>
      <c r="I89">
        <f>MAX(0,1-Fitting!$B$7*(Fitting!$B$6-Herm8889!C89)^2)</f>
        <v>0.45641853774504304</v>
      </c>
      <c r="J89">
        <f>tt(G89,H89,Fitting!$B$1:$E$1,Fitting!$B$2:$E$2)*I89</f>
        <v>6.3898595284306028</v>
      </c>
    </row>
    <row r="90" spans="1:10">
      <c r="A90" s="1">
        <f t="shared" si="7"/>
        <v>33019</v>
      </c>
      <c r="B90">
        <f t="shared" si="5"/>
        <v>824.13409905643095</v>
      </c>
      <c r="C90">
        <f>day_length(F90,$B$1,Fitting!$B$4)</f>
        <v>11.605093002319336</v>
      </c>
      <c r="D90" s="1">
        <f t="shared" si="6"/>
        <v>33019</v>
      </c>
      <c r="E90">
        <f t="shared" si="8"/>
        <v>1990</v>
      </c>
      <c r="F90" s="6">
        <f t="shared" si="9"/>
        <v>146</v>
      </c>
      <c r="G90">
        <v>15</v>
      </c>
      <c r="H90">
        <v>11</v>
      </c>
      <c r="I90">
        <f>MAX(0,1-Fitting!$B$7*(Fitting!$B$6-Herm8889!C90)^2)</f>
        <v>0.45831940289814699</v>
      </c>
      <c r="J90">
        <f>tt(G90,H90,Fitting!$B$1:$E$1,Fitting!$B$2:$E$2)*I90</f>
        <v>5.9581522376759111</v>
      </c>
    </row>
    <row r="91" spans="1:10">
      <c r="A91" s="1">
        <f t="shared" si="7"/>
        <v>33020</v>
      </c>
      <c r="B91">
        <f t="shared" si="5"/>
        <v>830.89995013991017</v>
      </c>
      <c r="C91">
        <f>day_length(F91,$B$1,Fitting!$B$4)</f>
        <v>11.593650817871094</v>
      </c>
      <c r="D91" s="1">
        <f t="shared" si="6"/>
        <v>33020</v>
      </c>
      <c r="E91">
        <f t="shared" si="8"/>
        <v>1990</v>
      </c>
      <c r="F91" s="6">
        <f t="shared" si="9"/>
        <v>147</v>
      </c>
      <c r="G91">
        <v>17.399999999999999</v>
      </c>
      <c r="H91">
        <v>12</v>
      </c>
      <c r="I91">
        <f>MAX(0,1-Fitting!$B$7*(Fitting!$B$6-Herm8889!C91)^2)</f>
        <v>0.46026198443994504</v>
      </c>
      <c r="J91">
        <f>tt(G91,H91,Fitting!$B$1:$E$1,Fitting!$B$2:$E$2)*I91</f>
        <v>6.765851083479185</v>
      </c>
    </row>
    <row r="92" spans="1:10">
      <c r="A92" s="1">
        <f t="shared" si="7"/>
        <v>33021</v>
      </c>
      <c r="B92">
        <f t="shared" si="5"/>
        <v>838.3189874291287</v>
      </c>
      <c r="C92">
        <f>day_length(F92,$B$1,Fitting!$B$4)</f>
        <v>11.582581520080566</v>
      </c>
      <c r="D92" s="1">
        <f t="shared" si="6"/>
        <v>33021</v>
      </c>
      <c r="E92">
        <f t="shared" si="8"/>
        <v>1990</v>
      </c>
      <c r="F92" s="6">
        <f t="shared" si="9"/>
        <v>148</v>
      </c>
      <c r="G92">
        <v>20.5</v>
      </c>
      <c r="H92">
        <v>11.6</v>
      </c>
      <c r="I92">
        <f>MAX(0,1-Fitting!$B$7*(Fitting!$B$6-Herm8889!C92)^2)</f>
        <v>0.46224528101064244</v>
      </c>
      <c r="J92">
        <f>tt(G92,H92,Fitting!$B$1:$E$1,Fitting!$B$2:$E$2)*I92</f>
        <v>7.4190372892185543</v>
      </c>
    </row>
    <row r="93" spans="1:10">
      <c r="A93" s="1">
        <f t="shared" si="7"/>
        <v>33022</v>
      </c>
      <c r="B93">
        <f t="shared" si="5"/>
        <v>845.84013410282137</v>
      </c>
      <c r="C93">
        <f>day_length(F93,$B$1,Fitting!$B$4)</f>
        <v>11.571893692016602</v>
      </c>
      <c r="D93" s="1">
        <f t="shared" si="6"/>
        <v>33022</v>
      </c>
      <c r="E93">
        <f t="shared" si="8"/>
        <v>1990</v>
      </c>
      <c r="F93" s="6">
        <f t="shared" si="9"/>
        <v>149</v>
      </c>
      <c r="G93">
        <v>22</v>
      </c>
      <c r="H93">
        <v>10.4</v>
      </c>
      <c r="I93">
        <f>MAX(0,1-Fitting!$B$7*(Fitting!$B$6-Herm8889!C93)^2)</f>
        <v>0.46426829132617597</v>
      </c>
      <c r="J93">
        <f>tt(G93,H93,Fitting!$B$1:$E$1,Fitting!$B$2:$E$2)*I93</f>
        <v>7.5211466736926473</v>
      </c>
    </row>
    <row r="94" spans="1:10">
      <c r="A94" s="1">
        <f t="shared" si="7"/>
        <v>33023</v>
      </c>
      <c r="B94">
        <f t="shared" si="5"/>
        <v>853.53458023131475</v>
      </c>
      <c r="C94">
        <f>day_length(F94,$B$1,Fitting!$B$4)</f>
        <v>11.561591148376465</v>
      </c>
      <c r="D94" s="1">
        <f t="shared" si="6"/>
        <v>33023</v>
      </c>
      <c r="E94">
        <f t="shared" si="8"/>
        <v>1990</v>
      </c>
      <c r="F94" s="6">
        <f t="shared" si="9"/>
        <v>150</v>
      </c>
      <c r="G94">
        <v>25</v>
      </c>
      <c r="H94">
        <v>8</v>
      </c>
      <c r="I94">
        <f>MAX(0,1-Fitting!$B$7*(Fitting!$B$6-Herm8889!C94)^2)</f>
        <v>0.46633001448724276</v>
      </c>
      <c r="J94">
        <f>tt(G94,H94,Fitting!$B$1:$E$1,Fitting!$B$2:$E$2)*I94</f>
        <v>7.6944461284934214</v>
      </c>
    </row>
    <row r="95" spans="1:10">
      <c r="A95" s="1">
        <f t="shared" si="7"/>
        <v>33024</v>
      </c>
      <c r="B95">
        <f t="shared" si="5"/>
        <v>862.90316708262469</v>
      </c>
      <c r="C95">
        <f>day_length(F95,$B$1,Fitting!$B$4)</f>
        <v>11.551677703857422</v>
      </c>
      <c r="D95" s="1">
        <f t="shared" si="6"/>
        <v>33024</v>
      </c>
      <c r="E95">
        <f t="shared" si="8"/>
        <v>1990</v>
      </c>
      <c r="F95" s="6">
        <f t="shared" si="9"/>
        <v>151</v>
      </c>
      <c r="G95">
        <v>26.5</v>
      </c>
      <c r="H95">
        <v>13.5</v>
      </c>
      <c r="I95">
        <f>MAX(0,1-Fitting!$B$7*(Fitting!$B$6-Herm8889!C95)^2)</f>
        <v>0.46842934256549962</v>
      </c>
      <c r="J95">
        <f>tt(G95,H95,Fitting!$B$1:$E$1,Fitting!$B$2:$E$2)*I95</f>
        <v>9.3685868513099919</v>
      </c>
    </row>
    <row r="96" spans="1:10">
      <c r="A96" s="1">
        <f t="shared" si="7"/>
        <v>33025</v>
      </c>
      <c r="B96">
        <f t="shared" si="5"/>
        <v>871.70273722375828</v>
      </c>
      <c r="C96">
        <f>day_length(F96,$B$1,Fitting!$B$4)</f>
        <v>11.542159080505371</v>
      </c>
      <c r="D96" s="1">
        <f t="shared" si="6"/>
        <v>33025</v>
      </c>
      <c r="E96">
        <f t="shared" si="8"/>
        <v>1990</v>
      </c>
      <c r="F96" s="6">
        <f t="shared" si="9"/>
        <v>152</v>
      </c>
      <c r="G96">
        <v>24.4</v>
      </c>
      <c r="H96">
        <v>13</v>
      </c>
      <c r="I96">
        <f>MAX(0,1-Fitting!$B$7*(Fitting!$B$6-Herm8889!C96)^2)</f>
        <v>0.47056527698678108</v>
      </c>
      <c r="J96">
        <f>tt(G96,H96,Fitting!$B$1:$E$1,Fitting!$B$2:$E$2)*I96</f>
        <v>8.799570141133584</v>
      </c>
    </row>
    <row r="97" spans="1:10">
      <c r="A97" s="1">
        <f t="shared" si="7"/>
        <v>33026</v>
      </c>
      <c r="B97">
        <f t="shared" si="5"/>
        <v>878.9828849805059</v>
      </c>
      <c r="C97">
        <f>day_length(F97,$B$1,Fitting!$B$4)</f>
        <v>11.533037185668945</v>
      </c>
      <c r="D97" s="1">
        <f t="shared" si="6"/>
        <v>33026</v>
      </c>
      <c r="E97">
        <f t="shared" si="8"/>
        <v>1990</v>
      </c>
      <c r="F97" s="6">
        <f t="shared" si="9"/>
        <v>153</v>
      </c>
      <c r="G97">
        <v>21.5</v>
      </c>
      <c r="H97">
        <v>9.3000000000000007</v>
      </c>
      <c r="I97">
        <f>MAX(0,1-Fitting!$B$7*(Fitting!$B$6-Herm8889!C97)^2)</f>
        <v>0.4727368204810718</v>
      </c>
      <c r="J97">
        <f>tt(G97,H97,Fitting!$B$1:$E$1,Fitting!$B$2:$E$2)*I97</f>
        <v>7.280147756747648</v>
      </c>
    </row>
    <row r="98" spans="1:10">
      <c r="A98" s="1">
        <f t="shared" si="7"/>
        <v>33027</v>
      </c>
      <c r="B98">
        <f t="shared" si="5"/>
        <v>886.0120384202587</v>
      </c>
      <c r="C98">
        <f>day_length(F98,$B$1,Fitting!$B$4)</f>
        <v>11.524319648742676</v>
      </c>
      <c r="D98" s="1">
        <f t="shared" si="6"/>
        <v>33027</v>
      </c>
      <c r="E98">
        <f t="shared" si="8"/>
        <v>1990</v>
      </c>
      <c r="F98" s="6">
        <f t="shared" si="9"/>
        <v>154</v>
      </c>
      <c r="G98">
        <v>21.5</v>
      </c>
      <c r="H98">
        <v>8.1</v>
      </c>
      <c r="I98">
        <f>MAX(0,1-Fitting!$B$7*(Fitting!$B$6-Herm8889!C98)^2)</f>
        <v>0.47494276325837748</v>
      </c>
      <c r="J98">
        <f>tt(G98,H98,Fitting!$B$1:$E$1,Fitting!$B$2:$E$2)*I98</f>
        <v>7.0291534397528448</v>
      </c>
    </row>
    <row r="99" spans="1:10">
      <c r="A99" s="1">
        <f t="shared" si="7"/>
        <v>33028</v>
      </c>
      <c r="B99">
        <f t="shared" si="5"/>
        <v>892.83574532568423</v>
      </c>
      <c r="C99">
        <f>day_length(F99,$B$1,Fitting!$B$4)</f>
        <v>11.516008377075195</v>
      </c>
      <c r="D99" s="1">
        <f t="shared" si="6"/>
        <v>33028</v>
      </c>
      <c r="E99">
        <f t="shared" si="8"/>
        <v>1990</v>
      </c>
      <c r="F99" s="6">
        <f t="shared" si="9"/>
        <v>155</v>
      </c>
      <c r="G99">
        <v>21.6</v>
      </c>
      <c r="H99">
        <v>7</v>
      </c>
      <c r="I99">
        <f>MAX(0,1-Fitting!$B$7*(Fitting!$B$6-Herm8889!C99)^2)</f>
        <v>0.47718232653753689</v>
      </c>
      <c r="J99">
        <f>tt(G99,H99,Fitting!$B$1:$E$1,Fitting!$B$2:$E$2)*I99</f>
        <v>6.8237069054255546</v>
      </c>
    </row>
    <row r="100" spans="1:10">
      <c r="A100" s="1">
        <f t="shared" si="7"/>
        <v>33029</v>
      </c>
      <c r="B100">
        <f t="shared" si="5"/>
        <v>899.54810560260955</v>
      </c>
      <c r="C100">
        <f>day_length(F100,$B$1,Fitting!$B$4)</f>
        <v>11.508109092712402</v>
      </c>
      <c r="D100" s="1">
        <f t="shared" si="6"/>
        <v>33029</v>
      </c>
      <c r="E100">
        <f t="shared" si="8"/>
        <v>1990</v>
      </c>
      <c r="F100" s="6">
        <f t="shared" si="9"/>
        <v>156</v>
      </c>
      <c r="G100">
        <v>18.5</v>
      </c>
      <c r="H100">
        <v>9.5</v>
      </c>
      <c r="I100">
        <f>MAX(0,1-Fitting!$B$7*(Fitting!$B$6-Herm8889!C100)^2)</f>
        <v>0.47945430549466983</v>
      </c>
      <c r="J100">
        <f>tt(G100,H100,Fitting!$B$1:$E$1,Fitting!$B$2:$E$2)*I100</f>
        <v>6.7123602769253772</v>
      </c>
    </row>
    <row r="101" spans="1:10">
      <c r="A101" s="1">
        <f t="shared" si="7"/>
        <v>33030</v>
      </c>
      <c r="B101">
        <f t="shared" si="5"/>
        <v>907.25623024219669</v>
      </c>
      <c r="C101">
        <f>day_length(F101,$B$1,Fitting!$B$4)</f>
        <v>11.500624656677246</v>
      </c>
      <c r="D101" s="1">
        <f t="shared" si="6"/>
        <v>33030</v>
      </c>
      <c r="E101">
        <f t="shared" si="8"/>
        <v>1990</v>
      </c>
      <c r="F101" s="6">
        <f t="shared" si="9"/>
        <v>157</v>
      </c>
      <c r="G101">
        <v>17.5</v>
      </c>
      <c r="H101">
        <v>14.5</v>
      </c>
      <c r="I101">
        <f>MAX(0,1-Fitting!$B$7*(Fitting!$B$6-Herm8889!C101)^2)</f>
        <v>0.48175781868919876</v>
      </c>
      <c r="J101">
        <f>tt(G101,H101,Fitting!$B$1:$E$1,Fitting!$B$2:$E$2)*I101</f>
        <v>7.7081246395871217</v>
      </c>
    </row>
    <row r="102" spans="1:10">
      <c r="A102" s="1">
        <f t="shared" si="7"/>
        <v>33031</v>
      </c>
      <c r="B102">
        <f t="shared" si="5"/>
        <v>915.34056324087805</v>
      </c>
      <c r="C102">
        <f>day_length(F102,$B$1,Fitting!$B$4)</f>
        <v>11.493557929992676</v>
      </c>
      <c r="D102" s="1">
        <f t="shared" si="6"/>
        <v>33031</v>
      </c>
      <c r="E102">
        <f t="shared" si="8"/>
        <v>1990</v>
      </c>
      <c r="F102" s="6">
        <f t="shared" si="9"/>
        <v>158</v>
      </c>
      <c r="G102">
        <v>18</v>
      </c>
      <c r="H102">
        <v>15.4</v>
      </c>
      <c r="I102">
        <f>MAX(0,1-Fitting!$B$7*(Fitting!$B$6-Herm8889!C102)^2)</f>
        <v>0.48409177421249661</v>
      </c>
      <c r="J102">
        <f>tt(G102,H102,Fitting!$B$1:$E$1,Fitting!$B$2:$E$2)*I102</f>
        <v>8.0843329986814076</v>
      </c>
    </row>
    <row r="103" spans="1:10">
      <c r="A103" s="1">
        <f t="shared" si="7"/>
        <v>33032</v>
      </c>
      <c r="B103">
        <f t="shared" si="5"/>
        <v>924.07243241630033</v>
      </c>
      <c r="C103">
        <f>day_length(F103,$B$1,Fitting!$B$4)</f>
        <v>11.486913681030273</v>
      </c>
      <c r="D103" s="1">
        <f t="shared" si="6"/>
        <v>33032</v>
      </c>
      <c r="E103">
        <f t="shared" si="8"/>
        <v>1990</v>
      </c>
      <c r="F103" s="6">
        <f t="shared" si="9"/>
        <v>159</v>
      </c>
      <c r="G103">
        <v>21.8</v>
      </c>
      <c r="H103">
        <v>14.1</v>
      </c>
      <c r="I103">
        <f>MAX(0,1-Fitting!$B$7*(Fitting!$B$6-Herm8889!C103)^2)</f>
        <v>0.48645518997023462</v>
      </c>
      <c r="J103">
        <f>tt(G103,H103,Fitting!$B$1:$E$1,Fitting!$B$2:$E$2)*I103</f>
        <v>8.7318691754222844</v>
      </c>
    </row>
    <row r="104" spans="1:10">
      <c r="A104" s="1">
        <f t="shared" si="7"/>
        <v>33033</v>
      </c>
      <c r="B104">
        <f t="shared" si="5"/>
        <v>931.74732780773047</v>
      </c>
      <c r="C104">
        <f>day_length(F104,$B$1,Fitting!$B$4)</f>
        <v>11.480695724487305</v>
      </c>
      <c r="D104" s="1">
        <f t="shared" si="6"/>
        <v>33033</v>
      </c>
      <c r="E104">
        <f t="shared" si="8"/>
        <v>1990</v>
      </c>
      <c r="F104" s="6">
        <f t="shared" si="9"/>
        <v>160</v>
      </c>
      <c r="G104">
        <v>21.8</v>
      </c>
      <c r="H104">
        <v>9.6</v>
      </c>
      <c r="I104">
        <f>MAX(0,1-Fitting!$B$7*(Fitting!$B$6-Herm8889!C104)^2)</f>
        <v>0.48884687585165376</v>
      </c>
      <c r="J104">
        <f>tt(G104,H104,Fitting!$B$1:$E$1,Fitting!$B$2:$E$2)*I104</f>
        <v>7.6748953914301117</v>
      </c>
    </row>
    <row r="105" spans="1:10">
      <c r="A105" s="1">
        <f t="shared" si="7"/>
        <v>33034</v>
      </c>
      <c r="B105">
        <f t="shared" si="5"/>
        <v>939.60758659377677</v>
      </c>
      <c r="C105">
        <f>day_length(F105,$B$1,Fitting!$B$4)</f>
        <v>11.474905014038086</v>
      </c>
      <c r="D105" s="1">
        <f t="shared" si="6"/>
        <v>33034</v>
      </c>
      <c r="E105">
        <f t="shared" si="8"/>
        <v>1990</v>
      </c>
      <c r="F105" s="6">
        <f t="shared" si="9"/>
        <v>161</v>
      </c>
      <c r="G105">
        <v>21.5</v>
      </c>
      <c r="H105">
        <v>10.5</v>
      </c>
      <c r="I105">
        <f>MAX(0,1-Fitting!$B$7*(Fitting!$B$6-Herm8889!C105)^2)</f>
        <v>0.49126617412789531</v>
      </c>
      <c r="J105">
        <f>tt(G105,H105,Fitting!$B$1:$E$1,Fitting!$B$2:$E$2)*I105</f>
        <v>7.8602587860463249</v>
      </c>
    </row>
    <row r="106" spans="1:10">
      <c r="A106" s="1">
        <f t="shared" si="7"/>
        <v>33035</v>
      </c>
      <c r="B106">
        <f t="shared" si="5"/>
        <v>947.18606333767252</v>
      </c>
      <c r="C106">
        <f>day_length(F106,$B$1,Fitting!$B$4)</f>
        <v>11.469547271728516</v>
      </c>
      <c r="D106" s="1">
        <f t="shared" si="6"/>
        <v>33035</v>
      </c>
      <c r="E106">
        <f t="shared" si="8"/>
        <v>1990</v>
      </c>
      <c r="F106" s="6">
        <f t="shared" si="9"/>
        <v>162</v>
      </c>
      <c r="G106">
        <v>21.7</v>
      </c>
      <c r="H106">
        <v>9</v>
      </c>
      <c r="I106">
        <f>MAX(0,1-Fitting!$B$7*(Fitting!$B$6-Herm8889!C106)^2)</f>
        <v>0.49371179705012214</v>
      </c>
      <c r="J106">
        <f>tt(G106,H106,Fitting!$B$1:$E$1,Fitting!$B$2:$E$2)*I106</f>
        <v>7.5784767438957399</v>
      </c>
    </row>
    <row r="107" spans="1:10">
      <c r="A107" s="1">
        <f t="shared" si="7"/>
        <v>33036</v>
      </c>
      <c r="B107">
        <f t="shared" si="5"/>
        <v>954.8768991821795</v>
      </c>
      <c r="C107">
        <f>day_length(F107,$B$1,Fitting!$B$4)</f>
        <v>11.464622497558594</v>
      </c>
      <c r="D107" s="1">
        <f t="shared" si="6"/>
        <v>33036</v>
      </c>
      <c r="E107">
        <f t="shared" si="8"/>
        <v>1990</v>
      </c>
      <c r="F107" s="6">
        <f t="shared" si="9"/>
        <v>163</v>
      </c>
      <c r="G107">
        <v>23.4</v>
      </c>
      <c r="H107">
        <v>7.6</v>
      </c>
      <c r="I107">
        <f>MAX(0,1-Fitting!$B$7*(Fitting!$B$6-Herm8889!C107)^2)</f>
        <v>0.49618298823896656</v>
      </c>
      <c r="J107">
        <f>tt(G107,H107,Fitting!$B$1:$E$1,Fitting!$B$2:$E$2)*I107</f>
        <v>7.69083584450701</v>
      </c>
    </row>
    <row r="108" spans="1:10">
      <c r="A108" s="1">
        <f t="shared" si="7"/>
        <v>33037</v>
      </c>
      <c r="B108">
        <f t="shared" si="5"/>
        <v>962.80589332490183</v>
      </c>
      <c r="C108">
        <f>day_length(F108,$B$1,Fitting!$B$4)</f>
        <v>11.460135459899902</v>
      </c>
      <c r="D108" s="1">
        <f t="shared" si="6"/>
        <v>33037</v>
      </c>
      <c r="E108">
        <f t="shared" si="8"/>
        <v>1990</v>
      </c>
      <c r="F108" s="6">
        <f t="shared" si="9"/>
        <v>164</v>
      </c>
      <c r="G108">
        <v>22.4</v>
      </c>
      <c r="H108">
        <v>9.4</v>
      </c>
      <c r="I108">
        <f>MAX(0,1-Fitting!$B$7*(Fitting!$B$6-Herm8889!C108)^2)</f>
        <v>0.49867888886498435</v>
      </c>
      <c r="J108">
        <f>tt(G108,H108,Fitting!$B$1:$E$1,Fitting!$B$2:$E$2)*I108</f>
        <v>7.9289941427223516</v>
      </c>
    </row>
    <row r="109" spans="1:10">
      <c r="A109" s="1">
        <f t="shared" si="7"/>
        <v>33038</v>
      </c>
      <c r="B109">
        <f t="shared" si="5"/>
        <v>970.97542402784381</v>
      </c>
      <c r="C109">
        <f>day_length(F109,$B$1,Fitting!$B$4)</f>
        <v>11.456087112426758</v>
      </c>
      <c r="D109" s="1">
        <f t="shared" si="6"/>
        <v>33038</v>
      </c>
      <c r="E109">
        <f t="shared" si="8"/>
        <v>1990</v>
      </c>
      <c r="F109" s="6">
        <f t="shared" si="9"/>
        <v>165</v>
      </c>
      <c r="G109">
        <v>22.6</v>
      </c>
      <c r="H109">
        <v>10</v>
      </c>
      <c r="I109">
        <f>MAX(0,1-Fitting!$B$7*(Fitting!$B$6-Herm8889!C109)^2)</f>
        <v>0.50119822609361475</v>
      </c>
      <c r="J109">
        <f>tt(G109,H109,Fitting!$B$1:$E$1,Fitting!$B$2:$E$2)*I109</f>
        <v>8.1695307029420192</v>
      </c>
    </row>
    <row r="110" spans="1:10">
      <c r="A110" s="1">
        <f t="shared" si="7"/>
        <v>33039</v>
      </c>
      <c r="B110">
        <f t="shared" si="5"/>
        <v>978.68264732570185</v>
      </c>
      <c r="C110">
        <f>day_length(F110,$B$1,Fitting!$B$4)</f>
        <v>11.452480316162109</v>
      </c>
      <c r="D110" s="1">
        <f t="shared" si="6"/>
        <v>33039</v>
      </c>
      <c r="E110">
        <f t="shared" si="8"/>
        <v>1990</v>
      </c>
      <c r="F110" s="6">
        <f t="shared" si="9"/>
        <v>166</v>
      </c>
      <c r="G110">
        <v>22</v>
      </c>
      <c r="H110">
        <v>8.6</v>
      </c>
      <c r="I110">
        <f>MAX(0,1-Fitting!$B$7*(Fitting!$B$6-Herm8889!C110)^2)</f>
        <v>0.50374004714858156</v>
      </c>
      <c r="J110">
        <f>tt(G110,H110,Fitting!$B$1:$E$1,Fitting!$B$2:$E$2)*I110</f>
        <v>7.7072232978580324</v>
      </c>
    </row>
    <row r="111" spans="1:10">
      <c r="A111" s="1">
        <f t="shared" si="7"/>
        <v>33040</v>
      </c>
      <c r="B111">
        <f t="shared" si="5"/>
        <v>986.07468328191794</v>
      </c>
      <c r="C111">
        <f>day_length(F111,$B$1,Fitting!$B$4)</f>
        <v>11.44931697845459</v>
      </c>
      <c r="D111" s="1">
        <f t="shared" si="6"/>
        <v>33040</v>
      </c>
      <c r="E111">
        <f t="shared" si="8"/>
        <v>1990</v>
      </c>
      <c r="F111" s="6">
        <f t="shared" si="9"/>
        <v>167</v>
      </c>
      <c r="G111">
        <v>21.2</v>
      </c>
      <c r="H111">
        <v>8</v>
      </c>
      <c r="I111">
        <f>MAX(0,1-Fitting!$B$7*(Fitting!$B$6-Herm8889!C111)^2)</f>
        <v>0.50630381938880054</v>
      </c>
      <c r="J111">
        <f>tt(G111,H111,Fitting!$B$1:$E$1,Fitting!$B$2:$E$2)*I111</f>
        <v>7.3920359562160671</v>
      </c>
    </row>
    <row r="112" spans="1:10">
      <c r="A112" s="1">
        <f t="shared" si="7"/>
        <v>33041</v>
      </c>
      <c r="B112">
        <f t="shared" si="5"/>
        <v>994.08967378906607</v>
      </c>
      <c r="C112">
        <f>day_length(F112,$B$1,Fitting!$B$4)</f>
        <v>11.446597099304199</v>
      </c>
      <c r="D112" s="1">
        <f t="shared" si="6"/>
        <v>33041</v>
      </c>
      <c r="E112">
        <f t="shared" si="8"/>
        <v>1990</v>
      </c>
      <c r="F112" s="6">
        <f t="shared" si="9"/>
        <v>168</v>
      </c>
      <c r="G112">
        <v>24</v>
      </c>
      <c r="H112">
        <v>7.5</v>
      </c>
      <c r="I112">
        <f>MAX(0,1-Fitting!$B$7*(Fitting!$B$6-Herm8889!C112)^2)</f>
        <v>0.50888828616813409</v>
      </c>
      <c r="J112">
        <f>tt(G112,H112,Fitting!$B$1:$E$1,Fitting!$B$2:$E$2)*I112</f>
        <v>8.0149905071481111</v>
      </c>
    </row>
    <row r="113" spans="1:10">
      <c r="A113" s="1">
        <f t="shared" si="7"/>
        <v>33042</v>
      </c>
      <c r="B113">
        <f t="shared" si="5"/>
        <v>1001.4807434332799</v>
      </c>
      <c r="C113">
        <f>day_length(F113,$B$1,Fitting!$B$4)</f>
        <v>11.44432544708252</v>
      </c>
      <c r="D113" s="1">
        <f t="shared" si="6"/>
        <v>33042</v>
      </c>
      <c r="E113">
        <f t="shared" si="8"/>
        <v>1990</v>
      </c>
      <c r="F113" s="6">
        <f t="shared" si="9"/>
        <v>169</v>
      </c>
      <c r="G113">
        <v>20</v>
      </c>
      <c r="H113">
        <v>8.9</v>
      </c>
      <c r="I113">
        <f>MAX(0,1-Fitting!$B$7*(Fitting!$B$6-Herm8889!C113)^2)</f>
        <v>0.51149271569366106</v>
      </c>
      <c r="J113">
        <f>tt(G113,H113,Fitting!$B$1:$E$1,Fitting!$B$2:$E$2)*I113</f>
        <v>7.3910696442139088</v>
      </c>
    </row>
    <row r="114" spans="1:10">
      <c r="A114" s="1">
        <f t="shared" si="7"/>
        <v>33043</v>
      </c>
      <c r="B114">
        <f t="shared" si="5"/>
        <v>1008.8326028490767</v>
      </c>
      <c r="C114">
        <f>day_length(F114,$B$1,Fitting!$B$4)</f>
        <v>11.442500114440918</v>
      </c>
      <c r="D114" s="1">
        <f t="shared" si="6"/>
        <v>33043</v>
      </c>
      <c r="E114">
        <f t="shared" si="8"/>
        <v>1990</v>
      </c>
      <c r="F114" s="6">
        <f t="shared" si="9"/>
        <v>170</v>
      </c>
      <c r="G114">
        <v>18</v>
      </c>
      <c r="H114">
        <v>10.6</v>
      </c>
      <c r="I114">
        <f>MAX(0,1-Fitting!$B$7*(Fitting!$B$6-Herm8889!C114)^2)</f>
        <v>0.51411607049204211</v>
      </c>
      <c r="J114">
        <f>tt(G114,H114,Fitting!$B$1:$E$1,Fitting!$B$2:$E$2)*I114</f>
        <v>7.3518594157967687</v>
      </c>
    </row>
    <row r="115" spans="1:10">
      <c r="A115" s="1">
        <f t="shared" si="7"/>
        <v>33044</v>
      </c>
      <c r="B115">
        <f t="shared" si="5"/>
        <v>1015.3179111787864</v>
      </c>
      <c r="C115">
        <f>day_length(F115,$B$1,Fitting!$B$4)</f>
        <v>11.441123008728027</v>
      </c>
      <c r="D115" s="1">
        <f t="shared" si="6"/>
        <v>33044</v>
      </c>
      <c r="E115">
        <f t="shared" si="8"/>
        <v>1990</v>
      </c>
      <c r="F115" s="6">
        <f t="shared" si="9"/>
        <v>171</v>
      </c>
      <c r="G115">
        <v>20</v>
      </c>
      <c r="H115">
        <v>5.0999999999999996</v>
      </c>
      <c r="I115">
        <f>MAX(0,1-Fitting!$B$7*(Fitting!$B$6-Herm8889!C115)^2)</f>
        <v>0.51675762797976499</v>
      </c>
      <c r="J115">
        <f>tt(G115,H115,Fitting!$B$1:$E$1,Fitting!$B$2:$E$2)*I115</f>
        <v>6.4853083297097465</v>
      </c>
    </row>
    <row r="116" spans="1:10">
      <c r="A116" s="1">
        <f t="shared" si="7"/>
        <v>33045</v>
      </c>
      <c r="B116">
        <f t="shared" si="5"/>
        <v>1023.1351270292109</v>
      </c>
      <c r="C116">
        <f>day_length(F116,$B$1,Fitting!$B$4)</f>
        <v>11.440195083618164</v>
      </c>
      <c r="D116" s="1">
        <f t="shared" si="6"/>
        <v>33045</v>
      </c>
      <c r="E116">
        <f t="shared" si="8"/>
        <v>1990</v>
      </c>
      <c r="F116" s="6">
        <f t="shared" si="9"/>
        <v>172</v>
      </c>
      <c r="G116">
        <v>21.5</v>
      </c>
      <c r="H116">
        <v>8.6</v>
      </c>
      <c r="I116">
        <f>MAX(0,1-Fitting!$B$7*(Fitting!$B$6-Herm8889!C116)^2)</f>
        <v>0.51941636190749163</v>
      </c>
      <c r="J116">
        <f>tt(G116,H116,Fitting!$B$1:$E$1,Fitting!$B$2:$E$2)*I116</f>
        <v>7.8172158504245139</v>
      </c>
    </row>
    <row r="117" spans="1:10">
      <c r="A117" s="1">
        <f t="shared" si="7"/>
        <v>33046</v>
      </c>
      <c r="B117">
        <f t="shared" si="5"/>
        <v>1030.8359790396667</v>
      </c>
      <c r="C117">
        <f>day_length(F117,$B$1,Fitting!$B$4)</f>
        <v>11.439717292785645</v>
      </c>
      <c r="D117" s="1">
        <f t="shared" si="6"/>
        <v>33046</v>
      </c>
      <c r="E117">
        <f t="shared" si="8"/>
        <v>1990</v>
      </c>
      <c r="F117" s="6">
        <f t="shared" si="9"/>
        <v>173</v>
      </c>
      <c r="G117">
        <v>22.5</v>
      </c>
      <c r="H117">
        <v>7</v>
      </c>
      <c r="I117">
        <f>MAX(0,1-Fitting!$B$7*(Fitting!$B$6-Herm8889!C117)^2)</f>
        <v>0.52209166172580446</v>
      </c>
      <c r="J117">
        <f>tt(G117,H117,Fitting!$B$1:$E$1,Fitting!$B$2:$E$2)*I117</f>
        <v>7.7008520104556162</v>
      </c>
    </row>
    <row r="118" spans="1:10">
      <c r="A118" s="1">
        <f t="shared" si="7"/>
        <v>33047</v>
      </c>
      <c r="B118">
        <f t="shared" si="5"/>
        <v>1038.9701059003992</v>
      </c>
      <c r="C118">
        <f>day_length(F118,$B$1,Fitting!$B$4)</f>
        <v>11.439688682556152</v>
      </c>
      <c r="D118" s="1">
        <f t="shared" si="6"/>
        <v>33047</v>
      </c>
      <c r="E118">
        <f t="shared" si="8"/>
        <v>1990</v>
      </c>
      <c r="F118" s="6">
        <f t="shared" si="9"/>
        <v>174</v>
      </c>
      <c r="G118">
        <v>23.4</v>
      </c>
      <c r="H118">
        <v>7.6</v>
      </c>
      <c r="I118">
        <f>MAX(0,1-Fitting!$B$7*(Fitting!$B$6-Herm8889!C118)^2)</f>
        <v>0.52478241040025742</v>
      </c>
      <c r="J118">
        <f>tt(G118,H118,Fitting!$B$1:$E$1,Fitting!$B$2:$E$2)*I118</f>
        <v>8.1341268607324828</v>
      </c>
    </row>
    <row r="119" spans="1:10">
      <c r="A119" s="1">
        <f t="shared" si="7"/>
        <v>33048</v>
      </c>
      <c r="B119">
        <f t="shared" si="5"/>
        <v>1047.2780404165844</v>
      </c>
      <c r="C119">
        <f>day_length(F119,$B$1,Fitting!$B$4)</f>
        <v>11.440110206604004</v>
      </c>
      <c r="D119" s="1">
        <f t="shared" si="6"/>
        <v>33048</v>
      </c>
      <c r="E119">
        <f t="shared" si="8"/>
        <v>1990</v>
      </c>
      <c r="F119" s="6">
        <f t="shared" si="9"/>
        <v>175</v>
      </c>
      <c r="G119">
        <v>24</v>
      </c>
      <c r="H119">
        <v>7.5</v>
      </c>
      <c r="I119">
        <f>MAX(0,1-Fitting!$B$7*(Fitting!$B$6-Herm8889!C119)^2)</f>
        <v>0.52748790578954496</v>
      </c>
      <c r="J119">
        <f>tt(G119,H119,Fitting!$B$1:$E$1,Fitting!$B$2:$E$2)*I119</f>
        <v>8.307934516185334</v>
      </c>
    </row>
    <row r="120" spans="1:10">
      <c r="A120" s="1">
        <f t="shared" si="7"/>
        <v>33049</v>
      </c>
      <c r="B120">
        <f t="shared" si="5"/>
        <v>1055.6022956898123</v>
      </c>
      <c r="C120">
        <f>day_length(F120,$B$1,Fitting!$B$4)</f>
        <v>11.440982818603516</v>
      </c>
      <c r="D120" s="1">
        <f t="shared" si="6"/>
        <v>33049</v>
      </c>
      <c r="E120">
        <f t="shared" si="8"/>
        <v>1990</v>
      </c>
      <c r="F120" s="6">
        <f t="shared" si="9"/>
        <v>176</v>
      </c>
      <c r="G120">
        <v>20.5</v>
      </c>
      <c r="H120">
        <v>10.9</v>
      </c>
      <c r="I120">
        <f>MAX(0,1-Fitting!$B$7*(Fitting!$B$6-Herm8889!C120)^2)</f>
        <v>0.53020734868515862</v>
      </c>
      <c r="J120">
        <f>tt(G120,H120,Fitting!$B$1:$E$1,Fitting!$B$2:$E$2)*I120</f>
        <v>8.3242552732279638</v>
      </c>
    </row>
    <row r="121" spans="1:10">
      <c r="A121" s="1">
        <f t="shared" si="7"/>
        <v>33050</v>
      </c>
      <c r="B121">
        <f t="shared" si="5"/>
        <v>1060.6652251708726</v>
      </c>
      <c r="C121">
        <f>day_length(F121,$B$1,Fitting!$B$4)</f>
        <v>11.442303657531738</v>
      </c>
      <c r="D121" s="1">
        <f t="shared" si="6"/>
        <v>33050</v>
      </c>
      <c r="E121">
        <f t="shared" si="8"/>
        <v>1990</v>
      </c>
      <c r="F121" s="6">
        <f t="shared" si="9"/>
        <v>177</v>
      </c>
      <c r="G121">
        <v>17</v>
      </c>
      <c r="H121">
        <v>2</v>
      </c>
      <c r="I121">
        <f>MAX(0,1-Fitting!$B$7*(Fitting!$B$6-Herm8889!C121)^2)</f>
        <v>0.53293994537476097</v>
      </c>
      <c r="J121">
        <f>tt(G121,H121,Fitting!$B$1:$E$1,Fitting!$B$2:$E$2)*I121</f>
        <v>5.0629294810602294</v>
      </c>
    </row>
    <row r="122" spans="1:10">
      <c r="A122" s="1">
        <f t="shared" si="7"/>
        <v>33051</v>
      </c>
      <c r="B122">
        <f t="shared" si="5"/>
        <v>1065.3256828905346</v>
      </c>
      <c r="C122">
        <f>day_length(F122,$B$1,Fitting!$B$4)</f>
        <v>11.444071769714355</v>
      </c>
      <c r="D122" s="1">
        <f t="shared" si="6"/>
        <v>33051</v>
      </c>
      <c r="E122">
        <f t="shared" si="8"/>
        <v>1990</v>
      </c>
      <c r="F122" s="6">
        <f t="shared" si="9"/>
        <v>178</v>
      </c>
      <c r="G122">
        <v>17.899999999999999</v>
      </c>
      <c r="H122">
        <v>-0.5</v>
      </c>
      <c r="I122">
        <f>MAX(0,1-Fitting!$B$7*(Fitting!$B$6-Herm8889!C122)^2)</f>
        <v>0.53568480710756017</v>
      </c>
      <c r="J122">
        <f>tt(G122,H122,Fitting!$B$1:$E$1,Fitting!$B$2:$E$2)*I122</f>
        <v>4.6604577196620047</v>
      </c>
    </row>
    <row r="123" spans="1:10">
      <c r="A123" s="1">
        <f t="shared" si="7"/>
        <v>33052</v>
      </c>
      <c r="B123">
        <f t="shared" si="5"/>
        <v>1070.3062654078105</v>
      </c>
      <c r="C123">
        <f>day_length(F123,$B$1,Fitting!$B$4)</f>
        <v>11.4462890625</v>
      </c>
      <c r="D123" s="1">
        <f t="shared" si="6"/>
        <v>33052</v>
      </c>
      <c r="E123">
        <f t="shared" si="8"/>
        <v>1990</v>
      </c>
      <c r="F123" s="6">
        <f t="shared" si="9"/>
        <v>179</v>
      </c>
      <c r="G123">
        <v>18</v>
      </c>
      <c r="H123">
        <v>0.5</v>
      </c>
      <c r="I123">
        <f>MAX(0,1-Fitting!$B$7*(Fitting!$B$6-Herm8889!C123)^2)</f>
        <v>0.53844135321901732</v>
      </c>
      <c r="J123">
        <f>tt(G123,H123,Fitting!$B$1:$E$1,Fitting!$B$2:$E$2)*I123</f>
        <v>4.9805825172759102</v>
      </c>
    </row>
    <row r="124" spans="1:10">
      <c r="A124" s="1">
        <f t="shared" si="7"/>
        <v>33053</v>
      </c>
      <c r="B124">
        <f t="shared" si="5"/>
        <v>1074.7712372350215</v>
      </c>
      <c r="C124">
        <f>day_length(F124,$B$1,Fitting!$B$4)</f>
        <v>11.448952674865723</v>
      </c>
      <c r="D124" s="1">
        <f t="shared" si="6"/>
        <v>33053</v>
      </c>
      <c r="E124">
        <f t="shared" si="8"/>
        <v>1990</v>
      </c>
      <c r="F124" s="6">
        <f t="shared" si="9"/>
        <v>180</v>
      </c>
      <c r="G124">
        <v>16.5</v>
      </c>
      <c r="H124">
        <v>0</v>
      </c>
      <c r="I124">
        <f>MAX(0,1-Fitting!$B$7*(Fitting!$B$6-Herm8889!C124)^2)</f>
        <v>0.54120870632861084</v>
      </c>
      <c r="J124">
        <f>tt(G124,H124,Fitting!$B$1:$E$1,Fitting!$B$2:$E$2)*I124</f>
        <v>4.4649718272110395</v>
      </c>
    </row>
    <row r="125" spans="1:10">
      <c r="A125" s="1">
        <f t="shared" si="7"/>
        <v>33054</v>
      </c>
      <c r="B125">
        <f t="shared" si="5"/>
        <v>1080.755083194126</v>
      </c>
      <c r="C125">
        <f>day_length(F125,$B$1,Fitting!$B$4)</f>
        <v>11.452060699462891</v>
      </c>
      <c r="D125" s="1">
        <f t="shared" si="6"/>
        <v>33054</v>
      </c>
      <c r="E125">
        <f t="shared" si="8"/>
        <v>1990</v>
      </c>
      <c r="F125" s="6">
        <f t="shared" si="9"/>
        <v>181</v>
      </c>
      <c r="G125">
        <v>22</v>
      </c>
      <c r="H125">
        <v>0</v>
      </c>
      <c r="I125">
        <f>MAX(0,1-Fitting!$B$7*(Fitting!$B$6-Herm8889!C125)^2)</f>
        <v>0.54398599628223021</v>
      </c>
      <c r="J125">
        <f>tt(G125,H125,Fitting!$B$1:$E$1,Fitting!$B$2:$E$2)*I125</f>
        <v>5.9838459591045323</v>
      </c>
    </row>
    <row r="126" spans="1:10">
      <c r="A126" s="1">
        <f t="shared" si="7"/>
        <v>33055</v>
      </c>
      <c r="B126">
        <f t="shared" si="5"/>
        <v>1088.1911905179361</v>
      </c>
      <c r="C126">
        <f>day_length(F126,$B$1,Fitting!$B$4)</f>
        <v>11.455612182617188</v>
      </c>
      <c r="D126" s="1">
        <f t="shared" si="6"/>
        <v>33055</v>
      </c>
      <c r="E126">
        <f t="shared" si="8"/>
        <v>1990</v>
      </c>
      <c r="F126" s="6">
        <f t="shared" si="9"/>
        <v>182</v>
      </c>
      <c r="G126">
        <v>22</v>
      </c>
      <c r="H126">
        <v>5.2</v>
      </c>
      <c r="I126">
        <f>MAX(0,1-Fitting!$B$7*(Fitting!$B$6-Herm8889!C126)^2)</f>
        <v>0.54677265868522218</v>
      </c>
      <c r="J126">
        <f>tt(G126,H126,Fitting!$B$1:$E$1,Fitting!$B$2:$E$2)*I126</f>
        <v>7.4361073238101554</v>
      </c>
    </row>
    <row r="127" spans="1:10">
      <c r="A127" s="1">
        <f t="shared" si="7"/>
        <v>33056</v>
      </c>
      <c r="B127">
        <f t="shared" si="5"/>
        <v>1095.8576625773781</v>
      </c>
      <c r="C127">
        <f>day_length(F127,$B$1,Fitting!$B$4)</f>
        <v>11.459606170654297</v>
      </c>
      <c r="D127" s="1">
        <f t="shared" si="6"/>
        <v>33056</v>
      </c>
      <c r="E127">
        <f t="shared" si="8"/>
        <v>1990</v>
      </c>
      <c r="F127" s="6">
        <f t="shared" si="9"/>
        <v>183</v>
      </c>
      <c r="G127">
        <v>24.5</v>
      </c>
      <c r="H127">
        <v>3.4</v>
      </c>
      <c r="I127">
        <f>MAX(0,1-Fitting!$B$7*(Fitting!$B$6-Herm8889!C127)^2)</f>
        <v>0.54956793465035481</v>
      </c>
      <c r="J127">
        <f>tt(G127,H127,Fitting!$B$1:$E$1,Fitting!$B$2:$E$2)*I127</f>
        <v>7.6664720594418601</v>
      </c>
    </row>
    <row r="128" spans="1:10">
      <c r="A128" s="1">
        <f t="shared" si="7"/>
        <v>33057</v>
      </c>
      <c r="B128">
        <f t="shared" si="5"/>
        <v>1100.3332470573041</v>
      </c>
      <c r="C128">
        <f>day_length(F128,$B$1,Fitting!$B$4)</f>
        <v>11.464037895202637</v>
      </c>
      <c r="D128" s="1">
        <f t="shared" si="6"/>
        <v>33057</v>
      </c>
      <c r="E128">
        <f t="shared" si="8"/>
        <v>1990</v>
      </c>
      <c r="F128" s="6">
        <f t="shared" si="9"/>
        <v>184</v>
      </c>
      <c r="G128">
        <v>17.899999999999999</v>
      </c>
      <c r="H128">
        <v>-2</v>
      </c>
      <c r="I128">
        <f>MAX(0,1-Fitting!$B$7*(Fitting!$B$6-Herm8889!C128)^2)</f>
        <v>0.55237107166008537</v>
      </c>
      <c r="J128">
        <f>tt(G128,H128,Fitting!$B$1:$E$1,Fitting!$B$2:$E$2)*I128</f>
        <v>4.4755844799261411</v>
      </c>
    </row>
    <row r="129" spans="1:10">
      <c r="A129" s="1">
        <f t="shared" si="7"/>
        <v>33058</v>
      </c>
      <c r="B129">
        <f t="shared" si="5"/>
        <v>1104.3823028329714</v>
      </c>
      <c r="C129">
        <f>day_length(F129,$B$1,Fitting!$B$4)</f>
        <v>11.468907356262207</v>
      </c>
      <c r="D129" s="1">
        <f t="shared" si="6"/>
        <v>33058</v>
      </c>
      <c r="E129">
        <f t="shared" si="8"/>
        <v>1990</v>
      </c>
      <c r="F129" s="6">
        <f t="shared" si="9"/>
        <v>185</v>
      </c>
      <c r="G129">
        <v>16.5</v>
      </c>
      <c r="H129">
        <v>-2.5</v>
      </c>
      <c r="I129">
        <f>MAX(0,1-Fitting!$B$7*(Fitting!$B$6-Herm8889!C129)^2)</f>
        <v>0.5551814222143967</v>
      </c>
      <c r="J129">
        <f>tt(G129,H129,Fitting!$B$1:$E$1,Fitting!$B$2:$E$2)*I129</f>
        <v>4.0490557756672958</v>
      </c>
    </row>
    <row r="130" spans="1:10">
      <c r="A130" s="1">
        <f t="shared" si="7"/>
        <v>33059</v>
      </c>
      <c r="B130">
        <f t="shared" si="5"/>
        <v>1112.3895764653789</v>
      </c>
      <c r="C130">
        <f>day_length(F130,$B$1,Fitting!$B$4)</f>
        <v>11.474211692810059</v>
      </c>
      <c r="D130" s="1">
        <f t="shared" si="6"/>
        <v>33059</v>
      </c>
      <c r="E130">
        <f t="shared" si="8"/>
        <v>1990</v>
      </c>
      <c r="F130" s="6">
        <f t="shared" si="9"/>
        <v>186</v>
      </c>
      <c r="G130">
        <v>18.7</v>
      </c>
      <c r="H130">
        <v>10</v>
      </c>
      <c r="I130">
        <f>MAX(0,1-Fitting!$B$7*(Fitting!$B$6-Herm8889!C130)^2)</f>
        <v>0.55799814770370726</v>
      </c>
      <c r="J130">
        <f>tt(G130,H130,Fitting!$B$1:$E$1,Fitting!$B$2:$E$2)*I130</f>
        <v>8.0072736324075997</v>
      </c>
    </row>
    <row r="131" spans="1:10">
      <c r="A131" s="1">
        <f t="shared" si="7"/>
        <v>33060</v>
      </c>
      <c r="B131">
        <f t="shared" si="5"/>
        <v>1118.0819074637734</v>
      </c>
      <c r="C131">
        <f>day_length(F131,$B$1,Fitting!$B$4)</f>
        <v>11.479948043823242</v>
      </c>
      <c r="D131" s="1">
        <f t="shared" si="6"/>
        <v>33060</v>
      </c>
      <c r="E131">
        <f t="shared" si="8"/>
        <v>1990</v>
      </c>
      <c r="F131" s="6">
        <f t="shared" si="9"/>
        <v>187</v>
      </c>
      <c r="G131">
        <v>20.3</v>
      </c>
      <c r="H131">
        <v>0</v>
      </c>
      <c r="I131">
        <f>MAX(0,1-Fitting!$B$7*(Fitting!$B$6-Herm8889!C131)^2)</f>
        <v>0.56082080909661636</v>
      </c>
      <c r="J131">
        <f>tt(G131,H131,Fitting!$B$1:$E$1,Fitting!$B$2:$E$2)*I131</f>
        <v>5.6923309983944952</v>
      </c>
    </row>
    <row r="132" spans="1:10">
      <c r="A132" s="1">
        <f t="shared" si="7"/>
        <v>33061</v>
      </c>
      <c r="B132">
        <f t="shared" si="5"/>
        <v>1124.3947703590791</v>
      </c>
      <c r="C132">
        <f>day_length(F132,$B$1,Fitting!$B$4)</f>
        <v>11.486113548278809</v>
      </c>
      <c r="D132" s="1">
        <f t="shared" si="6"/>
        <v>33061</v>
      </c>
      <c r="E132">
        <f t="shared" si="8"/>
        <v>1990</v>
      </c>
      <c r="F132" s="6">
        <f t="shared" si="9"/>
        <v>188</v>
      </c>
      <c r="G132">
        <v>20.399999999999999</v>
      </c>
      <c r="H132">
        <v>2</v>
      </c>
      <c r="I132">
        <f>MAX(0,1-Fitting!$B$7*(Fitting!$B$6-Herm8889!C132)^2)</f>
        <v>0.56364848239403365</v>
      </c>
      <c r="J132">
        <f>tt(G132,H132,Fitting!$B$1:$E$1,Fitting!$B$2:$E$2)*I132</f>
        <v>6.3128628953057602</v>
      </c>
    </row>
    <row r="133" spans="1:10">
      <c r="A133" s="1">
        <f t="shared" si="7"/>
        <v>33062</v>
      </c>
      <c r="B133">
        <f t="shared" ref="B133:B192" si="10">B132+J133</f>
        <v>1130.0595773203434</v>
      </c>
      <c r="C133">
        <f>day_length(F133,$B$1,Fitting!$B$4)</f>
        <v>11.492704391479492</v>
      </c>
      <c r="D133" s="1">
        <f t="shared" ref="D133:D192" si="11">A133</f>
        <v>33062</v>
      </c>
      <c r="E133">
        <f t="shared" si="8"/>
        <v>1990</v>
      </c>
      <c r="F133" s="6">
        <f t="shared" si="9"/>
        <v>189</v>
      </c>
      <c r="G133">
        <v>18.5</v>
      </c>
      <c r="H133">
        <v>1.5</v>
      </c>
      <c r="I133">
        <f>MAX(0,1-Fitting!$B$7*(Fitting!$B$6-Herm8889!C133)^2)</f>
        <v>0.56648064210262417</v>
      </c>
      <c r="J133">
        <f>tt(G133,H133,Fitting!$B$1:$E$1,Fitting!$B$2:$E$2)*I133</f>
        <v>5.6648069612642811</v>
      </c>
    </row>
    <row r="134" spans="1:10">
      <c r="A134" s="1">
        <f t="shared" ref="A134:A192" si="12">A133+1</f>
        <v>33063</v>
      </c>
      <c r="B134">
        <f t="shared" si="10"/>
        <v>1137.8876807452561</v>
      </c>
      <c r="C134">
        <f>day_length(F134,$B$1,Fitting!$B$4)</f>
        <v>11.499717712402344</v>
      </c>
      <c r="D134" s="1">
        <f t="shared" si="11"/>
        <v>33063</v>
      </c>
      <c r="E134">
        <f t="shared" ref="E134:E192" si="13">YEAR(A134)</f>
        <v>1990</v>
      </c>
      <c r="F134" s="6">
        <f t="shared" ref="F134:F192" si="14">A134-DATE(E134,1,1)+1</f>
        <v>190</v>
      </c>
      <c r="G134">
        <v>22</v>
      </c>
      <c r="H134">
        <v>5.5</v>
      </c>
      <c r="I134">
        <f>MAX(0,1-Fitting!$B$7*(Fitting!$B$6-Herm8889!C134)^2)</f>
        <v>0.56931657323419493</v>
      </c>
      <c r="J134">
        <f>tt(G134,H134,Fitting!$B$1:$E$1,Fitting!$B$2:$E$2)*I134</f>
        <v>7.8281034249127739</v>
      </c>
    </row>
    <row r="135" spans="1:10">
      <c r="A135" s="1">
        <f t="shared" si="12"/>
        <v>33064</v>
      </c>
      <c r="B135">
        <f t="shared" si="10"/>
        <v>1146.4700157124801</v>
      </c>
      <c r="C135">
        <f>day_length(F135,$B$1,Fitting!$B$4)</f>
        <v>11.507150650024414</v>
      </c>
      <c r="D135" s="1">
        <f t="shared" si="11"/>
        <v>33064</v>
      </c>
      <c r="E135">
        <f t="shared" si="13"/>
        <v>1990</v>
      </c>
      <c r="F135" s="6">
        <f t="shared" si="14"/>
        <v>191</v>
      </c>
      <c r="G135">
        <v>23</v>
      </c>
      <c r="H135">
        <v>7</v>
      </c>
      <c r="I135">
        <f>MAX(0,1-Fitting!$B$7*(Fitting!$B$6-Herm8889!C135)^2)</f>
        <v>0.57215566448160105</v>
      </c>
      <c r="J135">
        <f>tt(G135,H135,Fitting!$B$1:$E$1,Fitting!$B$2:$E$2)*I135</f>
        <v>8.5823349672240159</v>
      </c>
    </row>
    <row r="136" spans="1:10">
      <c r="A136" s="1">
        <f t="shared" si="12"/>
        <v>33065</v>
      </c>
      <c r="B136">
        <f t="shared" si="10"/>
        <v>1153.8012308714726</v>
      </c>
      <c r="C136">
        <f>day_length(F136,$B$1,Fitting!$B$4)</f>
        <v>11.514998435974121</v>
      </c>
      <c r="D136" s="1">
        <f t="shared" si="11"/>
        <v>33065</v>
      </c>
      <c r="E136">
        <f t="shared" si="13"/>
        <v>1990</v>
      </c>
      <c r="F136" s="6">
        <f t="shared" si="14"/>
        <v>192</v>
      </c>
      <c r="G136">
        <v>23.5</v>
      </c>
      <c r="H136">
        <v>2</v>
      </c>
      <c r="I136">
        <f>MAX(0,1-Fitting!$B$7*(Fitting!$B$6-Herm8889!C136)^2)</f>
        <v>0.57499731038060409</v>
      </c>
      <c r="J136">
        <f>tt(G136,H136,Fitting!$B$1:$E$1,Fitting!$B$2:$E$2)*I136</f>
        <v>7.331215158992535</v>
      </c>
    </row>
    <row r="137" spans="1:10">
      <c r="A137" s="1">
        <f t="shared" si="12"/>
        <v>33066</v>
      </c>
      <c r="B137">
        <f t="shared" si="10"/>
        <v>1162.1799240864668</v>
      </c>
      <c r="C137">
        <f>day_length(F137,$B$1,Fitting!$B$4)</f>
        <v>11.523258209228516</v>
      </c>
      <c r="D137" s="1">
        <f t="shared" si="11"/>
        <v>33066</v>
      </c>
      <c r="E137">
        <f t="shared" si="13"/>
        <v>1990</v>
      </c>
      <c r="F137" s="6">
        <f t="shared" si="14"/>
        <v>193</v>
      </c>
      <c r="G137">
        <v>23.6</v>
      </c>
      <c r="H137">
        <v>5.4</v>
      </c>
      <c r="I137">
        <f>MAX(0,1-Fitting!$B$7*(Fitting!$B$6-Herm8889!C137)^2)</f>
        <v>0.57784091137890392</v>
      </c>
      <c r="J137">
        <f>tt(G137,H137,Fitting!$B$1:$E$1,Fitting!$B$2:$E$2)*I137</f>
        <v>8.3786932149941062</v>
      </c>
    </row>
    <row r="138" spans="1:10">
      <c r="A138" s="1">
        <f t="shared" si="12"/>
        <v>33067</v>
      </c>
      <c r="B138">
        <f t="shared" si="10"/>
        <v>1170.4546950629833</v>
      </c>
      <c r="C138">
        <f>day_length(F138,$B$1,Fitting!$B$4)</f>
        <v>11.531925201416016</v>
      </c>
      <c r="D138" s="1">
        <f t="shared" si="11"/>
        <v>33067</v>
      </c>
      <c r="E138">
        <f t="shared" si="13"/>
        <v>1990</v>
      </c>
      <c r="F138" s="6">
        <f t="shared" si="14"/>
        <v>194</v>
      </c>
      <c r="G138">
        <v>23</v>
      </c>
      <c r="H138">
        <v>5.5</v>
      </c>
      <c r="I138">
        <f>MAX(0,1-Fitting!$B$7*(Fitting!$B$6-Herm8889!C138)^2)</f>
        <v>0.58068568256255815</v>
      </c>
      <c r="J138">
        <f>tt(G138,H138,Fitting!$B$1:$E$1,Fitting!$B$2:$E$2)*I138</f>
        <v>8.2747709765164537</v>
      </c>
    </row>
    <row r="139" spans="1:10">
      <c r="A139" s="1">
        <f t="shared" si="12"/>
        <v>33068</v>
      </c>
      <c r="B139">
        <f t="shared" si="10"/>
        <v>1179.061781247821</v>
      </c>
      <c r="C139">
        <f>day_length(F139,$B$1,Fitting!$B$4)</f>
        <v>11.540997505187988</v>
      </c>
      <c r="D139" s="1">
        <f t="shared" si="11"/>
        <v>33068</v>
      </c>
      <c r="E139">
        <f t="shared" si="13"/>
        <v>1990</v>
      </c>
      <c r="F139" s="6">
        <f t="shared" si="14"/>
        <v>195</v>
      </c>
      <c r="G139">
        <v>24.5</v>
      </c>
      <c r="H139">
        <v>5</v>
      </c>
      <c r="I139">
        <f>MAX(0,1-Fitting!$B$7*(Fitting!$B$6-Herm8889!C139)^2)</f>
        <v>0.58353122903992327</v>
      </c>
      <c r="J139">
        <f>tt(G139,H139,Fitting!$B$1:$E$1,Fitting!$B$2:$E$2)*I139</f>
        <v>8.6070861848376143</v>
      </c>
    </row>
    <row r="140" spans="1:10">
      <c r="A140" s="1">
        <f t="shared" si="12"/>
        <v>33069</v>
      </c>
      <c r="B140">
        <f t="shared" si="10"/>
        <v>1187.7401568470004</v>
      </c>
      <c r="C140">
        <f>day_length(F140,$B$1,Fitting!$B$4)</f>
        <v>11.550466537475586</v>
      </c>
      <c r="D140" s="1">
        <f t="shared" si="11"/>
        <v>33069</v>
      </c>
      <c r="E140">
        <f t="shared" si="13"/>
        <v>1990</v>
      </c>
      <c r="F140" s="6">
        <f t="shared" si="14"/>
        <v>196</v>
      </c>
      <c r="G140">
        <v>24.6</v>
      </c>
      <c r="H140">
        <v>5</v>
      </c>
      <c r="I140">
        <f>MAX(0,1-Fitting!$B$7*(Fitting!$B$6-Herm8889!C140)^2)</f>
        <v>0.58637668433274115</v>
      </c>
      <c r="J140">
        <f>tt(G140,H140,Fitting!$B$1:$E$1,Fitting!$B$2:$E$2)*I140</f>
        <v>8.6783755991794287</v>
      </c>
    </row>
    <row r="141" spans="1:10">
      <c r="A141" s="1">
        <f t="shared" si="12"/>
        <v>33070</v>
      </c>
      <c r="B141">
        <f t="shared" si="10"/>
        <v>1196.6374042209279</v>
      </c>
      <c r="C141">
        <f>day_length(F141,$B$1,Fitting!$B$4)</f>
        <v>11.560331344604492</v>
      </c>
      <c r="D141" s="1">
        <f t="shared" si="11"/>
        <v>33070</v>
      </c>
      <c r="E141">
        <f t="shared" si="13"/>
        <v>1990</v>
      </c>
      <c r="F141" s="6">
        <f t="shared" si="14"/>
        <v>197</v>
      </c>
      <c r="G141">
        <v>25</v>
      </c>
      <c r="H141">
        <v>5.2</v>
      </c>
      <c r="I141">
        <f>MAX(0,1-Fitting!$B$7*(Fitting!$B$6-Herm8889!C141)^2)</f>
        <v>0.58922166550710242</v>
      </c>
      <c r="J141">
        <f>tt(G141,H141,Fitting!$B$1:$E$1,Fitting!$B$2:$E$2)*I141</f>
        <v>8.897247373927474</v>
      </c>
    </row>
    <row r="142" spans="1:10">
      <c r="A142" s="1">
        <f t="shared" si="12"/>
        <v>33071</v>
      </c>
      <c r="B142">
        <f t="shared" si="10"/>
        <v>1205.8440224520164</v>
      </c>
      <c r="C142">
        <f>day_length(F142,$B$1,Fitting!$B$4)</f>
        <v>11.570585250854492</v>
      </c>
      <c r="D142" s="1">
        <f t="shared" si="11"/>
        <v>33071</v>
      </c>
      <c r="E142">
        <f t="shared" si="13"/>
        <v>1990</v>
      </c>
      <c r="F142" s="6">
        <f t="shared" si="14"/>
        <v>198</v>
      </c>
      <c r="G142">
        <v>24.5</v>
      </c>
      <c r="H142">
        <v>6.6</v>
      </c>
      <c r="I142">
        <f>MAX(0,1-Fitting!$B$7*(Fitting!$B$6-Herm8889!C142)^2)</f>
        <v>0.59206551014781317</v>
      </c>
      <c r="J142">
        <f>tt(G142,H142,Fitting!$B$1:$E$1,Fitting!$B$2:$E$2)*I142</f>
        <v>9.206618231088358</v>
      </c>
    </row>
    <row r="143" spans="1:10">
      <c r="A143" s="1">
        <f t="shared" si="12"/>
        <v>33072</v>
      </c>
      <c r="B143">
        <f t="shared" si="10"/>
        <v>1214.6486553286043</v>
      </c>
      <c r="C143">
        <f>day_length(F143,$B$1,Fitting!$B$4)</f>
        <v>11.581226348876953</v>
      </c>
      <c r="D143" s="1">
        <f t="shared" si="11"/>
        <v>33072</v>
      </c>
      <c r="E143">
        <f t="shared" si="13"/>
        <v>1990</v>
      </c>
      <c r="F143" s="6">
        <f t="shared" si="14"/>
        <v>199</v>
      </c>
      <c r="G143">
        <v>24.5</v>
      </c>
      <c r="H143">
        <v>5.0999999999999996</v>
      </c>
      <c r="I143">
        <f>MAX(0,1-Fitting!$B$7*(Fitting!$B$6-Herm8889!C143)^2)</f>
        <v>0.59490765746394203</v>
      </c>
      <c r="J143">
        <f>tt(G143,H143,Fitting!$B$1:$E$1,Fitting!$B$2:$E$2)*I143</f>
        <v>8.804632876587819</v>
      </c>
    </row>
    <row r="144" spans="1:10">
      <c r="A144" s="1">
        <f t="shared" si="12"/>
        <v>33073</v>
      </c>
      <c r="B144">
        <f t="shared" si="10"/>
        <v>1224.6310372146718</v>
      </c>
      <c r="C144">
        <f>day_length(F144,$B$1,Fitting!$B$4)</f>
        <v>11.592246055603027</v>
      </c>
      <c r="D144" s="1">
        <f t="shared" si="11"/>
        <v>33073</v>
      </c>
      <c r="E144">
        <f t="shared" si="13"/>
        <v>1990</v>
      </c>
      <c r="F144" s="6">
        <f t="shared" si="14"/>
        <v>200</v>
      </c>
      <c r="G144">
        <v>25.4</v>
      </c>
      <c r="H144">
        <v>8</v>
      </c>
      <c r="I144">
        <f>MAX(0,1-Fitting!$B$7*(Fitting!$B$6-Herm8889!C144)^2)</f>
        <v>0.59774745928953044</v>
      </c>
      <c r="J144">
        <f>tt(G144,H144,Fitting!$B$1:$E$1,Fitting!$B$2:$E$2)*I144</f>
        <v>9.9823818860674791</v>
      </c>
    </row>
    <row r="145" spans="1:10">
      <c r="A145" s="1">
        <f t="shared" si="12"/>
        <v>33074</v>
      </c>
      <c r="B145">
        <f t="shared" si="10"/>
        <v>1231.0873186036015</v>
      </c>
      <c r="C145">
        <f>day_length(F145,$B$1,Fitting!$B$4)</f>
        <v>11.603642463684082</v>
      </c>
      <c r="D145" s="1">
        <f t="shared" si="11"/>
        <v>33074</v>
      </c>
      <c r="E145">
        <f t="shared" si="13"/>
        <v>1990</v>
      </c>
      <c r="F145" s="6">
        <f t="shared" si="14"/>
        <v>201</v>
      </c>
      <c r="G145">
        <v>21.5</v>
      </c>
      <c r="H145">
        <v>0</v>
      </c>
      <c r="I145">
        <f>MAX(0,1-Fitting!$B$7*(Fitting!$B$6-Herm8889!C145)^2)</f>
        <v>0.60058436852944763</v>
      </c>
      <c r="J145">
        <f>tt(G145,H145,Fitting!$B$1:$E$1,Fitting!$B$2:$E$2)*I145</f>
        <v>6.4562813889296748</v>
      </c>
    </row>
    <row r="146" spans="1:10">
      <c r="A146" s="1">
        <f t="shared" si="12"/>
        <v>33075</v>
      </c>
      <c r="B146">
        <f t="shared" si="10"/>
        <v>1237.724913294313</v>
      </c>
      <c r="C146">
        <f>day_length(F146,$B$1,Fitting!$B$4)</f>
        <v>11.615408897399902</v>
      </c>
      <c r="D146" s="1">
        <f t="shared" si="11"/>
        <v>33075</v>
      </c>
      <c r="E146">
        <f t="shared" si="13"/>
        <v>1990</v>
      </c>
      <c r="F146" s="6">
        <f t="shared" si="14"/>
        <v>202</v>
      </c>
      <c r="G146">
        <v>22.5</v>
      </c>
      <c r="H146">
        <v>-0.5</v>
      </c>
      <c r="I146">
        <f>MAX(0,1-Fitting!$B$7*(Fitting!$B$6-Herm8889!C146)^2)</f>
        <v>0.60341775147049337</v>
      </c>
      <c r="J146">
        <f>tt(G146,H146,Fitting!$B$1:$E$1,Fitting!$B$2:$E$2)*I146</f>
        <v>6.6375946907114152</v>
      </c>
    </row>
    <row r="147" spans="1:10">
      <c r="A147" s="1">
        <f t="shared" si="12"/>
        <v>33076</v>
      </c>
      <c r="B147">
        <f t="shared" si="10"/>
        <v>1246.3639348545673</v>
      </c>
      <c r="C147">
        <f>day_length(F147,$B$1,Fitting!$B$4)</f>
        <v>11.627540588378906</v>
      </c>
      <c r="D147" s="1">
        <f t="shared" si="11"/>
        <v>33076</v>
      </c>
      <c r="E147">
        <f t="shared" si="13"/>
        <v>1990</v>
      </c>
      <c r="F147" s="6">
        <f t="shared" si="14"/>
        <v>203</v>
      </c>
      <c r="G147">
        <v>24.5</v>
      </c>
      <c r="H147">
        <v>4</v>
      </c>
      <c r="I147">
        <f>MAX(0,1-Fitting!$B$7*(Fitting!$B$6-Herm8889!C147)^2)</f>
        <v>0.60624716760818598</v>
      </c>
      <c r="J147">
        <f>tt(G147,H147,Fitting!$B$1:$E$1,Fitting!$B$2:$E$2)*I147</f>
        <v>8.6390215602542977</v>
      </c>
    </row>
    <row r="148" spans="1:10">
      <c r="A148" s="1">
        <f t="shared" si="12"/>
        <v>33077</v>
      </c>
      <c r="B148">
        <f t="shared" si="10"/>
        <v>1256.2004485332191</v>
      </c>
      <c r="C148">
        <f>day_length(F148,$B$1,Fitting!$B$4)</f>
        <v>11.640033721923828</v>
      </c>
      <c r="D148" s="1">
        <f t="shared" si="11"/>
        <v>33077</v>
      </c>
      <c r="E148">
        <f t="shared" si="13"/>
        <v>1990</v>
      </c>
      <c r="F148" s="6">
        <f t="shared" si="14"/>
        <v>204</v>
      </c>
      <c r="G148">
        <v>26.3</v>
      </c>
      <c r="H148">
        <v>6</v>
      </c>
      <c r="I148">
        <f>MAX(0,1-Fitting!$B$7*(Fitting!$B$6-Herm8889!C148)^2)</f>
        <v>0.60907199685954394</v>
      </c>
      <c r="J148">
        <f>tt(G148,H148,Fitting!$B$1:$E$1,Fitting!$B$2:$E$2)*I148</f>
        <v>9.8365136786517464</v>
      </c>
    </row>
    <row r="149" spans="1:10">
      <c r="A149" s="1">
        <f t="shared" si="12"/>
        <v>33078</v>
      </c>
      <c r="B149">
        <f t="shared" si="10"/>
        <v>1266.6026046277061</v>
      </c>
      <c r="C149">
        <f>day_length(F149,$B$1,Fitting!$B$4)</f>
        <v>11.652880668640137</v>
      </c>
      <c r="D149" s="1">
        <f t="shared" si="11"/>
        <v>33078</v>
      </c>
      <c r="E149">
        <f t="shared" si="13"/>
        <v>1990</v>
      </c>
      <c r="F149" s="6">
        <f t="shared" si="14"/>
        <v>205</v>
      </c>
      <c r="G149">
        <v>27</v>
      </c>
      <c r="H149">
        <v>7</v>
      </c>
      <c r="I149">
        <f>MAX(0,1-Fitting!$B$7*(Fitting!$B$6-Herm8889!C149)^2)</f>
        <v>0.61189153496982174</v>
      </c>
      <c r="J149">
        <f>tt(G149,H149,Fitting!$B$1:$E$1,Fitting!$B$2:$E$2)*I149</f>
        <v>10.402156094486969</v>
      </c>
    </row>
    <row r="150" spans="1:10">
      <c r="A150" s="1">
        <f t="shared" si="12"/>
        <v>33079</v>
      </c>
      <c r="B150">
        <f t="shared" si="10"/>
        <v>1276.653039031105</v>
      </c>
      <c r="C150">
        <f>day_length(F150,$B$1,Fitting!$B$4)</f>
        <v>11.666077613830566</v>
      </c>
      <c r="D150" s="1">
        <f t="shared" si="11"/>
        <v>33079</v>
      </c>
      <c r="E150">
        <f t="shared" si="13"/>
        <v>1990</v>
      </c>
      <c r="F150" s="6">
        <f t="shared" si="14"/>
        <v>206</v>
      </c>
      <c r="G150">
        <v>26.2</v>
      </c>
      <c r="H150">
        <v>6.5</v>
      </c>
      <c r="I150">
        <f>MAX(0,1-Fitting!$B$7*(Fitting!$B$6-Herm8889!C150)^2)</f>
        <v>0.61470545375579966</v>
      </c>
      <c r="J150">
        <f>tt(G150,H150,Fitting!$B$1:$E$1,Fitting!$B$2:$E$2)*I150</f>
        <v>10.050434403398846</v>
      </c>
    </row>
    <row r="151" spans="1:10">
      <c r="A151" s="1">
        <f t="shared" si="12"/>
        <v>33080</v>
      </c>
      <c r="B151">
        <f t="shared" si="10"/>
        <v>1287.6138942858702</v>
      </c>
      <c r="C151">
        <f>day_length(F151,$B$1,Fitting!$B$4)</f>
        <v>11.679618835449219</v>
      </c>
      <c r="D151" s="1">
        <f t="shared" si="11"/>
        <v>33080</v>
      </c>
      <c r="E151">
        <f t="shared" si="13"/>
        <v>1990</v>
      </c>
      <c r="F151" s="6">
        <f t="shared" si="14"/>
        <v>207</v>
      </c>
      <c r="G151">
        <v>26.9</v>
      </c>
      <c r="H151">
        <v>8.6</v>
      </c>
      <c r="I151">
        <f>MAX(0,1-Fitting!$B$7*(Fitting!$B$6-Herm8889!C151)^2)</f>
        <v>0.61751297209945188</v>
      </c>
      <c r="J151">
        <f>tt(G151,H151,Fitting!$B$1:$E$1,Fitting!$B$2:$E$2)*I151</f>
        <v>10.960855254765271</v>
      </c>
    </row>
    <row r="152" spans="1:10">
      <c r="A152" s="1">
        <f t="shared" si="12"/>
        <v>33081</v>
      </c>
      <c r="B152">
        <f t="shared" si="10"/>
        <v>1299.2137606438848</v>
      </c>
      <c r="C152">
        <f>day_length(F152,$B$1,Fitting!$B$4)</f>
        <v>11.693498611450195</v>
      </c>
      <c r="D152" s="1">
        <f t="shared" si="11"/>
        <v>33081</v>
      </c>
      <c r="E152">
        <f t="shared" si="13"/>
        <v>1990</v>
      </c>
      <c r="F152" s="6">
        <f t="shared" si="14"/>
        <v>208</v>
      </c>
      <c r="G152">
        <v>25.7</v>
      </c>
      <c r="H152">
        <v>11.7</v>
      </c>
      <c r="I152">
        <f>MAX(0,1-Fitting!$B$7*(Fitting!$B$6-Herm8889!C152)^2)</f>
        <v>0.62031368367662798</v>
      </c>
      <c r="J152">
        <f>tt(G152,H152,Fitting!$B$1:$E$1,Fitting!$B$2:$E$2)*I152</f>
        <v>11.599866358014726</v>
      </c>
    </row>
    <row r="153" spans="1:10">
      <c r="A153" s="1">
        <f t="shared" si="12"/>
        <v>33082</v>
      </c>
      <c r="B153">
        <f t="shared" si="10"/>
        <v>1308.4045895776826</v>
      </c>
      <c r="C153">
        <f>day_length(F153,$B$1,Fitting!$B$4)</f>
        <v>11.707712173461914</v>
      </c>
      <c r="D153" s="1">
        <f t="shared" si="11"/>
        <v>33082</v>
      </c>
      <c r="E153">
        <f t="shared" si="13"/>
        <v>1990</v>
      </c>
      <c r="F153" s="6">
        <f t="shared" si="14"/>
        <v>209</v>
      </c>
      <c r="G153">
        <v>25.5</v>
      </c>
      <c r="H153">
        <v>4</v>
      </c>
      <c r="I153">
        <f>MAX(0,1-Fitting!$B$7*(Fitting!$B$6-Herm8889!C153)^2)</f>
        <v>0.62310700607163749</v>
      </c>
      <c r="J153">
        <f>tt(G153,H153,Fitting!$B$1:$E$1,Fitting!$B$2:$E$2)*I153</f>
        <v>9.1908289337978015</v>
      </c>
    </row>
    <row r="154" spans="1:10">
      <c r="A154" s="1">
        <f t="shared" si="12"/>
        <v>33083</v>
      </c>
      <c r="B154">
        <f t="shared" si="10"/>
        <v>1314.2566819862759</v>
      </c>
      <c r="C154">
        <f>day_length(F154,$B$1,Fitting!$B$4)</f>
        <v>11.722251892089844</v>
      </c>
      <c r="D154" s="1">
        <f t="shared" si="11"/>
        <v>33083</v>
      </c>
      <c r="E154">
        <f t="shared" si="13"/>
        <v>1990</v>
      </c>
      <c r="F154" s="6">
        <f t="shared" si="14"/>
        <v>210</v>
      </c>
      <c r="G154">
        <v>17.7</v>
      </c>
      <c r="H154">
        <v>1</v>
      </c>
      <c r="I154">
        <f>MAX(0,1-Fitting!$B$7*(Fitting!$B$6-Herm8889!C154)^2)</f>
        <v>0.62589227451676011</v>
      </c>
      <c r="J154">
        <f>tt(G154,H154,Fitting!$B$1:$E$1,Fitting!$B$2:$E$2)*I154</f>
        <v>5.8520924085932746</v>
      </c>
    </row>
    <row r="155" spans="1:10">
      <c r="A155" s="1">
        <f t="shared" si="12"/>
        <v>33084</v>
      </c>
      <c r="B155">
        <f t="shared" si="10"/>
        <v>1324.9440540197545</v>
      </c>
      <c r="C155">
        <f>day_length(F155,$B$1,Fitting!$B$4)</f>
        <v>11.737115859985352</v>
      </c>
      <c r="D155" s="1">
        <f t="shared" si="11"/>
        <v>33084</v>
      </c>
      <c r="E155">
        <f t="shared" si="13"/>
        <v>1990</v>
      </c>
      <c r="F155" s="6">
        <f t="shared" si="14"/>
        <v>211</v>
      </c>
      <c r="G155">
        <v>21</v>
      </c>
      <c r="H155">
        <v>13</v>
      </c>
      <c r="I155">
        <f>MAX(0,1-Fitting!$B$7*(Fitting!$B$6-Herm8889!C155)^2)</f>
        <v>0.62866901368057004</v>
      </c>
      <c r="J155">
        <f>tt(G155,H155,Fitting!$B$1:$E$1,Fitting!$B$2:$E$2)*I155</f>
        <v>10.687372033478708</v>
      </c>
    </row>
    <row r="156" spans="1:10">
      <c r="A156" s="1">
        <f t="shared" si="12"/>
        <v>33085</v>
      </c>
      <c r="B156">
        <f t="shared" si="10"/>
        <v>1333.5000215564073</v>
      </c>
      <c r="C156">
        <f>day_length(F156,$B$1,Fitting!$B$4)</f>
        <v>11.752293586730957</v>
      </c>
      <c r="D156" s="1">
        <f t="shared" si="11"/>
        <v>33085</v>
      </c>
      <c r="E156">
        <f t="shared" si="13"/>
        <v>1990</v>
      </c>
      <c r="F156" s="6">
        <f t="shared" si="14"/>
        <v>212</v>
      </c>
      <c r="G156">
        <v>20.6</v>
      </c>
      <c r="H156">
        <v>6.5</v>
      </c>
      <c r="I156">
        <f>MAX(0,1-Fitting!$B$7*(Fitting!$B$6-Herm8889!C156)^2)</f>
        <v>0.63143666524213948</v>
      </c>
      <c r="J156">
        <f>tt(G156,H156,Fitting!$B$1:$E$1,Fitting!$B$2:$E$2)*I156</f>
        <v>8.555967536652906</v>
      </c>
    </row>
    <row r="157" spans="1:10">
      <c r="A157" s="1">
        <f t="shared" si="12"/>
        <v>33086</v>
      </c>
      <c r="B157">
        <f t="shared" si="10"/>
        <v>1339.2077728626432</v>
      </c>
      <c r="C157">
        <f>day_length(F157,$B$1,Fitting!$B$4)</f>
        <v>11.767784118652344</v>
      </c>
      <c r="D157" s="1">
        <f t="shared" si="11"/>
        <v>33086</v>
      </c>
      <c r="E157">
        <f t="shared" si="13"/>
        <v>1990</v>
      </c>
      <c r="F157" s="6">
        <f t="shared" si="14"/>
        <v>213</v>
      </c>
      <c r="G157">
        <v>18</v>
      </c>
      <c r="H157">
        <v>0</v>
      </c>
      <c r="I157">
        <f>MAX(0,1-Fitting!$B$7*(Fitting!$B$6-Herm8889!C157)^2)</f>
        <v>0.63419458958177166</v>
      </c>
      <c r="J157">
        <f>tt(G157,H157,Fitting!$B$1:$E$1,Fitting!$B$2:$E$2)*I157</f>
        <v>5.7077513062359451</v>
      </c>
    </row>
    <row r="158" spans="1:10">
      <c r="A158" s="1">
        <f t="shared" si="12"/>
        <v>33087</v>
      </c>
      <c r="B158">
        <f t="shared" si="10"/>
        <v>1346.5963041862005</v>
      </c>
      <c r="C158">
        <f>day_length(F158,$B$1,Fitting!$B$4)</f>
        <v>11.783577919006348</v>
      </c>
      <c r="D158" s="1">
        <f t="shared" si="11"/>
        <v>33087</v>
      </c>
      <c r="E158">
        <f t="shared" si="13"/>
        <v>1990</v>
      </c>
      <c r="F158" s="6">
        <f t="shared" si="14"/>
        <v>214</v>
      </c>
      <c r="G158">
        <v>18.2</v>
      </c>
      <c r="H158">
        <v>5</v>
      </c>
      <c r="I158">
        <f>MAX(0,1-Fitting!$B$7*(Fitting!$B$6-Herm8889!C158)^2)</f>
        <v>0.63694233453302329</v>
      </c>
      <c r="J158">
        <f>tt(G158,H158,Fitting!$B$1:$E$1,Fitting!$B$2:$E$2)*I158</f>
        <v>7.388531323557288</v>
      </c>
    </row>
    <row r="159" spans="1:10">
      <c r="A159" s="1">
        <f t="shared" si="12"/>
        <v>33088</v>
      </c>
      <c r="B159">
        <f t="shared" si="10"/>
        <v>1352.7052420163129</v>
      </c>
      <c r="C159">
        <f>day_length(F159,$B$1,Fitting!$B$4)</f>
        <v>11.799673080444336</v>
      </c>
      <c r="D159" s="1">
        <f t="shared" si="11"/>
        <v>33088</v>
      </c>
      <c r="E159">
        <f t="shared" si="13"/>
        <v>1990</v>
      </c>
      <c r="F159" s="6">
        <f t="shared" si="14"/>
        <v>215</v>
      </c>
      <c r="G159">
        <v>18.600000000000001</v>
      </c>
      <c r="H159">
        <v>0.5</v>
      </c>
      <c r="I159">
        <f>MAX(0,1-Fitting!$B$7*(Fitting!$B$6-Herm8889!C159)^2)</f>
        <v>0.63967927728351781</v>
      </c>
      <c r="J159">
        <f>tt(G159,H159,Fitting!$B$1:$E$1,Fitting!$B$2:$E$2)*I159</f>
        <v>6.1089378301124322</v>
      </c>
    </row>
    <row r="160" spans="1:10">
      <c r="A160" s="1">
        <f t="shared" si="12"/>
        <v>33089</v>
      </c>
      <c r="B160">
        <f t="shared" si="10"/>
        <v>1359.4504909225543</v>
      </c>
      <c r="C160">
        <f>day_length(F160,$B$1,Fitting!$B$4)</f>
        <v>11.816060066223145</v>
      </c>
      <c r="D160" s="1">
        <f t="shared" si="11"/>
        <v>33089</v>
      </c>
      <c r="E160">
        <f t="shared" si="13"/>
        <v>1990</v>
      </c>
      <c r="F160" s="6">
        <f t="shared" si="14"/>
        <v>216</v>
      </c>
      <c r="G160">
        <v>20.5</v>
      </c>
      <c r="H160">
        <v>0.5</v>
      </c>
      <c r="I160">
        <f>MAX(0,1-Fitting!$B$7*(Fitting!$B$6-Herm8889!C160)^2)</f>
        <v>0.64240471608439842</v>
      </c>
      <c r="J160">
        <f>tt(G160,H160,Fitting!$B$1:$E$1,Fitting!$B$2:$E$2)*I160</f>
        <v>6.7452489062413052</v>
      </c>
    </row>
    <row r="161" spans="1:10">
      <c r="A161" s="1">
        <f t="shared" si="12"/>
        <v>33090</v>
      </c>
      <c r="B161">
        <f t="shared" si="10"/>
        <v>1368.6434299920013</v>
      </c>
      <c r="C161">
        <f>day_length(F161,$B$1,Fitting!$B$4)</f>
        <v>11.832735061645508</v>
      </c>
      <c r="D161" s="1">
        <f t="shared" si="11"/>
        <v>33090</v>
      </c>
      <c r="E161">
        <f t="shared" si="13"/>
        <v>1990</v>
      </c>
      <c r="F161" s="6">
        <f t="shared" si="14"/>
        <v>217</v>
      </c>
      <c r="G161">
        <v>24</v>
      </c>
      <c r="H161">
        <v>4.5</v>
      </c>
      <c r="I161">
        <f>MAX(0,1-Fitting!$B$7*(Fitting!$B$6-Herm8889!C161)^2)</f>
        <v>0.64511848801501948</v>
      </c>
      <c r="J161">
        <f>tt(G161,H161,Fitting!$B$1:$E$1,Fitting!$B$2:$E$2)*I161</f>
        <v>9.192939069446961</v>
      </c>
    </row>
    <row r="162" spans="1:10">
      <c r="A162" s="1">
        <f t="shared" si="12"/>
        <v>33091</v>
      </c>
      <c r="B162">
        <f t="shared" si="10"/>
        <v>1379.0085442918048</v>
      </c>
      <c r="C162">
        <f>day_length(F162,$B$1,Fitting!$B$4)</f>
        <v>11.849693298339844</v>
      </c>
      <c r="D162" s="1">
        <f t="shared" si="11"/>
        <v>33091</v>
      </c>
      <c r="E162">
        <f t="shared" si="13"/>
        <v>1990</v>
      </c>
      <c r="F162" s="6">
        <f t="shared" si="14"/>
        <v>218</v>
      </c>
      <c r="G162">
        <v>27</v>
      </c>
      <c r="H162">
        <v>5</v>
      </c>
      <c r="I162">
        <f>MAX(0,1-Fitting!$B$7*(Fitting!$B$6-Herm8889!C162)^2)</f>
        <v>0.64781964373772638</v>
      </c>
      <c r="J162">
        <f>tt(G162,H162,Fitting!$B$1:$E$1,Fitting!$B$2:$E$2)*I162</f>
        <v>10.365114299803622</v>
      </c>
    </row>
    <row r="163" spans="1:10">
      <c r="A163" s="1">
        <f t="shared" si="12"/>
        <v>33092</v>
      </c>
      <c r="B163">
        <f t="shared" si="10"/>
        <v>1387.3675676766534</v>
      </c>
      <c r="C163">
        <f>day_length(F163,$B$1,Fitting!$B$4)</f>
        <v>11.866928100585937</v>
      </c>
      <c r="D163" s="1">
        <f t="shared" si="11"/>
        <v>33092</v>
      </c>
      <c r="E163">
        <f t="shared" si="13"/>
        <v>1990</v>
      </c>
      <c r="F163" s="6">
        <f t="shared" si="14"/>
        <v>219</v>
      </c>
      <c r="G163">
        <v>24.5</v>
      </c>
      <c r="H163">
        <v>1.2</v>
      </c>
      <c r="I163">
        <f>MAX(0,1-Fitting!$B$7*(Fitting!$B$6-Herm8889!C163)^2)</f>
        <v>0.65050768537526338</v>
      </c>
      <c r="J163">
        <f>tt(G163,H163,Fitting!$B$1:$E$1,Fitting!$B$2:$E$2)*I163</f>
        <v>8.3590233848486513</v>
      </c>
    </row>
    <row r="164" spans="1:10">
      <c r="A164" s="1">
        <f t="shared" si="12"/>
        <v>33093</v>
      </c>
      <c r="B164">
        <f t="shared" si="10"/>
        <v>1394.7158675399851</v>
      </c>
      <c r="C164">
        <f>day_length(F164,$B$1,Fitting!$B$4)</f>
        <v>11.884434700012207</v>
      </c>
      <c r="D164" s="1">
        <f t="shared" si="11"/>
        <v>33093</v>
      </c>
      <c r="E164">
        <f t="shared" si="13"/>
        <v>1990</v>
      </c>
      <c r="F164" s="6">
        <f t="shared" si="14"/>
        <v>220</v>
      </c>
      <c r="G164">
        <v>21</v>
      </c>
      <c r="H164">
        <v>1.5</v>
      </c>
      <c r="I164">
        <f>MAX(0,1-Fitting!$B$7*(Fitting!$B$6-Herm8889!C164)^2)</f>
        <v>0.65318221007393185</v>
      </c>
      <c r="J164">
        <f>tt(G164,H164,Fitting!$B$1:$E$1,Fitting!$B$2:$E$2)*I164</f>
        <v>7.3482998633317331</v>
      </c>
    </row>
    <row r="165" spans="1:10">
      <c r="A165" s="1">
        <f t="shared" si="12"/>
        <v>33094</v>
      </c>
      <c r="B165">
        <f t="shared" si="10"/>
        <v>1403.274611457465</v>
      </c>
      <c r="C165">
        <f>day_length(F165,$B$1,Fitting!$B$4)</f>
        <v>11.902205467224121</v>
      </c>
      <c r="D165" s="1">
        <f t="shared" si="11"/>
        <v>33094</v>
      </c>
      <c r="E165">
        <f t="shared" si="13"/>
        <v>1990</v>
      </c>
      <c r="F165" s="6">
        <f t="shared" si="14"/>
        <v>221</v>
      </c>
      <c r="G165">
        <v>23.6</v>
      </c>
      <c r="H165">
        <v>2.5</v>
      </c>
      <c r="I165">
        <f>MAX(0,1-Fitting!$B$7*(Fitting!$B$6-Herm8889!C165)^2)</f>
        <v>0.65584238827033547</v>
      </c>
      <c r="J165">
        <f>tt(G165,H165,Fitting!$B$1:$E$1,Fitting!$B$2:$E$2)*I165</f>
        <v>8.5587439174799282</v>
      </c>
    </row>
    <row r="166" spans="1:10">
      <c r="A166" s="1">
        <f t="shared" si="12"/>
        <v>33095</v>
      </c>
      <c r="B166">
        <f t="shared" si="10"/>
        <v>1414.9627720684784</v>
      </c>
      <c r="C166">
        <f>day_length(F166,$B$1,Fitting!$B$4)</f>
        <v>11.92023754119873</v>
      </c>
      <c r="D166" s="1">
        <f t="shared" si="11"/>
        <v>33095</v>
      </c>
      <c r="E166">
        <f t="shared" si="13"/>
        <v>1990</v>
      </c>
      <c r="F166" s="6">
        <f t="shared" si="14"/>
        <v>222</v>
      </c>
      <c r="G166">
        <v>26.5</v>
      </c>
      <c r="H166">
        <v>9</v>
      </c>
      <c r="I166">
        <f>MAX(0,1-Fitting!$B$7*(Fitting!$B$6-Herm8889!C166)^2)</f>
        <v>0.6584879217472408</v>
      </c>
      <c r="J166">
        <f>tt(G166,H166,Fitting!$B$1:$E$1,Fitting!$B$2:$E$2)*I166</f>
        <v>11.688160611013524</v>
      </c>
    </row>
    <row r="167" spans="1:10">
      <c r="A167" s="1">
        <f t="shared" si="12"/>
        <v>33096</v>
      </c>
      <c r="B167">
        <f t="shared" si="10"/>
        <v>1422.6647961623873</v>
      </c>
      <c r="C167">
        <f>day_length(F167,$B$1,Fitting!$B$4)</f>
        <v>11.938522338867188</v>
      </c>
      <c r="D167" s="1">
        <f t="shared" si="11"/>
        <v>33096</v>
      </c>
      <c r="E167">
        <f t="shared" si="13"/>
        <v>1990</v>
      </c>
      <c r="F167" s="6">
        <f t="shared" si="14"/>
        <v>223</v>
      </c>
      <c r="G167">
        <v>21.9</v>
      </c>
      <c r="H167">
        <v>1.4</v>
      </c>
      <c r="I167">
        <f>MAX(0,1-Fitting!$B$7*(Fitting!$B$6-Herm8889!C167)^2)</f>
        <v>0.66111791550336785</v>
      </c>
      <c r="J167">
        <f>tt(G167,H167,Fitting!$B$1:$E$1,Fitting!$B$2:$E$2)*I167</f>
        <v>7.7020240939089408</v>
      </c>
    </row>
    <row r="168" spans="1:10">
      <c r="A168" s="1">
        <f t="shared" si="12"/>
        <v>33097</v>
      </c>
      <c r="B168">
        <f t="shared" si="10"/>
        <v>1430.2977151835719</v>
      </c>
      <c r="C168">
        <f>day_length(F168,$B$1,Fitting!$B$4)</f>
        <v>11.957056999206543</v>
      </c>
      <c r="D168" s="1">
        <f t="shared" si="11"/>
        <v>33097</v>
      </c>
      <c r="E168">
        <f t="shared" si="13"/>
        <v>1990</v>
      </c>
      <c r="F168" s="6">
        <f t="shared" si="14"/>
        <v>224</v>
      </c>
      <c r="G168">
        <v>22</v>
      </c>
      <c r="H168">
        <v>1</v>
      </c>
      <c r="I168">
        <f>MAX(0,1-Fitting!$B$7*(Fitting!$B$6-Herm8889!C168)^2)</f>
        <v>0.66373208879865708</v>
      </c>
      <c r="J168">
        <f>tt(G168,H168,Fitting!$B$1:$E$1,Fitting!$B$2:$E$2)*I168</f>
        <v>7.6329190211845566</v>
      </c>
    </row>
    <row r="169" spans="1:10">
      <c r="A169" s="1">
        <f t="shared" si="12"/>
        <v>33098</v>
      </c>
      <c r="B169">
        <f t="shared" si="10"/>
        <v>1439.7929133888208</v>
      </c>
      <c r="C169">
        <f>day_length(F169,$B$1,Fitting!$B$4)</f>
        <v>11.975834846496582</v>
      </c>
      <c r="D169" s="1">
        <f t="shared" si="11"/>
        <v>33098</v>
      </c>
      <c r="E169">
        <f t="shared" si="13"/>
        <v>1990</v>
      </c>
      <c r="F169" s="6">
        <f t="shared" si="14"/>
        <v>225</v>
      </c>
      <c r="G169">
        <v>25</v>
      </c>
      <c r="H169">
        <v>3.5</v>
      </c>
      <c r="I169">
        <f>MAX(0,1-Fitting!$B$7*(Fitting!$B$6-Herm8889!C169)^2)</f>
        <v>0.6663296540201773</v>
      </c>
      <c r="J169">
        <f>tt(G169,H169,Fitting!$B$1:$E$1,Fitting!$B$2:$E$2)*I169</f>
        <v>9.4951982052490038</v>
      </c>
    </row>
    <row r="170" spans="1:10">
      <c r="A170" s="1">
        <f t="shared" si="12"/>
        <v>33099</v>
      </c>
      <c r="B170">
        <f t="shared" si="10"/>
        <v>1451.8332950390295</v>
      </c>
      <c r="C170">
        <f>day_length(F170,$B$1,Fitting!$B$4)</f>
        <v>11.994850158691406</v>
      </c>
      <c r="D170" s="1">
        <f t="shared" si="11"/>
        <v>33099</v>
      </c>
      <c r="E170">
        <f t="shared" si="13"/>
        <v>1990</v>
      </c>
      <c r="F170" s="6">
        <f t="shared" si="14"/>
        <v>226</v>
      </c>
      <c r="G170">
        <v>28</v>
      </c>
      <c r="H170">
        <v>8</v>
      </c>
      <c r="I170">
        <f>MAX(0,1-Fitting!$B$7*(Fitting!$B$6-Herm8889!C170)^2)</f>
        <v>0.66891009167825721</v>
      </c>
      <c r="J170">
        <f>tt(G170,H170,Fitting!$B$1:$E$1,Fitting!$B$2:$E$2)*I170</f>
        <v>12.04038165020863</v>
      </c>
    </row>
    <row r="171" spans="1:10">
      <c r="A171" s="1">
        <f t="shared" si="12"/>
        <v>33100</v>
      </c>
      <c r="B171">
        <f t="shared" si="10"/>
        <v>1464.7591465669577</v>
      </c>
      <c r="C171">
        <f>day_length(F171,$B$1,Fitting!$B$4)</f>
        <v>12.01409912109375</v>
      </c>
      <c r="D171" s="1">
        <f t="shared" si="11"/>
        <v>33100</v>
      </c>
      <c r="E171">
        <f t="shared" si="13"/>
        <v>1990</v>
      </c>
      <c r="F171" s="6">
        <f t="shared" si="14"/>
        <v>227</v>
      </c>
      <c r="G171">
        <v>28</v>
      </c>
      <c r="H171">
        <v>10.5</v>
      </c>
      <c r="I171">
        <f>MAX(0,1-Fitting!$B$7*(Fitting!$B$6-Herm8889!C171)^2)</f>
        <v>0.67147280664562459</v>
      </c>
      <c r="J171">
        <f>tt(G171,H171,Fitting!$B$1:$E$1,Fitting!$B$2:$E$2)*I171</f>
        <v>12.925851527928273</v>
      </c>
    </row>
    <row r="172" spans="1:10">
      <c r="A172" s="1">
        <f t="shared" si="12"/>
        <v>33101</v>
      </c>
      <c r="B172">
        <f t="shared" si="10"/>
        <v>1476.9588555866781</v>
      </c>
      <c r="C172">
        <f>day_length(F172,$B$1,Fitting!$B$4)</f>
        <v>12.033574104309082</v>
      </c>
      <c r="D172" s="1">
        <f t="shared" si="11"/>
        <v>33101</v>
      </c>
      <c r="E172">
        <f t="shared" si="13"/>
        <v>1990</v>
      </c>
      <c r="F172" s="6">
        <f t="shared" si="14"/>
        <v>228</v>
      </c>
      <c r="G172">
        <v>30.5</v>
      </c>
      <c r="H172">
        <v>5.7</v>
      </c>
      <c r="I172">
        <f>MAX(0,1-Fitting!$B$7*(Fitting!$B$6-Herm8889!C172)^2)</f>
        <v>0.6740171297341967</v>
      </c>
      <c r="J172">
        <f>tt(G172,H172,Fitting!$B$1:$E$1,Fitting!$B$2:$E$2)*I172</f>
        <v>12.199709019720439</v>
      </c>
    </row>
    <row r="173" spans="1:10">
      <c r="A173" s="1">
        <f t="shared" si="12"/>
        <v>33102</v>
      </c>
      <c r="B173">
        <f t="shared" si="10"/>
        <v>1484.0625517033413</v>
      </c>
      <c r="C173">
        <f>day_length(F173,$B$1,Fitting!$B$4)</f>
        <v>12.05327033996582</v>
      </c>
      <c r="D173" s="1">
        <f t="shared" si="11"/>
        <v>33102</v>
      </c>
      <c r="E173">
        <f t="shared" si="13"/>
        <v>1990</v>
      </c>
      <c r="F173" s="6">
        <f t="shared" si="14"/>
        <v>229</v>
      </c>
      <c r="G173">
        <v>21</v>
      </c>
      <c r="H173">
        <v>0</v>
      </c>
      <c r="I173">
        <f>MAX(0,1-Fitting!$B$7*(Fitting!$B$6-Herm8889!C173)^2)</f>
        <v>0.6765424873012762</v>
      </c>
      <c r="J173">
        <f>tt(G173,H173,Fitting!$B$1:$E$1,Fitting!$B$2:$E$2)*I173</f>
        <v>7.1036961166634001</v>
      </c>
    </row>
    <row r="174" spans="1:10">
      <c r="A174" s="1">
        <f t="shared" si="12"/>
        <v>33103</v>
      </c>
      <c r="B174">
        <f t="shared" si="10"/>
        <v>1491.0907020310776</v>
      </c>
      <c r="C174">
        <f>day_length(F174,$B$1,Fitting!$B$4)</f>
        <v>12.073184013366699</v>
      </c>
      <c r="D174" s="1">
        <f t="shared" si="11"/>
        <v>33103</v>
      </c>
      <c r="E174">
        <f t="shared" si="13"/>
        <v>1990</v>
      </c>
      <c r="F174" s="6">
        <f t="shared" si="14"/>
        <v>230</v>
      </c>
      <c r="G174">
        <v>20.5</v>
      </c>
      <c r="H174">
        <v>0.2</v>
      </c>
      <c r="I174">
        <f>MAX(0,1-Fitting!$B$7*(Fitting!$B$6-Herm8889!C174)^2)</f>
        <v>0.6790483158164079</v>
      </c>
      <c r="J174">
        <f>tt(G174,H174,Fitting!$B$1:$E$1,Fitting!$B$2:$E$2)*I174</f>
        <v>7.0281503277361974</v>
      </c>
    </row>
    <row r="175" spans="1:10">
      <c r="A175" s="1">
        <f t="shared" si="12"/>
        <v>33104</v>
      </c>
      <c r="B175">
        <f t="shared" si="10"/>
        <v>1498.2468096795953</v>
      </c>
      <c r="C175">
        <f>day_length(F175,$B$1,Fitting!$B$4)</f>
        <v>12.093308448791504</v>
      </c>
      <c r="D175" s="1">
        <f t="shared" si="11"/>
        <v>33104</v>
      </c>
      <c r="E175">
        <f t="shared" si="13"/>
        <v>1990</v>
      </c>
      <c r="F175" s="6">
        <f t="shared" si="14"/>
        <v>231</v>
      </c>
      <c r="G175">
        <v>21.5</v>
      </c>
      <c r="H175">
        <v>-0.5</v>
      </c>
      <c r="I175">
        <f>MAX(0,1-Fitting!$B$7*(Fitting!$B$6-Herm8889!C175)^2)</f>
        <v>0.68153406176359022</v>
      </c>
      <c r="J175">
        <f>tt(G175,H175,Fitting!$B$1:$E$1,Fitting!$B$2:$E$2)*I175</f>
        <v>7.1561076485176969</v>
      </c>
    </row>
    <row r="176" spans="1:10">
      <c r="A176" s="1">
        <f t="shared" si="12"/>
        <v>33105</v>
      </c>
      <c r="B176">
        <f t="shared" si="10"/>
        <v>1506.2837961592068</v>
      </c>
      <c r="C176">
        <f>day_length(F176,$B$1,Fitting!$B$4)</f>
        <v>12.113639831542969</v>
      </c>
      <c r="D176" s="1">
        <f t="shared" si="11"/>
        <v>33105</v>
      </c>
      <c r="E176">
        <f t="shared" si="13"/>
        <v>1990</v>
      </c>
      <c r="F176" s="6">
        <f t="shared" si="14"/>
        <v>232</v>
      </c>
      <c r="G176">
        <v>23</v>
      </c>
      <c r="H176">
        <v>0.5</v>
      </c>
      <c r="I176">
        <f>MAX(0,1-Fitting!$B$7*(Fitting!$B$6-Herm8889!C176)^2)</f>
        <v>0.68399884932863098</v>
      </c>
      <c r="J176">
        <f>tt(G176,H176,Fitting!$B$1:$E$1,Fitting!$B$2:$E$2)*I176</f>
        <v>8.0369864796114143</v>
      </c>
    </row>
    <row r="177" spans="1:10">
      <c r="A177" s="1">
        <f t="shared" si="12"/>
        <v>33106</v>
      </c>
      <c r="B177">
        <f t="shared" si="10"/>
        <v>1516.443141883057</v>
      </c>
      <c r="C177">
        <f>day_length(F177,$B$1,Fitting!$B$4)</f>
        <v>12.134171485900879</v>
      </c>
      <c r="D177" s="1">
        <f t="shared" si="11"/>
        <v>33106</v>
      </c>
      <c r="E177">
        <f t="shared" si="13"/>
        <v>1990</v>
      </c>
      <c r="F177" s="6">
        <f t="shared" si="14"/>
        <v>233</v>
      </c>
      <c r="G177">
        <v>25.6</v>
      </c>
      <c r="H177">
        <v>4</v>
      </c>
      <c r="I177">
        <f>MAX(0,1-Fitting!$B$7*(Fitting!$B$6-Herm8889!C177)^2)</f>
        <v>0.68644231402460165</v>
      </c>
      <c r="J177">
        <f>tt(G177,H177,Fitting!$B$1:$E$1,Fitting!$B$2:$E$2)*I177</f>
        <v>10.159345723850182</v>
      </c>
    </row>
    <row r="178" spans="1:10">
      <c r="A178" s="1">
        <f t="shared" si="12"/>
        <v>33107</v>
      </c>
      <c r="B178">
        <f t="shared" si="10"/>
        <v>1526.2938939083322</v>
      </c>
      <c r="C178">
        <f>day_length(F178,$B$1,Fitting!$B$4)</f>
        <v>12.154899597167969</v>
      </c>
      <c r="D178" s="1">
        <f t="shared" si="11"/>
        <v>33107</v>
      </c>
      <c r="E178">
        <f t="shared" si="13"/>
        <v>1990</v>
      </c>
      <c r="F178" s="6">
        <f t="shared" si="14"/>
        <v>234</v>
      </c>
      <c r="G178">
        <v>26.5</v>
      </c>
      <c r="H178">
        <v>2.1</v>
      </c>
      <c r="I178">
        <f>MAX(0,1-Fitting!$B$7*(Fitting!$B$6-Herm8889!C178)^2)</f>
        <v>0.68886376880313938</v>
      </c>
      <c r="J178">
        <f>tt(G178,H178,Fitting!$B$1:$E$1,Fitting!$B$2:$E$2)*I178</f>
        <v>9.850752025275229</v>
      </c>
    </row>
    <row r="179" spans="1:10">
      <c r="A179" s="1">
        <f t="shared" si="12"/>
        <v>33108</v>
      </c>
      <c r="B179">
        <f t="shared" si="10"/>
        <v>1534.2434140473699</v>
      </c>
      <c r="C179">
        <f>day_length(F179,$B$1,Fitting!$B$4)</f>
        <v>12.175819396972656</v>
      </c>
      <c r="D179" s="1">
        <f t="shared" si="11"/>
        <v>33108</v>
      </c>
      <c r="E179">
        <f t="shared" si="13"/>
        <v>1990</v>
      </c>
      <c r="F179" s="6">
        <f t="shared" si="14"/>
        <v>235</v>
      </c>
      <c r="G179">
        <v>22.5</v>
      </c>
      <c r="H179">
        <v>0.5</v>
      </c>
      <c r="I179">
        <f>MAX(0,1-Fitting!$B$7*(Fitting!$B$6-Herm8889!C179)^2)</f>
        <v>0.69126262078589207</v>
      </c>
      <c r="J179">
        <f>tt(G179,H179,Fitting!$B$1:$E$1,Fitting!$B$2:$E$2)*I179</f>
        <v>7.9495201390377588</v>
      </c>
    </row>
    <row r="180" spans="1:10">
      <c r="A180" s="1">
        <f t="shared" si="12"/>
        <v>33109</v>
      </c>
      <c r="B180">
        <f t="shared" si="10"/>
        <v>1542.5670705562795</v>
      </c>
      <c r="C180">
        <f>day_length(F180,$B$1,Fitting!$B$4)</f>
        <v>12.196924209594727</v>
      </c>
      <c r="D180" s="1">
        <f t="shared" si="11"/>
        <v>33109</v>
      </c>
      <c r="E180">
        <f t="shared" si="13"/>
        <v>1990</v>
      </c>
      <c r="F180" s="6">
        <f t="shared" si="14"/>
        <v>236</v>
      </c>
      <c r="G180">
        <v>21</v>
      </c>
      <c r="H180">
        <v>3</v>
      </c>
      <c r="I180">
        <f>MAX(0,1-Fitting!$B$7*(Fitting!$B$6-Herm8889!C180)^2)</f>
        <v>0.69363804240912574</v>
      </c>
      <c r="J180">
        <f>tt(G180,H180,Fitting!$B$1:$E$1,Fitting!$B$2:$E$2)*I180</f>
        <v>8.323656508909508</v>
      </c>
    </row>
    <row r="181" spans="1:10">
      <c r="A181" s="1">
        <f t="shared" si="12"/>
        <v>33110</v>
      </c>
      <c r="B181">
        <f t="shared" si="10"/>
        <v>1549.1262558705334</v>
      </c>
      <c r="C181">
        <f>day_length(F181,$B$1,Fitting!$B$4)</f>
        <v>12.218210220336914</v>
      </c>
      <c r="D181" s="1">
        <f t="shared" si="11"/>
        <v>33110</v>
      </c>
      <c r="E181">
        <f t="shared" si="13"/>
        <v>1990</v>
      </c>
      <c r="F181" s="6">
        <f t="shared" si="14"/>
        <v>237</v>
      </c>
      <c r="G181">
        <v>20</v>
      </c>
      <c r="H181">
        <v>-1.2</v>
      </c>
      <c r="I181">
        <f>MAX(0,1-Fitting!$B$7*(Fitting!$B$6-Herm8889!C181)^2)</f>
        <v>0.69598962766622563</v>
      </c>
      <c r="J181">
        <f>tt(G181,H181,Fitting!$B$1:$E$1,Fitting!$B$2:$E$2)*I181</f>
        <v>6.5591853142538312</v>
      </c>
    </row>
    <row r="182" spans="1:10">
      <c r="A182" s="1">
        <f t="shared" si="12"/>
        <v>33111</v>
      </c>
      <c r="B182">
        <f t="shared" si="10"/>
        <v>1556.702991829856</v>
      </c>
      <c r="C182">
        <f>day_length(F182,$B$1,Fitting!$B$4)</f>
        <v>12.239672660827637</v>
      </c>
      <c r="D182" s="1">
        <f t="shared" si="11"/>
        <v>33111</v>
      </c>
      <c r="E182">
        <f t="shared" si="13"/>
        <v>1990</v>
      </c>
      <c r="F182" s="6">
        <f t="shared" si="14"/>
        <v>238</v>
      </c>
      <c r="G182">
        <v>21.7</v>
      </c>
      <c r="H182">
        <v>0</v>
      </c>
      <c r="I182">
        <f>MAX(0,1-Fitting!$B$7*(Fitting!$B$6-Herm8889!C182)^2)</f>
        <v>0.69831665372680618</v>
      </c>
      <c r="J182">
        <f>tt(G182,H182,Fitting!$B$1:$E$1,Fitting!$B$2:$E$2)*I182</f>
        <v>7.5767359593225097</v>
      </c>
    </row>
    <row r="183" spans="1:10">
      <c r="A183" s="1">
        <f t="shared" si="12"/>
        <v>33112</v>
      </c>
      <c r="B183">
        <f t="shared" si="10"/>
        <v>1564.1645776328694</v>
      </c>
      <c r="C183">
        <f>day_length(F183,$B$1,Fitting!$B$4)</f>
        <v>12.261305809020996</v>
      </c>
      <c r="D183" s="1">
        <f t="shared" si="11"/>
        <v>33112</v>
      </c>
      <c r="E183">
        <f t="shared" si="13"/>
        <v>1990</v>
      </c>
      <c r="F183" s="6">
        <f t="shared" si="14"/>
        <v>239</v>
      </c>
      <c r="G183">
        <v>21.3</v>
      </c>
      <c r="H183">
        <v>0</v>
      </c>
      <c r="I183">
        <f>MAX(0,1-Fitting!$B$7*(Fitting!$B$6-Herm8889!C183)^2)</f>
        <v>0.70061841035474937</v>
      </c>
      <c r="J183">
        <f>tt(G183,H183,Fitting!$B$1:$E$1,Fitting!$B$2:$E$2)*I183</f>
        <v>7.4615858030133673</v>
      </c>
    </row>
    <row r="184" spans="1:10">
      <c r="A184" s="1">
        <f t="shared" si="12"/>
        <v>33113</v>
      </c>
      <c r="B184">
        <f t="shared" si="10"/>
        <v>1571.7206920107556</v>
      </c>
      <c r="C184">
        <f>day_length(F184,$B$1,Fitting!$B$4)</f>
        <v>12.283105850219727</v>
      </c>
      <c r="D184" s="1">
        <f t="shared" si="11"/>
        <v>33113</v>
      </c>
      <c r="E184">
        <f t="shared" si="13"/>
        <v>1990</v>
      </c>
      <c r="F184" s="6">
        <f t="shared" si="14"/>
        <v>240</v>
      </c>
      <c r="G184">
        <v>22</v>
      </c>
      <c r="H184">
        <v>-0.5</v>
      </c>
      <c r="I184">
        <f>MAX(0,1-Fitting!$B$7*(Fitting!$B$6-Herm8889!C184)^2)</f>
        <v>0.70289436073360412</v>
      </c>
      <c r="J184">
        <f>tt(G184,H184,Fitting!$B$1:$E$1,Fitting!$B$2:$E$2)*I184</f>
        <v>7.5561143778862441</v>
      </c>
    </row>
    <row r="185" spans="1:10">
      <c r="A185" s="1">
        <f t="shared" si="12"/>
        <v>33114</v>
      </c>
      <c r="B185">
        <f t="shared" si="10"/>
        <v>1580.7465330062096</v>
      </c>
      <c r="C185">
        <f>day_length(F185,$B$1,Fitting!$B$4)</f>
        <v>12.305068016052246</v>
      </c>
      <c r="D185" s="1">
        <f t="shared" si="11"/>
        <v>33114</v>
      </c>
      <c r="E185">
        <f t="shared" si="13"/>
        <v>1990</v>
      </c>
      <c r="F185" s="6">
        <f t="shared" si="14"/>
        <v>241</v>
      </c>
      <c r="G185">
        <v>23.6</v>
      </c>
      <c r="H185">
        <v>2</v>
      </c>
      <c r="I185">
        <f>MAX(0,1-Fitting!$B$7*(Fitting!$B$6-Herm8889!C185)^2)</f>
        <v>0.70514381726237474</v>
      </c>
      <c r="J185">
        <f>tt(G185,H185,Fitting!$B$1:$E$1,Fitting!$B$2:$E$2)*I185</f>
        <v>9.0258409954539065</v>
      </c>
    </row>
    <row r="186" spans="1:10">
      <c r="A186" s="1">
        <f t="shared" si="12"/>
        <v>33115</v>
      </c>
      <c r="B186">
        <f t="shared" si="10"/>
        <v>1591.7107069469862</v>
      </c>
      <c r="C186">
        <f>day_length(F186,$B$1,Fitting!$B$4)</f>
        <v>12.327188491821289</v>
      </c>
      <c r="D186" s="1">
        <f t="shared" si="11"/>
        <v>33115</v>
      </c>
      <c r="E186">
        <f t="shared" si="13"/>
        <v>1990</v>
      </c>
      <c r="F186" s="6">
        <f t="shared" si="14"/>
        <v>242</v>
      </c>
      <c r="G186">
        <v>25</v>
      </c>
      <c r="H186">
        <v>6</v>
      </c>
      <c r="I186">
        <f>MAX(0,1-Fitting!$B$7*(Fitting!$B$6-Herm8889!C186)^2)</f>
        <v>0.70736610421764823</v>
      </c>
      <c r="J186">
        <f>tt(G186,H186,Fitting!$B$1:$E$1,Fitting!$B$2:$E$2)*I186</f>
        <v>10.964173940776663</v>
      </c>
    </row>
    <row r="187" spans="1:10">
      <c r="A187" s="1">
        <f t="shared" si="12"/>
        <v>33116</v>
      </c>
      <c r="B187">
        <f t="shared" si="10"/>
        <v>1605.3697507439349</v>
      </c>
      <c r="C187">
        <f>day_length(F187,$B$1,Fitting!$B$4)</f>
        <v>12.349460601806641</v>
      </c>
      <c r="D187" s="1">
        <f t="shared" si="11"/>
        <v>33116</v>
      </c>
      <c r="E187">
        <f t="shared" si="13"/>
        <v>1990</v>
      </c>
      <c r="F187" s="6">
        <f t="shared" si="14"/>
        <v>243</v>
      </c>
      <c r="G187">
        <v>26</v>
      </c>
      <c r="H187">
        <v>12.5</v>
      </c>
      <c r="I187">
        <f>MAX(0,1-Fitting!$B$7*(Fitting!$B$6-Herm8889!C187)^2)</f>
        <v>0.7095607167246053</v>
      </c>
      <c r="J187">
        <f>tt(G187,H187,Fitting!$B$1:$E$1,Fitting!$B$2:$E$2)*I187</f>
        <v>13.659043796948652</v>
      </c>
    </row>
    <row r="188" spans="1:10">
      <c r="A188" s="1">
        <f t="shared" si="12"/>
        <v>33117</v>
      </c>
      <c r="B188">
        <f t="shared" si="10"/>
        <v>1619.4619385223359</v>
      </c>
      <c r="C188">
        <f>day_length(F188,$B$1,Fitting!$B$4)</f>
        <v>12.371880531311035</v>
      </c>
      <c r="D188" s="1">
        <f t="shared" si="11"/>
        <v>33117</v>
      </c>
      <c r="E188">
        <f t="shared" si="13"/>
        <v>1990</v>
      </c>
      <c r="F188" s="6">
        <f t="shared" si="14"/>
        <v>244</v>
      </c>
      <c r="G188">
        <v>27</v>
      </c>
      <c r="H188">
        <v>12.6</v>
      </c>
      <c r="I188">
        <f>MAX(0,1-Fitting!$B$7*(Fitting!$B$6-Herm8889!C188)^2)</f>
        <v>0.71172668289926522</v>
      </c>
      <c r="J188">
        <f>tt(G188,H188,Fitting!$B$1:$E$1,Fitting!$B$2:$E$2)*I188</f>
        <v>14.092187778401085</v>
      </c>
    </row>
    <row r="189" spans="1:10">
      <c r="A189" s="1">
        <f t="shared" si="12"/>
        <v>33118</v>
      </c>
      <c r="B189">
        <f t="shared" si="10"/>
        <v>1629.4560300264368</v>
      </c>
      <c r="C189">
        <f>day_length(F189,$B$1,Fitting!$B$4)</f>
        <v>12.394444465637207</v>
      </c>
      <c r="D189" s="1">
        <f t="shared" si="11"/>
        <v>33118</v>
      </c>
      <c r="E189">
        <f t="shared" si="13"/>
        <v>1990</v>
      </c>
      <c r="F189" s="6">
        <f t="shared" si="14"/>
        <v>245</v>
      </c>
      <c r="G189">
        <v>23</v>
      </c>
      <c r="H189">
        <v>5</v>
      </c>
      <c r="I189">
        <f>MAX(0,1-Fitting!$B$7*(Fitting!$B$6-Herm8889!C189)^2)</f>
        <v>0.71386367886434887</v>
      </c>
      <c r="J189">
        <f>tt(G189,H189,Fitting!$B$1:$E$1,Fitting!$B$2:$E$2)*I189</f>
        <v>9.9940915041008846</v>
      </c>
    </row>
    <row r="190" spans="1:10">
      <c r="A190" s="1">
        <f t="shared" si="12"/>
        <v>33119</v>
      </c>
      <c r="B190">
        <f t="shared" si="10"/>
        <v>1640.0523996948966</v>
      </c>
      <c r="C190">
        <f>day_length(F190,$B$1,Fitting!$B$4)</f>
        <v>12.417147636413574</v>
      </c>
      <c r="D190" s="1">
        <f t="shared" si="11"/>
        <v>33119</v>
      </c>
      <c r="E190">
        <f t="shared" si="13"/>
        <v>1990</v>
      </c>
      <c r="F190" s="6">
        <f t="shared" si="14"/>
        <v>246</v>
      </c>
      <c r="G190">
        <v>25</v>
      </c>
      <c r="H190">
        <v>4.5999999999999996</v>
      </c>
      <c r="I190">
        <f>MAX(0,1-Fitting!$B$7*(Fitting!$B$6-Herm8889!C190)^2)</f>
        <v>0.7159709143175077</v>
      </c>
      <c r="J190">
        <f>tt(G190,H190,Fitting!$B$1:$E$1,Fitting!$B$2:$E$2)*I190</f>
        <v>10.596369668459728</v>
      </c>
    </row>
    <row r="191" spans="1:10">
      <c r="A191" s="1">
        <f t="shared" si="12"/>
        <v>33120</v>
      </c>
      <c r="B191">
        <f t="shared" si="10"/>
        <v>1650.2845803971816</v>
      </c>
      <c r="C191">
        <f>day_length(F191,$B$1,Fitting!$B$4)</f>
        <v>12.439984321594238</v>
      </c>
      <c r="D191" s="1">
        <f t="shared" si="11"/>
        <v>33120</v>
      </c>
      <c r="E191">
        <f t="shared" si="13"/>
        <v>1990</v>
      </c>
      <c r="F191" s="6">
        <f t="shared" si="14"/>
        <v>247</v>
      </c>
      <c r="G191">
        <v>25.5</v>
      </c>
      <c r="H191">
        <v>3</v>
      </c>
      <c r="I191">
        <f>MAX(0,1-Fitting!$B$7*(Fitting!$B$6-Herm8889!C191)^2)</f>
        <v>0.71804776858140396</v>
      </c>
      <c r="J191">
        <f>tt(G191,H191,Fitting!$B$1:$E$1,Fitting!$B$2:$E$2)*I191</f>
        <v>10.232180702285007</v>
      </c>
    </row>
    <row r="192" spans="1:10">
      <c r="A192" s="1">
        <f t="shared" si="12"/>
        <v>33121</v>
      </c>
      <c r="B192">
        <f t="shared" si="10"/>
        <v>1660.5819172226024</v>
      </c>
      <c r="C192">
        <f>day_length(F192,$B$1,Fitting!$B$4)</f>
        <v>12.462952613830566</v>
      </c>
      <c r="D192" s="1">
        <f t="shared" si="11"/>
        <v>33121</v>
      </c>
      <c r="E192">
        <f t="shared" si="13"/>
        <v>1990</v>
      </c>
      <c r="F192" s="6">
        <f t="shared" si="14"/>
        <v>248</v>
      </c>
      <c r="G192">
        <v>23.6</v>
      </c>
      <c r="H192">
        <v>5</v>
      </c>
      <c r="I192">
        <f>MAX(0,1-Fitting!$B$7*(Fitting!$B$6-Herm8889!C192)^2)</f>
        <v>0.72009347469048945</v>
      </c>
      <c r="J192">
        <f>tt(G192,H192,Fitting!$B$1:$E$1,Fitting!$B$2:$E$2)*I192</f>
        <v>10.297336825420929</v>
      </c>
    </row>
    <row r="193" spans="1:10">
      <c r="A193" s="1">
        <f t="shared" ref="A193:A248" si="15">A192+1</f>
        <v>33122</v>
      </c>
      <c r="B193">
        <f t="shared" ref="B193:B248" si="16">B192+J193</f>
        <v>1670.3303689875454</v>
      </c>
      <c r="C193">
        <f>day_length(F193,$B$1,Fitting!$B$4)</f>
        <v>12.486045837402344</v>
      </c>
      <c r="D193" s="1">
        <f t="shared" ref="D193:D248" si="17">A193</f>
        <v>33122</v>
      </c>
      <c r="E193">
        <f t="shared" ref="E193:E248" si="18">YEAR(A193)</f>
        <v>1990</v>
      </c>
      <c r="F193" s="6">
        <f t="shared" ref="F193:F248" si="19">A193-DATE(E193,1,1)+1</f>
        <v>249</v>
      </c>
      <c r="G193">
        <v>23</v>
      </c>
      <c r="H193">
        <v>4</v>
      </c>
      <c r="I193">
        <f>MAX(0,1-Fitting!$B$7*(Fitting!$B$6-Herm8889!C193)^2)</f>
        <v>0.7221075891554356</v>
      </c>
      <c r="J193">
        <f>tt(G193,H193,Fitting!$B$1:$E$1,Fitting!$B$2:$E$2)*I193</f>
        <v>9.748451764942919</v>
      </c>
    </row>
    <row r="194" spans="1:10">
      <c r="A194" s="1">
        <f t="shared" si="15"/>
        <v>33123</v>
      </c>
      <c r="B194">
        <f t="shared" si="16"/>
        <v>1681.3727313127356</v>
      </c>
      <c r="C194">
        <f>day_length(F194,$B$1,Fitting!$B$4)</f>
        <v>12.509259223937988</v>
      </c>
      <c r="D194" s="1">
        <f t="shared" si="17"/>
        <v>33123</v>
      </c>
      <c r="E194">
        <f t="shared" si="18"/>
        <v>1990</v>
      </c>
      <c r="F194" s="6">
        <f t="shared" si="19"/>
        <v>250</v>
      </c>
      <c r="G194">
        <v>25</v>
      </c>
      <c r="H194">
        <v>5.5</v>
      </c>
      <c r="I194">
        <f>MAX(0,1-Fitting!$B$7*(Fitting!$B$6-Herm8889!C194)^2)</f>
        <v>0.72408928751768697</v>
      </c>
      <c r="J194">
        <f>tt(G194,H194,Fitting!$B$1:$E$1,Fitting!$B$2:$E$2)*I194</f>
        <v>11.042362325190084</v>
      </c>
    </row>
    <row r="195" spans="1:10">
      <c r="A195" s="1">
        <f t="shared" si="15"/>
        <v>33124</v>
      </c>
      <c r="B195">
        <f t="shared" si="16"/>
        <v>1692.9893396904042</v>
      </c>
      <c r="C195">
        <f>day_length(F195,$B$1,Fitting!$B$4)</f>
        <v>12.532590866088867</v>
      </c>
      <c r="D195" s="1">
        <f t="shared" si="17"/>
        <v>33124</v>
      </c>
      <c r="E195">
        <f t="shared" si="18"/>
        <v>1990</v>
      </c>
      <c r="F195" s="6">
        <f t="shared" si="19"/>
        <v>251</v>
      </c>
      <c r="G195">
        <v>26</v>
      </c>
      <c r="H195">
        <v>6</v>
      </c>
      <c r="I195">
        <f>MAX(0,1-Fitting!$B$7*(Fitting!$B$6-Herm8889!C195)^2)</f>
        <v>0.72603806687953321</v>
      </c>
      <c r="J195">
        <f>tt(G195,H195,Fitting!$B$1:$E$1,Fitting!$B$2:$E$2)*I195</f>
        <v>11.616608377668674</v>
      </c>
    </row>
    <row r="196" spans="1:10">
      <c r="A196" s="1">
        <f t="shared" si="15"/>
        <v>33125</v>
      </c>
      <c r="B196">
        <f t="shared" si="16"/>
        <v>1704.4546001719275</v>
      </c>
      <c r="C196">
        <f>day_length(F196,$B$1,Fitting!$B$4)</f>
        <v>12.556035041809082</v>
      </c>
      <c r="D196" s="1">
        <f t="shared" si="17"/>
        <v>33125</v>
      </c>
      <c r="E196">
        <f t="shared" si="18"/>
        <v>1990</v>
      </c>
      <c r="F196" s="6">
        <f t="shared" si="19"/>
        <v>252</v>
      </c>
      <c r="G196">
        <v>27</v>
      </c>
      <c r="H196">
        <v>4.5</v>
      </c>
      <c r="I196">
        <f>MAX(0,1-Fitting!$B$7*(Fitting!$B$6-Herm8889!C196)^2)</f>
        <v>0.72795304644591852</v>
      </c>
      <c r="J196">
        <f>tt(G196,H196,Fitting!$B$1:$E$1,Fitting!$B$2:$E$2)*I196</f>
        <v>11.465260481523217</v>
      </c>
    </row>
    <row r="197" spans="1:10">
      <c r="A197" s="1">
        <f t="shared" si="15"/>
        <v>33126</v>
      </c>
      <c r="B197">
        <f t="shared" si="16"/>
        <v>1719.8176028875887</v>
      </c>
      <c r="C197">
        <f>day_length(F197,$B$1,Fitting!$B$4)</f>
        <v>12.579586982727051</v>
      </c>
      <c r="D197" s="1">
        <f t="shared" si="17"/>
        <v>33126</v>
      </c>
      <c r="E197">
        <f t="shared" si="18"/>
        <v>1990</v>
      </c>
      <c r="F197" s="6">
        <f t="shared" si="19"/>
        <v>253</v>
      </c>
      <c r="G197">
        <v>28</v>
      </c>
      <c r="H197">
        <v>14.1</v>
      </c>
      <c r="I197">
        <f>MAX(0,1-Fitting!$B$7*(Fitting!$B$6-Herm8889!C197)^2)</f>
        <v>0.72983381854787144</v>
      </c>
      <c r="J197">
        <f>tt(G197,H197,Fitting!$B$1:$E$1,Fitting!$B$2:$E$2)*I197</f>
        <v>15.363002715661215</v>
      </c>
    </row>
    <row r="198" spans="1:10">
      <c r="A198" s="1">
        <f t="shared" si="15"/>
        <v>33127</v>
      </c>
      <c r="B198">
        <f t="shared" si="16"/>
        <v>1732.0732374417473</v>
      </c>
      <c r="C198">
        <f>day_length(F198,$B$1,Fitting!$B$4)</f>
        <v>12.603242874145508</v>
      </c>
      <c r="D198" s="1">
        <f t="shared" si="17"/>
        <v>33127</v>
      </c>
      <c r="E198">
        <f t="shared" si="18"/>
        <v>1990</v>
      </c>
      <c r="F198" s="6">
        <f t="shared" si="19"/>
        <v>254</v>
      </c>
      <c r="G198">
        <v>26.5</v>
      </c>
      <c r="H198">
        <v>7</v>
      </c>
      <c r="I198">
        <f>MAX(0,1-Fitting!$B$7*(Fitting!$B$6-Herm8889!C198)^2)</f>
        <v>0.73167967487513663</v>
      </c>
      <c r="J198">
        <f>tt(G198,H198,Fitting!$B$1:$E$1,Fitting!$B$2:$E$2)*I198</f>
        <v>12.255634554158538</v>
      </c>
    </row>
    <row r="199" spans="1:10">
      <c r="A199" s="1">
        <f t="shared" si="15"/>
        <v>33128</v>
      </c>
      <c r="B199">
        <f t="shared" si="16"/>
        <v>1743.0755843438508</v>
      </c>
      <c r="C199">
        <f>day_length(F199,$B$1,Fitting!$B$4)</f>
        <v>12.626997947692871</v>
      </c>
      <c r="D199" s="1">
        <f t="shared" si="17"/>
        <v>33128</v>
      </c>
      <c r="E199">
        <f t="shared" si="18"/>
        <v>1990</v>
      </c>
      <c r="F199" s="6">
        <f t="shared" si="19"/>
        <v>255</v>
      </c>
      <c r="G199">
        <v>25.5</v>
      </c>
      <c r="H199">
        <v>4.5</v>
      </c>
      <c r="I199">
        <f>MAX(0,1-Fitting!$B$7*(Fitting!$B$6-Herm8889!C199)^2)</f>
        <v>0.73348984010758611</v>
      </c>
      <c r="J199">
        <f>tt(G199,H199,Fitting!$B$1:$E$1,Fitting!$B$2:$E$2)*I199</f>
        <v>11.002346902103369</v>
      </c>
    </row>
    <row r="200" spans="1:10">
      <c r="A200" s="1">
        <f t="shared" si="15"/>
        <v>33129</v>
      </c>
      <c r="B200">
        <f t="shared" si="16"/>
        <v>1757.1926494749653</v>
      </c>
      <c r="C200">
        <f>day_length(F200,$B$1,Fitting!$B$4)</f>
        <v>12.650849342346191</v>
      </c>
      <c r="D200" s="1">
        <f t="shared" si="17"/>
        <v>33129</v>
      </c>
      <c r="E200">
        <f t="shared" si="18"/>
        <v>1990</v>
      </c>
      <c r="F200" s="6">
        <f t="shared" si="19"/>
        <v>256</v>
      </c>
      <c r="G200">
        <v>25.5</v>
      </c>
      <c r="H200">
        <v>12.9</v>
      </c>
      <c r="I200">
        <f>MAX(0,1-Fitting!$B$7*(Fitting!$B$6-Herm8889!C200)^2)</f>
        <v>0.73526385273735828</v>
      </c>
      <c r="J200">
        <f>tt(G200,H200,Fitting!$B$1:$E$1,Fitting!$B$2:$E$2)*I200</f>
        <v>14.117065131114577</v>
      </c>
    </row>
    <row r="201" spans="1:10">
      <c r="A201" s="1">
        <f t="shared" si="15"/>
        <v>33130</v>
      </c>
      <c r="B201">
        <f t="shared" si="16"/>
        <v>1766.9947622948832</v>
      </c>
      <c r="C201">
        <f>day_length(F201,$B$1,Fitting!$B$4)</f>
        <v>12.67479133605957</v>
      </c>
      <c r="D201" s="1">
        <f t="shared" si="17"/>
        <v>33130</v>
      </c>
      <c r="E201">
        <f t="shared" si="18"/>
        <v>1990</v>
      </c>
      <c r="F201" s="6">
        <f t="shared" si="19"/>
        <v>257</v>
      </c>
      <c r="G201">
        <v>23.7</v>
      </c>
      <c r="H201">
        <v>2.9</v>
      </c>
      <c r="I201">
        <f>MAX(0,1-Fitting!$B$7*(Fitting!$B$6-Herm8889!C201)^2)</f>
        <v>0.73700095333429627</v>
      </c>
      <c r="J201">
        <f>tt(G201,H201,Fitting!$B$1:$E$1,Fitting!$B$2:$E$2)*I201</f>
        <v>9.8021128199179159</v>
      </c>
    </row>
    <row r="202" spans="1:10">
      <c r="A202" s="1">
        <f t="shared" si="15"/>
        <v>33131</v>
      </c>
      <c r="B202">
        <f t="shared" si="16"/>
        <v>1776.0807802575653</v>
      </c>
      <c r="C202">
        <f>day_length(F202,$B$1,Fitting!$B$4)</f>
        <v>12.698820114135742</v>
      </c>
      <c r="D202" s="1">
        <f t="shared" si="17"/>
        <v>33131</v>
      </c>
      <c r="E202">
        <f t="shared" si="18"/>
        <v>1990</v>
      </c>
      <c r="F202" s="6">
        <f t="shared" si="19"/>
        <v>258</v>
      </c>
      <c r="G202">
        <v>21</v>
      </c>
      <c r="H202">
        <v>3.6</v>
      </c>
      <c r="I202">
        <f>MAX(0,1-Fitting!$B$7*(Fitting!$B$6-Herm8889!C202)^2)</f>
        <v>0.7387006931923461</v>
      </c>
      <c r="J202">
        <f>tt(G202,H202,Fitting!$B$1:$E$1,Fitting!$B$2:$E$2)*I202</f>
        <v>9.0860179626819537</v>
      </c>
    </row>
    <row r="203" spans="1:10">
      <c r="A203" s="1">
        <f t="shared" si="15"/>
        <v>33132</v>
      </c>
      <c r="B203">
        <f t="shared" si="16"/>
        <v>1786.6309441181111</v>
      </c>
      <c r="C203">
        <f>day_length(F203,$B$1,Fitting!$B$4)</f>
        <v>12.722929954528809</v>
      </c>
      <c r="D203" s="1">
        <f t="shared" si="17"/>
        <v>33132</v>
      </c>
      <c r="E203">
        <f t="shared" si="18"/>
        <v>1990</v>
      </c>
      <c r="F203" s="6">
        <f t="shared" si="19"/>
        <v>259</v>
      </c>
      <c r="G203">
        <v>22.5</v>
      </c>
      <c r="H203">
        <v>6</v>
      </c>
      <c r="I203">
        <f>MAX(0,1-Fitting!$B$7*(Fitting!$B$6-Herm8889!C203)^2)</f>
        <v>0.74036232663026924</v>
      </c>
      <c r="J203">
        <f>tt(G203,H203,Fitting!$B$1:$E$1,Fitting!$B$2:$E$2)*I203</f>
        <v>10.550163860545872</v>
      </c>
    </row>
    <row r="204" spans="1:10">
      <c r="A204" s="1">
        <f t="shared" si="15"/>
        <v>33133</v>
      </c>
      <c r="B204">
        <f t="shared" si="16"/>
        <v>1798.8737009991751</v>
      </c>
      <c r="C204">
        <f>day_length(F204,$B$1,Fitting!$B$4)</f>
        <v>12.747118949890137</v>
      </c>
      <c r="D204" s="1">
        <f t="shared" si="17"/>
        <v>33133</v>
      </c>
      <c r="E204">
        <f t="shared" si="18"/>
        <v>1990</v>
      </c>
      <c r="F204" s="6">
        <f t="shared" si="19"/>
        <v>260</v>
      </c>
      <c r="G204">
        <v>26.5</v>
      </c>
      <c r="H204">
        <v>6.5</v>
      </c>
      <c r="I204">
        <f>MAX(0,1-Fitting!$B$7*(Fitting!$B$6-Herm8889!C204)^2)</f>
        <v>0.74198526551902799</v>
      </c>
      <c r="J204">
        <f>tt(G204,H204,Fitting!$B$1:$E$1,Fitting!$B$2:$E$2)*I204</f>
        <v>12.242756881063961</v>
      </c>
    </row>
    <row r="205" spans="1:10">
      <c r="A205" s="1">
        <f t="shared" si="15"/>
        <v>33134</v>
      </c>
      <c r="B205">
        <f t="shared" si="16"/>
        <v>1811.625906524871</v>
      </c>
      <c r="C205">
        <f>day_length(F205,$B$1,Fitting!$B$4)</f>
        <v>12.771382331848145</v>
      </c>
      <c r="D205" s="1">
        <f t="shared" si="17"/>
        <v>33134</v>
      </c>
      <c r="E205">
        <f t="shared" si="18"/>
        <v>1990</v>
      </c>
      <c r="F205" s="6">
        <f t="shared" si="19"/>
        <v>261</v>
      </c>
      <c r="G205">
        <v>26.8</v>
      </c>
      <c r="H205">
        <v>7.5</v>
      </c>
      <c r="I205">
        <f>MAX(0,1-Fitting!$B$7*(Fitting!$B$6-Herm8889!C205)^2)</f>
        <v>0.74356885185684407</v>
      </c>
      <c r="J205">
        <f>tt(G205,H205,Fitting!$B$1:$E$1,Fitting!$B$2:$E$2)*I205</f>
        <v>12.752205525695869</v>
      </c>
    </row>
    <row r="206" spans="1:10">
      <c r="A206" s="1">
        <f t="shared" si="15"/>
        <v>33135</v>
      </c>
      <c r="B206">
        <f t="shared" si="16"/>
        <v>1823.5477090315226</v>
      </c>
      <c r="C206">
        <f>day_length(F206,$B$1,Fitting!$B$4)</f>
        <v>12.795713424682617</v>
      </c>
      <c r="D206" s="1">
        <f t="shared" si="17"/>
        <v>33135</v>
      </c>
      <c r="E206">
        <f t="shared" si="18"/>
        <v>1990</v>
      </c>
      <c r="F206" s="6">
        <f t="shared" si="19"/>
        <v>262</v>
      </c>
      <c r="G206">
        <v>25</v>
      </c>
      <c r="H206">
        <v>7</v>
      </c>
      <c r="I206">
        <f>MAX(0,1-Fitting!$B$7*(Fitting!$B$6-Herm8889!C206)^2)</f>
        <v>0.74511265666572757</v>
      </c>
      <c r="J206">
        <f>tt(G206,H206,Fitting!$B$1:$E$1,Fitting!$B$2:$E$2)*I206</f>
        <v>11.921802506651641</v>
      </c>
    </row>
    <row r="207" spans="1:10">
      <c r="A207" s="1">
        <f t="shared" si="15"/>
        <v>33136</v>
      </c>
      <c r="B207">
        <f t="shared" si="16"/>
        <v>1837.2481107339975</v>
      </c>
      <c r="C207">
        <f>day_length(F207,$B$1,Fitting!$B$4)</f>
        <v>12.820111274719238</v>
      </c>
      <c r="D207" s="1">
        <f t="shared" si="17"/>
        <v>33136</v>
      </c>
      <c r="E207">
        <f t="shared" si="18"/>
        <v>1990</v>
      </c>
      <c r="F207" s="6">
        <f t="shared" si="19"/>
        <v>263</v>
      </c>
      <c r="G207">
        <v>26.7</v>
      </c>
      <c r="H207">
        <v>10</v>
      </c>
      <c r="I207">
        <f>MAX(0,1-Fitting!$B$7*(Fitting!$B$6-Herm8889!C207)^2)</f>
        <v>0.74661588107157884</v>
      </c>
      <c r="J207">
        <f>tt(G207,H207,Fitting!$B$1:$E$1,Fitting!$B$2:$E$2)*I207</f>
        <v>13.700401702474828</v>
      </c>
    </row>
    <row r="208" spans="1:10">
      <c r="A208" s="1">
        <f t="shared" si="15"/>
        <v>33137</v>
      </c>
      <c r="B208">
        <f t="shared" si="16"/>
        <v>1853.1447719923267</v>
      </c>
      <c r="C208">
        <f>day_length(F208,$B$1,Fitting!$B$4)</f>
        <v>12.844568252563477</v>
      </c>
      <c r="D208" s="1">
        <f t="shared" si="17"/>
        <v>33137</v>
      </c>
      <c r="E208">
        <f t="shared" si="18"/>
        <v>1990</v>
      </c>
      <c r="F208" s="6">
        <f t="shared" si="19"/>
        <v>264</v>
      </c>
      <c r="G208">
        <v>26.5</v>
      </c>
      <c r="H208">
        <v>16</v>
      </c>
      <c r="I208">
        <f>MAX(0,1-Fitting!$B$7*(Fitting!$B$6-Herm8889!C208)^2)</f>
        <v>0.74807817686255473</v>
      </c>
      <c r="J208">
        <f>tt(G208,H208,Fitting!$B$1:$E$1,Fitting!$B$2:$E$2)*I208</f>
        <v>15.896661258329289</v>
      </c>
    </row>
    <row r="209" spans="1:10">
      <c r="A209" s="1">
        <f t="shared" si="15"/>
        <v>33138</v>
      </c>
      <c r="B209">
        <f t="shared" si="16"/>
        <v>1868.134747033565</v>
      </c>
      <c r="C209">
        <f>day_length(F209,$B$1,Fitting!$B$4)</f>
        <v>12.869081497192383</v>
      </c>
      <c r="D209" s="1">
        <f t="shared" si="17"/>
        <v>33138</v>
      </c>
      <c r="E209">
        <f t="shared" si="18"/>
        <v>1990</v>
      </c>
      <c r="F209" s="6">
        <f t="shared" si="19"/>
        <v>265</v>
      </c>
      <c r="G209">
        <v>29</v>
      </c>
      <c r="H209">
        <v>11</v>
      </c>
      <c r="I209">
        <f>MAX(0,1-Fitting!$B$7*(Fitting!$B$6-Herm8889!C209)^2)</f>
        <v>0.74949875206191252</v>
      </c>
      <c r="J209">
        <f>tt(G209,H209,Fitting!$B$1:$E$1,Fitting!$B$2:$E$2)*I209</f>
        <v>14.98997504123825</v>
      </c>
    </row>
    <row r="210" spans="1:10">
      <c r="A210" s="1">
        <f t="shared" si="15"/>
        <v>33139</v>
      </c>
      <c r="B210">
        <f t="shared" si="16"/>
        <v>1882.063519724908</v>
      </c>
      <c r="C210">
        <f>day_length(F210,$B$1,Fitting!$B$4)</f>
        <v>12.893646240234375</v>
      </c>
      <c r="D210" s="1">
        <f t="shared" si="17"/>
        <v>33139</v>
      </c>
      <c r="E210">
        <f t="shared" si="18"/>
        <v>1990</v>
      </c>
      <c r="F210" s="6">
        <f t="shared" si="19"/>
        <v>266</v>
      </c>
      <c r="G210">
        <v>29.5</v>
      </c>
      <c r="H210">
        <v>7.6</v>
      </c>
      <c r="I210">
        <f>MAX(0,1-Fitting!$B$7*(Fitting!$B$6-Herm8889!C210)^2)</f>
        <v>0.75087718771063372</v>
      </c>
      <c r="J210">
        <f>tt(G210,H210,Fitting!$B$1:$E$1,Fitting!$B$2:$E$2)*I210</f>
        <v>13.928772691343003</v>
      </c>
    </row>
    <row r="211" spans="1:10">
      <c r="A211" s="1">
        <f t="shared" si="15"/>
        <v>33140</v>
      </c>
      <c r="B211">
        <f t="shared" si="16"/>
        <v>1896.731673045811</v>
      </c>
      <c r="C211">
        <f>day_length(F211,$B$1,Fitting!$B$4)</f>
        <v>12.918258666992187</v>
      </c>
      <c r="D211" s="1">
        <f t="shared" si="17"/>
        <v>33140</v>
      </c>
      <c r="E211">
        <f t="shared" si="18"/>
        <v>1990</v>
      </c>
      <c r="F211" s="6">
        <f t="shared" si="19"/>
        <v>267</v>
      </c>
      <c r="G211">
        <v>30.5</v>
      </c>
      <c r="H211">
        <v>8.5</v>
      </c>
      <c r="I211">
        <f>MAX(0,1-Fitting!$B$7*(Fitting!$B$6-Herm8889!C211)^2)</f>
        <v>0.75221299081554205</v>
      </c>
      <c r="J211">
        <f>tt(G211,H211,Fitting!$B$1:$E$1,Fitting!$B$2:$E$2)*I211</f>
        <v>14.66815332090307</v>
      </c>
    </row>
    <row r="212" spans="1:10">
      <c r="A212" s="1">
        <f t="shared" si="15"/>
        <v>33141</v>
      </c>
      <c r="B212">
        <f t="shared" si="16"/>
        <v>1911.8017834735815</v>
      </c>
      <c r="C212">
        <f>day_length(F212,$B$1,Fitting!$B$4)</f>
        <v>12.942912101745605</v>
      </c>
      <c r="D212" s="1">
        <f t="shared" si="17"/>
        <v>33141</v>
      </c>
      <c r="E212">
        <f t="shared" si="18"/>
        <v>1990</v>
      </c>
      <c r="F212" s="6">
        <f t="shared" si="19"/>
        <v>268</v>
      </c>
      <c r="G212">
        <v>30</v>
      </c>
      <c r="H212">
        <v>10</v>
      </c>
      <c r="I212">
        <f>MAX(0,1-Fitting!$B$7*(Fitting!$B$6-Herm8889!C212)^2)</f>
        <v>0.75350552138852978</v>
      </c>
      <c r="J212">
        <f>tt(G212,H212,Fitting!$B$1:$E$1,Fitting!$B$2:$E$2)*I212</f>
        <v>15.070110427770596</v>
      </c>
    </row>
    <row r="213" spans="1:10">
      <c r="A213" s="1">
        <f t="shared" si="15"/>
        <v>33142</v>
      </c>
      <c r="B213">
        <f t="shared" si="16"/>
        <v>1926.8968677368432</v>
      </c>
      <c r="C213">
        <f>day_length(F213,$B$1,Fitting!$B$4)</f>
        <v>12.96760368347168</v>
      </c>
      <c r="D213" s="1">
        <f t="shared" si="17"/>
        <v>33142</v>
      </c>
      <c r="E213">
        <f t="shared" si="18"/>
        <v>1990</v>
      </c>
      <c r="F213" s="6">
        <f t="shared" si="19"/>
        <v>269</v>
      </c>
      <c r="G213">
        <v>29.5</v>
      </c>
      <c r="H213">
        <v>10.5</v>
      </c>
      <c r="I213">
        <f>MAX(0,1-Fitting!$B$7*(Fitting!$B$6-Herm8889!C213)^2)</f>
        <v>0.75475421316308344</v>
      </c>
      <c r="J213">
        <f>tt(G213,H213,Fitting!$B$1:$E$1,Fitting!$B$2:$E$2)*I213</f>
        <v>15.095084263261668</v>
      </c>
    </row>
    <row r="214" spans="1:10">
      <c r="A214" s="1">
        <f t="shared" si="15"/>
        <v>33143</v>
      </c>
      <c r="B214">
        <f t="shared" si="16"/>
        <v>1944.1327242639009</v>
      </c>
      <c r="C214">
        <f>day_length(F214,$B$1,Fitting!$B$4)</f>
        <v>12.992329597473145</v>
      </c>
      <c r="D214" s="1">
        <f t="shared" si="17"/>
        <v>33143</v>
      </c>
      <c r="E214">
        <f t="shared" si="18"/>
        <v>1990</v>
      </c>
      <c r="F214" s="6">
        <f t="shared" si="19"/>
        <v>270</v>
      </c>
      <c r="G214">
        <v>30</v>
      </c>
      <c r="H214">
        <v>15.6</v>
      </c>
      <c r="I214">
        <f>MAX(0,1-Fitting!$B$7*(Fitting!$B$6-Herm8889!C214)^2)</f>
        <v>0.7559586449038761</v>
      </c>
      <c r="J214">
        <f>tt(G214,H214,Fitting!$B$1:$E$1,Fitting!$B$2:$E$2)*I214</f>
        <v>17.235856527057699</v>
      </c>
    </row>
    <row r="215" spans="1:10">
      <c r="A215" s="1">
        <f t="shared" si="15"/>
        <v>33144</v>
      </c>
      <c r="B215">
        <f t="shared" si="16"/>
        <v>1961.1278276255073</v>
      </c>
      <c r="C215">
        <f>day_length(F215,$B$1,Fitting!$B$4)</f>
        <v>13.017082214355469</v>
      </c>
      <c r="D215" s="1">
        <f t="shared" si="17"/>
        <v>33144</v>
      </c>
      <c r="E215">
        <f t="shared" si="18"/>
        <v>1990</v>
      </c>
      <c r="F215" s="6">
        <f t="shared" si="19"/>
        <v>271</v>
      </c>
      <c r="G215">
        <v>30.9</v>
      </c>
      <c r="H215">
        <v>14.4</v>
      </c>
      <c r="I215">
        <f>MAX(0,1-Fitting!$B$7*(Fitting!$B$6-Herm8889!C215)^2)</f>
        <v>0.75711839231458178</v>
      </c>
      <c r="J215">
        <f>tt(G215,H215,Fitting!$B$1:$E$1,Fitting!$B$2:$E$2)*I215</f>
        <v>16.995103361606443</v>
      </c>
    </row>
    <row r="216" spans="1:10">
      <c r="A216" s="1">
        <f t="shared" si="15"/>
        <v>33145</v>
      </c>
      <c r="B216">
        <f t="shared" si="16"/>
        <v>1976.3683073993177</v>
      </c>
      <c r="C216">
        <f>day_length(F216,$B$1,Fitting!$B$4)</f>
        <v>13.04185962677002</v>
      </c>
      <c r="D216" s="1">
        <f t="shared" si="17"/>
        <v>33145</v>
      </c>
      <c r="E216">
        <f t="shared" si="18"/>
        <v>1990</v>
      </c>
      <c r="F216" s="6">
        <f t="shared" si="19"/>
        <v>272</v>
      </c>
      <c r="G216">
        <v>28.6</v>
      </c>
      <c r="H216">
        <v>11.6</v>
      </c>
      <c r="I216">
        <f>MAX(0,1-Fitting!$B$7*(Fitting!$B$6-Herm8889!C216)^2)</f>
        <v>0.75823288212845541</v>
      </c>
      <c r="J216">
        <f>tt(G216,H216,Fitting!$B$1:$E$1,Fitting!$B$2:$E$2)*I216</f>
        <v>15.240479773810392</v>
      </c>
    </row>
    <row r="217" spans="1:10">
      <c r="A217" s="1">
        <f t="shared" si="15"/>
        <v>33146</v>
      </c>
      <c r="B217">
        <f t="shared" si="16"/>
        <v>1990.7191102887148</v>
      </c>
      <c r="C217">
        <f>day_length(F217,$B$1,Fitting!$B$4)</f>
        <v>13.066653251647949</v>
      </c>
      <c r="D217" s="1">
        <f t="shared" si="17"/>
        <v>33146</v>
      </c>
      <c r="E217">
        <f t="shared" si="18"/>
        <v>1990</v>
      </c>
      <c r="F217" s="6">
        <f t="shared" si="19"/>
        <v>273</v>
      </c>
      <c r="G217">
        <v>27.3</v>
      </c>
      <c r="H217">
        <v>10.5</v>
      </c>
      <c r="I217">
        <f>MAX(0,1-Fitting!$B$7*(Fitting!$B$6-Herm8889!C217)^2)</f>
        <v>0.75930175550517198</v>
      </c>
      <c r="J217">
        <f>tt(G217,H217,Fitting!$B$1:$E$1,Fitting!$B$2:$E$2)*I217</f>
        <v>14.350802889397118</v>
      </c>
    </row>
    <row r="218" spans="1:10">
      <c r="A218" s="1">
        <f t="shared" si="15"/>
        <v>33147</v>
      </c>
      <c r="B218">
        <f t="shared" si="16"/>
        <v>2004.4809800198598</v>
      </c>
      <c r="C218">
        <f>day_length(F218,$B$1,Fitting!$B$4)</f>
        <v>13.091463088989258</v>
      </c>
      <c r="D218" s="1">
        <f t="shared" si="17"/>
        <v>33147</v>
      </c>
      <c r="E218">
        <f t="shared" si="18"/>
        <v>1990</v>
      </c>
      <c r="F218" s="6">
        <f t="shared" si="19"/>
        <v>274</v>
      </c>
      <c r="G218">
        <v>27.5</v>
      </c>
      <c r="H218">
        <v>8.6999999999999993</v>
      </c>
      <c r="I218">
        <f>MAX(0,1-Fitting!$B$7*(Fitting!$B$6-Herm8889!C218)^2)</f>
        <v>0.76032435863579306</v>
      </c>
      <c r="J218">
        <f>tt(G218,H218,Fitting!$B$1:$E$1,Fitting!$B$2:$E$2)*I218</f>
        <v>13.761869731144953</v>
      </c>
    </row>
    <row r="219" spans="1:10">
      <c r="A219" s="1">
        <f t="shared" si="15"/>
        <v>33148</v>
      </c>
      <c r="B219">
        <f t="shared" si="16"/>
        <v>2020.2779647086161</v>
      </c>
      <c r="C219">
        <f>day_length(F219,$B$1,Fitting!$B$4)</f>
        <v>13.116278648376465</v>
      </c>
      <c r="D219" s="1">
        <f t="shared" si="17"/>
        <v>33148</v>
      </c>
      <c r="E219">
        <f t="shared" si="18"/>
        <v>1990</v>
      </c>
      <c r="F219" s="6">
        <f t="shared" si="19"/>
        <v>275</v>
      </c>
      <c r="G219">
        <v>28.5</v>
      </c>
      <c r="H219">
        <v>13</v>
      </c>
      <c r="I219">
        <f>MAX(0,1-Fitting!$B$7*(Fitting!$B$6-Herm8889!C219)^2)</f>
        <v>0.76130046692801445</v>
      </c>
      <c r="J219">
        <f>tt(G219,H219,Fitting!$B$1:$E$1,Fitting!$B$2:$E$2)*I219</f>
        <v>15.7969846887563</v>
      </c>
    </row>
    <row r="220" spans="1:10">
      <c r="A220" s="1">
        <f t="shared" si="15"/>
        <v>33149</v>
      </c>
      <c r="B220">
        <f t="shared" si="16"/>
        <v>2036.3228993248808</v>
      </c>
      <c r="C220">
        <f>day_length(F220,$B$1,Fitting!$B$4)</f>
        <v>13.14109992980957</v>
      </c>
      <c r="D220" s="1">
        <f t="shared" si="17"/>
        <v>33149</v>
      </c>
      <c r="E220">
        <f t="shared" si="18"/>
        <v>1990</v>
      </c>
      <c r="F220" s="6">
        <f t="shared" si="19"/>
        <v>276</v>
      </c>
      <c r="G220">
        <v>29.1</v>
      </c>
      <c r="H220">
        <v>13</v>
      </c>
      <c r="I220">
        <f>MAX(0,1-Fitting!$B$7*(Fitting!$B$6-Herm8889!C220)^2)</f>
        <v>0.76222963154214085</v>
      </c>
      <c r="J220">
        <f>tt(G220,H220,Fitting!$B$1:$E$1,Fitting!$B$2:$E$2)*I220</f>
        <v>16.044934616264651</v>
      </c>
    </row>
    <row r="221" spans="1:10">
      <c r="A221" s="1">
        <f t="shared" si="15"/>
        <v>33150</v>
      </c>
      <c r="B221">
        <f t="shared" si="16"/>
        <v>2052.007885801615</v>
      </c>
      <c r="C221">
        <f>day_length(F221,$B$1,Fitting!$B$4)</f>
        <v>13.165918350219727</v>
      </c>
      <c r="D221" s="1">
        <f t="shared" si="17"/>
        <v>33150</v>
      </c>
      <c r="E221">
        <f t="shared" si="18"/>
        <v>1990</v>
      </c>
      <c r="F221" s="6">
        <f t="shared" si="19"/>
        <v>277</v>
      </c>
      <c r="G221">
        <v>30.8</v>
      </c>
      <c r="H221">
        <v>10.5</v>
      </c>
      <c r="I221">
        <f>MAX(0,1-Fitting!$B$7*(Fitting!$B$6-Herm8889!C221)^2)</f>
        <v>0.76311139664975958</v>
      </c>
      <c r="J221">
        <f>tt(G221,H221,Fitting!$B$1:$E$1,Fitting!$B$2:$E$2)*I221</f>
        <v>15.684986476733968</v>
      </c>
    </row>
    <row r="222" spans="1:10">
      <c r="A222" s="1">
        <f t="shared" si="15"/>
        <v>33151</v>
      </c>
      <c r="B222">
        <f t="shared" si="16"/>
        <v>2067.9403420887047</v>
      </c>
      <c r="C222">
        <f>day_length(F222,$B$1,Fitting!$B$4)</f>
        <v>13.190729141235352</v>
      </c>
      <c r="D222" s="1">
        <f t="shared" si="17"/>
        <v>33151</v>
      </c>
      <c r="E222">
        <f t="shared" si="18"/>
        <v>1990</v>
      </c>
      <c r="F222" s="6">
        <f t="shared" si="19"/>
        <v>278</v>
      </c>
      <c r="G222">
        <v>31.5</v>
      </c>
      <c r="H222">
        <v>11.1</v>
      </c>
      <c r="I222">
        <f>MAX(0,1-Fitting!$B$7*(Fitting!$B$6-Herm8889!C222)^2)</f>
        <v>0.76394537052866696</v>
      </c>
      <c r="J222">
        <f>tt(G222,H222,Fitting!$B$1:$E$1,Fitting!$B$2:$E$2)*I222</f>
        <v>15.93245628708968</v>
      </c>
    </row>
    <row r="223" spans="1:10">
      <c r="A223" s="1">
        <f t="shared" si="15"/>
        <v>33152</v>
      </c>
      <c r="B223">
        <f t="shared" si="16"/>
        <v>2084.958180439206</v>
      </c>
      <c r="C223">
        <f>day_length(F223,$B$1,Fitting!$B$4)</f>
        <v>13.215527534484863</v>
      </c>
      <c r="D223" s="1">
        <f t="shared" si="17"/>
        <v>33152</v>
      </c>
      <c r="E223">
        <f t="shared" si="18"/>
        <v>1990</v>
      </c>
      <c r="F223" s="6">
        <f t="shared" si="19"/>
        <v>279</v>
      </c>
      <c r="G223">
        <v>32.1</v>
      </c>
      <c r="H223">
        <v>14.5</v>
      </c>
      <c r="I223">
        <f>MAX(0,1-Fitting!$B$7*(Fitting!$B$6-Herm8889!C223)^2)</f>
        <v>0.76473122426765627</v>
      </c>
      <c r="J223">
        <f>tt(G223,H223,Fitting!$B$1:$E$1,Fitting!$B$2:$E$2)*I223</f>
        <v>17.017838350501339</v>
      </c>
    </row>
    <row r="224" spans="1:10">
      <c r="A224" s="1">
        <f t="shared" si="15"/>
        <v>33153</v>
      </c>
      <c r="B224">
        <f t="shared" si="16"/>
        <v>2101.8576631464007</v>
      </c>
      <c r="C224">
        <f>day_length(F224,$B$1,Fitting!$B$4)</f>
        <v>13.240307807922363</v>
      </c>
      <c r="D224" s="1">
        <f t="shared" si="17"/>
        <v>33153</v>
      </c>
      <c r="E224">
        <f t="shared" si="18"/>
        <v>1990</v>
      </c>
      <c r="F224" s="6">
        <f t="shared" si="19"/>
        <v>280</v>
      </c>
      <c r="G224">
        <v>34</v>
      </c>
      <c r="H224">
        <v>16</v>
      </c>
      <c r="I224">
        <f>MAX(0,1-Fitting!$B$7*(Fitting!$B$6-Herm8889!C224)^2)</f>
        <v>0.76546869056860489</v>
      </c>
      <c r="J224">
        <f>tt(G224,H224,Fitting!$B$1:$E$1,Fitting!$B$2:$E$2)*I224</f>
        <v>16.899482707194679</v>
      </c>
    </row>
    <row r="225" spans="1:10">
      <c r="A225" s="1">
        <f t="shared" si="15"/>
        <v>33154</v>
      </c>
      <c r="B225">
        <f t="shared" si="16"/>
        <v>2120.3573030564494</v>
      </c>
      <c r="C225">
        <f>day_length(F225,$B$1,Fitting!$B$4)</f>
        <v>13.265063285827637</v>
      </c>
      <c r="D225" s="1">
        <f t="shared" si="17"/>
        <v>33154</v>
      </c>
      <c r="E225">
        <f t="shared" si="18"/>
        <v>1990</v>
      </c>
      <c r="F225" s="6">
        <f t="shared" si="19"/>
        <v>281</v>
      </c>
      <c r="G225">
        <v>31.6</v>
      </c>
      <c r="H225">
        <v>18.3</v>
      </c>
      <c r="I225">
        <f>MAX(0,1-Fitting!$B$7*(Fitting!$B$6-Herm8889!C225)^2)</f>
        <v>0.76615741976036222</v>
      </c>
      <c r="J225">
        <f>tt(G225,H225,Fitting!$B$1:$E$1,Fitting!$B$2:$E$2)*I225</f>
        <v>18.499639910048515</v>
      </c>
    </row>
    <row r="226" spans="1:10">
      <c r="A226" s="1">
        <f t="shared" si="15"/>
        <v>33155</v>
      </c>
      <c r="B226">
        <f t="shared" si="16"/>
        <v>2137.9936335914426</v>
      </c>
      <c r="C226">
        <f>day_length(F226,$B$1,Fitting!$B$4)</f>
        <v>13.289790153503418</v>
      </c>
      <c r="D226" s="1">
        <f t="shared" si="17"/>
        <v>33155</v>
      </c>
      <c r="E226">
        <f t="shared" si="18"/>
        <v>1990</v>
      </c>
      <c r="F226" s="6">
        <f t="shared" si="19"/>
        <v>282</v>
      </c>
      <c r="G226">
        <v>27</v>
      </c>
      <c r="H226">
        <v>19</v>
      </c>
      <c r="I226">
        <f>MAX(0,1-Fitting!$B$7*(Fitting!$B$6-Herm8889!C226)^2)</f>
        <v>0.76679697978232431</v>
      </c>
      <c r="J226">
        <f>tt(G226,H226,Fitting!$B$1:$E$1,Fitting!$B$2:$E$2)*I226</f>
        <v>17.636330534993458</v>
      </c>
    </row>
    <row r="227" spans="1:10">
      <c r="A227" s="1">
        <f t="shared" si="15"/>
        <v>33156</v>
      </c>
      <c r="B227">
        <f t="shared" si="16"/>
        <v>2154.7226742348107</v>
      </c>
      <c r="C227">
        <f>day_length(F227,$B$1,Fitting!$B$4)</f>
        <v>13.314480781555176</v>
      </c>
      <c r="D227" s="1">
        <f t="shared" si="17"/>
        <v>33156</v>
      </c>
      <c r="E227">
        <f t="shared" si="18"/>
        <v>1990</v>
      </c>
      <c r="F227" s="6">
        <f t="shared" si="19"/>
        <v>283</v>
      </c>
      <c r="G227">
        <v>28.6</v>
      </c>
      <c r="H227">
        <v>15</v>
      </c>
      <c r="I227">
        <f>MAX(0,1-Fitting!$B$7*(Fitting!$B$6-Herm8889!C227)^2)</f>
        <v>0.76738721233201801</v>
      </c>
      <c r="J227">
        <f>tt(G227,H227,Fitting!$B$1:$E$1,Fitting!$B$2:$E$2)*I227</f>
        <v>16.729040643368013</v>
      </c>
    </row>
    <row r="228" spans="1:10">
      <c r="A228" s="1">
        <f t="shared" si="15"/>
        <v>33157</v>
      </c>
      <c r="B228">
        <f t="shared" si="16"/>
        <v>2171.6764461603802</v>
      </c>
      <c r="C228">
        <f>day_length(F228,$B$1,Fitting!$B$4)</f>
        <v>13.339130401611328</v>
      </c>
      <c r="D228" s="1">
        <f t="shared" si="17"/>
        <v>33157</v>
      </c>
      <c r="E228">
        <f t="shared" si="18"/>
        <v>1990</v>
      </c>
      <c r="F228" s="6">
        <f t="shared" si="19"/>
        <v>284</v>
      </c>
      <c r="G228">
        <v>33</v>
      </c>
      <c r="H228">
        <v>15</v>
      </c>
      <c r="I228">
        <f>MAX(0,1-Fitting!$B$7*(Fitting!$B$6-Herm8889!C228)^2)</f>
        <v>0.76792787467470047</v>
      </c>
      <c r="J228">
        <f>tt(G228,H228,Fitting!$B$1:$E$1,Fitting!$B$2:$E$2)*I228</f>
        <v>16.953771925569445</v>
      </c>
    </row>
    <row r="229" spans="1:10">
      <c r="A229" s="1">
        <f t="shared" si="15"/>
        <v>33158</v>
      </c>
      <c r="B229">
        <f t="shared" si="16"/>
        <v>2188.663541770763</v>
      </c>
      <c r="C229">
        <f>day_length(F229,$B$1,Fitting!$B$4)</f>
        <v>13.36373233795166</v>
      </c>
      <c r="D229" s="1">
        <f t="shared" si="17"/>
        <v>33158</v>
      </c>
      <c r="E229">
        <f t="shared" si="18"/>
        <v>1990</v>
      </c>
      <c r="F229" s="6">
        <f t="shared" si="19"/>
        <v>285</v>
      </c>
      <c r="G229">
        <v>35</v>
      </c>
      <c r="H229">
        <v>18.5</v>
      </c>
      <c r="I229">
        <f>MAX(0,1-Fitting!$B$7*(Fitting!$B$6-Herm8889!C229)^2)</f>
        <v>0.76841871074552182</v>
      </c>
      <c r="J229">
        <f>tt(G229,H229,Fitting!$B$1:$E$1,Fitting!$B$2:$E$2)*I229</f>
        <v>16.987095610382653</v>
      </c>
    </row>
    <row r="230" spans="1:10">
      <c r="A230" s="1">
        <f t="shared" si="15"/>
        <v>33159</v>
      </c>
      <c r="B230">
        <f t="shared" si="16"/>
        <v>2204.7918487238267</v>
      </c>
      <c r="C230">
        <f>day_length(F230,$B$1,Fitting!$B$4)</f>
        <v>13.388280868530273</v>
      </c>
      <c r="D230" s="1">
        <f t="shared" si="17"/>
        <v>33159</v>
      </c>
      <c r="E230">
        <f t="shared" si="18"/>
        <v>1990</v>
      </c>
      <c r="F230" s="6">
        <f t="shared" si="19"/>
        <v>286</v>
      </c>
      <c r="G230">
        <v>33</v>
      </c>
      <c r="H230">
        <v>12.5</v>
      </c>
      <c r="I230">
        <f>MAX(0,1-Fitting!$B$7*(Fitting!$B$6-Herm8889!C230)^2)</f>
        <v>0.76885945069834272</v>
      </c>
      <c r="J230">
        <f>tt(G230,H230,Fitting!$B$1:$E$1,Fitting!$B$2:$E$2)*I230</f>
        <v>16.128306953063657</v>
      </c>
    </row>
    <row r="231" spans="1:10">
      <c r="A231" s="1">
        <f t="shared" si="15"/>
        <v>33160</v>
      </c>
      <c r="B231">
        <f t="shared" si="16"/>
        <v>2220.253771593108</v>
      </c>
      <c r="C231">
        <f>day_length(F231,$B$1,Fitting!$B$4)</f>
        <v>13.412768363952637</v>
      </c>
      <c r="D231" s="1">
        <f t="shared" si="17"/>
        <v>33160</v>
      </c>
      <c r="E231">
        <f t="shared" si="18"/>
        <v>1990</v>
      </c>
      <c r="F231" s="6">
        <f t="shared" si="19"/>
        <v>287</v>
      </c>
      <c r="G231">
        <v>29.3</v>
      </c>
      <c r="H231">
        <v>10.9</v>
      </c>
      <c r="I231">
        <f>MAX(0,1-Fitting!$B$7*(Fitting!$B$6-Herm8889!C231)^2)</f>
        <v>0.76924995239123384</v>
      </c>
      <c r="J231">
        <f>tt(G231,H231,Fitting!$B$1:$E$1,Fitting!$B$2:$E$2)*I231</f>
        <v>15.461922869281524</v>
      </c>
    </row>
    <row r="232" spans="1:10">
      <c r="A232" s="1">
        <f t="shared" si="15"/>
        <v>33161</v>
      </c>
      <c r="B232">
        <f t="shared" si="16"/>
        <v>2236.376680953661</v>
      </c>
      <c r="C232">
        <f>day_length(F232,$B$1,Fitting!$B$4)</f>
        <v>13.437190055847168</v>
      </c>
      <c r="D232" s="1">
        <f t="shared" si="17"/>
        <v>33161</v>
      </c>
      <c r="E232">
        <f t="shared" si="18"/>
        <v>1990</v>
      </c>
      <c r="F232" s="6">
        <f t="shared" si="19"/>
        <v>288</v>
      </c>
      <c r="G232">
        <v>29.2</v>
      </c>
      <c r="H232">
        <v>12.7</v>
      </c>
      <c r="I232">
        <f>MAX(0,1-Fitting!$B$7*(Fitting!$B$6-Herm8889!C232)^2)</f>
        <v>0.76958998765053732</v>
      </c>
      <c r="J232">
        <f>tt(G232,H232,Fitting!$B$1:$E$1,Fitting!$B$2:$E$2)*I232</f>
        <v>16.12290936055291</v>
      </c>
    </row>
    <row r="233" spans="1:10">
      <c r="A233" s="1">
        <f t="shared" si="15"/>
        <v>33162</v>
      </c>
      <c r="B233">
        <f t="shared" si="16"/>
        <v>2252.9675840858004</v>
      </c>
      <c r="C233">
        <f>day_length(F233,$B$1,Fitting!$B$4)</f>
        <v>13.46153736114502</v>
      </c>
      <c r="D233" s="1">
        <f t="shared" si="17"/>
        <v>33162</v>
      </c>
      <c r="E233">
        <f t="shared" si="18"/>
        <v>1990</v>
      </c>
      <c r="F233" s="6">
        <f t="shared" si="19"/>
        <v>289</v>
      </c>
      <c r="G233">
        <v>29.5</v>
      </c>
      <c r="H233">
        <v>13.6</v>
      </c>
      <c r="I233">
        <f>MAX(0,1-Fitting!$B$7*(Fitting!$B$6-Herm8889!C233)^2)</f>
        <v>0.76987945480659981</v>
      </c>
      <c r="J233">
        <f>tt(G233,H233,Fitting!$B$1:$E$1,Fitting!$B$2:$E$2)*I233</f>
        <v>16.590903132139342</v>
      </c>
    </row>
    <row r="234" spans="1:10">
      <c r="A234" s="1">
        <f t="shared" si="15"/>
        <v>33163</v>
      </c>
      <c r="B234">
        <f t="shared" si="16"/>
        <v>2270.0036136482436</v>
      </c>
      <c r="C234">
        <f>day_length(F234,$B$1,Fitting!$B$4)</f>
        <v>13.485805511474609</v>
      </c>
      <c r="D234" s="1">
        <f t="shared" si="17"/>
        <v>33163</v>
      </c>
      <c r="E234">
        <f t="shared" si="18"/>
        <v>1990</v>
      </c>
      <c r="F234" s="6">
        <f t="shared" si="19"/>
        <v>290</v>
      </c>
      <c r="G234">
        <v>33</v>
      </c>
      <c r="H234">
        <v>15.1</v>
      </c>
      <c r="I234">
        <f>MAX(0,1-Fitting!$B$7*(Fitting!$B$6-Herm8889!C234)^2)</f>
        <v>0.77011823626575637</v>
      </c>
      <c r="J234">
        <f>tt(G234,H234,Fitting!$B$1:$E$1,Fitting!$B$2:$E$2)*I234</f>
        <v>17.036029562443357</v>
      </c>
    </row>
    <row r="235" spans="1:10">
      <c r="A235" s="1">
        <f t="shared" si="15"/>
        <v>33164</v>
      </c>
      <c r="B235">
        <f t="shared" si="16"/>
        <v>2286.7047499691275</v>
      </c>
      <c r="C235">
        <f>day_length(F235,$B$1,Fitting!$B$4)</f>
        <v>13.50998592376709</v>
      </c>
      <c r="D235" s="1">
        <f t="shared" si="17"/>
        <v>33164</v>
      </c>
      <c r="E235">
        <f t="shared" si="18"/>
        <v>1990</v>
      </c>
      <c r="F235" s="6">
        <f t="shared" si="19"/>
        <v>291</v>
      </c>
      <c r="G235">
        <v>32.9</v>
      </c>
      <c r="H235">
        <v>14</v>
      </c>
      <c r="I235">
        <f>MAX(0,1-Fitting!$B$7*(Fitting!$B$6-Herm8889!C235)^2)</f>
        <v>0.77030619827737246</v>
      </c>
      <c r="J235">
        <f>tt(G235,H235,Fitting!$B$1:$E$1,Fitting!$B$2:$E$2)*I235</f>
        <v>16.701136320883926</v>
      </c>
    </row>
    <row r="236" spans="1:10">
      <c r="A236" s="1">
        <f t="shared" si="15"/>
        <v>33165</v>
      </c>
      <c r="B236">
        <f t="shared" si="16"/>
        <v>2305.0026758219942</v>
      </c>
      <c r="C236">
        <f>day_length(F236,$B$1,Fitting!$B$4)</f>
        <v>13.534072875976562</v>
      </c>
      <c r="D236" s="1">
        <f t="shared" si="17"/>
        <v>33165</v>
      </c>
      <c r="E236">
        <f t="shared" si="18"/>
        <v>1990</v>
      </c>
      <c r="F236" s="6">
        <f t="shared" si="19"/>
        <v>292</v>
      </c>
      <c r="G236">
        <v>32.6</v>
      </c>
      <c r="H236">
        <v>18.399999999999999</v>
      </c>
      <c r="I236">
        <f>MAX(0,1-Fitting!$B$7*(Fitting!$B$6-Herm8889!C236)^2)</f>
        <v>0.77044319069990341</v>
      </c>
      <c r="J236">
        <f>tt(G236,H236,Fitting!$B$1:$E$1,Fitting!$B$2:$E$2)*I236</f>
        <v>18.297925852866587</v>
      </c>
    </row>
    <row r="237" spans="1:10">
      <c r="A237" s="1">
        <f t="shared" si="15"/>
        <v>33166</v>
      </c>
      <c r="B237">
        <f t="shared" si="16"/>
        <v>2324.3540065431366</v>
      </c>
      <c r="C237">
        <f>day_length(F237,$B$1,Fitting!$B$4)</f>
        <v>13.558058738708496</v>
      </c>
      <c r="D237" s="1">
        <f t="shared" si="17"/>
        <v>33166</v>
      </c>
      <c r="E237">
        <f t="shared" si="18"/>
        <v>1990</v>
      </c>
      <c r="F237" s="6">
        <f t="shared" si="19"/>
        <v>293</v>
      </c>
      <c r="G237">
        <v>31</v>
      </c>
      <c r="H237">
        <v>19.899999999999999</v>
      </c>
      <c r="I237">
        <f>MAX(0,1-Fitting!$B$7*(Fitting!$B$6-Herm8889!C237)^2)</f>
        <v>0.77052925908588255</v>
      </c>
      <c r="J237">
        <f>tt(G237,H237,Fitting!$B$1:$E$1,Fitting!$B$2:$E$2)*I237</f>
        <v>19.351330721142546</v>
      </c>
    </row>
    <row r="238" spans="1:10">
      <c r="A238" s="1">
        <f t="shared" si="15"/>
        <v>33167</v>
      </c>
      <c r="B238">
        <f t="shared" si="16"/>
        <v>2340.7670283205343</v>
      </c>
      <c r="C238">
        <f>day_length(F238,$B$1,Fitting!$B$4)</f>
        <v>13.581934928894043</v>
      </c>
      <c r="D238" s="1">
        <f t="shared" si="17"/>
        <v>33167</v>
      </c>
      <c r="E238">
        <f t="shared" si="18"/>
        <v>1990</v>
      </c>
      <c r="F238" s="6">
        <f t="shared" si="19"/>
        <v>294</v>
      </c>
      <c r="G238">
        <v>26.7</v>
      </c>
      <c r="H238">
        <v>15.9</v>
      </c>
      <c r="I238">
        <f>MAX(0,1-Fitting!$B$7*(Fitting!$B$6-Herm8889!C238)^2)</f>
        <v>0.77056436129373651</v>
      </c>
      <c r="J238">
        <f>tt(G238,H238,Fitting!$B$1:$E$1,Fitting!$B$2:$E$2)*I238</f>
        <v>16.413021777397518</v>
      </c>
    </row>
    <row r="239" spans="1:10">
      <c r="A239" s="1">
        <f t="shared" si="15"/>
        <v>33168</v>
      </c>
      <c r="B239">
        <f t="shared" si="16"/>
        <v>2356.4091595924065</v>
      </c>
      <c r="C239">
        <f>day_length(F239,$B$1,Fitting!$B$4)</f>
        <v>13.605696678161621</v>
      </c>
      <c r="D239" s="1">
        <f t="shared" si="17"/>
        <v>33168</v>
      </c>
      <c r="E239">
        <f t="shared" si="18"/>
        <v>1990</v>
      </c>
      <c r="F239" s="6">
        <f t="shared" si="19"/>
        <v>295</v>
      </c>
      <c r="G239">
        <v>29.6</v>
      </c>
      <c r="H239">
        <v>11</v>
      </c>
      <c r="I239">
        <f>MAX(0,1-Fitting!$B$7*(Fitting!$B$6-Herm8889!C239)^2)</f>
        <v>0.77054836747556144</v>
      </c>
      <c r="J239">
        <f>tt(G239,H239,Fitting!$B$1:$E$1,Fitting!$B$2:$E$2)*I239</f>
        <v>15.642131271872147</v>
      </c>
    </row>
    <row r="240" spans="1:10">
      <c r="A240" s="1">
        <f t="shared" si="15"/>
        <v>33169</v>
      </c>
      <c r="B240">
        <f t="shared" si="16"/>
        <v>2371.0868327563699</v>
      </c>
      <c r="C240">
        <f>day_length(F240,$B$1,Fitting!$B$4)</f>
        <v>13.62933349609375</v>
      </c>
      <c r="D240" s="1">
        <f t="shared" si="17"/>
        <v>33169</v>
      </c>
      <c r="E240">
        <f t="shared" si="18"/>
        <v>1990</v>
      </c>
      <c r="F240" s="6">
        <f t="shared" si="19"/>
        <v>296</v>
      </c>
      <c r="G240">
        <v>30.6</v>
      </c>
      <c r="H240">
        <v>7.5</v>
      </c>
      <c r="I240">
        <f>MAX(0,1-Fitting!$B$7*(Fitting!$B$6-Herm8889!C240)^2)</f>
        <v>0.77048148463082178</v>
      </c>
      <c r="J240">
        <f>tt(G240,H240,Fitting!$B$1:$E$1,Fitting!$B$2:$E$2)*I240</f>
        <v>14.677673163963238</v>
      </c>
    </row>
    <row r="241" spans="1:10">
      <c r="A241" s="1">
        <f t="shared" si="15"/>
        <v>33170</v>
      </c>
      <c r="B241">
        <f t="shared" si="16"/>
        <v>2384.7222669067714</v>
      </c>
      <c r="C241">
        <f>day_length(F241,$B$1,Fitting!$B$4)</f>
        <v>13.652840614318848</v>
      </c>
      <c r="D241" s="1">
        <f t="shared" si="17"/>
        <v>33170</v>
      </c>
      <c r="E241">
        <f t="shared" si="18"/>
        <v>1990</v>
      </c>
      <c r="F241" s="6">
        <f t="shared" si="19"/>
        <v>297</v>
      </c>
      <c r="G241">
        <v>27.4</v>
      </c>
      <c r="H241">
        <v>8</v>
      </c>
      <c r="I241">
        <f>MAX(0,1-Fitting!$B$7*(Fitting!$B$6-Herm8889!C241)^2)</f>
        <v>0.77036347811643824</v>
      </c>
      <c r="J241">
        <f>tt(G241,H241,Fitting!$B$1:$E$1,Fitting!$B$2:$E$2)*I241</f>
        <v>13.635434150401647</v>
      </c>
    </row>
    <row r="242" spans="1:10">
      <c r="A242" s="1">
        <f t="shared" si="15"/>
        <v>33171</v>
      </c>
      <c r="B242">
        <f t="shared" si="16"/>
        <v>2401.8218038927989</v>
      </c>
      <c r="C242">
        <f>day_length(F242,$B$1,Fitting!$B$4)</f>
        <v>13.676207542419434</v>
      </c>
      <c r="D242" s="1">
        <f t="shared" si="17"/>
        <v>33171</v>
      </c>
      <c r="E242">
        <f t="shared" si="18"/>
        <v>1990</v>
      </c>
      <c r="F242" s="6">
        <f t="shared" si="19"/>
        <v>298</v>
      </c>
      <c r="G242">
        <v>30.7</v>
      </c>
      <c r="H242">
        <v>13.9</v>
      </c>
      <c r="I242">
        <f>MAX(0,1-Fitting!$B$7*(Fitting!$B$6-Herm8889!C242)^2)</f>
        <v>0.77019466264968828</v>
      </c>
      <c r="J242">
        <f>tt(G242,H242,Fitting!$B$1:$E$1,Fitting!$B$2:$E$2)*I242</f>
        <v>17.09953698602731</v>
      </c>
    </row>
    <row r="243" spans="1:10">
      <c r="A243" s="1">
        <f t="shared" si="15"/>
        <v>33172</v>
      </c>
      <c r="B243">
        <f t="shared" si="16"/>
        <v>2419.4927257597751</v>
      </c>
      <c r="C243">
        <f>day_length(F243,$B$1,Fitting!$B$4)</f>
        <v>13.699428558349609</v>
      </c>
      <c r="D243" s="1">
        <f t="shared" si="17"/>
        <v>33172</v>
      </c>
      <c r="E243">
        <f t="shared" si="18"/>
        <v>1990</v>
      </c>
      <c r="F243" s="6">
        <f t="shared" si="19"/>
        <v>299</v>
      </c>
      <c r="G243">
        <v>30.4</v>
      </c>
      <c r="H243">
        <v>15.5</v>
      </c>
      <c r="I243">
        <f>MAX(0,1-Fitting!$B$7*(Fitting!$B$6-Herm8889!C243)^2)</f>
        <v>0.76997491140536478</v>
      </c>
      <c r="J243">
        <f>tt(G243,H243,Fitting!$B$1:$E$1,Fitting!$B$2:$E$2)*I243</f>
        <v>17.670921866976169</v>
      </c>
    </row>
    <row r="244" spans="1:10">
      <c r="A244" s="1">
        <f t="shared" si="15"/>
        <v>33173</v>
      </c>
      <c r="B244">
        <f t="shared" si="16"/>
        <v>2436.1568294883209</v>
      </c>
      <c r="C244">
        <f>day_length(F244,$B$1,Fitting!$B$4)</f>
        <v>13.722495079040527</v>
      </c>
      <c r="D244" s="1">
        <f t="shared" si="17"/>
        <v>33173</v>
      </c>
      <c r="E244">
        <f t="shared" si="18"/>
        <v>1990</v>
      </c>
      <c r="F244" s="6">
        <f t="shared" si="19"/>
        <v>300</v>
      </c>
      <c r="G244">
        <v>29</v>
      </c>
      <c r="H244">
        <v>14.3</v>
      </c>
      <c r="I244">
        <f>MAX(0,1-Fitting!$B$7*(Fitting!$B$6-Herm8889!C244)^2)</f>
        <v>0.76970450596165751</v>
      </c>
      <c r="J244">
        <f>tt(G244,H244,Fitting!$B$1:$E$1,Fitting!$B$2:$E$2)*I244</f>
        <v>16.664103728545754</v>
      </c>
    </row>
    <row r="245" spans="1:10">
      <c r="A245" s="1">
        <f t="shared" si="15"/>
        <v>33174</v>
      </c>
      <c r="B245">
        <f t="shared" si="16"/>
        <v>2452.6686350305531</v>
      </c>
      <c r="C245">
        <f>day_length(F245,$B$1,Fitting!$B$4)</f>
        <v>13.745395660400391</v>
      </c>
      <c r="D245" s="1">
        <f t="shared" si="17"/>
        <v>33174</v>
      </c>
      <c r="E245">
        <f t="shared" si="18"/>
        <v>1990</v>
      </c>
      <c r="F245" s="6">
        <f t="shared" si="19"/>
        <v>301</v>
      </c>
      <c r="G245">
        <v>32</v>
      </c>
      <c r="H245">
        <v>12.6</v>
      </c>
      <c r="I245">
        <f>MAX(0,1-Fitting!$B$7*(Fitting!$B$6-Herm8889!C245)^2)</f>
        <v>0.7693833572577351</v>
      </c>
      <c r="J245">
        <f>tt(G245,H245,Fitting!$B$1:$E$1,Fitting!$B$2:$E$2)*I245</f>
        <v>16.51180554223199</v>
      </c>
    </row>
    <row r="246" spans="1:10">
      <c r="A246" s="1">
        <f t="shared" si="15"/>
        <v>33175</v>
      </c>
      <c r="B246">
        <f t="shared" si="16"/>
        <v>2470.2710061532471</v>
      </c>
      <c r="C246">
        <f>day_length(F246,$B$1,Fitting!$B$4)</f>
        <v>13.768125534057617</v>
      </c>
      <c r="D246" s="1">
        <f t="shared" si="17"/>
        <v>33175</v>
      </c>
      <c r="E246">
        <f t="shared" si="18"/>
        <v>1990</v>
      </c>
      <c r="F246" s="6">
        <f t="shared" si="19"/>
        <v>302</v>
      </c>
      <c r="G246">
        <v>31.3</v>
      </c>
      <c r="H246">
        <v>15.3</v>
      </c>
      <c r="I246">
        <f>MAX(0,1-Fitting!$B$7*(Fitting!$B$6-Herm8889!C246)^2)</f>
        <v>0.76901171462258933</v>
      </c>
      <c r="J246">
        <f>tt(G246,H246,Fitting!$B$1:$E$1,Fitting!$B$2:$E$2)*I246</f>
        <v>17.602371122694084</v>
      </c>
    </row>
    <row r="247" spans="1:10">
      <c r="A247" s="1">
        <f t="shared" si="15"/>
        <v>33176</v>
      </c>
      <c r="B247">
        <f t="shared" si="16"/>
        <v>2486.3364533702938</v>
      </c>
      <c r="C247">
        <f>day_length(F247,$B$1,Fitting!$B$4)</f>
        <v>13.790675163269043</v>
      </c>
      <c r="D247" s="1">
        <f t="shared" si="17"/>
        <v>33176</v>
      </c>
      <c r="E247">
        <f t="shared" si="18"/>
        <v>1990</v>
      </c>
      <c r="F247" s="6">
        <f t="shared" si="19"/>
        <v>303</v>
      </c>
      <c r="G247">
        <v>31.4</v>
      </c>
      <c r="H247">
        <v>11.2</v>
      </c>
      <c r="I247">
        <f>MAX(0,1-Fitting!$B$7*(Fitting!$B$6-Herm8889!C247)^2)</f>
        <v>0.7685898831100203</v>
      </c>
      <c r="J247">
        <f>tt(G247,H247,Fitting!$B$1:$E$1,Fitting!$B$2:$E$2)*I247</f>
        <v>16.065447217046984</v>
      </c>
    </row>
    <row r="248" spans="1:10">
      <c r="A248" s="1">
        <f t="shared" si="15"/>
        <v>33177</v>
      </c>
      <c r="B248">
        <f t="shared" si="16"/>
        <v>2502.9563346896248</v>
      </c>
      <c r="C248">
        <f>day_length(F248,$B$1,Fitting!$B$4)</f>
        <v>13.813036918640137</v>
      </c>
      <c r="D248" s="1">
        <f t="shared" si="17"/>
        <v>33177</v>
      </c>
      <c r="E248">
        <f t="shared" si="18"/>
        <v>1990</v>
      </c>
      <c r="F248" s="6">
        <f t="shared" si="19"/>
        <v>304</v>
      </c>
      <c r="G248">
        <v>32.1</v>
      </c>
      <c r="H248">
        <v>13.1</v>
      </c>
      <c r="I248">
        <f>MAX(0,1-Fitting!$B$7*(Fitting!$B$6-Herm8889!C248)^2)</f>
        <v>0.76811779738077346</v>
      </c>
      <c r="J248">
        <f>tt(G248,H248,Fitting!$B$1:$E$1,Fitting!$B$2:$E$2)*I248</f>
        <v>16.619881319331046</v>
      </c>
    </row>
    <row r="249" spans="1:10">
      <c r="A249" s="1"/>
      <c r="D249" s="1"/>
      <c r="F249" s="6"/>
    </row>
    <row r="250" spans="1:10">
      <c r="A250" s="1"/>
      <c r="D250" s="1"/>
      <c r="F250" s="6"/>
    </row>
    <row r="251" spans="1:10">
      <c r="A251" s="1"/>
      <c r="D251" s="1"/>
      <c r="F251" s="6"/>
    </row>
    <row r="252" spans="1:10">
      <c r="A252" s="1"/>
      <c r="D252" s="1"/>
      <c r="F252" s="6"/>
    </row>
    <row r="253" spans="1:10">
      <c r="A253" s="1"/>
      <c r="D253" s="1"/>
      <c r="F253" s="6"/>
    </row>
    <row r="254" spans="1:10">
      <c r="A254" s="1"/>
      <c r="D254" s="1"/>
      <c r="F254" s="6"/>
    </row>
    <row r="255" spans="1:10">
      <c r="A255" s="1"/>
      <c r="D255" s="1"/>
      <c r="F255" s="6"/>
    </row>
    <row r="256" spans="1:10">
      <c r="A256" s="1"/>
      <c r="D256" s="1"/>
      <c r="F256" s="6"/>
    </row>
    <row r="257" spans="1:6">
      <c r="A257" s="1"/>
      <c r="D257" s="1"/>
      <c r="F257" s="6"/>
    </row>
    <row r="258" spans="1:6">
      <c r="A258" s="1"/>
      <c r="D258" s="1"/>
      <c r="F258" s="6"/>
    </row>
    <row r="259" spans="1:6">
      <c r="A259" s="1"/>
      <c r="D259" s="1"/>
      <c r="F259" s="6"/>
    </row>
    <row r="260" spans="1:6">
      <c r="A260" s="1"/>
      <c r="D260" s="1"/>
      <c r="F260" s="6"/>
    </row>
    <row r="261" spans="1:6">
      <c r="A261" s="1"/>
      <c r="D261" s="1"/>
      <c r="F261" s="6"/>
    </row>
    <row r="262" spans="1:6">
      <c r="A262" s="1"/>
      <c r="D262" s="1"/>
      <c r="F262" s="6"/>
    </row>
    <row r="263" spans="1:6">
      <c r="A263" s="1"/>
      <c r="D263" s="1"/>
      <c r="F263" s="6"/>
    </row>
    <row r="264" spans="1:6">
      <c r="A264" s="1"/>
      <c r="D264" s="1"/>
      <c r="F264" s="6"/>
    </row>
    <row r="265" spans="1:6">
      <c r="A265" s="1"/>
      <c r="D265" s="1"/>
      <c r="F265" s="6"/>
    </row>
    <row r="266" spans="1:6">
      <c r="A266" s="1"/>
      <c r="D266" s="1"/>
      <c r="F266" s="6"/>
    </row>
    <row r="267" spans="1:6">
      <c r="A267" s="1"/>
      <c r="D267" s="1"/>
      <c r="F267" s="6"/>
    </row>
    <row r="268" spans="1:6">
      <c r="A268" s="1"/>
      <c r="D268" s="1"/>
      <c r="F268" s="6"/>
    </row>
    <row r="269" spans="1:6">
      <c r="A269" s="1"/>
      <c r="D269" s="1"/>
      <c r="F269" s="6"/>
    </row>
    <row r="270" spans="1:6">
      <c r="A270" s="1"/>
      <c r="D270" s="1"/>
      <c r="F270" s="6"/>
    </row>
    <row r="271" spans="1:6">
      <c r="A271" s="1"/>
      <c r="D271" s="1"/>
      <c r="F271" s="6"/>
    </row>
    <row r="272" spans="1:6">
      <c r="A272" s="1"/>
      <c r="D272" s="1"/>
      <c r="F272" s="6"/>
    </row>
    <row r="273" spans="1:6">
      <c r="A273" s="1"/>
      <c r="D273" s="1"/>
      <c r="F273" s="6"/>
    </row>
    <row r="274" spans="1:6">
      <c r="A274" s="1"/>
      <c r="D274" s="1"/>
      <c r="F274" s="6"/>
    </row>
    <row r="275" spans="1:6">
      <c r="A275" s="1"/>
      <c r="D275" s="1"/>
      <c r="F275" s="6"/>
    </row>
    <row r="276" spans="1:6">
      <c r="A276" s="1"/>
      <c r="D276" s="1"/>
      <c r="F276" s="6"/>
    </row>
    <row r="277" spans="1:6">
      <c r="A277" s="1"/>
      <c r="D277" s="1"/>
      <c r="F277" s="6"/>
    </row>
    <row r="278" spans="1:6">
      <c r="A278" s="1"/>
      <c r="D278" s="1"/>
      <c r="F278" s="6"/>
    </row>
    <row r="279" spans="1:6">
      <c r="A279" s="1"/>
      <c r="D279" s="1"/>
      <c r="F279" s="6"/>
    </row>
    <row r="280" spans="1:6">
      <c r="A280" s="1"/>
      <c r="D280" s="1"/>
      <c r="F280" s="6"/>
    </row>
    <row r="281" spans="1:6">
      <c r="A281" s="1"/>
      <c r="D281" s="1"/>
      <c r="F281" s="6"/>
    </row>
    <row r="282" spans="1:6">
      <c r="A282" s="1"/>
      <c r="D282" s="1"/>
      <c r="F282" s="6"/>
    </row>
    <row r="283" spans="1:6">
      <c r="A283" s="1"/>
      <c r="D283" s="1"/>
      <c r="F283" s="6"/>
    </row>
    <row r="284" spans="1:6">
      <c r="A284" s="1"/>
      <c r="D284" s="1"/>
      <c r="F284" s="6"/>
    </row>
    <row r="285" spans="1:6">
      <c r="A285" s="1"/>
      <c r="D285" s="1"/>
      <c r="F285" s="6"/>
    </row>
    <row r="286" spans="1:6">
      <c r="A286" s="1"/>
      <c r="D286" s="1"/>
      <c r="F286" s="6"/>
    </row>
    <row r="287" spans="1:6">
      <c r="A287" s="1"/>
      <c r="D287" s="1"/>
      <c r="F287" s="6"/>
    </row>
    <row r="288" spans="1:6">
      <c r="A288" s="1"/>
      <c r="D288" s="1"/>
      <c r="F288" s="6"/>
    </row>
    <row r="289" spans="1:6">
      <c r="A289" s="1"/>
      <c r="D289" s="1"/>
      <c r="F289" s="6"/>
    </row>
    <row r="290" spans="1:6">
      <c r="A290" s="1"/>
      <c r="D290" s="1"/>
      <c r="F290" s="6"/>
    </row>
    <row r="291" spans="1:6">
      <c r="A291" s="1"/>
      <c r="D291" s="1"/>
      <c r="F291" s="6"/>
    </row>
    <row r="292" spans="1:6">
      <c r="A292" s="1"/>
      <c r="D292" s="1"/>
      <c r="F292" s="6"/>
    </row>
    <row r="293" spans="1:6">
      <c r="A293" s="1"/>
      <c r="D293" s="1"/>
      <c r="F293" s="6"/>
    </row>
    <row r="294" spans="1:6">
      <c r="A294" s="1"/>
      <c r="D294" s="1"/>
      <c r="F294" s="6"/>
    </row>
    <row r="295" spans="1:6">
      <c r="A295" s="1"/>
      <c r="D295" s="1"/>
      <c r="F295" s="6"/>
    </row>
    <row r="296" spans="1:6">
      <c r="A296" s="1"/>
      <c r="D296" s="1"/>
      <c r="F296" s="6"/>
    </row>
    <row r="297" spans="1:6">
      <c r="A297" s="1"/>
      <c r="D297" s="1"/>
      <c r="F297" s="6"/>
    </row>
    <row r="298" spans="1:6">
      <c r="A298" s="1"/>
      <c r="D298" s="1"/>
      <c r="F298" s="6"/>
    </row>
    <row r="299" spans="1:6">
      <c r="A299" s="1"/>
      <c r="D299" s="1"/>
      <c r="F299" s="6"/>
    </row>
    <row r="300" spans="1:6">
      <c r="A300" s="1"/>
      <c r="D300" s="1"/>
      <c r="F300" s="6"/>
    </row>
    <row r="301" spans="1:6">
      <c r="A301" s="1"/>
      <c r="D301" s="1"/>
      <c r="F301" s="6"/>
    </row>
    <row r="302" spans="1:6">
      <c r="A302" s="1"/>
      <c r="D302" s="1"/>
      <c r="F302" s="6"/>
    </row>
    <row r="303" spans="1:6">
      <c r="A303" s="1"/>
      <c r="D303" s="1"/>
      <c r="F303" s="6"/>
    </row>
    <row r="304" spans="1:6">
      <c r="A304" s="1"/>
      <c r="D304" s="1"/>
      <c r="F304" s="6"/>
    </row>
    <row r="305" spans="1:6">
      <c r="A305" s="1"/>
      <c r="D305" s="1"/>
      <c r="F305" s="6"/>
    </row>
    <row r="306" spans="1:6">
      <c r="A306" s="1"/>
      <c r="D306" s="1"/>
      <c r="F306" s="6"/>
    </row>
    <row r="307" spans="1:6">
      <c r="A307" s="1"/>
      <c r="D307" s="1"/>
      <c r="F307" s="6"/>
    </row>
    <row r="308" spans="1:6">
      <c r="A308" s="1"/>
      <c r="D308" s="1"/>
      <c r="F308" s="6"/>
    </row>
    <row r="309" spans="1:6">
      <c r="A309" s="1"/>
      <c r="D309" s="1"/>
      <c r="F309" s="6"/>
    </row>
    <row r="310" spans="1:6">
      <c r="A310" s="1"/>
      <c r="D310" s="1"/>
      <c r="F310" s="6"/>
    </row>
    <row r="311" spans="1:6">
      <c r="A311" s="1"/>
      <c r="D311" s="1"/>
      <c r="F311" s="6"/>
    </row>
    <row r="312" spans="1:6">
      <c r="A312" s="1"/>
      <c r="D312" s="1"/>
      <c r="F312" s="6"/>
    </row>
    <row r="313" spans="1:6">
      <c r="A313" s="1"/>
      <c r="D313" s="1"/>
      <c r="F313" s="6"/>
    </row>
    <row r="314" spans="1:6">
      <c r="A314" s="1"/>
      <c r="D314" s="1"/>
      <c r="F314" s="6"/>
    </row>
    <row r="315" spans="1:6">
      <c r="A315" s="1"/>
      <c r="D315" s="1"/>
      <c r="F315" s="6"/>
    </row>
    <row r="316" spans="1:6">
      <c r="A316" s="1"/>
      <c r="D316" s="1"/>
      <c r="F316" s="6"/>
    </row>
    <row r="317" spans="1:6">
      <c r="A317" s="1"/>
      <c r="D317" s="1"/>
      <c r="F317" s="6"/>
    </row>
    <row r="318" spans="1:6">
      <c r="A318" s="1"/>
      <c r="D318" s="1"/>
      <c r="F318" s="6"/>
    </row>
    <row r="319" spans="1:6">
      <c r="A319" s="1"/>
      <c r="D319" s="1"/>
      <c r="F319" s="6"/>
    </row>
    <row r="320" spans="1:6">
      <c r="A320" s="1"/>
      <c r="D320" s="1"/>
      <c r="F320" s="6"/>
    </row>
    <row r="321" spans="1:6">
      <c r="A321" s="1"/>
      <c r="D321" s="1"/>
      <c r="F321" s="6"/>
    </row>
    <row r="322" spans="1:6">
      <c r="A322" s="1"/>
      <c r="D322" s="1"/>
      <c r="F322" s="6"/>
    </row>
    <row r="323" spans="1:6">
      <c r="A323" s="1"/>
      <c r="D323" s="1"/>
      <c r="F323" s="6"/>
    </row>
    <row r="324" spans="1:6">
      <c r="A324" s="1"/>
      <c r="D324" s="1"/>
      <c r="F324" s="6"/>
    </row>
    <row r="325" spans="1:6">
      <c r="A325" s="1"/>
      <c r="D325" s="1"/>
      <c r="F325" s="6"/>
    </row>
    <row r="326" spans="1:6">
      <c r="A326" s="1"/>
      <c r="D326" s="1"/>
      <c r="F326" s="6"/>
    </row>
    <row r="327" spans="1:6">
      <c r="A327" s="1"/>
      <c r="D327" s="1"/>
      <c r="F327" s="6"/>
    </row>
    <row r="328" spans="1:6">
      <c r="A328" s="1"/>
      <c r="D328" s="1"/>
      <c r="F328" s="6"/>
    </row>
    <row r="329" spans="1:6">
      <c r="A329" s="1"/>
      <c r="D329" s="1"/>
      <c r="F329" s="6"/>
    </row>
    <row r="330" spans="1:6">
      <c r="A330" s="1"/>
      <c r="D330" s="1"/>
      <c r="F330" s="6"/>
    </row>
    <row r="331" spans="1:6">
      <c r="A331" s="1"/>
      <c r="D331" s="1"/>
      <c r="F331" s="6"/>
    </row>
    <row r="332" spans="1:6">
      <c r="A332" s="1"/>
      <c r="D332" s="1"/>
      <c r="F332" s="6"/>
    </row>
    <row r="333" spans="1:6">
      <c r="A333" s="1"/>
      <c r="D333" s="1"/>
      <c r="F333" s="6"/>
    </row>
    <row r="334" spans="1:6">
      <c r="A334" s="1"/>
      <c r="D334" s="1"/>
      <c r="F334" s="6"/>
    </row>
    <row r="335" spans="1:6">
      <c r="A335" s="1"/>
      <c r="D335" s="1"/>
      <c r="F335" s="6"/>
    </row>
    <row r="336" spans="1:6">
      <c r="A336" s="1"/>
      <c r="D336" s="1"/>
      <c r="F336" s="6"/>
    </row>
    <row r="337" spans="1:6">
      <c r="A337" s="1"/>
      <c r="D337" s="1"/>
      <c r="F337" s="6"/>
    </row>
    <row r="338" spans="1:6">
      <c r="A338" s="1"/>
      <c r="D338" s="1"/>
      <c r="F338" s="6"/>
    </row>
    <row r="339" spans="1:6">
      <c r="A339" s="1"/>
      <c r="D339" s="1"/>
      <c r="F339" s="6"/>
    </row>
    <row r="340" spans="1:6">
      <c r="A340" s="1"/>
      <c r="D340" s="1"/>
      <c r="F340" s="6"/>
    </row>
    <row r="341" spans="1:6">
      <c r="A341" s="1"/>
      <c r="D341" s="1"/>
      <c r="F341" s="6"/>
    </row>
    <row r="342" spans="1:6">
      <c r="A342" s="1"/>
      <c r="D342" s="1"/>
      <c r="F342" s="6"/>
    </row>
    <row r="343" spans="1:6">
      <c r="A343" s="1"/>
      <c r="D343" s="1"/>
      <c r="F343" s="6"/>
    </row>
    <row r="344" spans="1:6">
      <c r="A344" s="1"/>
      <c r="D344" s="1"/>
      <c r="F344" s="6"/>
    </row>
    <row r="345" spans="1:6">
      <c r="A345" s="1"/>
      <c r="D345" s="1"/>
      <c r="F345" s="6"/>
    </row>
    <row r="346" spans="1:6">
      <c r="A346" s="1"/>
      <c r="D346" s="1"/>
      <c r="F346" s="6"/>
    </row>
    <row r="347" spans="1:6">
      <c r="A347" s="1"/>
      <c r="D347" s="1"/>
      <c r="F347" s="6"/>
    </row>
    <row r="348" spans="1:6">
      <c r="A348" s="1"/>
      <c r="D348" s="1"/>
      <c r="F348" s="6"/>
    </row>
    <row r="349" spans="1:6">
      <c r="A349" s="1"/>
      <c r="D349" s="1"/>
      <c r="F349" s="6"/>
    </row>
    <row r="350" spans="1:6">
      <c r="A350" s="1"/>
      <c r="D350" s="1"/>
      <c r="F350" s="6"/>
    </row>
    <row r="351" spans="1:6">
      <c r="A351" s="1"/>
      <c r="D351" s="1"/>
      <c r="F351" s="6"/>
    </row>
    <row r="352" spans="1:6">
      <c r="A352" s="1"/>
      <c r="D352" s="1"/>
      <c r="F352" s="6"/>
    </row>
    <row r="353" spans="1:6">
      <c r="A353" s="1"/>
      <c r="D353" s="1"/>
      <c r="F353" s="6"/>
    </row>
    <row r="354" spans="1:6">
      <c r="A354" s="1"/>
      <c r="D354" s="1"/>
      <c r="F354" s="6"/>
    </row>
    <row r="355" spans="1:6">
      <c r="A355" s="1"/>
      <c r="D355" s="1"/>
      <c r="F355" s="6"/>
    </row>
    <row r="356" spans="1:6">
      <c r="A356" s="1"/>
      <c r="D356" s="1"/>
      <c r="F356" s="6"/>
    </row>
    <row r="357" spans="1:6">
      <c r="A357" s="1"/>
      <c r="D357" s="1"/>
      <c r="F357" s="6"/>
    </row>
    <row r="358" spans="1:6">
      <c r="A358" s="1"/>
      <c r="D358" s="1"/>
      <c r="F358" s="6"/>
    </row>
    <row r="359" spans="1:6">
      <c r="A359" s="1"/>
      <c r="D359" s="1"/>
      <c r="F359" s="6"/>
    </row>
    <row r="360" spans="1:6">
      <c r="A360" s="1"/>
      <c r="D360" s="1"/>
      <c r="F360" s="6"/>
    </row>
    <row r="361" spans="1:6">
      <c r="A361" s="1"/>
      <c r="D361" s="1"/>
      <c r="F361" s="6"/>
    </row>
    <row r="362" spans="1:6">
      <c r="A362" s="1"/>
      <c r="D362" s="1"/>
      <c r="F362" s="6"/>
    </row>
    <row r="363" spans="1:6">
      <c r="A363" s="1"/>
      <c r="D363" s="1"/>
      <c r="F363" s="6"/>
    </row>
    <row r="364" spans="1:6">
      <c r="A364" s="1"/>
      <c r="D364" s="1"/>
      <c r="F364" s="6"/>
    </row>
    <row r="365" spans="1:6">
      <c r="A365" s="1"/>
      <c r="D365" s="1"/>
      <c r="F365" s="6"/>
    </row>
    <row r="366" spans="1:6">
      <c r="A366" s="1"/>
      <c r="D366" s="1"/>
      <c r="F366" s="6"/>
    </row>
    <row r="367" spans="1:6">
      <c r="A367" s="1"/>
      <c r="D367" s="1"/>
      <c r="F367" s="6"/>
    </row>
    <row r="368" spans="1:6">
      <c r="A368" s="1"/>
      <c r="D368" s="1"/>
      <c r="F368" s="6"/>
    </row>
    <row r="369" spans="1:6">
      <c r="A369" s="1"/>
      <c r="D369" s="1"/>
      <c r="F369" s="6"/>
    </row>
    <row r="370" spans="1:6">
      <c r="A370" s="1"/>
      <c r="D370" s="1"/>
      <c r="F370" s="6"/>
    </row>
    <row r="371" spans="1:6">
      <c r="A371" s="1"/>
      <c r="D371" s="1"/>
      <c r="F371" s="6"/>
    </row>
    <row r="372" spans="1:6">
      <c r="A372" s="1"/>
      <c r="D372" s="1"/>
      <c r="F372" s="6"/>
    </row>
    <row r="373" spans="1:6">
      <c r="A373" s="1"/>
      <c r="D373" s="1"/>
      <c r="F373" s="6"/>
    </row>
    <row r="374" spans="1:6">
      <c r="A374" s="1"/>
      <c r="D374" s="1"/>
      <c r="F374" s="6"/>
    </row>
    <row r="375" spans="1:6">
      <c r="A375" s="1"/>
      <c r="D375" s="1"/>
      <c r="F375" s="6"/>
    </row>
    <row r="376" spans="1:6">
      <c r="A376" s="1"/>
      <c r="D376" s="1"/>
      <c r="F376" s="6"/>
    </row>
    <row r="377" spans="1:6">
      <c r="A377" s="1"/>
      <c r="D377" s="1"/>
      <c r="F377" s="6"/>
    </row>
    <row r="378" spans="1:6">
      <c r="A378" s="1"/>
      <c r="D378" s="1"/>
      <c r="F378" s="6"/>
    </row>
    <row r="379" spans="1:6">
      <c r="A379" s="1"/>
      <c r="D379" s="1"/>
      <c r="F379" s="6"/>
    </row>
    <row r="380" spans="1:6">
      <c r="A380" s="1"/>
      <c r="D380" s="1"/>
      <c r="F380" s="6"/>
    </row>
    <row r="381" spans="1:6">
      <c r="A381" s="1"/>
      <c r="D381" s="1"/>
      <c r="F381" s="6"/>
    </row>
    <row r="382" spans="1:6">
      <c r="A382" s="1"/>
      <c r="D382" s="1"/>
      <c r="F382" s="6"/>
    </row>
    <row r="383" spans="1:6">
      <c r="A383" s="1"/>
      <c r="D383" s="1"/>
      <c r="F383" s="6"/>
    </row>
    <row r="384" spans="1:6">
      <c r="A384" s="1"/>
      <c r="D384" s="1"/>
      <c r="F384" s="6"/>
    </row>
    <row r="385" spans="1:6">
      <c r="A385" s="1"/>
      <c r="D385" s="1"/>
      <c r="F385" s="6"/>
    </row>
    <row r="386" spans="1:6">
      <c r="A386" s="1"/>
      <c r="D386" s="1"/>
      <c r="F386" s="6"/>
    </row>
    <row r="387" spans="1:6">
      <c r="A387" s="1"/>
      <c r="D387" s="1"/>
      <c r="F387" s="6"/>
    </row>
    <row r="388" spans="1:6">
      <c r="A388" s="1"/>
      <c r="D388" s="1"/>
      <c r="F388" s="6"/>
    </row>
    <row r="389" spans="1:6">
      <c r="A389" s="1"/>
      <c r="D389" s="1"/>
      <c r="F389" s="6"/>
    </row>
    <row r="390" spans="1:6">
      <c r="A390" s="1"/>
      <c r="D390" s="1"/>
      <c r="F390" s="6"/>
    </row>
    <row r="391" spans="1:6">
      <c r="A391" s="1"/>
      <c r="D391" s="1"/>
      <c r="F391" s="6"/>
    </row>
    <row r="392" spans="1:6">
      <c r="A392" s="1"/>
      <c r="D392" s="1"/>
      <c r="F392" s="6"/>
    </row>
    <row r="393" spans="1:6">
      <c r="A393" s="1"/>
      <c r="D393" s="1"/>
      <c r="F393" s="6"/>
    </row>
    <row r="394" spans="1:6">
      <c r="A394" s="1"/>
      <c r="D394" s="1"/>
      <c r="F394" s="6"/>
    </row>
    <row r="395" spans="1:6">
      <c r="A395" s="1"/>
      <c r="D395" s="1"/>
      <c r="F395" s="6"/>
    </row>
    <row r="396" spans="1:6">
      <c r="A396" s="1"/>
      <c r="D396" s="1"/>
      <c r="F396" s="6"/>
    </row>
    <row r="397" spans="1:6">
      <c r="A397" s="1"/>
      <c r="D397" s="1"/>
      <c r="F397" s="6"/>
    </row>
    <row r="398" spans="1:6">
      <c r="A398" s="1"/>
      <c r="D398" s="1"/>
      <c r="F398" s="6"/>
    </row>
    <row r="399" spans="1:6">
      <c r="A399" s="1"/>
      <c r="D399" s="1"/>
      <c r="F399" s="6"/>
    </row>
    <row r="400" spans="1:6">
      <c r="A400" s="1"/>
      <c r="D400" s="1"/>
      <c r="F400" s="6"/>
    </row>
    <row r="401" spans="1:6">
      <c r="A401" s="1"/>
      <c r="D401" s="1"/>
      <c r="F401" s="6"/>
    </row>
    <row r="402" spans="1:6">
      <c r="A402" s="1"/>
      <c r="D402" s="1"/>
      <c r="F402" s="6"/>
    </row>
    <row r="403" spans="1:6">
      <c r="A403" s="1"/>
      <c r="D403" s="1"/>
      <c r="F403" s="6"/>
    </row>
    <row r="404" spans="1:6">
      <c r="A404" s="1"/>
      <c r="D404" s="1"/>
      <c r="F404" s="6"/>
    </row>
    <row r="405" spans="1:6">
      <c r="A405" s="1"/>
      <c r="D405" s="1"/>
      <c r="F405" s="6"/>
    </row>
    <row r="406" spans="1:6">
      <c r="A406" s="1"/>
      <c r="D406" s="1"/>
      <c r="F406" s="6"/>
    </row>
    <row r="407" spans="1:6">
      <c r="A407" s="1"/>
      <c r="D407" s="1"/>
      <c r="F407" s="6"/>
    </row>
    <row r="408" spans="1:6">
      <c r="A408" s="1"/>
      <c r="D408" s="1"/>
      <c r="F408" s="6"/>
    </row>
    <row r="409" spans="1:6">
      <c r="A409" s="1"/>
      <c r="D409" s="1"/>
      <c r="F409" s="6"/>
    </row>
    <row r="410" spans="1:6">
      <c r="A410" s="1"/>
      <c r="D410" s="1"/>
      <c r="F410" s="6"/>
    </row>
    <row r="411" spans="1:6">
      <c r="A411" s="1"/>
      <c r="D411" s="1"/>
      <c r="F411" s="6"/>
    </row>
    <row r="412" spans="1:6">
      <c r="A412" s="1"/>
      <c r="D412" s="1"/>
      <c r="F412" s="6"/>
    </row>
    <row r="413" spans="1:6">
      <c r="A413" s="1"/>
      <c r="D413" s="1"/>
      <c r="F413" s="6"/>
    </row>
    <row r="414" spans="1:6">
      <c r="A414" s="1"/>
      <c r="D414" s="1"/>
      <c r="F414" s="6"/>
    </row>
    <row r="415" spans="1:6">
      <c r="A415" s="1"/>
      <c r="D415" s="1"/>
      <c r="F415" s="6"/>
    </row>
    <row r="416" spans="1:6">
      <c r="A416" s="1"/>
      <c r="D416" s="1"/>
      <c r="F416" s="6"/>
    </row>
    <row r="417" spans="1:6">
      <c r="A417" s="1"/>
      <c r="D417" s="1"/>
      <c r="F417" s="6"/>
    </row>
    <row r="418" spans="1:6">
      <c r="A418" s="1"/>
      <c r="D418" s="1"/>
      <c r="F418" s="6"/>
    </row>
    <row r="419" spans="1:6">
      <c r="A419" s="1"/>
      <c r="D419" s="1"/>
      <c r="F419" s="6"/>
    </row>
    <row r="420" spans="1:6">
      <c r="A420" s="1"/>
      <c r="D420" s="1"/>
      <c r="F420" s="6"/>
    </row>
    <row r="421" spans="1:6">
      <c r="A421" s="1"/>
      <c r="D421" s="1"/>
      <c r="F421" s="6"/>
    </row>
    <row r="422" spans="1:6">
      <c r="A422" s="1"/>
      <c r="D422" s="1"/>
      <c r="F422" s="6"/>
    </row>
    <row r="423" spans="1:6">
      <c r="A423" s="1"/>
      <c r="D423" s="1"/>
      <c r="F423" s="6"/>
    </row>
    <row r="424" spans="1:6">
      <c r="A424" s="1"/>
      <c r="D424" s="1"/>
      <c r="F424" s="6"/>
    </row>
    <row r="425" spans="1:6">
      <c r="A425" s="1"/>
      <c r="D425" s="1"/>
      <c r="F425" s="6"/>
    </row>
    <row r="426" spans="1:6">
      <c r="A426" s="1"/>
      <c r="D426" s="1"/>
      <c r="F426" s="6"/>
    </row>
    <row r="427" spans="1:6">
      <c r="A427" s="1"/>
      <c r="D427" s="1"/>
      <c r="F427" s="6"/>
    </row>
    <row r="428" spans="1:6">
      <c r="A428" s="1"/>
      <c r="D428" s="1"/>
      <c r="F428" s="6"/>
    </row>
    <row r="429" spans="1:6">
      <c r="A429" s="1"/>
      <c r="D429" s="1"/>
      <c r="F429" s="6"/>
    </row>
    <row r="430" spans="1:6">
      <c r="A430" s="1"/>
      <c r="D430" s="1"/>
      <c r="F430" s="6"/>
    </row>
    <row r="431" spans="1:6">
      <c r="A431" s="1"/>
      <c r="D431" s="1"/>
      <c r="F431" s="6"/>
    </row>
    <row r="432" spans="1:6">
      <c r="A432" s="1"/>
      <c r="D432" s="1"/>
      <c r="F432" s="6"/>
    </row>
    <row r="433" spans="1:6">
      <c r="A433" s="1"/>
      <c r="D433" s="1"/>
      <c r="F433" s="6"/>
    </row>
    <row r="434" spans="1:6">
      <c r="A434" s="1"/>
      <c r="D434" s="1"/>
      <c r="F434" s="6"/>
    </row>
    <row r="435" spans="1:6">
      <c r="A435" s="1"/>
      <c r="D435" s="1"/>
      <c r="F435" s="6"/>
    </row>
    <row r="436" spans="1:6">
      <c r="A436" s="1"/>
      <c r="D436" s="1"/>
      <c r="F436" s="6"/>
    </row>
    <row r="437" spans="1:6">
      <c r="A437" s="1"/>
      <c r="D437" s="1"/>
      <c r="F437" s="6"/>
    </row>
    <row r="438" spans="1:6">
      <c r="A438" s="1"/>
      <c r="D438" s="1"/>
      <c r="F438" s="6"/>
    </row>
    <row r="439" spans="1:6">
      <c r="A439" s="1"/>
      <c r="D439" s="1"/>
      <c r="F439" s="6"/>
    </row>
    <row r="440" spans="1:6">
      <c r="A440" s="1"/>
      <c r="D440" s="1"/>
      <c r="F440" s="6"/>
    </row>
    <row r="441" spans="1:6">
      <c r="A441" s="1"/>
      <c r="D441" s="1"/>
      <c r="F441" s="6"/>
    </row>
    <row r="442" spans="1:6">
      <c r="A442" s="1"/>
      <c r="D442" s="1"/>
      <c r="F442" s="6"/>
    </row>
    <row r="443" spans="1:6">
      <c r="A443" s="1"/>
      <c r="D443" s="1"/>
      <c r="F443" s="6"/>
    </row>
    <row r="444" spans="1:6">
      <c r="A444" s="1"/>
      <c r="D444" s="1"/>
      <c r="F444" s="6"/>
    </row>
    <row r="445" spans="1:6">
      <c r="A445" s="1"/>
      <c r="D445" s="1"/>
      <c r="F445" s="6"/>
    </row>
    <row r="446" spans="1:6">
      <c r="A446" s="1"/>
      <c r="D446" s="1"/>
      <c r="F446" s="6"/>
    </row>
    <row r="447" spans="1:6">
      <c r="A447" s="1"/>
      <c r="D447" s="1"/>
      <c r="F447" s="6"/>
    </row>
    <row r="448" spans="1:6">
      <c r="A448" s="1"/>
      <c r="D448" s="1"/>
      <c r="F448" s="6"/>
    </row>
    <row r="449" spans="1:6">
      <c r="A449" s="1"/>
      <c r="D449" s="1"/>
      <c r="F449" s="6"/>
    </row>
    <row r="450" spans="1:6">
      <c r="A450" s="1"/>
      <c r="D450" s="1"/>
      <c r="F450" s="6"/>
    </row>
    <row r="451" spans="1:6">
      <c r="A451" s="1"/>
      <c r="D451" s="1"/>
      <c r="F451" s="6"/>
    </row>
    <row r="452" spans="1:6">
      <c r="A452" s="1"/>
      <c r="D452" s="1"/>
      <c r="F452" s="6"/>
    </row>
    <row r="453" spans="1:6">
      <c r="A453" s="1"/>
      <c r="D453" s="1"/>
      <c r="F453" s="6"/>
    </row>
    <row r="454" spans="1:6">
      <c r="A454" s="1"/>
      <c r="D454" s="1"/>
      <c r="F454" s="6"/>
    </row>
    <row r="455" spans="1:6">
      <c r="A455" s="1"/>
      <c r="D455" s="1"/>
      <c r="F455" s="6"/>
    </row>
    <row r="456" spans="1:6">
      <c r="A456" s="1"/>
      <c r="D456" s="1"/>
      <c r="F456" s="6"/>
    </row>
    <row r="457" spans="1:6">
      <c r="A457" s="1"/>
      <c r="D457" s="1"/>
      <c r="F457" s="6"/>
    </row>
    <row r="458" spans="1:6">
      <c r="A458" s="1"/>
      <c r="D458" s="1"/>
      <c r="F458" s="6"/>
    </row>
    <row r="459" spans="1:6">
      <c r="A459" s="1"/>
      <c r="D459" s="1"/>
      <c r="F459" s="6"/>
    </row>
    <row r="460" spans="1:6">
      <c r="A460" s="1"/>
      <c r="D460" s="1"/>
      <c r="F460" s="6"/>
    </row>
    <row r="461" spans="1:6">
      <c r="A461" s="1"/>
      <c r="D461" s="1"/>
      <c r="F461" s="6"/>
    </row>
    <row r="462" spans="1:6">
      <c r="A462" s="1"/>
      <c r="D462" s="1"/>
      <c r="F462" s="6"/>
    </row>
    <row r="463" spans="1:6">
      <c r="A463" s="1"/>
      <c r="D463" s="1"/>
      <c r="F463" s="6"/>
    </row>
    <row r="464" spans="1:6">
      <c r="A464" s="1"/>
      <c r="D464" s="1"/>
      <c r="F464" s="6"/>
    </row>
    <row r="465" spans="1:6">
      <c r="A465" s="1"/>
      <c r="D465" s="1"/>
      <c r="F465" s="6"/>
    </row>
    <row r="466" spans="1:6">
      <c r="A466" s="1"/>
      <c r="D466" s="1"/>
      <c r="F466" s="6"/>
    </row>
    <row r="467" spans="1:6">
      <c r="A467" s="1"/>
      <c r="D467" s="1"/>
      <c r="F467" s="6"/>
    </row>
    <row r="468" spans="1:6">
      <c r="A468" s="1"/>
      <c r="D468" s="1"/>
      <c r="F468" s="6"/>
    </row>
    <row r="469" spans="1:6">
      <c r="A469" s="1"/>
      <c r="D469" s="1"/>
      <c r="F469" s="6"/>
    </row>
    <row r="470" spans="1:6">
      <c r="A470" s="1"/>
      <c r="D470" s="1"/>
      <c r="F470" s="6"/>
    </row>
    <row r="471" spans="1:6">
      <c r="A471" s="1"/>
      <c r="D471" s="1"/>
      <c r="F471" s="6"/>
    </row>
    <row r="472" spans="1:6">
      <c r="A472" s="1"/>
      <c r="D472" s="1"/>
      <c r="F472" s="6"/>
    </row>
    <row r="473" spans="1:6">
      <c r="A473" s="1"/>
      <c r="D473" s="1"/>
      <c r="F473" s="6"/>
    </row>
    <row r="474" spans="1:6">
      <c r="A474" s="1"/>
      <c r="D474" s="1"/>
      <c r="F474" s="6"/>
    </row>
    <row r="475" spans="1:6">
      <c r="A475" s="1"/>
      <c r="D475" s="1"/>
      <c r="F475" s="6"/>
    </row>
    <row r="476" spans="1:6">
      <c r="A476" s="1"/>
      <c r="D476" s="1"/>
      <c r="F476" s="6"/>
    </row>
    <row r="477" spans="1:6">
      <c r="A477" s="1"/>
      <c r="D477" s="1"/>
      <c r="F477" s="6"/>
    </row>
    <row r="478" spans="1:6">
      <c r="A478" s="1"/>
      <c r="D478" s="1"/>
      <c r="F478" s="6"/>
    </row>
    <row r="479" spans="1:6">
      <c r="A479" s="1"/>
      <c r="D479" s="1"/>
      <c r="F479" s="6"/>
    </row>
    <row r="480" spans="1:6">
      <c r="A480" s="1"/>
      <c r="D480" s="1"/>
      <c r="F480" s="6"/>
    </row>
    <row r="481" spans="1:6">
      <c r="A481" s="1"/>
      <c r="D481" s="1"/>
      <c r="F481" s="6"/>
    </row>
    <row r="482" spans="1:6">
      <c r="A482" s="1"/>
      <c r="D482" s="1"/>
      <c r="F482" s="6"/>
    </row>
    <row r="483" spans="1:6">
      <c r="A483" s="1"/>
      <c r="D483" s="1"/>
      <c r="F483" s="6"/>
    </row>
    <row r="484" spans="1:6">
      <c r="A484" s="1"/>
      <c r="D484" s="1"/>
      <c r="F484" s="6"/>
    </row>
    <row r="485" spans="1:6">
      <c r="A485" s="1"/>
      <c r="D485" s="1"/>
      <c r="F485" s="6"/>
    </row>
    <row r="486" spans="1:6">
      <c r="A486" s="1"/>
      <c r="D486" s="1"/>
      <c r="F486" s="6"/>
    </row>
    <row r="487" spans="1:6">
      <c r="A487" s="1"/>
      <c r="D487" s="1"/>
      <c r="F487" s="6"/>
    </row>
    <row r="488" spans="1:6">
      <c r="A488" s="1"/>
      <c r="D488" s="1"/>
      <c r="F488" s="6"/>
    </row>
    <row r="489" spans="1:6">
      <c r="A489" s="1"/>
      <c r="D489" s="1"/>
      <c r="F489" s="6"/>
    </row>
    <row r="490" spans="1:6">
      <c r="A490" s="1"/>
      <c r="D490" s="1"/>
      <c r="F490" s="6"/>
    </row>
    <row r="491" spans="1:6">
      <c r="A491" s="1"/>
      <c r="D491" s="1"/>
      <c r="F491" s="6"/>
    </row>
    <row r="492" spans="1:6">
      <c r="A492" s="1"/>
      <c r="D492" s="1"/>
      <c r="F492" s="6"/>
    </row>
    <row r="493" spans="1:6">
      <c r="A493" s="1"/>
      <c r="D493" s="1"/>
      <c r="F493" s="6"/>
    </row>
    <row r="494" spans="1:6">
      <c r="A494" s="1"/>
      <c r="D494" s="1"/>
      <c r="F494" s="6"/>
    </row>
    <row r="495" spans="1:6">
      <c r="A495" s="1"/>
      <c r="D495" s="1"/>
      <c r="F495" s="6"/>
    </row>
    <row r="496" spans="1:6">
      <c r="A496" s="1"/>
      <c r="D496" s="1"/>
      <c r="F496" s="6"/>
    </row>
    <row r="497" spans="1:6">
      <c r="A497" s="1"/>
      <c r="D497" s="1"/>
      <c r="F497" s="6"/>
    </row>
    <row r="498" spans="1:6">
      <c r="A498" s="1"/>
      <c r="D498" s="1"/>
      <c r="F498" s="6"/>
    </row>
    <row r="499" spans="1:6">
      <c r="A499" s="1"/>
      <c r="D499" s="1"/>
      <c r="F499" s="6"/>
    </row>
    <row r="500" spans="1:6">
      <c r="A500" s="1"/>
      <c r="D500" s="1"/>
      <c r="F500" s="6"/>
    </row>
    <row r="501" spans="1:6">
      <c r="A501" s="1"/>
      <c r="D501" s="1"/>
      <c r="F501" s="6"/>
    </row>
    <row r="502" spans="1:6">
      <c r="A502" s="1"/>
      <c r="D502" s="1"/>
      <c r="F502" s="6"/>
    </row>
    <row r="503" spans="1:6">
      <c r="A503" s="1"/>
      <c r="D503" s="1"/>
      <c r="F503" s="6"/>
    </row>
    <row r="504" spans="1:6">
      <c r="A504" s="1"/>
      <c r="D504" s="1"/>
      <c r="F504" s="6"/>
    </row>
    <row r="505" spans="1:6">
      <c r="A505" s="1"/>
      <c r="D505" s="1"/>
      <c r="F505" s="6"/>
    </row>
    <row r="506" spans="1:6">
      <c r="A506" s="1"/>
      <c r="D506" s="1"/>
      <c r="F506" s="6"/>
    </row>
    <row r="507" spans="1:6">
      <c r="A507" s="1"/>
      <c r="D507" s="1"/>
      <c r="F507" s="6"/>
    </row>
    <row r="508" spans="1:6">
      <c r="A508" s="1"/>
      <c r="D508" s="1"/>
      <c r="F508" s="6"/>
    </row>
    <row r="509" spans="1:6">
      <c r="A509" s="1"/>
      <c r="D509" s="1"/>
      <c r="F509" s="6"/>
    </row>
    <row r="510" spans="1:6">
      <c r="A510" s="1"/>
      <c r="D510" s="1"/>
      <c r="F510" s="6"/>
    </row>
    <row r="511" spans="1:6">
      <c r="A511" s="1"/>
      <c r="D511" s="1"/>
      <c r="F511" s="6"/>
    </row>
    <row r="512" spans="1:6">
      <c r="A512" s="1"/>
      <c r="D512" s="1"/>
      <c r="F512" s="6"/>
    </row>
    <row r="513" spans="1:6">
      <c r="A513" s="1"/>
      <c r="D513" s="1"/>
      <c r="F513" s="6"/>
    </row>
    <row r="514" spans="1:6">
      <c r="A514" s="1"/>
      <c r="D514" s="1"/>
      <c r="F514" s="6"/>
    </row>
    <row r="515" spans="1:6">
      <c r="A515" s="1"/>
      <c r="D515" s="1"/>
      <c r="F515" s="6"/>
    </row>
    <row r="516" spans="1:6">
      <c r="A516" s="1"/>
      <c r="D516" s="1"/>
      <c r="F516" s="6"/>
    </row>
    <row r="517" spans="1:6">
      <c r="A517" s="1"/>
      <c r="D517" s="1"/>
      <c r="F517" s="6"/>
    </row>
    <row r="518" spans="1:6">
      <c r="A518" s="1"/>
      <c r="D518" s="1"/>
      <c r="F518" s="6"/>
    </row>
    <row r="519" spans="1:6">
      <c r="A519" s="1"/>
      <c r="D519" s="1"/>
      <c r="F519" s="6"/>
    </row>
    <row r="520" spans="1:6">
      <c r="A520" s="1"/>
      <c r="D520" s="1"/>
      <c r="F520" s="6"/>
    </row>
    <row r="521" spans="1:6">
      <c r="A521" s="1"/>
      <c r="D521" s="1"/>
      <c r="F521" s="6"/>
    </row>
    <row r="522" spans="1:6">
      <c r="A522" s="1"/>
      <c r="D522" s="1"/>
      <c r="F522" s="6"/>
    </row>
    <row r="523" spans="1:6">
      <c r="A523" s="1"/>
      <c r="D523" s="1"/>
      <c r="F523" s="6"/>
    </row>
    <row r="524" spans="1:6">
      <c r="A524" s="1"/>
      <c r="D524" s="1"/>
      <c r="F524" s="6"/>
    </row>
    <row r="525" spans="1:6">
      <c r="A525" s="1"/>
      <c r="D525" s="1"/>
      <c r="F525" s="6"/>
    </row>
    <row r="526" spans="1:6">
      <c r="A526" s="1"/>
      <c r="D526" s="1"/>
      <c r="F526" s="6"/>
    </row>
    <row r="527" spans="1:6">
      <c r="A527" s="1"/>
      <c r="D527" s="1"/>
      <c r="F527" s="6"/>
    </row>
    <row r="528" spans="1:6">
      <c r="A528" s="1"/>
      <c r="D528" s="1"/>
      <c r="F528" s="6"/>
    </row>
    <row r="529" spans="1:6">
      <c r="A529" s="1"/>
      <c r="D529" s="1"/>
      <c r="F529" s="6"/>
    </row>
    <row r="530" spans="1:6">
      <c r="A530" s="1"/>
      <c r="D530" s="1"/>
      <c r="F530" s="6"/>
    </row>
    <row r="531" spans="1:6">
      <c r="A531" s="1"/>
      <c r="D531" s="1"/>
      <c r="F531" s="6"/>
    </row>
    <row r="532" spans="1:6">
      <c r="A532" s="1"/>
      <c r="D532" s="1"/>
      <c r="F532" s="6"/>
    </row>
    <row r="533" spans="1:6">
      <c r="A533" s="1"/>
      <c r="D533" s="1"/>
      <c r="F533" s="6"/>
    </row>
    <row r="534" spans="1:6">
      <c r="A534" s="1"/>
      <c r="D534" s="1"/>
      <c r="F534" s="6"/>
    </row>
    <row r="535" spans="1:6">
      <c r="A535" s="1"/>
      <c r="D535" s="1"/>
      <c r="F535" s="6"/>
    </row>
    <row r="536" spans="1:6">
      <c r="A536" s="1"/>
      <c r="D536" s="1"/>
      <c r="F536" s="6"/>
    </row>
    <row r="537" spans="1:6">
      <c r="A537" s="1"/>
      <c r="D537" s="1"/>
      <c r="F537" s="6"/>
    </row>
    <row r="538" spans="1:6">
      <c r="A538" s="1"/>
      <c r="D538" s="1"/>
      <c r="F538" s="6"/>
    </row>
    <row r="539" spans="1:6">
      <c r="A539" s="1"/>
      <c r="D539" s="1"/>
      <c r="F539" s="6"/>
    </row>
    <row r="540" spans="1:6">
      <c r="A540" s="1"/>
      <c r="D540" s="1"/>
      <c r="F540" s="6"/>
    </row>
    <row r="541" spans="1:6">
      <c r="A541" s="1"/>
      <c r="D541" s="1"/>
      <c r="F541" s="6"/>
    </row>
    <row r="542" spans="1:6">
      <c r="A542" s="1"/>
      <c r="D542" s="1"/>
      <c r="F542" s="6"/>
    </row>
    <row r="543" spans="1:6">
      <c r="A543" s="1"/>
      <c r="D543" s="1"/>
      <c r="F543" s="6"/>
    </row>
    <row r="544" spans="1:6">
      <c r="A544" s="1"/>
      <c r="D544" s="1"/>
      <c r="F544" s="6"/>
    </row>
    <row r="545" spans="1:6">
      <c r="A545" s="1"/>
      <c r="D545" s="1"/>
      <c r="F545" s="6"/>
    </row>
    <row r="546" spans="1:6">
      <c r="A546" s="1"/>
      <c r="D546" s="1"/>
      <c r="F546" s="6"/>
    </row>
    <row r="547" spans="1:6">
      <c r="A547" s="1"/>
      <c r="D547" s="1"/>
      <c r="F547" s="6"/>
    </row>
    <row r="548" spans="1:6">
      <c r="A548" s="1"/>
      <c r="D548" s="1"/>
      <c r="F548" s="6"/>
    </row>
    <row r="549" spans="1:6">
      <c r="A549" s="1"/>
      <c r="D549" s="1"/>
      <c r="F549" s="6"/>
    </row>
    <row r="550" spans="1:6">
      <c r="A550" s="1"/>
      <c r="D550" s="1"/>
      <c r="F550" s="6"/>
    </row>
    <row r="551" spans="1:6">
      <c r="A551" s="1"/>
      <c r="D551" s="1"/>
      <c r="F551" s="6"/>
    </row>
    <row r="552" spans="1:6">
      <c r="A552" s="1"/>
      <c r="D552" s="1"/>
      <c r="F552" s="6"/>
    </row>
    <row r="553" spans="1:6">
      <c r="A553" s="1"/>
      <c r="D553" s="1"/>
      <c r="F553" s="6"/>
    </row>
    <row r="554" spans="1:6">
      <c r="A554" s="1"/>
      <c r="D554" s="1"/>
      <c r="F554" s="6"/>
    </row>
    <row r="555" spans="1:6">
      <c r="A555" s="1"/>
      <c r="D555" s="1"/>
      <c r="F555" s="6"/>
    </row>
    <row r="556" spans="1:6">
      <c r="A556" s="1"/>
      <c r="D556" s="1"/>
      <c r="F556" s="6"/>
    </row>
    <row r="557" spans="1:6">
      <c r="A557" s="1"/>
      <c r="D557" s="1"/>
      <c r="F557" s="6"/>
    </row>
    <row r="558" spans="1:6">
      <c r="A558" s="1"/>
      <c r="D558" s="1"/>
      <c r="F558" s="6"/>
    </row>
    <row r="559" spans="1:6">
      <c r="A559" s="1"/>
      <c r="D559" s="1"/>
      <c r="F559" s="6"/>
    </row>
    <row r="560" spans="1:6">
      <c r="A560" s="1"/>
      <c r="D560" s="1"/>
      <c r="F560" s="6"/>
    </row>
    <row r="561" spans="1:6">
      <c r="A561" s="1"/>
      <c r="D561" s="1"/>
      <c r="F561" s="6"/>
    </row>
    <row r="562" spans="1:6">
      <c r="A562" s="1"/>
      <c r="D562" s="1"/>
      <c r="F562" s="6"/>
    </row>
    <row r="563" spans="1:6">
      <c r="A563" s="1"/>
      <c r="D563" s="1"/>
      <c r="F563" s="6"/>
    </row>
    <row r="564" spans="1:6">
      <c r="A564" s="1"/>
      <c r="D564" s="1"/>
      <c r="F564" s="6"/>
    </row>
    <row r="565" spans="1:6">
      <c r="A565" s="1"/>
      <c r="D565" s="1"/>
      <c r="F565" s="6"/>
    </row>
    <row r="566" spans="1:6">
      <c r="A566" s="1"/>
      <c r="D566" s="1"/>
      <c r="F566" s="6"/>
    </row>
    <row r="567" spans="1:6">
      <c r="A567" s="1"/>
      <c r="D567" s="1"/>
      <c r="F567" s="6"/>
    </row>
    <row r="568" spans="1:6">
      <c r="A568" s="1"/>
      <c r="D568" s="1"/>
      <c r="F568" s="6"/>
    </row>
    <row r="569" spans="1:6">
      <c r="A569" s="1"/>
      <c r="D569" s="1"/>
      <c r="F569" s="6"/>
    </row>
    <row r="570" spans="1:6">
      <c r="A570" s="1"/>
      <c r="D570" s="1"/>
      <c r="F570" s="6"/>
    </row>
    <row r="571" spans="1:6">
      <c r="A571" s="1"/>
      <c r="D571" s="1"/>
      <c r="F571" s="6"/>
    </row>
    <row r="572" spans="1:6">
      <c r="A572" s="1"/>
      <c r="D572" s="1"/>
      <c r="F572" s="6"/>
    </row>
    <row r="573" spans="1:6">
      <c r="A573" s="1"/>
      <c r="D573" s="1"/>
      <c r="F573" s="6"/>
    </row>
    <row r="574" spans="1:6">
      <c r="A574" s="1"/>
      <c r="D574" s="1"/>
      <c r="F574" s="6"/>
    </row>
    <row r="575" spans="1:6">
      <c r="A575" s="1"/>
      <c r="D575" s="1"/>
      <c r="F575" s="6"/>
    </row>
    <row r="576" spans="1:6">
      <c r="A576" s="1"/>
      <c r="D576" s="1"/>
      <c r="F576" s="6"/>
    </row>
    <row r="577" spans="1:6">
      <c r="A577" s="1"/>
      <c r="D577" s="1"/>
      <c r="F577" s="6"/>
    </row>
    <row r="578" spans="1:6">
      <c r="A578" s="1"/>
      <c r="D578" s="1"/>
      <c r="F578" s="6"/>
    </row>
    <row r="579" spans="1:6">
      <c r="A579" s="1"/>
      <c r="D579" s="1"/>
      <c r="F579" s="6"/>
    </row>
    <row r="580" spans="1:6">
      <c r="A580" s="1"/>
      <c r="D580" s="1"/>
      <c r="F580" s="6"/>
    </row>
    <row r="581" spans="1:6">
      <c r="A581" s="1"/>
      <c r="D581" s="1"/>
      <c r="F581" s="6"/>
    </row>
    <row r="582" spans="1:6">
      <c r="A582" s="1"/>
      <c r="D582" s="1"/>
      <c r="F582" s="6"/>
    </row>
    <row r="583" spans="1:6">
      <c r="A583" s="1"/>
      <c r="D583" s="1"/>
      <c r="F583" s="6"/>
    </row>
    <row r="584" spans="1:6">
      <c r="A584" s="1"/>
      <c r="D584" s="1"/>
      <c r="F584" s="6"/>
    </row>
    <row r="585" spans="1:6">
      <c r="A585" s="1"/>
      <c r="D585" s="1"/>
      <c r="F585" s="6"/>
    </row>
    <row r="586" spans="1:6">
      <c r="A586" s="1"/>
      <c r="D586" s="1"/>
      <c r="F586" s="6"/>
    </row>
    <row r="587" spans="1:6">
      <c r="A587" s="1"/>
      <c r="D587" s="1"/>
      <c r="F587" s="6"/>
    </row>
    <row r="588" spans="1:6">
      <c r="A588" s="1"/>
      <c r="D588" s="1"/>
      <c r="F588" s="6"/>
    </row>
    <row r="589" spans="1:6">
      <c r="A589" s="1"/>
      <c r="D589" s="1"/>
      <c r="F589" s="6"/>
    </row>
    <row r="590" spans="1:6">
      <c r="A590" s="1"/>
      <c r="D590" s="1"/>
      <c r="F590" s="6"/>
    </row>
    <row r="591" spans="1:6">
      <c r="A591" s="1"/>
      <c r="D591" s="1"/>
      <c r="F591" s="6"/>
    </row>
    <row r="592" spans="1:6">
      <c r="A592" s="1"/>
      <c r="D592" s="1"/>
      <c r="F592" s="6"/>
    </row>
    <row r="593" spans="1:6">
      <c r="A593" s="1"/>
      <c r="D593" s="1"/>
      <c r="F593" s="6"/>
    </row>
    <row r="594" spans="1:6">
      <c r="A594" s="1"/>
      <c r="D594" s="1"/>
      <c r="F594" s="6"/>
    </row>
    <row r="595" spans="1:6">
      <c r="A595" s="1"/>
      <c r="D595" s="1"/>
      <c r="F595" s="6"/>
    </row>
    <row r="596" spans="1:6">
      <c r="A596" s="1"/>
      <c r="D596" s="1"/>
      <c r="F596" s="6"/>
    </row>
    <row r="597" spans="1:6">
      <c r="A597" s="1"/>
      <c r="D597" s="1"/>
      <c r="F597" s="6"/>
    </row>
    <row r="598" spans="1:6">
      <c r="A598" s="1"/>
      <c r="D598" s="1"/>
      <c r="F598" s="6"/>
    </row>
    <row r="599" spans="1:6">
      <c r="A599" s="1"/>
      <c r="D599" s="1"/>
      <c r="F599" s="6"/>
    </row>
    <row r="600" spans="1:6">
      <c r="A600" s="1"/>
      <c r="D600" s="1"/>
      <c r="F600" s="6"/>
    </row>
    <row r="601" spans="1:6">
      <c r="A601" s="1"/>
      <c r="D601" s="1"/>
      <c r="F601" s="6"/>
    </row>
    <row r="602" spans="1:6">
      <c r="A602" s="1"/>
      <c r="D602" s="1"/>
      <c r="F602" s="6"/>
    </row>
    <row r="603" spans="1:6">
      <c r="A603" s="1"/>
      <c r="D603" s="1"/>
      <c r="F603" s="6"/>
    </row>
    <row r="604" spans="1:6">
      <c r="A604" s="1"/>
      <c r="D604" s="1"/>
      <c r="F604" s="6"/>
    </row>
    <row r="605" spans="1:6">
      <c r="A605" s="1"/>
      <c r="D605" s="1"/>
      <c r="F605" s="6"/>
    </row>
    <row r="606" spans="1:6">
      <c r="A606" s="1"/>
      <c r="D606" s="1"/>
      <c r="F606" s="6"/>
    </row>
    <row r="607" spans="1:6">
      <c r="A607" s="1"/>
      <c r="D607" s="1"/>
      <c r="F607" s="6"/>
    </row>
    <row r="608" spans="1:6">
      <c r="A608" s="1"/>
      <c r="D608" s="1"/>
      <c r="F608" s="6"/>
    </row>
    <row r="609" spans="1:6">
      <c r="A609" s="1"/>
      <c r="D609" s="1"/>
      <c r="F609" s="6"/>
    </row>
    <row r="610" spans="1:6">
      <c r="A610" s="1"/>
      <c r="D610" s="1"/>
      <c r="F610" s="6"/>
    </row>
    <row r="611" spans="1:6">
      <c r="A611" s="1"/>
      <c r="D611" s="1"/>
      <c r="F611" s="6"/>
    </row>
    <row r="612" spans="1:6">
      <c r="A612" s="1"/>
      <c r="D612" s="1"/>
      <c r="F612" s="6"/>
    </row>
    <row r="613" spans="1:6">
      <c r="A613" s="1"/>
      <c r="D613" s="1"/>
      <c r="F613" s="6"/>
    </row>
    <row r="614" spans="1:6">
      <c r="A614" s="1"/>
      <c r="D614" s="1"/>
      <c r="F614" s="6"/>
    </row>
    <row r="615" spans="1:6">
      <c r="A615" s="1"/>
      <c r="D615" s="1"/>
      <c r="F615" s="6"/>
    </row>
    <row r="616" spans="1:6">
      <c r="A616" s="1"/>
      <c r="D616" s="1"/>
      <c r="F616" s="6"/>
    </row>
    <row r="617" spans="1:6">
      <c r="A617" s="1"/>
      <c r="D617" s="1"/>
      <c r="F617" s="6"/>
    </row>
    <row r="618" spans="1:6">
      <c r="A618" s="1"/>
      <c r="D618" s="1"/>
      <c r="F618" s="6"/>
    </row>
    <row r="619" spans="1:6">
      <c r="A619" s="1"/>
      <c r="D619" s="1"/>
      <c r="F619" s="6"/>
    </row>
    <row r="620" spans="1:6">
      <c r="A620" s="1"/>
      <c r="D620" s="1"/>
      <c r="F620" s="6"/>
    </row>
    <row r="621" spans="1:6">
      <c r="A621" s="1"/>
      <c r="D621" s="1"/>
      <c r="F621" s="6"/>
    </row>
    <row r="622" spans="1:6">
      <c r="A622" s="1"/>
      <c r="D622" s="1"/>
      <c r="F622" s="6"/>
    </row>
    <row r="623" spans="1:6">
      <c r="A623" s="1"/>
      <c r="D623" s="1"/>
      <c r="F623" s="6"/>
    </row>
    <row r="624" spans="1:6">
      <c r="A624" s="1"/>
      <c r="D624" s="1"/>
      <c r="F624" s="6"/>
    </row>
    <row r="625" spans="1:6">
      <c r="A625" s="1"/>
      <c r="D625" s="1"/>
      <c r="F625" s="6"/>
    </row>
    <row r="626" spans="1:6">
      <c r="A626" s="1"/>
      <c r="D626" s="1"/>
      <c r="F626" s="6"/>
    </row>
    <row r="627" spans="1:6">
      <c r="A627" s="1"/>
      <c r="D627" s="1"/>
      <c r="F627" s="6"/>
    </row>
    <row r="628" spans="1:6">
      <c r="A628" s="1"/>
      <c r="D628" s="1"/>
      <c r="F628" s="6"/>
    </row>
    <row r="629" spans="1:6">
      <c r="A629" s="1"/>
      <c r="D629" s="1"/>
      <c r="F629" s="6"/>
    </row>
    <row r="630" spans="1:6">
      <c r="A630" s="1"/>
      <c r="D630" s="1"/>
      <c r="F630" s="6"/>
    </row>
    <row r="631" spans="1:6">
      <c r="A631" s="1"/>
      <c r="D631" s="1"/>
      <c r="F631" s="6"/>
    </row>
    <row r="632" spans="1:6">
      <c r="A632" s="1"/>
      <c r="D632" s="1"/>
      <c r="F632" s="6"/>
    </row>
    <row r="633" spans="1:6">
      <c r="A633" s="1"/>
      <c r="D633" s="1"/>
      <c r="F633" s="6"/>
    </row>
    <row r="634" spans="1:6">
      <c r="A634" s="1"/>
      <c r="D634" s="1"/>
      <c r="F634" s="6"/>
    </row>
    <row r="635" spans="1:6">
      <c r="A635" s="1"/>
      <c r="D635" s="1"/>
      <c r="F635" s="6"/>
    </row>
    <row r="636" spans="1:6">
      <c r="A636" s="1"/>
      <c r="D636" s="1"/>
      <c r="F636" s="6"/>
    </row>
    <row r="637" spans="1:6">
      <c r="A637" s="1"/>
      <c r="D637" s="1"/>
      <c r="F637" s="6"/>
    </row>
    <row r="638" spans="1:6">
      <c r="A638" s="1"/>
      <c r="D638" s="1"/>
      <c r="F638" s="6"/>
    </row>
    <row r="639" spans="1:6">
      <c r="A639" s="1"/>
      <c r="D639" s="1"/>
      <c r="F639" s="6"/>
    </row>
    <row r="640" spans="1:6">
      <c r="A640" s="1"/>
      <c r="D640" s="1"/>
      <c r="F640" s="6"/>
    </row>
    <row r="641" spans="1:6">
      <c r="A641" s="1"/>
      <c r="D641" s="1"/>
      <c r="F641" s="6"/>
    </row>
    <row r="642" spans="1:6">
      <c r="A642" s="1"/>
      <c r="D642" s="1"/>
      <c r="F642" s="6"/>
    </row>
    <row r="643" spans="1:6">
      <c r="A643" s="1"/>
      <c r="D643" s="1"/>
      <c r="F643" s="6"/>
    </row>
    <row r="644" spans="1:6">
      <c r="A644" s="1"/>
      <c r="D644" s="1"/>
      <c r="F644" s="6"/>
    </row>
    <row r="645" spans="1:6">
      <c r="A645" s="1"/>
      <c r="D645" s="1"/>
      <c r="F645" s="6"/>
    </row>
    <row r="646" spans="1:6">
      <c r="A646" s="1"/>
      <c r="D646" s="1"/>
      <c r="F646" s="6"/>
    </row>
    <row r="647" spans="1:6">
      <c r="A647" s="1"/>
      <c r="D647" s="1"/>
      <c r="F647" s="6"/>
    </row>
    <row r="648" spans="1:6">
      <c r="A648" s="1"/>
      <c r="D648" s="1"/>
      <c r="F648" s="6"/>
    </row>
    <row r="649" spans="1:6">
      <c r="A649" s="1"/>
      <c r="D649" s="1"/>
      <c r="F649" s="6"/>
    </row>
    <row r="650" spans="1:6">
      <c r="A650" s="1"/>
      <c r="D650" s="1"/>
      <c r="F650" s="6"/>
    </row>
    <row r="651" spans="1:6">
      <c r="A651" s="1"/>
      <c r="D651" s="1"/>
      <c r="F651" s="6"/>
    </row>
    <row r="652" spans="1:6">
      <c r="A652" s="1"/>
      <c r="D652" s="1"/>
      <c r="F652" s="6"/>
    </row>
    <row r="653" spans="1:6">
      <c r="A653" s="1"/>
      <c r="D653" s="1"/>
      <c r="F653" s="6"/>
    </row>
    <row r="654" spans="1:6">
      <c r="A654" s="1"/>
      <c r="D654" s="1"/>
      <c r="F654" s="6"/>
    </row>
    <row r="655" spans="1:6">
      <c r="A655" s="1"/>
      <c r="D655" s="1"/>
      <c r="F655" s="6"/>
    </row>
    <row r="656" spans="1:6">
      <c r="A656" s="1"/>
      <c r="D656" s="1"/>
      <c r="F656" s="6"/>
    </row>
    <row r="657" spans="1:6">
      <c r="A657" s="1"/>
      <c r="D657" s="1"/>
      <c r="F657" s="6"/>
    </row>
    <row r="658" spans="1:6">
      <c r="A658" s="1"/>
      <c r="D658" s="1"/>
      <c r="F658" s="6"/>
    </row>
    <row r="659" spans="1:6">
      <c r="A659" s="1"/>
      <c r="D659" s="1"/>
      <c r="F659" s="6"/>
    </row>
    <row r="660" spans="1:6">
      <c r="A660" s="1"/>
      <c r="D660" s="1"/>
      <c r="F660" s="6"/>
    </row>
    <row r="661" spans="1:6">
      <c r="A661" s="1"/>
      <c r="D661" s="1"/>
      <c r="F661" s="6"/>
    </row>
    <row r="662" spans="1:6">
      <c r="A662" s="1"/>
      <c r="D662" s="1"/>
      <c r="F662" s="6"/>
    </row>
    <row r="663" spans="1:6">
      <c r="A663" s="1"/>
      <c r="D663" s="1"/>
      <c r="F663" s="6"/>
    </row>
    <row r="664" spans="1:6">
      <c r="A664" s="1"/>
      <c r="D664" s="1"/>
      <c r="F664" s="6"/>
    </row>
    <row r="665" spans="1:6">
      <c r="A665" s="1"/>
      <c r="D665" s="1"/>
      <c r="F665" s="6"/>
    </row>
    <row r="666" spans="1:6">
      <c r="A666" s="1"/>
      <c r="D666" s="1"/>
      <c r="F666" s="6"/>
    </row>
    <row r="667" spans="1:6">
      <c r="A667" s="1"/>
      <c r="D667" s="1"/>
      <c r="F667" s="6"/>
    </row>
    <row r="668" spans="1:6">
      <c r="A668" s="1"/>
      <c r="D668" s="1"/>
      <c r="F668" s="6"/>
    </row>
    <row r="669" spans="1:6">
      <c r="A669" s="1"/>
      <c r="D669" s="1"/>
      <c r="F669" s="6"/>
    </row>
    <row r="670" spans="1:6">
      <c r="A670" s="1"/>
      <c r="D670" s="1"/>
      <c r="F670" s="6"/>
    </row>
    <row r="671" spans="1:6">
      <c r="A671" s="1"/>
      <c r="D671" s="1"/>
      <c r="F671" s="6"/>
    </row>
    <row r="672" spans="1:6">
      <c r="A672" s="1"/>
      <c r="D672" s="1"/>
      <c r="F672" s="6"/>
    </row>
    <row r="673" spans="1:4">
      <c r="A673" s="1"/>
      <c r="D673" s="1"/>
    </row>
    <row r="674" spans="1:4">
      <c r="A674" s="1"/>
      <c r="D674" s="1"/>
    </row>
    <row r="675" spans="1:4">
      <c r="A675" s="1"/>
      <c r="D675" s="1"/>
    </row>
    <row r="676" spans="1:4">
      <c r="A676" s="1"/>
      <c r="D676" s="1"/>
    </row>
    <row r="677" spans="1:4">
      <c r="A677" s="1"/>
      <c r="D677" s="1"/>
    </row>
    <row r="678" spans="1:4">
      <c r="A678" s="1"/>
      <c r="D678" s="1"/>
    </row>
    <row r="679" spans="1:4">
      <c r="A679" s="1"/>
      <c r="D679" s="1"/>
    </row>
    <row r="680" spans="1:4">
      <c r="A680" s="1"/>
      <c r="D680" s="1"/>
    </row>
    <row r="681" spans="1:4">
      <c r="A681" s="1"/>
      <c r="D681" s="1"/>
    </row>
    <row r="682" spans="1:4">
      <c r="A682" s="1"/>
      <c r="D682" s="1"/>
    </row>
    <row r="683" spans="1:4">
      <c r="A683" s="1"/>
      <c r="D683" s="1"/>
    </row>
    <row r="684" spans="1:4">
      <c r="A684" s="1"/>
      <c r="D684" s="1"/>
    </row>
    <row r="685" spans="1:4">
      <c r="A685" s="1"/>
      <c r="D685" s="1"/>
    </row>
    <row r="686" spans="1:4">
      <c r="A686" s="1"/>
      <c r="D686" s="1"/>
    </row>
    <row r="687" spans="1:4">
      <c r="A687" s="1"/>
      <c r="D687" s="1"/>
    </row>
    <row r="688" spans="1:4">
      <c r="A688" s="1"/>
      <c r="D688" s="1"/>
    </row>
    <row r="689" spans="1:4">
      <c r="A689" s="1"/>
      <c r="D689" s="1"/>
    </row>
    <row r="690" spans="1:4">
      <c r="A690" s="1"/>
      <c r="D690" s="1"/>
    </row>
    <row r="691" spans="1:4">
      <c r="A691" s="1"/>
      <c r="D691" s="1"/>
    </row>
    <row r="692" spans="1:4">
      <c r="A692" s="1"/>
      <c r="D692" s="1"/>
    </row>
    <row r="693" spans="1:4">
      <c r="A693" s="1"/>
      <c r="D693" s="1"/>
    </row>
    <row r="694" spans="1:4">
      <c r="A694" s="1"/>
      <c r="D694" s="1"/>
    </row>
    <row r="695" spans="1:4">
      <c r="A695" s="1"/>
      <c r="D695" s="1"/>
    </row>
    <row r="696" spans="1:4">
      <c r="A696" s="1"/>
      <c r="D696" s="1"/>
    </row>
    <row r="697" spans="1:4">
      <c r="A697" s="1"/>
      <c r="D697" s="1"/>
    </row>
    <row r="698" spans="1:4">
      <c r="A698" s="1"/>
      <c r="D698" s="1"/>
    </row>
    <row r="699" spans="1:4">
      <c r="A699" s="1"/>
      <c r="D699" s="1"/>
    </row>
    <row r="700" spans="1:4">
      <c r="A700" s="1"/>
      <c r="D700" s="1"/>
    </row>
    <row r="701" spans="1:4">
      <c r="A701" s="1"/>
      <c r="D701" s="1"/>
    </row>
    <row r="702" spans="1:4">
      <c r="A702" s="1"/>
      <c r="D702" s="1"/>
    </row>
    <row r="703" spans="1:4">
      <c r="A703" s="1"/>
      <c r="D703" s="1"/>
    </row>
    <row r="704" spans="1:4">
      <c r="A704" s="1"/>
      <c r="D704" s="1"/>
    </row>
    <row r="705" spans="1:4">
      <c r="A705" s="1"/>
      <c r="D705" s="1"/>
    </row>
    <row r="706" spans="1:4">
      <c r="A706" s="1"/>
      <c r="D706" s="1"/>
    </row>
    <row r="707" spans="1:4">
      <c r="A707" s="1"/>
      <c r="D707" s="1"/>
    </row>
    <row r="708" spans="1:4">
      <c r="A708" s="1"/>
      <c r="D708" s="1"/>
    </row>
    <row r="709" spans="1:4">
      <c r="A709" s="1"/>
      <c r="D709" s="1"/>
    </row>
    <row r="710" spans="1:4">
      <c r="A710" s="1"/>
      <c r="D710" s="1"/>
    </row>
    <row r="711" spans="1:4">
      <c r="A711" s="1"/>
      <c r="D711" s="1"/>
    </row>
    <row r="712" spans="1:4">
      <c r="A712" s="1"/>
      <c r="D712" s="1"/>
    </row>
    <row r="713" spans="1:4">
      <c r="A713" s="1"/>
      <c r="D713" s="1"/>
    </row>
    <row r="714" spans="1:4">
      <c r="A714" s="1"/>
      <c r="D714" s="1"/>
    </row>
    <row r="715" spans="1:4">
      <c r="A715" s="1"/>
      <c r="D715" s="1"/>
    </row>
    <row r="716" spans="1:4">
      <c r="A716" s="1"/>
      <c r="D716" s="1"/>
    </row>
    <row r="717" spans="1:4">
      <c r="A717" s="1"/>
      <c r="D717" s="1"/>
    </row>
    <row r="718" spans="1:4">
      <c r="A718" s="1"/>
      <c r="D718" s="1"/>
    </row>
    <row r="719" spans="1:4">
      <c r="A719" s="1"/>
      <c r="D719" s="1"/>
    </row>
    <row r="720" spans="1:4">
      <c r="A720" s="1"/>
      <c r="D720" s="1"/>
    </row>
    <row r="721" spans="1:4">
      <c r="A721" s="1"/>
      <c r="D721" s="1"/>
    </row>
    <row r="722" spans="1:4">
      <c r="A722" s="1"/>
      <c r="D722" s="1"/>
    </row>
    <row r="723" spans="1:4">
      <c r="A723" s="1"/>
      <c r="D723" s="1"/>
    </row>
    <row r="724" spans="1:4">
      <c r="A724" s="1"/>
      <c r="D724" s="1"/>
    </row>
    <row r="725" spans="1:4">
      <c r="A725" s="1"/>
      <c r="D725" s="1"/>
    </row>
    <row r="726" spans="1:4">
      <c r="A726" s="1"/>
      <c r="D726" s="1"/>
    </row>
    <row r="727" spans="1:4">
      <c r="A727" s="1"/>
      <c r="D727" s="1"/>
    </row>
    <row r="728" spans="1:4">
      <c r="A728" s="1"/>
      <c r="D728" s="1"/>
    </row>
    <row r="729" spans="1:4">
      <c r="A729" s="1"/>
      <c r="D729" s="1"/>
    </row>
    <row r="730" spans="1:4">
      <c r="A730" s="1"/>
      <c r="D730" s="1"/>
    </row>
    <row r="731" spans="1:4">
      <c r="A731" s="1"/>
      <c r="D731" s="1"/>
    </row>
    <row r="732" spans="1:4">
      <c r="A732" s="1"/>
      <c r="D732" s="1"/>
    </row>
    <row r="733" spans="1:4">
      <c r="A733" s="1"/>
      <c r="D733" s="1"/>
    </row>
    <row r="734" spans="1:4">
      <c r="A734" s="1"/>
      <c r="D734" s="1"/>
    </row>
    <row r="735" spans="1:4">
      <c r="A735" s="1"/>
      <c r="D735" s="1"/>
    </row>
    <row r="736" spans="1:4">
      <c r="A736" s="1"/>
      <c r="D736" s="1"/>
    </row>
    <row r="737" spans="1:4">
      <c r="A737" s="1"/>
      <c r="D737" s="1"/>
    </row>
    <row r="738" spans="1:4">
      <c r="A738" s="1"/>
      <c r="D738" s="1"/>
    </row>
    <row r="739" spans="1:4">
      <c r="A739" s="1"/>
      <c r="D739" s="1"/>
    </row>
    <row r="740" spans="1:4">
      <c r="A740" s="1"/>
      <c r="D740" s="1"/>
    </row>
    <row r="741" spans="1:4">
      <c r="A741" s="1"/>
      <c r="D741" s="1"/>
    </row>
    <row r="742" spans="1:4">
      <c r="A742" s="1"/>
      <c r="D742" s="1"/>
    </row>
    <row r="743" spans="1:4">
      <c r="A743" s="1"/>
      <c r="D743" s="1"/>
    </row>
    <row r="744" spans="1:4">
      <c r="A744" s="1"/>
      <c r="D744" s="1"/>
    </row>
    <row r="745" spans="1:4">
      <c r="A745" s="1"/>
      <c r="D745" s="1"/>
    </row>
    <row r="746" spans="1:4">
      <c r="A746" s="1"/>
      <c r="D746" s="1"/>
    </row>
    <row r="747" spans="1:4">
      <c r="A747" s="1"/>
      <c r="D747" s="1"/>
    </row>
    <row r="748" spans="1:4">
      <c r="A748" s="1"/>
      <c r="D748" s="1"/>
    </row>
    <row r="749" spans="1:4">
      <c r="A749" s="1"/>
      <c r="D749" s="1"/>
    </row>
    <row r="750" spans="1:4">
      <c r="A750" s="1"/>
      <c r="D750" s="1"/>
    </row>
    <row r="751" spans="1:4">
      <c r="A751" s="1"/>
      <c r="D751" s="1"/>
    </row>
    <row r="752" spans="1:4">
      <c r="A752" s="1"/>
      <c r="D752" s="1"/>
    </row>
    <row r="753" spans="1:4">
      <c r="A753" s="1"/>
      <c r="D753" s="1"/>
    </row>
    <row r="754" spans="1:4">
      <c r="A754" s="1"/>
      <c r="D754" s="1"/>
    </row>
    <row r="755" spans="1:4">
      <c r="A755" s="1"/>
      <c r="D755" s="1"/>
    </row>
    <row r="756" spans="1:4">
      <c r="A756" s="1"/>
      <c r="D756" s="1"/>
    </row>
    <row r="757" spans="1:4">
      <c r="A757" s="1"/>
      <c r="D757" s="1"/>
    </row>
    <row r="758" spans="1:4">
      <c r="A758" s="1"/>
      <c r="D758" s="1"/>
    </row>
    <row r="759" spans="1:4">
      <c r="A759" s="1"/>
      <c r="D759" s="1"/>
    </row>
    <row r="760" spans="1:4">
      <c r="A760" s="1"/>
      <c r="D760" s="1"/>
    </row>
    <row r="761" spans="1:4">
      <c r="A761" s="1"/>
      <c r="D761" s="1"/>
    </row>
    <row r="762" spans="1:4">
      <c r="A762" s="1"/>
      <c r="D762" s="1"/>
    </row>
    <row r="763" spans="1:4">
      <c r="A763" s="1"/>
      <c r="D763" s="1"/>
    </row>
    <row r="764" spans="1:4">
      <c r="A764" s="1"/>
      <c r="D764" s="1"/>
    </row>
    <row r="765" spans="1:4">
      <c r="A765" s="1"/>
      <c r="D765" s="1"/>
    </row>
    <row r="766" spans="1:4">
      <c r="A766" s="1"/>
      <c r="D766" s="1"/>
    </row>
    <row r="767" spans="1:4">
      <c r="A767" s="1"/>
      <c r="D767" s="1"/>
    </row>
    <row r="768" spans="1:4">
      <c r="A768" s="1"/>
      <c r="D768" s="1"/>
    </row>
    <row r="769" spans="1:4">
      <c r="A769" s="1"/>
      <c r="D769" s="1"/>
    </row>
    <row r="770" spans="1:4">
      <c r="A770" s="1"/>
      <c r="D770" s="1"/>
    </row>
    <row r="771" spans="1:4">
      <c r="A771" s="1"/>
      <c r="D771" s="1"/>
    </row>
    <row r="772" spans="1:4">
      <c r="A772" s="1"/>
      <c r="D772" s="1"/>
    </row>
    <row r="773" spans="1:4">
      <c r="A773" s="1"/>
      <c r="D773" s="1"/>
    </row>
    <row r="774" spans="1:4">
      <c r="A774" s="1"/>
      <c r="D774" s="1"/>
    </row>
    <row r="775" spans="1:4">
      <c r="A775" s="1"/>
      <c r="D775" s="1"/>
    </row>
    <row r="776" spans="1:4">
      <c r="A776" s="1"/>
      <c r="D776" s="1"/>
    </row>
    <row r="777" spans="1:4">
      <c r="A777" s="1"/>
      <c r="D777" s="1"/>
    </row>
    <row r="778" spans="1:4">
      <c r="A778" s="1"/>
      <c r="D778" s="1"/>
    </row>
    <row r="779" spans="1:4">
      <c r="A779" s="1"/>
      <c r="D779" s="1"/>
    </row>
    <row r="780" spans="1:4">
      <c r="A780" s="1"/>
      <c r="D780" s="1"/>
    </row>
    <row r="781" spans="1:4">
      <c r="A781" s="1"/>
      <c r="D781" s="1"/>
    </row>
    <row r="782" spans="1:4">
      <c r="A782" s="1"/>
      <c r="D782" s="1"/>
    </row>
    <row r="783" spans="1:4">
      <c r="A783" s="1"/>
      <c r="D783" s="1"/>
    </row>
    <row r="784" spans="1:4">
      <c r="A784" s="1"/>
      <c r="D784" s="1"/>
    </row>
    <row r="785" spans="1:4">
      <c r="A785" s="1"/>
      <c r="D785" s="1"/>
    </row>
    <row r="786" spans="1:4">
      <c r="A786" s="1"/>
      <c r="D786" s="1"/>
    </row>
    <row r="787" spans="1:4">
      <c r="A787" s="1"/>
      <c r="D787" s="1"/>
    </row>
    <row r="788" spans="1:4">
      <c r="A788" s="1"/>
      <c r="D788" s="1"/>
    </row>
    <row r="789" spans="1:4">
      <c r="A789" s="1"/>
      <c r="D789" s="1"/>
    </row>
    <row r="790" spans="1:4">
      <c r="A790" s="1"/>
      <c r="D790" s="1"/>
    </row>
    <row r="791" spans="1:4">
      <c r="A791" s="1"/>
      <c r="D791" s="1"/>
    </row>
    <row r="792" spans="1:4">
      <c r="A792" s="1"/>
      <c r="D792" s="1"/>
    </row>
    <row r="793" spans="1:4">
      <c r="A793" s="1"/>
      <c r="D793" s="1"/>
    </row>
    <row r="794" spans="1:4">
      <c r="A794" s="1"/>
      <c r="D794" s="1"/>
    </row>
    <row r="795" spans="1:4">
      <c r="A795" s="1"/>
      <c r="D795" s="1"/>
    </row>
    <row r="796" spans="1:4">
      <c r="A796" s="1"/>
      <c r="D796" s="1"/>
    </row>
    <row r="797" spans="1:4">
      <c r="A797" s="1"/>
      <c r="D797" s="1"/>
    </row>
    <row r="798" spans="1:4">
      <c r="A798" s="1"/>
      <c r="D798" s="1"/>
    </row>
    <row r="799" spans="1:4">
      <c r="A799" s="1"/>
      <c r="D799" s="1"/>
    </row>
    <row r="800" spans="1:4">
      <c r="A800" s="1"/>
      <c r="D800" s="1"/>
    </row>
    <row r="801" spans="1:4">
      <c r="A801" s="1"/>
      <c r="D801" s="1"/>
    </row>
    <row r="802" spans="1:4">
      <c r="A802" s="1"/>
      <c r="D802" s="1"/>
    </row>
    <row r="803" spans="1:4">
      <c r="A803" s="1"/>
      <c r="D803" s="1"/>
    </row>
    <row r="804" spans="1:4">
      <c r="A804" s="1"/>
      <c r="D804" s="1"/>
    </row>
    <row r="805" spans="1:4">
      <c r="A805" s="1"/>
      <c r="D805" s="1"/>
    </row>
    <row r="806" spans="1:4">
      <c r="A806" s="1"/>
      <c r="D806" s="1"/>
    </row>
    <row r="807" spans="1:4">
      <c r="A807" s="1"/>
      <c r="D807" s="1"/>
    </row>
    <row r="808" spans="1:4">
      <c r="A808" s="1"/>
      <c r="D808" s="1"/>
    </row>
    <row r="809" spans="1:4">
      <c r="A809" s="1"/>
      <c r="D809" s="1"/>
    </row>
    <row r="810" spans="1:4">
      <c r="A810" s="1"/>
      <c r="D810" s="1"/>
    </row>
    <row r="811" spans="1:4">
      <c r="A811" s="1"/>
      <c r="D811" s="1"/>
    </row>
    <row r="812" spans="1:4">
      <c r="A812" s="1"/>
      <c r="D812" s="1"/>
    </row>
    <row r="813" spans="1:4">
      <c r="A813" s="1"/>
      <c r="D813" s="1"/>
    </row>
    <row r="814" spans="1:4">
      <c r="A814" s="1"/>
      <c r="D814" s="1"/>
    </row>
    <row r="815" spans="1:4">
      <c r="A815" s="1"/>
      <c r="D815" s="1"/>
    </row>
    <row r="816" spans="1:4">
      <c r="A816" s="1"/>
      <c r="D816" s="1"/>
    </row>
    <row r="817" spans="1:4">
      <c r="A817" s="1"/>
      <c r="D817" s="1"/>
    </row>
    <row r="818" spans="1:4">
      <c r="A818" s="1"/>
      <c r="D818" s="1"/>
    </row>
    <row r="819" spans="1:4">
      <c r="A819" s="1"/>
      <c r="D819" s="1"/>
    </row>
    <row r="820" spans="1:4">
      <c r="A820" s="1"/>
      <c r="D820" s="1"/>
    </row>
    <row r="821" spans="1:4">
      <c r="A821" s="1"/>
      <c r="D821" s="1"/>
    </row>
    <row r="822" spans="1:4">
      <c r="A822" s="1"/>
      <c r="D822" s="1"/>
    </row>
    <row r="823" spans="1:4">
      <c r="A823" s="1"/>
      <c r="D823" s="1"/>
    </row>
    <row r="824" spans="1:4">
      <c r="A824" s="1"/>
      <c r="D824" s="1"/>
    </row>
    <row r="825" spans="1:4">
      <c r="A825" s="1"/>
      <c r="D825" s="1"/>
    </row>
    <row r="826" spans="1:4">
      <c r="A826" s="1"/>
      <c r="D826" s="1"/>
    </row>
    <row r="827" spans="1:4">
      <c r="A827" s="1"/>
      <c r="D827" s="1"/>
    </row>
    <row r="828" spans="1:4">
      <c r="A828" s="1"/>
      <c r="D828" s="1"/>
    </row>
    <row r="829" spans="1:4">
      <c r="A829" s="1"/>
      <c r="D829" s="1"/>
    </row>
    <row r="830" spans="1:4">
      <c r="A830" s="1"/>
      <c r="D830" s="1"/>
    </row>
    <row r="831" spans="1:4">
      <c r="A831" s="1"/>
      <c r="D831" s="1"/>
    </row>
    <row r="832" spans="1:4">
      <c r="A832" s="1"/>
      <c r="D832" s="1"/>
    </row>
    <row r="833" spans="1:4">
      <c r="A833" s="1"/>
      <c r="D833" s="1"/>
    </row>
    <row r="834" spans="1:4">
      <c r="A834" s="1"/>
      <c r="D834" s="1"/>
    </row>
    <row r="835" spans="1:4">
      <c r="A835" s="1"/>
      <c r="D835" s="1"/>
    </row>
    <row r="836" spans="1:4">
      <c r="A836" s="1"/>
      <c r="D836" s="1"/>
    </row>
    <row r="837" spans="1:4">
      <c r="A837" s="1"/>
      <c r="D837" s="1"/>
    </row>
    <row r="838" spans="1:4">
      <c r="A838" s="1"/>
      <c r="D838" s="1"/>
    </row>
    <row r="839" spans="1:4">
      <c r="A839" s="1"/>
      <c r="D839" s="1"/>
    </row>
    <row r="840" spans="1:4">
      <c r="A840" s="1"/>
      <c r="D840" s="1"/>
    </row>
    <row r="841" spans="1:4">
      <c r="A841" s="1"/>
      <c r="D841" s="1"/>
    </row>
    <row r="842" spans="1:4">
      <c r="A842" s="1"/>
      <c r="D842" s="1"/>
    </row>
    <row r="843" spans="1:4">
      <c r="A843" s="1"/>
      <c r="D843" s="1"/>
    </row>
    <row r="844" spans="1:4">
      <c r="A844" s="1"/>
      <c r="D844" s="1"/>
    </row>
    <row r="845" spans="1:4">
      <c r="A845" s="1"/>
      <c r="D845" s="1"/>
    </row>
    <row r="846" spans="1:4">
      <c r="A846" s="1"/>
      <c r="D846" s="1"/>
    </row>
    <row r="847" spans="1:4">
      <c r="A847" s="1"/>
      <c r="D847" s="1"/>
    </row>
    <row r="848" spans="1:4">
      <c r="A848" s="1"/>
      <c r="D848" s="1"/>
    </row>
    <row r="849" spans="1:4">
      <c r="A849" s="1"/>
      <c r="D849" s="1"/>
    </row>
    <row r="850" spans="1:4">
      <c r="A850" s="1"/>
      <c r="D850" s="1"/>
    </row>
    <row r="851" spans="1:4">
      <c r="A851" s="1"/>
      <c r="D851" s="1"/>
    </row>
    <row r="852" spans="1:4">
      <c r="A852" s="1"/>
      <c r="D852" s="1"/>
    </row>
    <row r="853" spans="1:4">
      <c r="A853" s="1"/>
      <c r="D853" s="1"/>
    </row>
    <row r="854" spans="1:4">
      <c r="A854" s="1"/>
      <c r="D854" s="1"/>
    </row>
    <row r="855" spans="1:4">
      <c r="A855" s="1"/>
      <c r="D855" s="1"/>
    </row>
    <row r="856" spans="1:4">
      <c r="A856" s="1"/>
      <c r="D856" s="1"/>
    </row>
    <row r="857" spans="1:4">
      <c r="A857" s="1"/>
      <c r="D857" s="1"/>
    </row>
    <row r="858" spans="1:4">
      <c r="A858" s="1"/>
      <c r="D858" s="1"/>
    </row>
    <row r="859" spans="1:4">
      <c r="A859" s="1"/>
      <c r="D859" s="1"/>
    </row>
    <row r="860" spans="1:4">
      <c r="A860" s="1"/>
      <c r="D860" s="1"/>
    </row>
    <row r="861" spans="1:4">
      <c r="A861" s="1"/>
      <c r="D861" s="1"/>
    </row>
    <row r="862" spans="1:4">
      <c r="A862" s="1"/>
      <c r="D862" s="1"/>
    </row>
    <row r="863" spans="1:4">
      <c r="A863" s="1"/>
      <c r="D863" s="1"/>
    </row>
    <row r="864" spans="1:4">
      <c r="A864" s="1"/>
      <c r="D864" s="1"/>
    </row>
    <row r="865" spans="1:4">
      <c r="A865" s="1"/>
      <c r="D865" s="1"/>
    </row>
    <row r="866" spans="1:4">
      <c r="A866" s="1"/>
      <c r="D866" s="1"/>
    </row>
    <row r="867" spans="1:4">
      <c r="A867" s="1"/>
      <c r="D867" s="1"/>
    </row>
    <row r="868" spans="1:4">
      <c r="A868" s="1"/>
      <c r="D868" s="1"/>
    </row>
    <row r="869" spans="1:4">
      <c r="A869" s="1"/>
      <c r="D869" s="1"/>
    </row>
    <row r="870" spans="1:4">
      <c r="A870" s="1"/>
      <c r="D870" s="1"/>
    </row>
    <row r="871" spans="1:4">
      <c r="A871" s="1"/>
      <c r="D871" s="1"/>
    </row>
    <row r="872" spans="1:4">
      <c r="A872" s="1"/>
      <c r="D872" s="1"/>
    </row>
    <row r="873" spans="1:4">
      <c r="A873" s="1"/>
      <c r="D873" s="1"/>
    </row>
    <row r="874" spans="1:4">
      <c r="A874" s="1"/>
      <c r="D874" s="1"/>
    </row>
    <row r="875" spans="1:4">
      <c r="A875" s="1"/>
      <c r="D875" s="1"/>
    </row>
    <row r="876" spans="1:4">
      <c r="A876" s="1"/>
      <c r="D876" s="1"/>
    </row>
    <row r="877" spans="1:4">
      <c r="A877" s="1"/>
      <c r="D877" s="1"/>
    </row>
    <row r="878" spans="1:4">
      <c r="A878" s="1"/>
      <c r="D878" s="1"/>
    </row>
    <row r="879" spans="1:4">
      <c r="A879" s="1"/>
      <c r="D879" s="1"/>
    </row>
    <row r="880" spans="1:4">
      <c r="A880" s="1"/>
      <c r="D880" s="1"/>
    </row>
    <row r="881" spans="1:4">
      <c r="A881" s="1"/>
      <c r="D881" s="1"/>
    </row>
    <row r="882" spans="1:4">
      <c r="A882" s="1"/>
      <c r="D882" s="1"/>
    </row>
    <row r="883" spans="1:4">
      <c r="A883" s="1"/>
      <c r="D883" s="1"/>
    </row>
    <row r="884" spans="1:4">
      <c r="A884" s="1"/>
      <c r="D884" s="1"/>
    </row>
    <row r="885" spans="1:4">
      <c r="A885" s="1"/>
      <c r="D885" s="1"/>
    </row>
    <row r="886" spans="1:4">
      <c r="A886" s="1"/>
      <c r="D886" s="1"/>
    </row>
    <row r="887" spans="1:4">
      <c r="A887" s="1"/>
      <c r="D887" s="1"/>
    </row>
    <row r="888" spans="1:4">
      <c r="A888" s="1"/>
      <c r="D888" s="1"/>
    </row>
    <row r="889" spans="1:4">
      <c r="A889" s="1"/>
      <c r="D889" s="1"/>
    </row>
    <row r="890" spans="1:4">
      <c r="A890" s="1"/>
      <c r="D890" s="1"/>
    </row>
    <row r="891" spans="1:4">
      <c r="A891" s="1"/>
      <c r="D891" s="1"/>
    </row>
    <row r="892" spans="1:4">
      <c r="A892" s="1"/>
      <c r="D892" s="1"/>
    </row>
    <row r="893" spans="1:4">
      <c r="A893" s="1"/>
      <c r="D893" s="1"/>
    </row>
    <row r="894" spans="1:4">
      <c r="A894" s="1"/>
      <c r="D894" s="1"/>
    </row>
    <row r="895" spans="1:4">
      <c r="A895" s="1"/>
      <c r="D895" s="1"/>
    </row>
    <row r="896" spans="1:4">
      <c r="A896" s="1"/>
      <c r="D896" s="1"/>
    </row>
    <row r="897" spans="1:4">
      <c r="A897" s="1"/>
      <c r="D897" s="1"/>
    </row>
    <row r="898" spans="1:4">
      <c r="A898" s="1"/>
      <c r="D898" s="1"/>
    </row>
    <row r="899" spans="1:4">
      <c r="A899" s="1"/>
      <c r="D899" s="1"/>
    </row>
    <row r="900" spans="1:4">
      <c r="A900" s="1"/>
      <c r="D900" s="1"/>
    </row>
    <row r="901" spans="1:4">
      <c r="A901" s="1"/>
      <c r="D901" s="1"/>
    </row>
    <row r="902" spans="1:4">
      <c r="A902" s="1"/>
      <c r="D902" s="1"/>
    </row>
    <row r="903" spans="1:4">
      <c r="A903" s="1"/>
      <c r="D903" s="1"/>
    </row>
    <row r="904" spans="1:4">
      <c r="A904" s="1"/>
      <c r="D904" s="1"/>
    </row>
    <row r="905" spans="1:4">
      <c r="A905" s="1"/>
      <c r="D905" s="1"/>
    </row>
    <row r="906" spans="1:4">
      <c r="A906" s="1"/>
      <c r="D906" s="1"/>
    </row>
    <row r="907" spans="1:4">
      <c r="A907" s="1"/>
      <c r="D907" s="1"/>
    </row>
    <row r="908" spans="1:4">
      <c r="A908" s="1"/>
      <c r="D908" s="1"/>
    </row>
    <row r="909" spans="1:4">
      <c r="A909" s="1"/>
      <c r="D909" s="1"/>
    </row>
    <row r="910" spans="1:4">
      <c r="A910" s="1"/>
      <c r="D910" s="1"/>
    </row>
    <row r="911" spans="1:4">
      <c r="A911" s="1"/>
      <c r="D911" s="1"/>
    </row>
    <row r="912" spans="1:4">
      <c r="A912" s="1"/>
      <c r="D912" s="1"/>
    </row>
    <row r="913" spans="1:4">
      <c r="A913" s="1"/>
      <c r="D913" s="1"/>
    </row>
    <row r="914" spans="1:4">
      <c r="A914" s="1"/>
      <c r="D914" s="1"/>
    </row>
    <row r="915" spans="1:4">
      <c r="A915" s="1"/>
      <c r="D915" s="1"/>
    </row>
    <row r="916" spans="1:4">
      <c r="A916" s="1"/>
      <c r="D916" s="1"/>
    </row>
    <row r="917" spans="1:4">
      <c r="A917" s="1"/>
      <c r="D917" s="1"/>
    </row>
    <row r="918" spans="1:4">
      <c r="A918" s="1"/>
      <c r="D918" s="1"/>
    </row>
    <row r="919" spans="1:4">
      <c r="A919" s="1"/>
      <c r="D919" s="1"/>
    </row>
    <row r="920" spans="1:4">
      <c r="A920" s="1"/>
      <c r="D920" s="1"/>
    </row>
    <row r="921" spans="1:4">
      <c r="A921" s="1"/>
      <c r="D921" s="1"/>
    </row>
    <row r="922" spans="1:4">
      <c r="A922" s="1"/>
      <c r="D922" s="1"/>
    </row>
    <row r="923" spans="1:4">
      <c r="A923" s="1"/>
      <c r="D923" s="1"/>
    </row>
    <row r="924" spans="1:4">
      <c r="A924" s="1"/>
      <c r="D924" s="1"/>
    </row>
    <row r="925" spans="1:4">
      <c r="A925" s="1"/>
      <c r="D925" s="1"/>
    </row>
    <row r="926" spans="1:4">
      <c r="A926" s="1"/>
      <c r="D926" s="1"/>
    </row>
    <row r="927" spans="1:4">
      <c r="A927" s="1"/>
      <c r="D927" s="1"/>
    </row>
    <row r="928" spans="1:4">
      <c r="A928" s="1"/>
      <c r="D928" s="1"/>
    </row>
    <row r="929" spans="1:4">
      <c r="A929" s="1"/>
      <c r="D929" s="1"/>
    </row>
    <row r="930" spans="1:4">
      <c r="A930" s="1"/>
      <c r="D930" s="1"/>
    </row>
    <row r="931" spans="1:4">
      <c r="A931" s="1"/>
      <c r="D931" s="1"/>
    </row>
    <row r="932" spans="1:4">
      <c r="A932" s="1"/>
      <c r="D932" s="1"/>
    </row>
    <row r="933" spans="1:4">
      <c r="A933" s="1"/>
      <c r="D933" s="1"/>
    </row>
    <row r="934" spans="1:4">
      <c r="A934" s="1"/>
      <c r="D934" s="1"/>
    </row>
    <row r="935" spans="1:4">
      <c r="A935" s="1"/>
      <c r="D935" s="1"/>
    </row>
    <row r="936" spans="1:4">
      <c r="A936" s="1"/>
      <c r="D936" s="1"/>
    </row>
    <row r="937" spans="1:4">
      <c r="A937" s="1"/>
      <c r="D937" s="1"/>
    </row>
    <row r="938" spans="1:4">
      <c r="A938" s="1"/>
      <c r="D938" s="1"/>
    </row>
    <row r="939" spans="1:4">
      <c r="A939" s="1"/>
      <c r="D939" s="1"/>
    </row>
    <row r="940" spans="1:4">
      <c r="A940" s="1"/>
      <c r="D940" s="1"/>
    </row>
    <row r="941" spans="1:4">
      <c r="A941" s="1"/>
      <c r="D941" s="1"/>
    </row>
    <row r="942" spans="1:4">
      <c r="A942" s="1"/>
      <c r="D942" s="1"/>
    </row>
    <row r="943" spans="1:4">
      <c r="A943" s="1"/>
      <c r="D943" s="1"/>
    </row>
    <row r="944" spans="1:4">
      <c r="A944" s="1"/>
      <c r="D944" s="1"/>
    </row>
    <row r="945" spans="1:4">
      <c r="A945" s="1"/>
      <c r="D945" s="1"/>
    </row>
    <row r="946" spans="1:4">
      <c r="A946" s="1"/>
      <c r="D946" s="1"/>
    </row>
    <row r="947" spans="1:4">
      <c r="A947" s="1"/>
      <c r="D947" s="1"/>
    </row>
    <row r="948" spans="1:4">
      <c r="A948" s="1"/>
      <c r="D948" s="1"/>
    </row>
    <row r="949" spans="1:4">
      <c r="A949" s="1"/>
      <c r="D949" s="1"/>
    </row>
    <row r="950" spans="1:4">
      <c r="A950" s="1"/>
      <c r="D950" s="1"/>
    </row>
    <row r="951" spans="1:4">
      <c r="A951" s="1"/>
      <c r="D951" s="1"/>
    </row>
    <row r="952" spans="1:4">
      <c r="A952" s="1"/>
      <c r="D952" s="1"/>
    </row>
    <row r="953" spans="1:4">
      <c r="A953" s="1"/>
      <c r="D953" s="1"/>
    </row>
    <row r="954" spans="1:4">
      <c r="A954" s="1"/>
      <c r="D954" s="1"/>
    </row>
    <row r="955" spans="1:4">
      <c r="A955" s="1"/>
      <c r="D955" s="1"/>
    </row>
    <row r="956" spans="1:4">
      <c r="A956" s="1"/>
      <c r="D956" s="1"/>
    </row>
    <row r="957" spans="1:4">
      <c r="A957" s="1"/>
      <c r="D957" s="1"/>
    </row>
    <row r="958" spans="1:4">
      <c r="A958" s="1"/>
      <c r="D958" s="1"/>
    </row>
    <row r="959" spans="1:4">
      <c r="A959" s="1"/>
      <c r="D959" s="1"/>
    </row>
    <row r="960" spans="1:4">
      <c r="A960" s="1"/>
      <c r="D960" s="1"/>
    </row>
    <row r="961" spans="1:4">
      <c r="A961" s="1"/>
      <c r="D961" s="1"/>
    </row>
    <row r="962" spans="1:4">
      <c r="A962" s="1"/>
      <c r="D962" s="1"/>
    </row>
    <row r="963" spans="1:4">
      <c r="A963" s="1"/>
      <c r="D963" s="1"/>
    </row>
    <row r="964" spans="1:4">
      <c r="A964" s="1"/>
      <c r="D964" s="1"/>
    </row>
    <row r="965" spans="1:4">
      <c r="A965" s="1"/>
      <c r="D965" s="1"/>
    </row>
    <row r="966" spans="1:4">
      <c r="A966" s="1"/>
      <c r="D966" s="1"/>
    </row>
    <row r="967" spans="1:4">
      <c r="A967" s="1"/>
      <c r="D967" s="1"/>
    </row>
    <row r="968" spans="1:4">
      <c r="A968" s="1"/>
      <c r="D968" s="1"/>
    </row>
    <row r="969" spans="1:4">
      <c r="A969" s="1"/>
      <c r="D969" s="1"/>
    </row>
    <row r="970" spans="1:4">
      <c r="A970" s="1"/>
      <c r="D970" s="1"/>
    </row>
    <row r="971" spans="1:4">
      <c r="A971" s="1"/>
      <c r="D971" s="1"/>
    </row>
    <row r="972" spans="1:4">
      <c r="A972" s="1"/>
      <c r="D972" s="1"/>
    </row>
    <row r="973" spans="1:4">
      <c r="A973" s="1"/>
      <c r="D973" s="1"/>
    </row>
    <row r="974" spans="1:4">
      <c r="A974" s="1"/>
      <c r="D974" s="1"/>
    </row>
    <row r="975" spans="1:4">
      <c r="A975" s="1"/>
      <c r="D975" s="1"/>
    </row>
    <row r="976" spans="1:4">
      <c r="A976" s="1"/>
      <c r="D976" s="1"/>
    </row>
    <row r="977" spans="1:4">
      <c r="A977" s="1"/>
      <c r="D977" s="1"/>
    </row>
    <row r="978" spans="1:4">
      <c r="A978" s="1"/>
      <c r="D978" s="1"/>
    </row>
    <row r="979" spans="1:4">
      <c r="A979" s="1"/>
      <c r="D979" s="1"/>
    </row>
    <row r="980" spans="1:4">
      <c r="A980" s="1"/>
      <c r="D980" s="1"/>
    </row>
    <row r="981" spans="1:4">
      <c r="A981" s="1"/>
      <c r="D981" s="1"/>
    </row>
    <row r="982" spans="1:4">
      <c r="A982" s="1"/>
      <c r="D982" s="1"/>
    </row>
    <row r="983" spans="1:4">
      <c r="A983" s="1"/>
      <c r="D983" s="1"/>
    </row>
    <row r="984" spans="1:4">
      <c r="A984" s="1"/>
      <c r="D984" s="1"/>
    </row>
    <row r="985" spans="1:4">
      <c r="A985" s="1"/>
      <c r="D985" s="1"/>
    </row>
    <row r="986" spans="1:4">
      <c r="A986" s="1"/>
      <c r="D986" s="1"/>
    </row>
    <row r="987" spans="1:4">
      <c r="A987" s="1"/>
      <c r="D987" s="1"/>
    </row>
    <row r="988" spans="1:4">
      <c r="A988" s="1"/>
      <c r="D988" s="1"/>
    </row>
    <row r="989" spans="1:4">
      <c r="A989" s="1"/>
      <c r="D989" s="1"/>
    </row>
    <row r="990" spans="1:4">
      <c r="A990" s="1"/>
      <c r="D990" s="1"/>
    </row>
    <row r="991" spans="1:4">
      <c r="A991" s="1"/>
      <c r="D991" s="1"/>
    </row>
    <row r="992" spans="1:4">
      <c r="A992" s="1"/>
      <c r="D992" s="1"/>
    </row>
    <row r="993" spans="1:4">
      <c r="A993" s="1"/>
      <c r="D993" s="1"/>
    </row>
    <row r="994" spans="1:4">
      <c r="A994" s="1"/>
      <c r="D994" s="1"/>
    </row>
    <row r="995" spans="1:4">
      <c r="A995" s="1"/>
      <c r="D995" s="1"/>
    </row>
    <row r="996" spans="1:4">
      <c r="A996" s="1"/>
      <c r="D996" s="1"/>
    </row>
    <row r="997" spans="1:4">
      <c r="A997" s="1"/>
      <c r="D997" s="1"/>
    </row>
    <row r="998" spans="1:4">
      <c r="A998" s="1"/>
      <c r="D998" s="1"/>
    </row>
    <row r="999" spans="1:4">
      <c r="A999" s="1"/>
      <c r="D999" s="1"/>
    </row>
    <row r="1000" spans="1:4">
      <c r="A1000" s="1"/>
      <c r="D1000" s="1"/>
    </row>
    <row r="1001" spans="1:4">
      <c r="A1001" s="1"/>
      <c r="D1001" s="1"/>
    </row>
    <row r="1002" spans="1:4">
      <c r="A1002" s="1"/>
      <c r="D1002" s="1"/>
    </row>
    <row r="1003" spans="1:4">
      <c r="A1003" s="1"/>
      <c r="D1003" s="1"/>
    </row>
    <row r="1004" spans="1:4">
      <c r="A1004" s="1"/>
      <c r="D1004" s="1"/>
    </row>
    <row r="1005" spans="1:4">
      <c r="A1005" s="1"/>
      <c r="D1005" s="1"/>
    </row>
    <row r="1006" spans="1:4">
      <c r="A1006" s="1"/>
      <c r="D1006" s="1"/>
    </row>
    <row r="1007" spans="1:4">
      <c r="A1007" s="1"/>
      <c r="D1007" s="1"/>
    </row>
    <row r="1008" spans="1:4">
      <c r="A1008" s="1"/>
      <c r="D1008" s="1"/>
    </row>
    <row r="1009" spans="1:4">
      <c r="A1009" s="1"/>
      <c r="D1009" s="1"/>
    </row>
    <row r="1010" spans="1:4">
      <c r="A1010" s="1"/>
      <c r="D1010" s="1"/>
    </row>
    <row r="1011" spans="1:4">
      <c r="A1011" s="1"/>
      <c r="D1011" s="1"/>
    </row>
    <row r="1012" spans="1:4">
      <c r="A1012" s="1"/>
      <c r="D1012" s="1"/>
    </row>
    <row r="1013" spans="1:4">
      <c r="A1013" s="1"/>
      <c r="D1013" s="1"/>
    </row>
    <row r="1014" spans="1:4">
      <c r="A1014" s="1"/>
      <c r="D1014" s="1"/>
    </row>
    <row r="1015" spans="1:4">
      <c r="A1015" s="1"/>
      <c r="D1015" s="1"/>
    </row>
    <row r="1016" spans="1:4">
      <c r="A1016" s="1"/>
      <c r="D1016" s="1"/>
    </row>
    <row r="1017" spans="1:4">
      <c r="A1017" s="1"/>
      <c r="D1017" s="1"/>
    </row>
    <row r="1018" spans="1:4">
      <c r="A1018" s="1"/>
      <c r="D1018" s="1"/>
    </row>
    <row r="1019" spans="1:4">
      <c r="A1019" s="1"/>
      <c r="D1019" s="1"/>
    </row>
    <row r="1020" spans="1:4">
      <c r="A1020" s="1"/>
      <c r="D1020" s="1"/>
    </row>
    <row r="1021" spans="1:4">
      <c r="A1021" s="1"/>
      <c r="D1021" s="1"/>
    </row>
    <row r="1022" spans="1:4">
      <c r="A1022" s="1"/>
      <c r="D1022" s="1"/>
    </row>
    <row r="1023" spans="1:4">
      <c r="A1023" s="1"/>
      <c r="D1023" s="1"/>
    </row>
    <row r="1024" spans="1:4">
      <c r="A1024" s="1"/>
      <c r="D1024" s="1"/>
    </row>
    <row r="1025" spans="1:4">
      <c r="A1025" s="1"/>
      <c r="D1025" s="1"/>
    </row>
    <row r="1026" spans="1:4">
      <c r="A1026" s="1"/>
      <c r="D1026" s="1"/>
    </row>
    <row r="1027" spans="1:4">
      <c r="A1027" s="1"/>
      <c r="D1027" s="1"/>
    </row>
    <row r="1028" spans="1:4">
      <c r="A1028" s="1"/>
      <c r="D1028" s="1"/>
    </row>
    <row r="1029" spans="1:4">
      <c r="A1029" s="1"/>
      <c r="D1029" s="1"/>
    </row>
    <row r="1030" spans="1:4">
      <c r="A1030" s="1"/>
      <c r="D1030" s="1"/>
    </row>
    <row r="1031" spans="1:4">
      <c r="A1031" s="1"/>
      <c r="D1031" s="1"/>
    </row>
    <row r="1032" spans="1:4">
      <c r="A1032" s="1"/>
      <c r="D1032" s="1"/>
    </row>
    <row r="1033" spans="1:4">
      <c r="A1033" s="1"/>
      <c r="D1033" s="1"/>
    </row>
    <row r="1034" spans="1:4">
      <c r="A1034" s="1"/>
      <c r="D1034" s="1"/>
    </row>
    <row r="1035" spans="1:4">
      <c r="A1035" s="1"/>
      <c r="D1035" s="1"/>
    </row>
    <row r="1036" spans="1:4">
      <c r="A1036" s="1"/>
      <c r="D1036" s="1"/>
    </row>
    <row r="1037" spans="1:4">
      <c r="A1037" s="1"/>
      <c r="D1037" s="1"/>
    </row>
    <row r="1038" spans="1:4">
      <c r="A1038" s="1"/>
      <c r="D1038" s="1"/>
    </row>
    <row r="1039" spans="1:4">
      <c r="A1039" s="1"/>
      <c r="D1039" s="1"/>
    </row>
    <row r="1040" spans="1:4">
      <c r="A1040" s="1"/>
      <c r="D1040" s="1"/>
    </row>
    <row r="1041" spans="1:4">
      <c r="A1041" s="1"/>
      <c r="D1041" s="1"/>
    </row>
    <row r="1042" spans="1:4">
      <c r="A1042" s="1"/>
      <c r="D1042" s="1"/>
    </row>
    <row r="1043" spans="1:4">
      <c r="A1043" s="1"/>
      <c r="D1043" s="1"/>
    </row>
    <row r="1044" spans="1:4">
      <c r="A1044" s="1"/>
      <c r="D1044" s="1"/>
    </row>
    <row r="1045" spans="1:4">
      <c r="A1045" s="1"/>
      <c r="D1045" s="1"/>
    </row>
    <row r="1046" spans="1:4">
      <c r="A1046" s="1"/>
      <c r="D1046" s="1"/>
    </row>
    <row r="1047" spans="1:4">
      <c r="A1047" s="1"/>
      <c r="D1047" s="1"/>
    </row>
    <row r="1048" spans="1:4">
      <c r="A1048" s="1"/>
      <c r="D1048" s="1"/>
    </row>
    <row r="1049" spans="1:4">
      <c r="A1049" s="1"/>
      <c r="D1049" s="1"/>
    </row>
    <row r="1050" spans="1:4">
      <c r="A1050" s="1"/>
      <c r="D1050" s="1"/>
    </row>
    <row r="1051" spans="1:4">
      <c r="A1051" s="1"/>
      <c r="D1051" s="1"/>
    </row>
    <row r="1052" spans="1:4">
      <c r="A1052" s="1"/>
      <c r="D1052" s="1"/>
    </row>
    <row r="1053" spans="1:4">
      <c r="A1053" s="1"/>
      <c r="D1053" s="1"/>
    </row>
    <row r="1054" spans="1:4">
      <c r="A1054" s="1"/>
      <c r="D1054" s="1"/>
    </row>
    <row r="1055" spans="1:4">
      <c r="A1055" s="1"/>
      <c r="D1055" s="1"/>
    </row>
    <row r="1056" spans="1:4">
      <c r="A1056" s="1"/>
      <c r="D1056" s="1"/>
    </row>
    <row r="1057" spans="1:4">
      <c r="A1057" s="1"/>
      <c r="D1057" s="1"/>
    </row>
    <row r="1058" spans="1:4">
      <c r="A1058" s="1"/>
      <c r="D1058" s="1"/>
    </row>
    <row r="1059" spans="1:4">
      <c r="A1059" s="1"/>
      <c r="D1059" s="1"/>
    </row>
    <row r="1060" spans="1:4">
      <c r="A1060" s="1"/>
      <c r="D1060" s="1"/>
    </row>
    <row r="1061" spans="1:4">
      <c r="A1061" s="1"/>
      <c r="D1061" s="1"/>
    </row>
    <row r="1062" spans="1:4">
      <c r="A1062" s="1"/>
      <c r="D1062" s="1"/>
    </row>
    <row r="1063" spans="1:4">
      <c r="A1063" s="1"/>
      <c r="D1063" s="1"/>
    </row>
    <row r="1064" spans="1:4">
      <c r="A1064" s="1"/>
      <c r="D1064" s="1"/>
    </row>
    <row r="1065" spans="1:4">
      <c r="A1065" s="1"/>
      <c r="D1065" s="1"/>
    </row>
    <row r="1066" spans="1:4">
      <c r="A1066" s="1"/>
      <c r="D1066" s="1"/>
    </row>
    <row r="1067" spans="1:4">
      <c r="A1067" s="1"/>
      <c r="D1067" s="1"/>
    </row>
    <row r="1068" spans="1:4">
      <c r="A1068" s="1"/>
      <c r="D1068" s="1"/>
    </row>
    <row r="1069" spans="1:4">
      <c r="A1069" s="1"/>
      <c r="D1069" s="1"/>
    </row>
    <row r="1070" spans="1:4">
      <c r="A1070" s="1"/>
      <c r="D1070" s="1"/>
    </row>
    <row r="1071" spans="1:4">
      <c r="A1071" s="1"/>
      <c r="D1071" s="1"/>
    </row>
    <row r="1072" spans="1:4">
      <c r="A1072" s="1"/>
      <c r="D1072" s="1"/>
    </row>
    <row r="1073" spans="1:4">
      <c r="A1073" s="1"/>
      <c r="D1073" s="1"/>
    </row>
    <row r="1074" spans="1:4">
      <c r="A1074" s="1"/>
      <c r="D1074" s="1"/>
    </row>
    <row r="1075" spans="1:4">
      <c r="A1075" s="1"/>
      <c r="D1075" s="1"/>
    </row>
    <row r="1076" spans="1:4">
      <c r="A1076" s="1"/>
      <c r="D1076" s="1"/>
    </row>
    <row r="1077" spans="1:4">
      <c r="A1077" s="1"/>
      <c r="D1077" s="1"/>
    </row>
    <row r="1078" spans="1:4">
      <c r="A1078" s="1"/>
      <c r="D1078" s="1"/>
    </row>
    <row r="1079" spans="1:4">
      <c r="A1079" s="1"/>
      <c r="D1079" s="1"/>
    </row>
    <row r="1080" spans="1:4">
      <c r="A1080" s="1"/>
      <c r="D1080" s="1"/>
    </row>
    <row r="1081" spans="1:4">
      <c r="A1081" s="1"/>
      <c r="D1081" s="1"/>
    </row>
    <row r="1082" spans="1:4">
      <c r="A1082" s="1"/>
      <c r="D1082" s="1"/>
    </row>
    <row r="1083" spans="1:4">
      <c r="A1083" s="1"/>
      <c r="D1083" s="1"/>
    </row>
    <row r="1084" spans="1:4">
      <c r="A1084" s="1"/>
      <c r="D1084" s="1"/>
    </row>
    <row r="1085" spans="1:4">
      <c r="A1085" s="1"/>
      <c r="D1085" s="1"/>
    </row>
    <row r="1086" spans="1:4">
      <c r="A1086" s="1"/>
      <c r="D1086" s="1"/>
    </row>
    <row r="1087" spans="1:4">
      <c r="A1087" s="1"/>
      <c r="D1087" s="1"/>
    </row>
    <row r="1088" spans="1:4">
      <c r="A1088" s="1"/>
      <c r="D1088" s="1"/>
    </row>
    <row r="1089" spans="1:4">
      <c r="A1089" s="1"/>
      <c r="D1089" s="1"/>
    </row>
    <row r="1090" spans="1:4">
      <c r="A1090" s="1"/>
      <c r="D1090" s="1"/>
    </row>
    <row r="1091" spans="1:4">
      <c r="A1091" s="1"/>
      <c r="D1091" s="1"/>
    </row>
    <row r="1092" spans="1:4">
      <c r="A1092" s="1"/>
      <c r="D1092" s="1"/>
    </row>
    <row r="1093" spans="1:4">
      <c r="A1093" s="1"/>
      <c r="D1093" s="1"/>
    </row>
    <row r="1094" spans="1:4">
      <c r="A1094" s="1"/>
      <c r="D1094" s="1"/>
    </row>
    <row r="1095" spans="1:4">
      <c r="A1095" s="1"/>
      <c r="D1095" s="1"/>
    </row>
    <row r="1096" spans="1:4">
      <c r="A1096" s="1"/>
      <c r="D1096" s="1"/>
    </row>
    <row r="1097" spans="1:4">
      <c r="A1097" s="1"/>
      <c r="D1097" s="1"/>
    </row>
    <row r="1098" spans="1:4">
      <c r="A1098" s="1"/>
      <c r="D1098" s="1"/>
    </row>
    <row r="1099" spans="1:4">
      <c r="A1099" s="1"/>
      <c r="D1099" s="1"/>
    </row>
    <row r="1100" spans="1:4">
      <c r="A1100" s="1"/>
      <c r="D1100" s="1"/>
    </row>
    <row r="1101" spans="1:4">
      <c r="A1101" s="1"/>
      <c r="D1101" s="1"/>
    </row>
    <row r="1102" spans="1:4">
      <c r="A1102" s="1"/>
      <c r="D1102" s="1"/>
    </row>
    <row r="1103" spans="1:4">
      <c r="A1103" s="1"/>
      <c r="D1103" s="1"/>
    </row>
    <row r="1104" spans="1:4">
      <c r="A1104" s="1"/>
      <c r="D1104" s="1"/>
    </row>
    <row r="1105" spans="1:4">
      <c r="A1105" s="1"/>
      <c r="D1105" s="1"/>
    </row>
    <row r="1106" spans="1:4">
      <c r="A1106" s="1"/>
      <c r="D1106" s="1"/>
    </row>
    <row r="1107" spans="1:4">
      <c r="A1107" s="1"/>
      <c r="D1107" s="1"/>
    </row>
    <row r="1108" spans="1:4">
      <c r="A1108" s="1"/>
      <c r="D1108" s="1"/>
    </row>
    <row r="1109" spans="1:4">
      <c r="A1109" s="1"/>
      <c r="D1109" s="1"/>
    </row>
    <row r="1110" spans="1:4">
      <c r="A1110" s="1"/>
      <c r="D1110" s="1"/>
    </row>
    <row r="1111" spans="1:4">
      <c r="A1111" s="1"/>
      <c r="D1111" s="1"/>
    </row>
    <row r="1112" spans="1:4">
      <c r="A1112" s="1"/>
      <c r="D1112" s="1"/>
    </row>
    <row r="1113" spans="1:4">
      <c r="A1113" s="1"/>
      <c r="D1113" s="1"/>
    </row>
    <row r="1114" spans="1:4">
      <c r="A1114" s="1"/>
      <c r="D1114" s="1"/>
    </row>
    <row r="1115" spans="1:4">
      <c r="A1115" s="1"/>
      <c r="D1115" s="1"/>
    </row>
    <row r="1116" spans="1:4">
      <c r="A1116" s="1"/>
      <c r="D1116" s="1"/>
    </row>
    <row r="1117" spans="1:4">
      <c r="A1117" s="1"/>
      <c r="D1117" s="1"/>
    </row>
    <row r="1118" spans="1:4">
      <c r="A1118" s="1"/>
      <c r="D1118" s="1"/>
    </row>
    <row r="1119" spans="1:4">
      <c r="A1119" s="1"/>
      <c r="D1119" s="1"/>
    </row>
    <row r="1120" spans="1:4">
      <c r="A1120" s="1"/>
      <c r="D1120" s="1"/>
    </row>
    <row r="1121" spans="1:4">
      <c r="A1121" s="1"/>
      <c r="D1121" s="1"/>
    </row>
    <row r="1122" spans="1:4">
      <c r="A1122" s="1"/>
      <c r="D1122" s="1"/>
    </row>
    <row r="1123" spans="1:4">
      <c r="A1123" s="1"/>
      <c r="D1123" s="1"/>
    </row>
    <row r="1124" spans="1:4">
      <c r="A1124" s="1"/>
      <c r="D1124" s="1"/>
    </row>
    <row r="1125" spans="1:4">
      <c r="A1125" s="1"/>
      <c r="D1125" s="1"/>
    </row>
    <row r="1126" spans="1:4">
      <c r="A1126" s="1"/>
      <c r="D1126" s="1"/>
    </row>
    <row r="1127" spans="1:4">
      <c r="A1127" s="1"/>
      <c r="D1127" s="1"/>
    </row>
    <row r="1128" spans="1:4">
      <c r="A1128" s="1"/>
      <c r="D1128" s="1"/>
    </row>
    <row r="1129" spans="1:4">
      <c r="A1129" s="1"/>
      <c r="D1129" s="1"/>
    </row>
    <row r="1130" spans="1:4">
      <c r="A1130" s="1"/>
      <c r="D1130" s="1"/>
    </row>
    <row r="1131" spans="1:4">
      <c r="A1131" s="1"/>
      <c r="D1131" s="1"/>
    </row>
    <row r="1132" spans="1:4">
      <c r="A1132" s="1"/>
      <c r="D1132" s="1"/>
    </row>
    <row r="1133" spans="1:4">
      <c r="A1133" s="1"/>
      <c r="D1133" s="1"/>
    </row>
    <row r="1134" spans="1:4">
      <c r="A1134" s="1"/>
      <c r="D1134" s="1"/>
    </row>
    <row r="1135" spans="1:4">
      <c r="A1135" s="1"/>
      <c r="D1135" s="1"/>
    </row>
    <row r="1136" spans="1:4">
      <c r="A1136" s="1"/>
      <c r="D1136" s="1"/>
    </row>
    <row r="1137" spans="1:4">
      <c r="A1137" s="1"/>
      <c r="D1137" s="1"/>
    </row>
    <row r="1138" spans="1:4">
      <c r="A1138" s="1"/>
      <c r="D1138" s="1"/>
    </row>
    <row r="1139" spans="1:4">
      <c r="A1139" s="1"/>
      <c r="D1139" s="1"/>
    </row>
    <row r="1140" spans="1:4">
      <c r="A1140" s="1"/>
      <c r="D1140" s="1"/>
    </row>
    <row r="1141" spans="1:4">
      <c r="A1141" s="1"/>
      <c r="D1141" s="1"/>
    </row>
    <row r="1142" spans="1:4">
      <c r="A1142" s="1"/>
      <c r="D1142" s="1"/>
    </row>
    <row r="1143" spans="1:4">
      <c r="A1143" s="1"/>
      <c r="D1143" s="1"/>
    </row>
    <row r="1144" spans="1:4">
      <c r="A1144" s="1"/>
      <c r="D1144" s="1"/>
    </row>
    <row r="1145" spans="1:4">
      <c r="A1145" s="1"/>
      <c r="D1145" s="1"/>
    </row>
    <row r="1146" spans="1:4">
      <c r="A1146" s="1"/>
      <c r="D1146" s="1"/>
    </row>
    <row r="1147" spans="1:4">
      <c r="A1147" s="1"/>
      <c r="D1147" s="1"/>
    </row>
    <row r="1148" spans="1:4">
      <c r="A1148" s="1"/>
      <c r="D1148" s="1"/>
    </row>
    <row r="1149" spans="1:4">
      <c r="A1149" s="1"/>
      <c r="D1149" s="1"/>
    </row>
    <row r="1150" spans="1:4">
      <c r="A1150" s="1"/>
      <c r="D1150" s="1"/>
    </row>
    <row r="1151" spans="1:4">
      <c r="A1151" s="1"/>
      <c r="D1151" s="1"/>
    </row>
    <row r="1152" spans="1:4">
      <c r="A1152" s="1"/>
      <c r="D1152" s="1"/>
    </row>
    <row r="1153" spans="1:4">
      <c r="A1153" s="1"/>
      <c r="D1153" s="1"/>
    </row>
    <row r="1154" spans="1:4">
      <c r="A1154" s="1"/>
      <c r="D1154" s="1"/>
    </row>
    <row r="1155" spans="1:4">
      <c r="A1155" s="1"/>
      <c r="D1155" s="1"/>
    </row>
    <row r="1156" spans="1:4">
      <c r="A1156" s="1"/>
      <c r="D1156" s="1"/>
    </row>
    <row r="1157" spans="1:4">
      <c r="A1157" s="1"/>
      <c r="D1157" s="1"/>
    </row>
    <row r="1158" spans="1:4">
      <c r="A1158" s="1"/>
      <c r="D1158" s="1"/>
    </row>
    <row r="1159" spans="1:4">
      <c r="A1159" s="1"/>
      <c r="D1159" s="1"/>
    </row>
    <row r="1160" spans="1:4">
      <c r="A1160" s="1"/>
      <c r="D1160" s="1"/>
    </row>
    <row r="1161" spans="1:4">
      <c r="A1161" s="1"/>
      <c r="D1161" s="1"/>
    </row>
    <row r="1162" spans="1:4">
      <c r="A1162" s="1"/>
      <c r="D1162" s="1"/>
    </row>
    <row r="1163" spans="1:4">
      <c r="A1163" s="1"/>
      <c r="D1163" s="1"/>
    </row>
    <row r="1164" spans="1:4">
      <c r="A1164" s="1"/>
      <c r="D1164" s="1"/>
    </row>
    <row r="1165" spans="1:4">
      <c r="A1165" s="1"/>
      <c r="D1165" s="1"/>
    </row>
    <row r="1166" spans="1:4">
      <c r="A1166" s="1"/>
      <c r="D1166" s="1"/>
    </row>
    <row r="1167" spans="1:4">
      <c r="A1167" s="1"/>
      <c r="D1167" s="1"/>
    </row>
    <row r="1168" spans="1:4">
      <c r="A1168" s="1"/>
      <c r="D1168" s="1"/>
    </row>
    <row r="1169" spans="1:4">
      <c r="A1169" s="1"/>
      <c r="D1169" s="1"/>
    </row>
    <row r="1170" spans="1:4">
      <c r="A1170" s="1"/>
      <c r="D1170" s="1"/>
    </row>
    <row r="1171" spans="1:4">
      <c r="A1171" s="1"/>
      <c r="D1171" s="1"/>
    </row>
    <row r="1172" spans="1:4">
      <c r="A1172" s="1"/>
      <c r="D1172" s="1"/>
    </row>
    <row r="1173" spans="1:4">
      <c r="A1173" s="1"/>
      <c r="D1173" s="1"/>
    </row>
    <row r="1174" spans="1:4">
      <c r="A1174" s="1"/>
      <c r="D1174" s="1"/>
    </row>
    <row r="1175" spans="1:4">
      <c r="A1175" s="1"/>
      <c r="D1175" s="1"/>
    </row>
    <row r="1176" spans="1:4">
      <c r="A1176" s="1"/>
      <c r="D1176" s="1"/>
    </row>
    <row r="1177" spans="1:4">
      <c r="A1177" s="1"/>
      <c r="D1177" s="1"/>
    </row>
    <row r="1178" spans="1:4">
      <c r="A1178" s="1"/>
      <c r="D1178" s="1"/>
    </row>
    <row r="1179" spans="1:4">
      <c r="A1179" s="1"/>
      <c r="D1179" s="1"/>
    </row>
    <row r="1180" spans="1:4">
      <c r="A1180" s="1"/>
      <c r="D1180" s="1"/>
    </row>
    <row r="1181" spans="1:4">
      <c r="A1181" s="1"/>
      <c r="D1181" s="1"/>
    </row>
    <row r="1182" spans="1:4">
      <c r="A1182" s="1"/>
      <c r="D1182" s="1"/>
    </row>
    <row r="1183" spans="1:4">
      <c r="A1183" s="1"/>
      <c r="D1183" s="1"/>
    </row>
    <row r="1184" spans="1:4">
      <c r="A1184" s="1"/>
      <c r="D1184" s="1"/>
    </row>
    <row r="1185" spans="1:4">
      <c r="A1185" s="1"/>
      <c r="D1185" s="1"/>
    </row>
    <row r="1186" spans="1:4">
      <c r="A1186" s="1"/>
      <c r="D1186" s="1"/>
    </row>
    <row r="1187" spans="1:4">
      <c r="A1187" s="1"/>
      <c r="D1187" s="1"/>
    </row>
    <row r="1188" spans="1:4">
      <c r="A1188" s="1"/>
      <c r="D1188" s="1"/>
    </row>
    <row r="1189" spans="1:4">
      <c r="A1189" s="1"/>
      <c r="D1189" s="1"/>
    </row>
    <row r="1190" spans="1:4">
      <c r="A1190" s="1"/>
      <c r="D1190" s="1"/>
    </row>
    <row r="1191" spans="1:4">
      <c r="A1191" s="1"/>
      <c r="D1191" s="1"/>
    </row>
    <row r="1192" spans="1:4">
      <c r="A1192" s="1"/>
      <c r="D1192" s="1"/>
    </row>
    <row r="1193" spans="1:4">
      <c r="A1193" s="1"/>
      <c r="D1193" s="1"/>
    </row>
    <row r="1194" spans="1:4">
      <c r="A1194" s="1"/>
      <c r="D1194" s="1"/>
    </row>
    <row r="1195" spans="1:4">
      <c r="A1195" s="1"/>
      <c r="D1195" s="1"/>
    </row>
    <row r="1196" spans="1:4">
      <c r="A1196" s="1"/>
      <c r="D1196" s="1"/>
    </row>
    <row r="1197" spans="1:4">
      <c r="A1197" s="1"/>
      <c r="D1197" s="1"/>
    </row>
    <row r="1198" spans="1:4">
      <c r="A1198" s="1"/>
      <c r="D1198" s="1"/>
    </row>
    <row r="1199" spans="1:4">
      <c r="A1199" s="1"/>
      <c r="D1199" s="1"/>
    </row>
    <row r="1200" spans="1:4">
      <c r="A1200" s="1"/>
      <c r="D1200" s="1"/>
    </row>
    <row r="1201" spans="1:4">
      <c r="A1201" s="1"/>
      <c r="D1201" s="1"/>
    </row>
    <row r="1202" spans="1:4">
      <c r="A1202" s="1"/>
      <c r="D1202" s="1"/>
    </row>
    <row r="1203" spans="1:4">
      <c r="A1203" s="1"/>
      <c r="D1203" s="1"/>
    </row>
    <row r="1204" spans="1:4">
      <c r="A1204" s="1"/>
      <c r="D1204" s="1"/>
    </row>
    <row r="1205" spans="1:4">
      <c r="A1205" s="1"/>
      <c r="D1205" s="1"/>
    </row>
    <row r="1206" spans="1:4">
      <c r="A1206" s="1"/>
      <c r="D1206" s="1"/>
    </row>
    <row r="1207" spans="1:4">
      <c r="A1207" s="1"/>
      <c r="D1207" s="1"/>
    </row>
    <row r="1208" spans="1:4">
      <c r="A1208" s="1"/>
      <c r="D1208" s="1"/>
    </row>
    <row r="1209" spans="1:4">
      <c r="A1209" s="1"/>
      <c r="D1209" s="1"/>
    </row>
    <row r="1210" spans="1:4">
      <c r="A1210" s="1"/>
      <c r="D1210" s="1"/>
    </row>
    <row r="1211" spans="1:4">
      <c r="A1211" s="1"/>
      <c r="D1211" s="1"/>
    </row>
    <row r="1212" spans="1:4">
      <c r="A1212" s="1"/>
      <c r="D1212" s="1"/>
    </row>
    <row r="1213" spans="1:4">
      <c r="A1213" s="1"/>
      <c r="D1213" s="1"/>
    </row>
    <row r="1214" spans="1:4">
      <c r="A1214" s="1"/>
      <c r="D1214" s="1"/>
    </row>
    <row r="1215" spans="1:4">
      <c r="A1215" s="1"/>
      <c r="D1215" s="1"/>
    </row>
    <row r="1216" spans="1:4">
      <c r="A1216" s="1"/>
      <c r="D1216" s="1"/>
    </row>
    <row r="1217" spans="1:4">
      <c r="A1217" s="1"/>
      <c r="D1217" s="1"/>
    </row>
    <row r="1218" spans="1:4">
      <c r="A1218" s="1"/>
      <c r="D1218" s="1"/>
    </row>
    <row r="1219" spans="1:4">
      <c r="A1219" s="1"/>
      <c r="D1219" s="1"/>
    </row>
    <row r="1220" spans="1:4">
      <c r="A1220" s="1"/>
      <c r="D1220" s="1"/>
    </row>
    <row r="1221" spans="1:4">
      <c r="A1221" s="1"/>
      <c r="D1221" s="1"/>
    </row>
    <row r="1222" spans="1:4">
      <c r="A1222" s="1"/>
      <c r="D1222" s="1"/>
    </row>
    <row r="1223" spans="1:4">
      <c r="A1223" s="1"/>
      <c r="D1223" s="1"/>
    </row>
    <row r="1224" spans="1:4">
      <c r="A1224" s="1"/>
      <c r="D1224" s="1"/>
    </row>
    <row r="1225" spans="1:4">
      <c r="A1225" s="1"/>
      <c r="D1225" s="1"/>
    </row>
    <row r="1226" spans="1:4">
      <c r="A1226" s="1"/>
      <c r="D1226" s="1"/>
    </row>
    <row r="1227" spans="1:4">
      <c r="A1227" s="1"/>
      <c r="D1227" s="1"/>
    </row>
    <row r="1228" spans="1:4">
      <c r="A1228" s="1"/>
      <c r="D1228" s="1"/>
    </row>
    <row r="1229" spans="1:4">
      <c r="A1229" s="1"/>
      <c r="D1229" s="1"/>
    </row>
    <row r="1230" spans="1:4">
      <c r="A1230" s="1"/>
      <c r="D1230" s="1"/>
    </row>
    <row r="1231" spans="1:4">
      <c r="A1231" s="1"/>
      <c r="D1231" s="1"/>
    </row>
    <row r="1232" spans="1:4">
      <c r="A1232" s="1"/>
      <c r="D1232" s="1"/>
    </row>
    <row r="1233" spans="1:4">
      <c r="A1233" s="1"/>
      <c r="D1233" s="1"/>
    </row>
    <row r="1234" spans="1:4">
      <c r="A1234" s="1"/>
      <c r="D1234" s="1"/>
    </row>
    <row r="1235" spans="1:4">
      <c r="A1235" s="1"/>
      <c r="D1235" s="1"/>
    </row>
    <row r="1236" spans="1:4">
      <c r="A1236" s="1"/>
      <c r="D1236" s="1"/>
    </row>
    <row r="1237" spans="1:4">
      <c r="A1237" s="1"/>
      <c r="D1237" s="1"/>
    </row>
    <row r="1238" spans="1:4">
      <c r="A1238" s="1"/>
      <c r="D1238" s="1"/>
    </row>
    <row r="1239" spans="1:4">
      <c r="A1239" s="1"/>
      <c r="D1239" s="1"/>
    </row>
    <row r="1240" spans="1:4">
      <c r="A1240" s="1"/>
      <c r="D1240" s="1"/>
    </row>
    <row r="1241" spans="1:4">
      <c r="A1241" s="1"/>
      <c r="D1241" s="1"/>
    </row>
    <row r="1242" spans="1:4">
      <c r="A1242" s="1"/>
      <c r="D1242" s="1"/>
    </row>
    <row r="1243" spans="1:4">
      <c r="A1243" s="1"/>
      <c r="D1243" s="1"/>
    </row>
    <row r="1244" spans="1:4">
      <c r="A1244" s="1"/>
      <c r="D1244" s="1"/>
    </row>
    <row r="1245" spans="1:4">
      <c r="A1245" s="1"/>
      <c r="D1245" s="1"/>
    </row>
    <row r="1246" spans="1:4">
      <c r="A1246" s="1"/>
      <c r="D1246" s="1"/>
    </row>
    <row r="1247" spans="1:4">
      <c r="A1247" s="1"/>
      <c r="D1247" s="1"/>
    </row>
    <row r="1248" spans="1:4">
      <c r="A1248" s="1"/>
      <c r="D1248" s="1"/>
    </row>
    <row r="1249" spans="1:4">
      <c r="A1249" s="1"/>
      <c r="D1249" s="1"/>
    </row>
    <row r="1250" spans="1:4">
      <c r="A1250" s="1"/>
      <c r="D1250" s="1"/>
    </row>
    <row r="1251" spans="1:4">
      <c r="A1251" s="1"/>
      <c r="D1251" s="1"/>
    </row>
    <row r="1252" spans="1:4">
      <c r="A1252" s="1"/>
      <c r="D1252" s="1"/>
    </row>
    <row r="1253" spans="1:4">
      <c r="A1253" s="1"/>
      <c r="D1253" s="1"/>
    </row>
    <row r="1254" spans="1:4">
      <c r="A1254" s="1"/>
      <c r="D1254" s="1"/>
    </row>
    <row r="1255" spans="1:4">
      <c r="A1255" s="1"/>
      <c r="D1255" s="1"/>
    </row>
    <row r="1256" spans="1:4">
      <c r="A1256" s="1"/>
      <c r="D1256" s="1"/>
    </row>
    <row r="1257" spans="1:4">
      <c r="A1257" s="1"/>
      <c r="D1257" s="1"/>
    </row>
    <row r="1258" spans="1:4">
      <c r="A1258" s="1"/>
      <c r="D1258" s="1"/>
    </row>
    <row r="1259" spans="1:4">
      <c r="A1259" s="1"/>
      <c r="D1259" s="1"/>
    </row>
    <row r="1260" spans="1:4">
      <c r="A1260" s="1"/>
      <c r="D1260" s="1"/>
    </row>
    <row r="1261" spans="1:4">
      <c r="A1261" s="1"/>
      <c r="D1261" s="1"/>
    </row>
    <row r="1262" spans="1:4">
      <c r="A1262" s="1"/>
      <c r="D1262" s="1"/>
    </row>
    <row r="1263" spans="1:4">
      <c r="A1263" s="1"/>
      <c r="D1263" s="1"/>
    </row>
    <row r="1264" spans="1:4">
      <c r="A1264" s="1"/>
      <c r="D1264" s="1"/>
    </row>
    <row r="1265" spans="1:4">
      <c r="A1265" s="1"/>
      <c r="D1265" s="1"/>
    </row>
    <row r="1266" spans="1:4">
      <c r="A1266" s="1"/>
      <c r="D1266" s="1"/>
    </row>
    <row r="1267" spans="1:4">
      <c r="A1267" s="1"/>
      <c r="D1267" s="1"/>
    </row>
    <row r="1268" spans="1:4">
      <c r="A1268" s="1"/>
      <c r="D1268" s="1"/>
    </row>
    <row r="1269" spans="1:4">
      <c r="A1269" s="1"/>
      <c r="D1269" s="1"/>
    </row>
    <row r="1270" spans="1:4">
      <c r="A1270" s="1"/>
      <c r="D1270" s="1"/>
    </row>
    <row r="1271" spans="1:4">
      <c r="A1271" s="1"/>
      <c r="D1271" s="1"/>
    </row>
    <row r="1272" spans="1:4">
      <c r="A1272" s="1"/>
      <c r="D1272" s="1"/>
    </row>
    <row r="1273" spans="1:4">
      <c r="A1273" s="1"/>
      <c r="D1273" s="1"/>
    </row>
    <row r="1274" spans="1:4">
      <c r="A1274" s="1"/>
      <c r="D1274" s="1"/>
    </row>
    <row r="1275" spans="1:4">
      <c r="A1275" s="1"/>
      <c r="D1275" s="1"/>
    </row>
    <row r="1276" spans="1:4">
      <c r="A1276" s="1"/>
      <c r="D1276" s="1"/>
    </row>
    <row r="1277" spans="1:4">
      <c r="A1277" s="1"/>
      <c r="D1277" s="1"/>
    </row>
    <row r="1278" spans="1:4">
      <c r="A1278" s="1"/>
      <c r="D1278" s="1"/>
    </row>
    <row r="1279" spans="1:4">
      <c r="A1279" s="1"/>
      <c r="D1279" s="1"/>
    </row>
    <row r="1280" spans="1:4">
      <c r="A1280" s="1"/>
      <c r="D1280" s="1"/>
    </row>
    <row r="1281" spans="1:4">
      <c r="A1281" s="1"/>
      <c r="D1281" s="1"/>
    </row>
    <row r="1282" spans="1:4">
      <c r="A1282" s="1"/>
      <c r="D1282" s="1"/>
    </row>
    <row r="1283" spans="1:4">
      <c r="A1283" s="1"/>
      <c r="D1283" s="1"/>
    </row>
    <row r="1284" spans="1:4">
      <c r="A1284" s="1"/>
      <c r="D1284" s="1"/>
    </row>
    <row r="1285" spans="1:4">
      <c r="A1285" s="1"/>
      <c r="D1285" s="1"/>
    </row>
    <row r="1286" spans="1:4">
      <c r="A1286" s="1"/>
      <c r="D1286" s="1"/>
    </row>
    <row r="1287" spans="1:4">
      <c r="A1287" s="1"/>
      <c r="D1287" s="1"/>
    </row>
    <row r="1288" spans="1:4">
      <c r="A1288" s="1"/>
      <c r="D1288" s="1"/>
    </row>
    <row r="1289" spans="1:4">
      <c r="A1289" s="1"/>
      <c r="D1289" s="1"/>
    </row>
    <row r="1290" spans="1:4">
      <c r="A1290" s="1"/>
      <c r="D1290" s="1"/>
    </row>
    <row r="1291" spans="1:4">
      <c r="A1291" s="1"/>
      <c r="D1291" s="1"/>
    </row>
    <row r="1292" spans="1:4">
      <c r="A1292" s="1"/>
      <c r="D1292" s="1"/>
    </row>
    <row r="1293" spans="1:4">
      <c r="A1293" s="1"/>
      <c r="D1293" s="1"/>
    </row>
    <row r="1294" spans="1:4">
      <c r="A1294" s="1"/>
      <c r="D1294" s="1"/>
    </row>
    <row r="1295" spans="1:4">
      <c r="A1295" s="1"/>
      <c r="D1295" s="1"/>
    </row>
    <row r="1296" spans="1:4">
      <c r="A1296" s="1"/>
      <c r="D1296" s="1"/>
    </row>
    <row r="1297" spans="1:4">
      <c r="A1297" s="1"/>
      <c r="D1297" s="1"/>
    </row>
    <row r="1298" spans="1:4">
      <c r="A1298" s="1"/>
      <c r="D1298" s="1"/>
    </row>
    <row r="1299" spans="1:4">
      <c r="A1299" s="1"/>
      <c r="D1299" s="1"/>
    </row>
    <row r="1300" spans="1:4">
      <c r="A1300" s="1"/>
      <c r="D1300" s="1"/>
    </row>
    <row r="1301" spans="1:4">
      <c r="A1301" s="1"/>
      <c r="D1301" s="1"/>
    </row>
    <row r="1302" spans="1:4">
      <c r="A1302" s="1"/>
      <c r="D1302" s="1"/>
    </row>
    <row r="1303" spans="1:4">
      <c r="A1303" s="1"/>
      <c r="D1303" s="1"/>
    </row>
    <row r="1304" spans="1:4">
      <c r="A1304" s="1"/>
      <c r="D1304" s="1"/>
    </row>
    <row r="1305" spans="1:4">
      <c r="A1305" s="1"/>
      <c r="D1305" s="1"/>
    </row>
    <row r="1306" spans="1:4">
      <c r="A1306" s="1"/>
      <c r="D1306" s="1"/>
    </row>
    <row r="1307" spans="1:4">
      <c r="A1307" s="1"/>
      <c r="D1307" s="1"/>
    </row>
    <row r="1308" spans="1:4">
      <c r="A1308" s="1"/>
      <c r="D1308" s="1"/>
    </row>
    <row r="1309" spans="1:4">
      <c r="A1309" s="1"/>
      <c r="D1309" s="1"/>
    </row>
    <row r="1310" spans="1:4">
      <c r="A1310" s="1"/>
      <c r="D1310" s="1"/>
    </row>
    <row r="1311" spans="1:4">
      <c r="A1311" s="1"/>
      <c r="D1311" s="1"/>
    </row>
    <row r="1312" spans="1:4">
      <c r="A1312" s="1"/>
      <c r="D1312" s="1"/>
    </row>
    <row r="1313" spans="1:4">
      <c r="A1313" s="1"/>
      <c r="D1313" s="1"/>
    </row>
    <row r="1314" spans="1:4">
      <c r="A1314" s="1"/>
      <c r="D1314" s="1"/>
    </row>
    <row r="1315" spans="1:4">
      <c r="A1315" s="1"/>
      <c r="D1315" s="1"/>
    </row>
    <row r="1316" spans="1:4">
      <c r="A1316" s="1"/>
      <c r="D1316" s="1"/>
    </row>
    <row r="1317" spans="1:4">
      <c r="A1317" s="1"/>
      <c r="D1317" s="1"/>
    </row>
    <row r="1318" spans="1:4">
      <c r="A1318" s="1"/>
      <c r="D1318" s="1"/>
    </row>
    <row r="1319" spans="1:4">
      <c r="A1319" s="1"/>
      <c r="D1319" s="1"/>
    </row>
    <row r="1320" spans="1:4">
      <c r="A1320" s="1"/>
      <c r="D1320" s="1"/>
    </row>
    <row r="1321" spans="1:4">
      <c r="A1321" s="1"/>
      <c r="D1321" s="1"/>
    </row>
    <row r="1322" spans="1:4">
      <c r="A1322" s="1"/>
      <c r="D1322" s="1"/>
    </row>
    <row r="1323" spans="1:4">
      <c r="A1323" s="1"/>
      <c r="D1323" s="1"/>
    </row>
    <row r="1324" spans="1:4">
      <c r="A1324" s="1"/>
      <c r="D1324" s="1"/>
    </row>
    <row r="1325" spans="1:4">
      <c r="A1325" s="1"/>
      <c r="D1325" s="1"/>
    </row>
    <row r="1326" spans="1:4">
      <c r="A1326" s="1"/>
      <c r="D1326" s="1"/>
    </row>
    <row r="1327" spans="1:4">
      <c r="A1327" s="1"/>
      <c r="D1327" s="1"/>
    </row>
    <row r="1328" spans="1:4">
      <c r="A1328" s="1"/>
      <c r="D1328" s="1"/>
    </row>
    <row r="1329" spans="1:4">
      <c r="A1329" s="1"/>
      <c r="D1329" s="1"/>
    </row>
    <row r="1330" spans="1:4">
      <c r="A1330" s="1"/>
      <c r="D1330" s="1"/>
    </row>
    <row r="1331" spans="1:4">
      <c r="A1331" s="1"/>
      <c r="D1331" s="1"/>
    </row>
    <row r="1332" spans="1:4">
      <c r="A1332" s="1"/>
      <c r="D1332" s="1"/>
    </row>
    <row r="1333" spans="1:4">
      <c r="A1333" s="1"/>
      <c r="D1333" s="1"/>
    </row>
    <row r="1334" spans="1:4">
      <c r="A1334" s="1"/>
      <c r="D1334" s="1"/>
    </row>
    <row r="1335" spans="1:4">
      <c r="A1335" s="1"/>
      <c r="D1335" s="1"/>
    </row>
    <row r="1336" spans="1:4">
      <c r="A1336" s="1"/>
      <c r="D1336" s="1"/>
    </row>
    <row r="1337" spans="1:4">
      <c r="A1337" s="1"/>
      <c r="D1337" s="1"/>
    </row>
    <row r="1338" spans="1:4">
      <c r="A1338" s="1"/>
      <c r="D1338" s="1"/>
    </row>
    <row r="1339" spans="1:4">
      <c r="A1339" s="1"/>
      <c r="D1339" s="1"/>
    </row>
    <row r="1340" spans="1:4">
      <c r="A1340" s="1"/>
      <c r="D1340" s="1"/>
    </row>
    <row r="1341" spans="1:4">
      <c r="A1341" s="1"/>
      <c r="D1341" s="1"/>
    </row>
    <row r="1342" spans="1:4">
      <c r="A1342" s="1"/>
      <c r="D1342" s="1"/>
    </row>
    <row r="1343" spans="1:4">
      <c r="A1343" s="1"/>
      <c r="D1343" s="1"/>
    </row>
    <row r="1344" spans="1:4">
      <c r="A1344" s="1"/>
      <c r="D1344" s="1"/>
    </row>
    <row r="1345" spans="1:4">
      <c r="A1345" s="1"/>
      <c r="D1345" s="1"/>
    </row>
    <row r="1346" spans="1:4">
      <c r="A1346" s="1"/>
      <c r="D1346" s="1"/>
    </row>
    <row r="1347" spans="1:4">
      <c r="A1347" s="1"/>
      <c r="D1347" s="1"/>
    </row>
    <row r="1348" spans="1:4">
      <c r="A1348" s="1"/>
      <c r="D1348" s="1"/>
    </row>
    <row r="1349" spans="1:4">
      <c r="A1349" s="1"/>
      <c r="D1349" s="1"/>
    </row>
    <row r="1350" spans="1:4">
      <c r="A1350" s="1"/>
      <c r="D1350" s="1"/>
    </row>
    <row r="1351" spans="1:4">
      <c r="A1351" s="1"/>
      <c r="D1351" s="1"/>
    </row>
    <row r="1352" spans="1:4">
      <c r="A1352" s="1"/>
      <c r="D1352" s="1"/>
    </row>
    <row r="1353" spans="1:4">
      <c r="A1353" s="1"/>
      <c r="D1353" s="1"/>
    </row>
    <row r="1354" spans="1:4">
      <c r="A1354" s="1"/>
      <c r="D1354" s="1"/>
    </row>
    <row r="1355" spans="1:4">
      <c r="A1355" s="1"/>
      <c r="D1355" s="1"/>
    </row>
    <row r="1356" spans="1:4">
      <c r="A1356" s="1"/>
      <c r="D1356" s="1"/>
    </row>
    <row r="1357" spans="1:4">
      <c r="A1357" s="1"/>
      <c r="D1357" s="1"/>
    </row>
    <row r="1358" spans="1:4">
      <c r="A1358" s="1"/>
      <c r="D1358" s="1"/>
    </row>
    <row r="1359" spans="1:4">
      <c r="A1359" s="1"/>
      <c r="D1359" s="1"/>
    </row>
    <row r="1360" spans="1:4">
      <c r="A1360" s="1"/>
      <c r="D1360" s="1"/>
    </row>
    <row r="1361" spans="1:4">
      <c r="A1361" s="1"/>
      <c r="D1361" s="1"/>
    </row>
    <row r="1362" spans="1:4">
      <c r="A1362" s="1"/>
      <c r="D1362" s="1"/>
    </row>
    <row r="1363" spans="1:4">
      <c r="A1363" s="1"/>
      <c r="D1363" s="1"/>
    </row>
    <row r="1364" spans="1:4">
      <c r="A1364" s="1"/>
      <c r="D1364" s="1"/>
    </row>
    <row r="1365" spans="1:4">
      <c r="A1365" s="1"/>
      <c r="D1365" s="1"/>
    </row>
    <row r="1366" spans="1:4">
      <c r="A1366" s="1"/>
      <c r="D1366" s="1"/>
    </row>
    <row r="1367" spans="1:4">
      <c r="A1367" s="1"/>
      <c r="D1367" s="1"/>
    </row>
    <row r="1368" spans="1:4">
      <c r="A1368" s="1"/>
      <c r="D1368" s="1"/>
    </row>
    <row r="1369" spans="1:4">
      <c r="A1369" s="1"/>
      <c r="D1369" s="1"/>
    </row>
    <row r="1370" spans="1:4">
      <c r="A1370" s="1"/>
      <c r="D1370" s="1"/>
    </row>
    <row r="1371" spans="1:4">
      <c r="A1371" s="1"/>
      <c r="D1371" s="1"/>
    </row>
    <row r="1372" spans="1:4">
      <c r="A1372" s="1"/>
      <c r="D1372" s="1"/>
    </row>
    <row r="1373" spans="1:4">
      <c r="A1373" s="1"/>
      <c r="D1373" s="1"/>
    </row>
    <row r="1374" spans="1:4">
      <c r="A1374" s="1"/>
      <c r="D1374" s="1"/>
    </row>
    <row r="1375" spans="1:4">
      <c r="A1375" s="1"/>
      <c r="D1375" s="1"/>
    </row>
    <row r="1376" spans="1:4">
      <c r="A1376" s="1"/>
      <c r="D1376" s="1"/>
    </row>
    <row r="1377" spans="1:4">
      <c r="A1377" s="1"/>
      <c r="D1377" s="1"/>
    </row>
    <row r="1378" spans="1:4">
      <c r="A1378" s="1"/>
      <c r="D1378" s="1"/>
    </row>
    <row r="1379" spans="1:4">
      <c r="A1379" s="1"/>
      <c r="D1379" s="1"/>
    </row>
    <row r="1380" spans="1:4">
      <c r="A1380" s="1"/>
      <c r="D1380" s="1"/>
    </row>
    <row r="1381" spans="1:4">
      <c r="A1381" s="1"/>
      <c r="D1381" s="1"/>
    </row>
    <row r="1382" spans="1:4">
      <c r="A1382" s="1"/>
      <c r="D1382" s="1"/>
    </row>
    <row r="1383" spans="1:4">
      <c r="A1383" s="1"/>
      <c r="D1383" s="1"/>
    </row>
    <row r="1384" spans="1:4">
      <c r="A1384" s="1"/>
      <c r="D1384" s="1"/>
    </row>
    <row r="1385" spans="1:4">
      <c r="A1385" s="1"/>
      <c r="D1385" s="1"/>
    </row>
    <row r="1386" spans="1:4">
      <c r="A1386" s="1"/>
      <c r="D1386" s="1"/>
    </row>
    <row r="1387" spans="1:4">
      <c r="A1387" s="1"/>
      <c r="D1387" s="1"/>
    </row>
    <row r="1388" spans="1:4">
      <c r="A1388" s="1"/>
      <c r="D1388" s="1"/>
    </row>
    <row r="1389" spans="1:4">
      <c r="A1389" s="1"/>
      <c r="D1389" s="1"/>
    </row>
    <row r="1390" spans="1:4">
      <c r="A1390" s="1"/>
      <c r="D1390" s="1"/>
    </row>
    <row r="1391" spans="1:4">
      <c r="A1391" s="1"/>
      <c r="D1391" s="1"/>
    </row>
    <row r="1392" spans="1:4">
      <c r="A1392" s="1"/>
      <c r="D1392" s="1"/>
    </row>
    <row r="1393" spans="1:4">
      <c r="A1393" s="1"/>
      <c r="D1393" s="1"/>
    </row>
    <row r="1394" spans="1:4">
      <c r="A1394" s="1"/>
      <c r="D1394" s="1"/>
    </row>
    <row r="1395" spans="1:4">
      <c r="A1395" s="1"/>
      <c r="D1395" s="1"/>
    </row>
    <row r="1396" spans="1:4">
      <c r="A1396" s="1"/>
      <c r="D1396" s="1"/>
    </row>
    <row r="1397" spans="1:4">
      <c r="A1397" s="1"/>
      <c r="D1397" s="1"/>
    </row>
    <row r="1398" spans="1:4">
      <c r="A1398" s="1"/>
      <c r="D1398" s="1"/>
    </row>
    <row r="1399" spans="1:4">
      <c r="A1399" s="1"/>
      <c r="D1399" s="1"/>
    </row>
    <row r="1400" spans="1:4">
      <c r="A1400" s="1"/>
      <c r="D1400" s="1"/>
    </row>
    <row r="1401" spans="1:4">
      <c r="A1401" s="1"/>
      <c r="D1401" s="1"/>
    </row>
    <row r="1402" spans="1:4">
      <c r="A1402" s="1"/>
      <c r="D1402" s="1"/>
    </row>
    <row r="1403" spans="1:4">
      <c r="A1403" s="1"/>
      <c r="D1403" s="1"/>
    </row>
    <row r="1404" spans="1:4">
      <c r="A1404" s="1"/>
      <c r="D1404" s="1"/>
    </row>
    <row r="1405" spans="1:4">
      <c r="A1405" s="1"/>
      <c r="D1405" s="1"/>
    </row>
    <row r="1406" spans="1:4">
      <c r="A1406" s="1"/>
      <c r="D1406" s="1"/>
    </row>
    <row r="1407" spans="1:4">
      <c r="A1407" s="1"/>
      <c r="D1407" s="1"/>
    </row>
    <row r="1408" spans="1:4">
      <c r="A1408" s="1"/>
      <c r="D1408" s="1"/>
    </row>
    <row r="1409" spans="1:4">
      <c r="A1409" s="1"/>
      <c r="D1409" s="1"/>
    </row>
    <row r="1410" spans="1:4">
      <c r="A1410" s="1"/>
      <c r="D1410" s="1"/>
    </row>
    <row r="1411" spans="1:4">
      <c r="A1411" s="1"/>
      <c r="D1411" s="1"/>
    </row>
    <row r="1412" spans="1:4">
      <c r="A1412" s="1"/>
      <c r="D1412" s="1"/>
    </row>
    <row r="1413" spans="1:4">
      <c r="A1413" s="1"/>
      <c r="D1413" s="1"/>
    </row>
    <row r="1414" spans="1:4">
      <c r="A1414" s="1"/>
      <c r="D1414" s="1"/>
    </row>
    <row r="1415" spans="1:4">
      <c r="A1415" s="1"/>
      <c r="D1415" s="1"/>
    </row>
    <row r="1416" spans="1:4">
      <c r="A1416" s="1"/>
      <c r="D1416" s="1"/>
    </row>
    <row r="1417" spans="1:4">
      <c r="A1417" s="1"/>
      <c r="D1417" s="1"/>
    </row>
    <row r="1418" spans="1:4">
      <c r="A1418" s="1"/>
      <c r="D1418" s="1"/>
    </row>
    <row r="1419" spans="1:4">
      <c r="A1419" s="1"/>
      <c r="D1419" s="1"/>
    </row>
    <row r="1420" spans="1:4">
      <c r="A1420" s="1"/>
      <c r="D1420" s="1"/>
    </row>
    <row r="1421" spans="1:4">
      <c r="A1421" s="1"/>
      <c r="D1421" s="1"/>
    </row>
    <row r="1422" spans="1:4">
      <c r="A1422" s="1"/>
      <c r="D1422" s="1"/>
    </row>
    <row r="1423" spans="1:4">
      <c r="A1423" s="1"/>
      <c r="D1423" s="1"/>
    </row>
    <row r="1424" spans="1:4">
      <c r="A1424" s="1"/>
      <c r="D1424" s="1"/>
    </row>
    <row r="1425" spans="1:4">
      <c r="A1425" s="1"/>
      <c r="D1425" s="1"/>
    </row>
    <row r="1426" spans="1:4">
      <c r="A1426" s="1"/>
      <c r="D1426" s="1"/>
    </row>
    <row r="1427" spans="1:4">
      <c r="A1427" s="1"/>
      <c r="D1427" s="1"/>
    </row>
    <row r="1428" spans="1:4">
      <c r="A1428" s="1"/>
      <c r="D1428" s="1"/>
    </row>
    <row r="1429" spans="1:4">
      <c r="A1429" s="1"/>
      <c r="D1429" s="1"/>
    </row>
    <row r="1430" spans="1:4">
      <c r="A1430" s="1"/>
      <c r="D1430" s="1"/>
    </row>
    <row r="1431" spans="1:4">
      <c r="A1431" s="1"/>
      <c r="D1431" s="1"/>
    </row>
    <row r="1432" spans="1:4">
      <c r="A1432" s="1"/>
      <c r="D1432" s="1"/>
    </row>
    <row r="1433" spans="1:4">
      <c r="A1433" s="1"/>
      <c r="D1433" s="1"/>
    </row>
    <row r="1434" spans="1:4">
      <c r="A1434" s="1"/>
      <c r="D1434" s="1"/>
    </row>
    <row r="1435" spans="1:4">
      <c r="A1435" s="1"/>
      <c r="D1435" s="1"/>
    </row>
    <row r="1436" spans="1:4">
      <c r="A1436" s="1"/>
      <c r="D1436" s="1"/>
    </row>
    <row r="1437" spans="1:4">
      <c r="A1437" s="1"/>
      <c r="D1437" s="1"/>
    </row>
    <row r="1438" spans="1:4">
      <c r="A1438" s="1"/>
      <c r="D1438" s="1"/>
    </row>
    <row r="1439" spans="1:4">
      <c r="A1439" s="1"/>
      <c r="D1439" s="1"/>
    </row>
    <row r="1440" spans="1:4">
      <c r="A1440" s="1"/>
      <c r="D1440" s="1"/>
    </row>
    <row r="1441" spans="1:4">
      <c r="A1441" s="1"/>
      <c r="D1441" s="1"/>
    </row>
    <row r="1442" spans="1:4">
      <c r="A1442" s="1"/>
      <c r="D1442" s="1"/>
    </row>
    <row r="1443" spans="1:4">
      <c r="A1443" s="1"/>
      <c r="D1443" s="1"/>
    </row>
    <row r="1444" spans="1:4">
      <c r="A1444" s="1"/>
      <c r="D1444" s="1"/>
    </row>
    <row r="1445" spans="1:4">
      <c r="A1445" s="1"/>
      <c r="D1445" s="1"/>
    </row>
    <row r="1446" spans="1:4">
      <c r="A1446" s="1"/>
      <c r="D1446" s="1"/>
    </row>
    <row r="1447" spans="1:4">
      <c r="A1447" s="1"/>
      <c r="D1447" s="1"/>
    </row>
    <row r="1448" spans="1:4">
      <c r="A1448" s="1"/>
      <c r="D1448" s="1"/>
    </row>
    <row r="1449" spans="1:4">
      <c r="A1449" s="1"/>
      <c r="D1449" s="1"/>
    </row>
    <row r="1450" spans="1:4">
      <c r="A1450" s="1"/>
      <c r="D1450" s="1"/>
    </row>
    <row r="1451" spans="1:4">
      <c r="A1451" s="1"/>
      <c r="D1451" s="1"/>
    </row>
    <row r="1452" spans="1:4">
      <c r="A1452" s="1"/>
      <c r="D1452" s="1"/>
    </row>
    <row r="1453" spans="1:4">
      <c r="A1453" s="1"/>
      <c r="D1453" s="1"/>
    </row>
    <row r="1454" spans="1:4">
      <c r="A1454" s="1"/>
      <c r="D1454" s="1"/>
    </row>
    <row r="1455" spans="1:4">
      <c r="A1455" s="1"/>
      <c r="D1455" s="1"/>
    </row>
    <row r="1456" spans="1:4">
      <c r="A1456" s="1"/>
      <c r="D1456" s="1"/>
    </row>
    <row r="1457" spans="1:4">
      <c r="A1457" s="1"/>
      <c r="D1457" s="1"/>
    </row>
    <row r="1458" spans="1:4">
      <c r="A1458" s="1"/>
      <c r="D1458" s="1"/>
    </row>
    <row r="1459" spans="1:4">
      <c r="A1459" s="1"/>
      <c r="D1459" s="1"/>
    </row>
    <row r="1460" spans="1:4">
      <c r="A1460" s="1"/>
      <c r="D1460" s="1"/>
    </row>
    <row r="1461" spans="1:4">
      <c r="A1461" s="1"/>
      <c r="D1461" s="1"/>
    </row>
    <row r="1462" spans="1:4">
      <c r="A1462" s="1"/>
      <c r="D1462" s="1"/>
    </row>
    <row r="1463" spans="1:4">
      <c r="A1463" s="1"/>
      <c r="D1463" s="1"/>
    </row>
    <row r="1464" spans="1:4">
      <c r="A1464" s="1"/>
      <c r="D1464" s="1"/>
    </row>
    <row r="1465" spans="1:4">
      <c r="A1465" s="1"/>
      <c r="D1465" s="1"/>
    </row>
    <row r="1466" spans="1:4">
      <c r="A1466" s="1"/>
      <c r="D1466" s="1"/>
    </row>
    <row r="1467" spans="1:4">
      <c r="A1467" s="1"/>
      <c r="D1467" s="1"/>
    </row>
    <row r="1468" spans="1:4">
      <c r="A1468" s="1"/>
      <c r="D1468" s="1"/>
    </row>
    <row r="1469" spans="1:4">
      <c r="A1469" s="1"/>
      <c r="D1469" s="1"/>
    </row>
    <row r="1470" spans="1:4">
      <c r="A1470" s="1"/>
      <c r="D1470" s="1"/>
    </row>
    <row r="1471" spans="1:4">
      <c r="A1471" s="1"/>
      <c r="D1471" s="1"/>
    </row>
    <row r="1472" spans="1:4">
      <c r="A1472" s="1"/>
      <c r="D1472" s="1"/>
    </row>
    <row r="1473" spans="1:4">
      <c r="A1473" s="1"/>
      <c r="D1473" s="1"/>
    </row>
    <row r="1474" spans="1:4">
      <c r="A1474" s="1"/>
      <c r="D1474" s="1"/>
    </row>
    <row r="1475" spans="1:4">
      <c r="A1475" s="1"/>
      <c r="D1475" s="1"/>
    </row>
    <row r="1476" spans="1:4">
      <c r="A1476" s="1"/>
      <c r="D1476" s="1"/>
    </row>
    <row r="1477" spans="1:4">
      <c r="A1477" s="1"/>
      <c r="D1477" s="1"/>
    </row>
    <row r="1478" spans="1:4">
      <c r="A1478" s="1"/>
      <c r="D1478" s="1"/>
    </row>
    <row r="1479" spans="1:4">
      <c r="A1479" s="1"/>
      <c r="D1479" s="1"/>
    </row>
    <row r="1480" spans="1:4">
      <c r="A1480" s="1"/>
      <c r="D1480" s="1"/>
    </row>
    <row r="1481" spans="1:4">
      <c r="A1481" s="1"/>
      <c r="D1481" s="1"/>
    </row>
    <row r="1482" spans="1:4">
      <c r="A1482" s="1"/>
      <c r="D1482" s="1"/>
    </row>
    <row r="1483" spans="1:4">
      <c r="A1483" s="1"/>
      <c r="D1483" s="1"/>
    </row>
    <row r="1484" spans="1:4">
      <c r="A1484" s="1"/>
      <c r="D1484" s="1"/>
    </row>
    <row r="1485" spans="1:4">
      <c r="A1485" s="1"/>
      <c r="D1485" s="1"/>
    </row>
    <row r="1486" spans="1:4">
      <c r="A1486" s="1"/>
      <c r="D1486" s="1"/>
    </row>
    <row r="1487" spans="1:4">
      <c r="A1487" s="1"/>
      <c r="D1487" s="1"/>
    </row>
    <row r="1488" spans="1:4">
      <c r="A1488" s="1"/>
      <c r="D1488" s="1"/>
    </row>
    <row r="1489" spans="1:4">
      <c r="A1489" s="1"/>
      <c r="D1489" s="1"/>
    </row>
    <row r="1490" spans="1:4">
      <c r="A1490" s="1"/>
      <c r="D1490" s="1"/>
    </row>
    <row r="1491" spans="1:4">
      <c r="A1491" s="1"/>
      <c r="D1491" s="1"/>
    </row>
    <row r="1492" spans="1:4">
      <c r="A1492" s="1"/>
      <c r="D1492" s="1"/>
    </row>
    <row r="1493" spans="1:4">
      <c r="A1493" s="1"/>
      <c r="D1493" s="1"/>
    </row>
    <row r="1494" spans="1:4">
      <c r="A1494" s="1"/>
      <c r="D1494" s="1"/>
    </row>
    <row r="1495" spans="1:4">
      <c r="A1495" s="1"/>
      <c r="D1495" s="1"/>
    </row>
    <row r="1496" spans="1:4">
      <c r="A1496" s="1"/>
      <c r="D1496" s="1"/>
    </row>
    <row r="1497" spans="1:4">
      <c r="A1497" s="1"/>
      <c r="D1497" s="1"/>
    </row>
    <row r="1498" spans="1:4">
      <c r="A1498" s="1"/>
      <c r="D1498" s="1"/>
    </row>
    <row r="1499" spans="1:4">
      <c r="A1499" s="1"/>
      <c r="D1499" s="1"/>
    </row>
    <row r="1500" spans="1:4">
      <c r="A1500" s="1"/>
      <c r="D1500" s="1"/>
    </row>
    <row r="1501" spans="1:4">
      <c r="A1501" s="1"/>
      <c r="D1501" s="1"/>
    </row>
    <row r="1502" spans="1:4">
      <c r="A1502" s="1"/>
      <c r="D1502" s="1"/>
    </row>
    <row r="1503" spans="1:4">
      <c r="A1503" s="1"/>
      <c r="D1503" s="1"/>
    </row>
    <row r="1504" spans="1:4">
      <c r="A1504" s="1"/>
      <c r="D1504" s="1"/>
    </row>
    <row r="1505" spans="1:4">
      <c r="A1505" s="1"/>
      <c r="D1505" s="1"/>
    </row>
    <row r="1506" spans="1:4">
      <c r="A1506" s="1"/>
      <c r="D1506" s="1"/>
    </row>
    <row r="1507" spans="1:4">
      <c r="A1507" s="1"/>
      <c r="D1507" s="1"/>
    </row>
    <row r="1508" spans="1:4">
      <c r="A1508" s="1"/>
      <c r="D1508" s="1"/>
    </row>
    <row r="1509" spans="1:4">
      <c r="A1509" s="1"/>
      <c r="D1509" s="1"/>
    </row>
    <row r="1510" spans="1:4">
      <c r="A1510" s="1"/>
      <c r="D1510" s="1"/>
    </row>
    <row r="1511" spans="1:4">
      <c r="A1511" s="1"/>
      <c r="D1511" s="1"/>
    </row>
    <row r="1512" spans="1:4">
      <c r="A1512" s="1"/>
      <c r="D1512" s="1"/>
    </row>
    <row r="1513" spans="1:4">
      <c r="A1513" s="1"/>
      <c r="D1513" s="1"/>
    </row>
    <row r="1514" spans="1:4">
      <c r="A1514" s="1"/>
      <c r="D1514" s="1"/>
    </row>
    <row r="1515" spans="1:4">
      <c r="A1515" s="1"/>
      <c r="D1515" s="1"/>
    </row>
    <row r="1516" spans="1:4">
      <c r="A1516" s="1"/>
      <c r="D1516" s="1"/>
    </row>
    <row r="1517" spans="1:4">
      <c r="A1517" s="1"/>
      <c r="D1517" s="1"/>
    </row>
    <row r="1518" spans="1:4">
      <c r="A1518" s="1"/>
      <c r="D1518" s="1"/>
    </row>
    <row r="1519" spans="1:4">
      <c r="A1519" s="1"/>
      <c r="D1519" s="1"/>
    </row>
    <row r="1520" spans="1:4">
      <c r="A1520" s="1"/>
      <c r="D1520" s="1"/>
    </row>
    <row r="1521" spans="1:4">
      <c r="A1521" s="1"/>
      <c r="D1521" s="1"/>
    </row>
    <row r="1522" spans="1:4">
      <c r="A1522" s="1"/>
      <c r="D1522" s="1"/>
    </row>
    <row r="1523" spans="1:4">
      <c r="A1523" s="1"/>
      <c r="D1523" s="1"/>
    </row>
    <row r="1524" spans="1:4">
      <c r="A1524" s="1"/>
      <c r="D1524" s="1"/>
    </row>
    <row r="1525" spans="1:4">
      <c r="A1525" s="1"/>
      <c r="D1525" s="1"/>
    </row>
    <row r="1526" spans="1:4">
      <c r="A1526" s="1"/>
      <c r="D1526" s="1"/>
    </row>
    <row r="1527" spans="1:4">
      <c r="A1527" s="1"/>
      <c r="D1527" s="1"/>
    </row>
    <row r="1528" spans="1:4">
      <c r="A1528" s="1"/>
      <c r="D1528" s="1"/>
    </row>
    <row r="1529" spans="1:4">
      <c r="A1529" s="1"/>
      <c r="D1529" s="1"/>
    </row>
    <row r="1530" spans="1:4">
      <c r="A1530" s="1"/>
      <c r="D1530" s="1"/>
    </row>
    <row r="1531" spans="1:4">
      <c r="A1531" s="1"/>
      <c r="D1531" s="1"/>
    </row>
    <row r="1532" spans="1:4">
      <c r="A1532" s="1"/>
      <c r="D1532" s="1"/>
    </row>
    <row r="1533" spans="1:4">
      <c r="A1533" s="1"/>
      <c r="D1533" s="1"/>
    </row>
    <row r="1534" spans="1:4">
      <c r="A1534" s="1"/>
      <c r="D1534" s="1"/>
    </row>
    <row r="1535" spans="1:4">
      <c r="A1535" s="1"/>
      <c r="D1535" s="1"/>
    </row>
    <row r="1536" spans="1:4">
      <c r="A1536" s="1"/>
      <c r="D1536" s="1"/>
    </row>
    <row r="1537" spans="1:4">
      <c r="A1537" s="1"/>
      <c r="D1537" s="1"/>
    </row>
    <row r="1538" spans="1:4">
      <c r="A1538" s="1"/>
      <c r="D1538" s="1"/>
    </row>
    <row r="1539" spans="1:4">
      <c r="A1539" s="1"/>
      <c r="D1539" s="1"/>
    </row>
    <row r="1540" spans="1:4">
      <c r="A1540" s="1"/>
      <c r="D1540" s="1"/>
    </row>
    <row r="1541" spans="1:4">
      <c r="A1541" s="1"/>
      <c r="D1541" s="1"/>
    </row>
    <row r="1542" spans="1:4">
      <c r="A1542" s="1"/>
      <c r="D1542" s="1"/>
    </row>
    <row r="1543" spans="1:4">
      <c r="A1543" s="1"/>
      <c r="D1543" s="1"/>
    </row>
    <row r="1544" spans="1:4">
      <c r="A1544" s="1"/>
      <c r="D1544" s="1"/>
    </row>
    <row r="1545" spans="1:4">
      <c r="A1545" s="1"/>
      <c r="D1545" s="1"/>
    </row>
    <row r="1546" spans="1:4">
      <c r="A1546" s="1"/>
      <c r="D1546" s="1"/>
    </row>
    <row r="1547" spans="1:4">
      <c r="A1547" s="1"/>
      <c r="D1547" s="1"/>
    </row>
    <row r="1548" spans="1:4">
      <c r="A1548" s="1"/>
      <c r="D1548" s="1"/>
    </row>
    <row r="1549" spans="1:4">
      <c r="A1549" s="1"/>
      <c r="D1549" s="1"/>
    </row>
    <row r="1550" spans="1:4">
      <c r="A1550" s="1"/>
      <c r="D1550" s="1"/>
    </row>
    <row r="1551" spans="1:4">
      <c r="A1551" s="1"/>
      <c r="D1551" s="1"/>
    </row>
    <row r="1552" spans="1:4">
      <c r="A1552" s="1"/>
      <c r="D1552" s="1"/>
    </row>
    <row r="1553" spans="1:4">
      <c r="A1553" s="1"/>
      <c r="D1553" s="1"/>
    </row>
    <row r="1554" spans="1:4">
      <c r="A1554" s="1"/>
      <c r="D1554" s="1"/>
    </row>
    <row r="1555" spans="1:4">
      <c r="A1555" s="1"/>
      <c r="D1555" s="1"/>
    </row>
    <row r="1556" spans="1:4">
      <c r="A1556" s="1"/>
      <c r="D1556" s="1"/>
    </row>
    <row r="1557" spans="1:4">
      <c r="A1557" s="1"/>
      <c r="D1557" s="1"/>
    </row>
    <row r="1558" spans="1:4">
      <c r="A1558" s="1"/>
      <c r="D1558" s="1"/>
    </row>
    <row r="1559" spans="1:4">
      <c r="A1559" s="1"/>
      <c r="D1559" s="1"/>
    </row>
    <row r="1560" spans="1:4">
      <c r="A1560" s="1"/>
      <c r="D1560" s="1"/>
    </row>
    <row r="1561" spans="1:4">
      <c r="A1561" s="1"/>
      <c r="D1561" s="1"/>
    </row>
    <row r="1562" spans="1:4">
      <c r="A1562" s="1"/>
      <c r="D1562" s="1"/>
    </row>
    <row r="1563" spans="1:4">
      <c r="A1563" s="1"/>
      <c r="D1563" s="1"/>
    </row>
    <row r="1564" spans="1:4">
      <c r="A1564" s="1"/>
      <c r="D1564" s="1"/>
    </row>
    <row r="1565" spans="1:4">
      <c r="A1565" s="1"/>
      <c r="D1565" s="1"/>
    </row>
    <row r="1566" spans="1:4">
      <c r="A1566" s="1"/>
      <c r="D1566" s="1"/>
    </row>
    <row r="1567" spans="1:4">
      <c r="A1567" s="1"/>
      <c r="D1567" s="1"/>
    </row>
    <row r="1568" spans="1:4">
      <c r="A1568" s="1"/>
      <c r="D1568" s="1"/>
    </row>
    <row r="1569" spans="1:4">
      <c r="A1569" s="1"/>
      <c r="D1569" s="1"/>
    </row>
    <row r="1570" spans="1:4">
      <c r="A1570" s="1"/>
      <c r="D1570" s="1"/>
    </row>
    <row r="1571" spans="1:4">
      <c r="A1571" s="1"/>
      <c r="D1571" s="1"/>
    </row>
    <row r="1572" spans="1:4">
      <c r="A1572" s="1"/>
      <c r="D1572" s="1"/>
    </row>
    <row r="1573" spans="1:4">
      <c r="A1573" s="1"/>
      <c r="D1573" s="1"/>
    </row>
    <row r="1574" spans="1:4">
      <c r="A1574" s="1"/>
      <c r="D1574" s="1"/>
    </row>
    <row r="1575" spans="1:4">
      <c r="A1575" s="1"/>
      <c r="D1575" s="1"/>
    </row>
    <row r="1576" spans="1:4">
      <c r="A1576" s="1"/>
      <c r="D1576" s="1"/>
    </row>
    <row r="1577" spans="1:4">
      <c r="A1577" s="1"/>
      <c r="D1577" s="1"/>
    </row>
    <row r="1578" spans="1:4">
      <c r="A1578" s="1"/>
      <c r="D1578" s="1"/>
    </row>
    <row r="1579" spans="1:4">
      <c r="A1579" s="1"/>
      <c r="D1579" s="1"/>
    </row>
    <row r="1580" spans="1:4">
      <c r="A1580" s="1"/>
      <c r="D1580" s="1"/>
    </row>
    <row r="1581" spans="1:4">
      <c r="A1581" s="1"/>
      <c r="D1581" s="1"/>
    </row>
    <row r="1582" spans="1:4">
      <c r="A1582" s="1"/>
      <c r="D1582" s="1"/>
    </row>
    <row r="1583" spans="1:4">
      <c r="A1583" s="1"/>
      <c r="D1583" s="1"/>
    </row>
    <row r="1584" spans="1:4">
      <c r="A1584" s="1"/>
      <c r="D1584" s="1"/>
    </row>
    <row r="1585" spans="1:4">
      <c r="A1585" s="1"/>
      <c r="D1585" s="1"/>
    </row>
    <row r="1586" spans="1:4">
      <c r="A1586" s="1"/>
      <c r="D1586" s="1"/>
    </row>
    <row r="1587" spans="1:4">
      <c r="A1587" s="1"/>
      <c r="D1587" s="1"/>
    </row>
    <row r="1588" spans="1:4">
      <c r="A1588" s="1"/>
      <c r="D1588" s="1"/>
    </row>
    <row r="1589" spans="1:4">
      <c r="A1589" s="1"/>
      <c r="D1589" s="1"/>
    </row>
    <row r="1590" spans="1:4">
      <c r="A1590" s="1"/>
      <c r="D1590" s="1"/>
    </row>
    <row r="1591" spans="1:4">
      <c r="A1591" s="1"/>
      <c r="D1591" s="1"/>
    </row>
    <row r="1592" spans="1:4">
      <c r="A1592" s="1"/>
      <c r="D1592" s="1"/>
    </row>
    <row r="1593" spans="1:4">
      <c r="A1593" s="1"/>
      <c r="D1593" s="1"/>
    </row>
    <row r="1594" spans="1:4">
      <c r="A1594" s="1"/>
      <c r="D1594" s="1"/>
    </row>
    <row r="1595" spans="1:4">
      <c r="A1595" s="1"/>
      <c r="D1595" s="1"/>
    </row>
    <row r="1596" spans="1:4">
      <c r="A1596" s="1"/>
      <c r="D1596" s="1"/>
    </row>
    <row r="1597" spans="1:4">
      <c r="A1597" s="1"/>
      <c r="D1597" s="1"/>
    </row>
    <row r="1598" spans="1:4">
      <c r="A1598" s="1"/>
      <c r="D1598" s="1"/>
    </row>
    <row r="1599" spans="1:4">
      <c r="A1599" s="1"/>
      <c r="D1599" s="1"/>
    </row>
    <row r="1600" spans="1:4">
      <c r="A1600" s="1"/>
      <c r="D1600" s="1"/>
    </row>
    <row r="1601" spans="1:4">
      <c r="A1601" s="1"/>
      <c r="D1601" s="1"/>
    </row>
    <row r="1602" spans="1:4">
      <c r="A1602" s="1"/>
      <c r="D1602" s="1"/>
    </row>
    <row r="1603" spans="1:4">
      <c r="A1603" s="1"/>
      <c r="D1603" s="1"/>
    </row>
    <row r="1604" spans="1:4">
      <c r="A1604" s="1"/>
      <c r="D1604" s="1"/>
    </row>
    <row r="1605" spans="1:4">
      <c r="A1605" s="1"/>
      <c r="D1605" s="1"/>
    </row>
    <row r="1606" spans="1:4">
      <c r="A1606" s="1"/>
      <c r="D1606" s="1"/>
    </row>
    <row r="1607" spans="1:4">
      <c r="A1607" s="1"/>
      <c r="D1607" s="1"/>
    </row>
    <row r="1608" spans="1:4">
      <c r="A1608" s="1"/>
      <c r="D1608" s="1"/>
    </row>
    <row r="1609" spans="1:4">
      <c r="A1609" s="1"/>
      <c r="D1609" s="1"/>
    </row>
    <row r="1610" spans="1:4">
      <c r="A1610" s="1"/>
      <c r="D1610" s="1"/>
    </row>
    <row r="1611" spans="1:4">
      <c r="A1611" s="1"/>
      <c r="D1611" s="1"/>
    </row>
    <row r="1612" spans="1:4">
      <c r="A1612" s="1"/>
      <c r="D1612" s="1"/>
    </row>
    <row r="1613" spans="1:4">
      <c r="A1613" s="1"/>
      <c r="D1613" s="1"/>
    </row>
    <row r="1614" spans="1:4">
      <c r="A1614" s="1"/>
      <c r="D1614" s="1"/>
    </row>
    <row r="1615" spans="1:4">
      <c r="A1615" s="1"/>
      <c r="D1615" s="1"/>
    </row>
    <row r="1616" spans="1:4">
      <c r="A1616" s="1"/>
      <c r="D1616" s="1"/>
    </row>
    <row r="1617" spans="1:4">
      <c r="A1617" s="1"/>
      <c r="D1617" s="1"/>
    </row>
    <row r="1618" spans="1:4">
      <c r="A1618" s="1"/>
      <c r="D1618" s="1"/>
    </row>
    <row r="1619" spans="1:4">
      <c r="A1619" s="1"/>
      <c r="D1619" s="1"/>
    </row>
    <row r="1620" spans="1:4">
      <c r="A1620" s="1"/>
      <c r="D1620" s="1"/>
    </row>
    <row r="1621" spans="1:4">
      <c r="A1621" s="1"/>
      <c r="D1621" s="1"/>
    </row>
    <row r="1622" spans="1:4">
      <c r="A1622" s="1"/>
      <c r="D1622" s="1"/>
    </row>
    <row r="1623" spans="1:4">
      <c r="A1623" s="1"/>
      <c r="D1623" s="1"/>
    </row>
    <row r="1624" spans="1:4">
      <c r="A1624" s="1"/>
      <c r="D1624" s="1"/>
    </row>
    <row r="1625" spans="1:4">
      <c r="A1625" s="1"/>
      <c r="D1625" s="1"/>
    </row>
    <row r="1626" spans="1:4">
      <c r="A1626" s="1"/>
      <c r="D1626" s="1"/>
    </row>
    <row r="1627" spans="1:4">
      <c r="A1627" s="1"/>
      <c r="D1627" s="1"/>
    </row>
    <row r="1628" spans="1:4">
      <c r="A1628" s="1"/>
      <c r="D1628" s="1"/>
    </row>
    <row r="1629" spans="1:4">
      <c r="A1629" s="1"/>
      <c r="D1629" s="1"/>
    </row>
    <row r="1630" spans="1:4">
      <c r="A1630" s="1"/>
      <c r="D1630" s="1"/>
    </row>
    <row r="1631" spans="1:4">
      <c r="A1631" s="1"/>
      <c r="D1631" s="1"/>
    </row>
    <row r="1632" spans="1:4">
      <c r="A1632" s="1"/>
      <c r="D1632" s="1"/>
    </row>
    <row r="1633" spans="1:4">
      <c r="A1633" s="1"/>
      <c r="D1633" s="1"/>
    </row>
    <row r="1634" spans="1:4">
      <c r="A1634" s="1"/>
      <c r="D1634" s="1"/>
    </row>
    <row r="1635" spans="1:4">
      <c r="A1635" s="1"/>
      <c r="D1635" s="1"/>
    </row>
    <row r="1636" spans="1:4">
      <c r="A1636" s="1"/>
      <c r="D1636" s="1"/>
    </row>
    <row r="1637" spans="1:4">
      <c r="A1637" s="1"/>
      <c r="D1637" s="1"/>
    </row>
    <row r="1638" spans="1:4">
      <c r="A1638" s="1"/>
      <c r="D1638" s="1"/>
    </row>
    <row r="1639" spans="1:4">
      <c r="A1639" s="1"/>
      <c r="D1639" s="1"/>
    </row>
    <row r="1640" spans="1:4">
      <c r="A1640" s="1"/>
      <c r="D1640" s="1"/>
    </row>
    <row r="1641" spans="1:4">
      <c r="A1641" s="1"/>
      <c r="D1641" s="1"/>
    </row>
    <row r="1642" spans="1:4">
      <c r="A1642" s="1"/>
      <c r="D1642" s="1"/>
    </row>
    <row r="1643" spans="1:4">
      <c r="A1643" s="1"/>
      <c r="D1643" s="1"/>
    </row>
    <row r="1644" spans="1:4">
      <c r="A1644" s="1"/>
      <c r="D1644" s="1"/>
    </row>
    <row r="1645" spans="1:4">
      <c r="A1645" s="1"/>
      <c r="D1645" s="1"/>
    </row>
    <row r="1646" spans="1:4">
      <c r="A1646" s="1"/>
      <c r="D1646" s="1"/>
    </row>
    <row r="1647" spans="1:4">
      <c r="A1647" s="1"/>
      <c r="D1647" s="1"/>
    </row>
    <row r="1648" spans="1:4">
      <c r="A1648" s="1"/>
      <c r="D1648" s="1"/>
    </row>
    <row r="1649" spans="1:4">
      <c r="A1649" s="1"/>
      <c r="D1649" s="1"/>
    </row>
    <row r="1650" spans="1:4">
      <c r="A1650" s="1"/>
      <c r="D1650" s="1"/>
    </row>
    <row r="1651" spans="1:4">
      <c r="A1651" s="1"/>
      <c r="D1651" s="1"/>
    </row>
    <row r="1652" spans="1:4">
      <c r="A1652" s="1"/>
      <c r="D1652" s="1"/>
    </row>
    <row r="1653" spans="1:4">
      <c r="A1653" s="1"/>
      <c r="D1653" s="1"/>
    </row>
    <row r="1654" spans="1:4">
      <c r="A1654" s="1"/>
      <c r="D1654" s="1"/>
    </row>
    <row r="1655" spans="1:4">
      <c r="A1655" s="1"/>
      <c r="D1655" s="1"/>
    </row>
    <row r="1656" spans="1:4">
      <c r="A1656" s="1"/>
      <c r="D1656" s="1"/>
    </row>
    <row r="1657" spans="1:4">
      <c r="A1657" s="1"/>
      <c r="D1657" s="1"/>
    </row>
    <row r="1658" spans="1:4">
      <c r="A1658" s="1"/>
      <c r="D1658" s="1"/>
    </row>
    <row r="1659" spans="1:4">
      <c r="A1659" s="1"/>
      <c r="D1659" s="1"/>
    </row>
    <row r="1660" spans="1:4">
      <c r="A1660" s="1"/>
      <c r="D1660" s="1"/>
    </row>
    <row r="1661" spans="1:4">
      <c r="A1661" s="1"/>
      <c r="D1661" s="1"/>
    </row>
    <row r="1662" spans="1:4">
      <c r="A1662" s="1"/>
      <c r="D1662" s="1"/>
    </row>
    <row r="1663" spans="1:4">
      <c r="A1663" s="1"/>
      <c r="D1663" s="1"/>
    </row>
    <row r="1664" spans="1:4">
      <c r="A1664" s="1"/>
      <c r="D1664" s="1"/>
    </row>
    <row r="1665" spans="1:4">
      <c r="A1665" s="1"/>
      <c r="D1665" s="1"/>
    </row>
    <row r="1666" spans="1:4">
      <c r="A1666" s="1"/>
      <c r="D1666" s="1"/>
    </row>
    <row r="1667" spans="1:4">
      <c r="A1667" s="1"/>
      <c r="D1667" s="1"/>
    </row>
    <row r="1668" spans="1:4">
      <c r="A1668" s="1"/>
      <c r="D1668" s="1"/>
    </row>
    <row r="1669" spans="1:4">
      <c r="A1669" s="1"/>
      <c r="D1669" s="1"/>
    </row>
    <row r="1670" spans="1:4">
      <c r="A1670" s="1"/>
      <c r="D1670" s="1"/>
    </row>
    <row r="1671" spans="1:4">
      <c r="A1671" s="1"/>
      <c r="D1671" s="1"/>
    </row>
    <row r="1672" spans="1:4">
      <c r="A1672" s="1"/>
      <c r="D1672" s="1"/>
    </row>
    <row r="1673" spans="1:4">
      <c r="A1673" s="1"/>
      <c r="D1673" s="1"/>
    </row>
    <row r="1674" spans="1:4">
      <c r="A1674" s="1"/>
      <c r="D1674" s="1"/>
    </row>
    <row r="1675" spans="1:4">
      <c r="A1675" s="1"/>
      <c r="D1675" s="1"/>
    </row>
    <row r="1676" spans="1:4">
      <c r="A1676" s="1"/>
      <c r="D1676" s="1"/>
    </row>
    <row r="1677" spans="1:4">
      <c r="A1677" s="1"/>
      <c r="D1677" s="1"/>
    </row>
    <row r="1678" spans="1:4">
      <c r="A1678" s="1"/>
      <c r="D1678" s="1"/>
    </row>
    <row r="1679" spans="1:4">
      <c r="A1679" s="1"/>
      <c r="D1679" s="1"/>
    </row>
    <row r="1680" spans="1:4">
      <c r="A1680" s="1"/>
      <c r="D1680" s="1"/>
    </row>
    <row r="1681" spans="1:4">
      <c r="A1681" s="1"/>
      <c r="D1681" s="1"/>
    </row>
    <row r="1682" spans="1:4">
      <c r="A1682" s="1"/>
      <c r="D1682" s="1"/>
    </row>
    <row r="1683" spans="1:4">
      <c r="A1683" s="1"/>
      <c r="D1683" s="1"/>
    </row>
    <row r="1684" spans="1:4">
      <c r="A1684" s="1"/>
      <c r="D1684" s="1"/>
    </row>
    <row r="1685" spans="1:4">
      <c r="A1685" s="1"/>
      <c r="D1685" s="1"/>
    </row>
    <row r="1686" spans="1:4">
      <c r="A1686" s="1"/>
      <c r="D1686" s="1"/>
    </row>
    <row r="1687" spans="1:4">
      <c r="A1687" s="1"/>
      <c r="D1687" s="1"/>
    </row>
    <row r="1688" spans="1:4">
      <c r="A1688" s="1"/>
      <c r="D1688" s="1"/>
    </row>
    <row r="1689" spans="1:4">
      <c r="A1689" s="1"/>
      <c r="D1689" s="1"/>
    </row>
    <row r="1690" spans="1:4">
      <c r="A1690" s="1"/>
      <c r="D1690" s="1"/>
    </row>
    <row r="1691" spans="1:4">
      <c r="A1691" s="1"/>
      <c r="D1691" s="1"/>
    </row>
    <row r="1692" spans="1:4">
      <c r="A1692" s="1"/>
      <c r="D1692" s="1"/>
    </row>
    <row r="1693" spans="1:4">
      <c r="A1693" s="1"/>
      <c r="D1693" s="1"/>
    </row>
    <row r="1694" spans="1:4">
      <c r="A1694" s="1"/>
      <c r="D1694" s="1"/>
    </row>
    <row r="1695" spans="1:4">
      <c r="A1695" s="1"/>
      <c r="D1695" s="1"/>
    </row>
    <row r="1696" spans="1:4">
      <c r="A1696" s="1"/>
      <c r="D1696" s="1"/>
    </row>
    <row r="1697" spans="1:4">
      <c r="A1697" s="1"/>
      <c r="D1697" s="1"/>
    </row>
    <row r="1698" spans="1:4">
      <c r="A1698" s="1"/>
      <c r="D1698" s="1"/>
    </row>
    <row r="1699" spans="1:4">
      <c r="A1699" s="1"/>
      <c r="D1699" s="1"/>
    </row>
    <row r="1700" spans="1:4">
      <c r="A1700" s="1"/>
      <c r="D1700" s="1"/>
    </row>
    <row r="1701" spans="1:4">
      <c r="A1701" s="1"/>
      <c r="D1701" s="1"/>
    </row>
    <row r="1702" spans="1:4">
      <c r="A1702" s="1"/>
      <c r="D1702" s="1"/>
    </row>
    <row r="1703" spans="1:4">
      <c r="A1703" s="1"/>
      <c r="D1703" s="1"/>
    </row>
    <row r="1704" spans="1:4">
      <c r="A1704" s="1"/>
      <c r="D1704" s="1"/>
    </row>
    <row r="1705" spans="1:4">
      <c r="A1705" s="1"/>
      <c r="D1705" s="1"/>
    </row>
    <row r="1706" spans="1:4">
      <c r="A1706" s="1"/>
      <c r="D1706" s="1"/>
    </row>
    <row r="1707" spans="1:4">
      <c r="A1707" s="1"/>
      <c r="D1707" s="1"/>
    </row>
    <row r="1708" spans="1:4">
      <c r="A1708" s="1"/>
      <c r="D1708" s="1"/>
    </row>
    <row r="1709" spans="1:4">
      <c r="A1709" s="1"/>
      <c r="D1709" s="1"/>
    </row>
    <row r="1710" spans="1:4">
      <c r="A1710" s="1"/>
      <c r="D1710" s="1"/>
    </row>
    <row r="1711" spans="1:4">
      <c r="A1711" s="1"/>
      <c r="D1711" s="1"/>
    </row>
    <row r="1712" spans="1:4">
      <c r="A1712" s="1"/>
      <c r="D1712" s="1"/>
    </row>
    <row r="1713" spans="1:4">
      <c r="A1713" s="1"/>
      <c r="D1713" s="1"/>
    </row>
    <row r="1714" spans="1:4">
      <c r="A1714" s="1"/>
      <c r="D1714" s="1"/>
    </row>
    <row r="1715" spans="1:4">
      <c r="A1715" s="1"/>
      <c r="D1715" s="1"/>
    </row>
    <row r="1716" spans="1:4">
      <c r="A1716" s="1"/>
      <c r="D1716" s="1"/>
    </row>
    <row r="1717" spans="1:4">
      <c r="A1717" s="1"/>
      <c r="D1717" s="1"/>
    </row>
    <row r="1718" spans="1:4">
      <c r="A1718" s="1"/>
      <c r="D1718" s="1"/>
    </row>
    <row r="1719" spans="1:4">
      <c r="A1719" s="1"/>
      <c r="D1719" s="1"/>
    </row>
    <row r="1720" spans="1:4">
      <c r="A1720" s="1"/>
      <c r="D1720" s="1"/>
    </row>
    <row r="1721" spans="1:4">
      <c r="A1721" s="1"/>
      <c r="D1721" s="1"/>
    </row>
    <row r="1722" spans="1:4">
      <c r="A1722" s="1"/>
      <c r="D1722" s="1"/>
    </row>
    <row r="1723" spans="1:4">
      <c r="A1723" s="1"/>
      <c r="D1723" s="1"/>
    </row>
    <row r="1724" spans="1:4">
      <c r="A1724" s="1"/>
      <c r="D1724" s="1"/>
    </row>
    <row r="1725" spans="1:4">
      <c r="A1725" s="1"/>
      <c r="D1725" s="1"/>
    </row>
    <row r="1726" spans="1:4">
      <c r="A1726" s="1"/>
      <c r="D1726" s="1"/>
    </row>
    <row r="1727" spans="1:4">
      <c r="A1727" s="1"/>
      <c r="D1727" s="1"/>
    </row>
    <row r="1728" spans="1:4">
      <c r="A1728" s="1"/>
      <c r="D1728" s="1"/>
    </row>
    <row r="1729" spans="1:4">
      <c r="A1729" s="1"/>
      <c r="D1729" s="1"/>
    </row>
    <row r="1730" spans="1:4">
      <c r="A1730" s="1"/>
      <c r="D1730" s="1"/>
    </row>
    <row r="1731" spans="1:4">
      <c r="A1731" s="1"/>
      <c r="D1731" s="1"/>
    </row>
    <row r="1732" spans="1:4">
      <c r="A1732" s="1"/>
      <c r="D1732" s="1"/>
    </row>
    <row r="1733" spans="1:4">
      <c r="A1733" s="1"/>
      <c r="D1733" s="1"/>
    </row>
    <row r="1734" spans="1:4">
      <c r="A1734" s="1"/>
      <c r="D1734" s="1"/>
    </row>
    <row r="1735" spans="1:4">
      <c r="A1735" s="1"/>
      <c r="D1735" s="1"/>
    </row>
    <row r="1736" spans="1:4">
      <c r="A1736" s="1"/>
      <c r="D1736" s="1"/>
    </row>
    <row r="1737" spans="1:4">
      <c r="A1737" s="1"/>
      <c r="D1737" s="1"/>
    </row>
    <row r="1738" spans="1:4">
      <c r="A1738" s="1"/>
      <c r="D1738" s="1"/>
    </row>
    <row r="1739" spans="1:4">
      <c r="A1739" s="1"/>
      <c r="D1739" s="1"/>
    </row>
    <row r="1740" spans="1:4">
      <c r="A1740" s="1"/>
      <c r="D1740" s="1"/>
    </row>
    <row r="1741" spans="1:4">
      <c r="A1741" s="1"/>
      <c r="D1741" s="1"/>
    </row>
    <row r="1742" spans="1:4">
      <c r="A1742" s="1"/>
      <c r="D1742" s="1"/>
    </row>
    <row r="1743" spans="1:4">
      <c r="A1743" s="1"/>
      <c r="D1743" s="1"/>
    </row>
    <row r="1744" spans="1:4">
      <c r="A1744" s="1"/>
      <c r="D1744" s="1"/>
    </row>
    <row r="1745" spans="1:4">
      <c r="A1745" s="1"/>
      <c r="D1745" s="1"/>
    </row>
    <row r="1746" spans="1:4">
      <c r="A1746" s="1"/>
      <c r="D1746" s="1"/>
    </row>
    <row r="1747" spans="1:4">
      <c r="A1747" s="1"/>
      <c r="D1747" s="1"/>
    </row>
    <row r="1748" spans="1:4">
      <c r="A1748" s="1"/>
      <c r="D1748" s="1"/>
    </row>
    <row r="1749" spans="1:4">
      <c r="A1749" s="1"/>
      <c r="D1749" s="1"/>
    </row>
    <row r="1750" spans="1:4">
      <c r="A1750" s="1"/>
      <c r="D1750" s="1"/>
    </row>
    <row r="1751" spans="1:4">
      <c r="A1751" s="1"/>
      <c r="D1751" s="1"/>
    </row>
    <row r="1752" spans="1:4">
      <c r="A1752" s="1"/>
      <c r="D1752" s="1"/>
    </row>
    <row r="1753" spans="1:4">
      <c r="A1753" s="1"/>
      <c r="D1753" s="1"/>
    </row>
    <row r="1754" spans="1:4">
      <c r="A1754" s="1"/>
      <c r="D1754" s="1"/>
    </row>
    <row r="1755" spans="1:4">
      <c r="A1755" s="1"/>
      <c r="D1755" s="1"/>
    </row>
    <row r="1756" spans="1:4">
      <c r="A1756" s="1"/>
      <c r="D1756" s="1"/>
    </row>
    <row r="1757" spans="1:4">
      <c r="A1757" s="1"/>
      <c r="D1757" s="1"/>
    </row>
    <row r="1758" spans="1:4">
      <c r="A1758" s="1"/>
      <c r="D1758" s="1"/>
    </row>
    <row r="1759" spans="1:4">
      <c r="A1759" s="1"/>
      <c r="D1759" s="1"/>
    </row>
    <row r="1760" spans="1:4">
      <c r="A1760" s="1"/>
      <c r="D1760" s="1"/>
    </row>
    <row r="1761" spans="1:4">
      <c r="A1761" s="1"/>
      <c r="D1761" s="1"/>
    </row>
    <row r="1762" spans="1:4">
      <c r="A1762" s="1"/>
      <c r="D1762" s="1"/>
    </row>
    <row r="1763" spans="1:4">
      <c r="A1763" s="1"/>
      <c r="D1763" s="1"/>
    </row>
    <row r="1764" spans="1:4">
      <c r="A1764" s="1"/>
      <c r="D1764" s="1"/>
    </row>
    <row r="1765" spans="1:4">
      <c r="A1765" s="1"/>
      <c r="D1765" s="1"/>
    </row>
    <row r="1766" spans="1:4">
      <c r="A1766" s="1"/>
      <c r="D1766" s="1"/>
    </row>
    <row r="1767" spans="1:4">
      <c r="A1767" s="1"/>
      <c r="D1767" s="1"/>
    </row>
    <row r="1768" spans="1:4">
      <c r="A1768" s="1"/>
      <c r="D1768" s="1"/>
    </row>
    <row r="1769" spans="1:4">
      <c r="A1769" s="1"/>
      <c r="D1769" s="1"/>
    </row>
    <row r="1770" spans="1:4">
      <c r="A1770" s="1"/>
      <c r="D1770" s="1"/>
    </row>
    <row r="1771" spans="1:4">
      <c r="A1771" s="1"/>
      <c r="D1771" s="1"/>
    </row>
    <row r="1772" spans="1:4">
      <c r="A1772" s="1"/>
      <c r="D1772" s="1"/>
    </row>
    <row r="1773" spans="1:4">
      <c r="A1773" s="1"/>
      <c r="D1773" s="1"/>
    </row>
    <row r="1774" spans="1:4">
      <c r="A1774" s="1"/>
      <c r="D1774" s="1"/>
    </row>
    <row r="1775" spans="1:4">
      <c r="A1775" s="1"/>
      <c r="D1775" s="1"/>
    </row>
    <row r="1776" spans="1:4">
      <c r="A1776" s="1"/>
      <c r="D1776" s="1"/>
    </row>
    <row r="1777" spans="1:4">
      <c r="A1777" s="1"/>
      <c r="D1777" s="1"/>
    </row>
    <row r="1778" spans="1:4">
      <c r="A1778" s="1"/>
      <c r="D1778" s="1"/>
    </row>
    <row r="1779" spans="1:4">
      <c r="A1779" s="1"/>
      <c r="D1779" s="1"/>
    </row>
    <row r="1780" spans="1:4">
      <c r="A1780" s="1"/>
      <c r="D1780" s="1"/>
    </row>
    <row r="1781" spans="1:4">
      <c r="A1781" s="1"/>
      <c r="D1781" s="1"/>
    </row>
    <row r="1782" spans="1:4">
      <c r="A1782" s="1"/>
      <c r="D1782" s="1"/>
    </row>
    <row r="1783" spans="1:4">
      <c r="A1783" s="1"/>
      <c r="D1783" s="1"/>
    </row>
    <row r="1784" spans="1:4">
      <c r="A1784" s="1"/>
      <c r="D1784" s="1"/>
    </row>
    <row r="1785" spans="1:4">
      <c r="A1785" s="1"/>
      <c r="D1785" s="1"/>
    </row>
    <row r="1786" spans="1:4">
      <c r="A1786" s="1"/>
      <c r="D1786" s="1"/>
    </row>
    <row r="1787" spans="1:4">
      <c r="A1787" s="1"/>
      <c r="D1787" s="1"/>
    </row>
    <row r="1788" spans="1:4">
      <c r="A1788" s="1"/>
      <c r="D1788" s="1"/>
    </row>
    <row r="1789" spans="1:4">
      <c r="A1789" s="1"/>
      <c r="D1789" s="1"/>
    </row>
    <row r="1790" spans="1:4">
      <c r="A1790" s="1"/>
      <c r="D1790" s="1"/>
    </row>
    <row r="1791" spans="1:4">
      <c r="A1791" s="1"/>
      <c r="D1791" s="1"/>
    </row>
    <row r="1792" spans="1:4">
      <c r="A1792" s="1"/>
      <c r="D1792" s="1"/>
    </row>
    <row r="1793" spans="1:4">
      <c r="A1793" s="1"/>
      <c r="D1793" s="1"/>
    </row>
    <row r="1794" spans="1:4">
      <c r="A1794" s="1"/>
      <c r="D1794" s="1"/>
    </row>
    <row r="1795" spans="1:4">
      <c r="A1795" s="1"/>
      <c r="D1795" s="1"/>
    </row>
    <row r="1796" spans="1:4">
      <c r="A1796" s="1"/>
      <c r="D1796" s="1"/>
    </row>
    <row r="1797" spans="1:4">
      <c r="A1797" s="1"/>
      <c r="D1797" s="1"/>
    </row>
    <row r="1798" spans="1:4">
      <c r="A1798" s="1"/>
      <c r="D1798" s="1"/>
    </row>
    <row r="1799" spans="1:4">
      <c r="A1799" s="1"/>
      <c r="D1799" s="1"/>
    </row>
    <row r="1800" spans="1:4">
      <c r="A1800" s="1"/>
      <c r="D1800" s="1"/>
    </row>
    <row r="1801" spans="1:4">
      <c r="A1801" s="1"/>
      <c r="D1801" s="1"/>
    </row>
    <row r="1802" spans="1:4">
      <c r="A1802" s="1"/>
      <c r="D1802" s="1"/>
    </row>
    <row r="1803" spans="1:4">
      <c r="A1803" s="1"/>
      <c r="D1803" s="1"/>
    </row>
    <row r="1804" spans="1:4">
      <c r="A1804" s="1"/>
      <c r="D1804" s="1"/>
    </row>
    <row r="1805" spans="1:4">
      <c r="A1805" s="1"/>
      <c r="D1805" s="1"/>
    </row>
    <row r="1806" spans="1:4">
      <c r="A1806" s="1"/>
      <c r="D1806" s="1"/>
    </row>
    <row r="1807" spans="1:4">
      <c r="A1807" s="1"/>
      <c r="D1807" s="1"/>
    </row>
    <row r="1808" spans="1:4">
      <c r="A1808" s="1"/>
      <c r="D1808" s="1"/>
    </row>
    <row r="1809" spans="1:4">
      <c r="A1809" s="1"/>
      <c r="D1809" s="1"/>
    </row>
    <row r="1810" spans="1:4">
      <c r="A1810" s="1"/>
      <c r="D1810" s="1"/>
    </row>
    <row r="1811" spans="1:4">
      <c r="A1811" s="1"/>
      <c r="D1811" s="1"/>
    </row>
    <row r="1812" spans="1:4">
      <c r="A1812" s="1"/>
      <c r="D1812" s="1"/>
    </row>
    <row r="1813" spans="1:4">
      <c r="A1813" s="1"/>
      <c r="D1813" s="1"/>
    </row>
    <row r="1814" spans="1:4">
      <c r="A1814" s="1"/>
      <c r="D1814" s="1"/>
    </row>
    <row r="1815" spans="1:4">
      <c r="A1815" s="1"/>
      <c r="D1815" s="1"/>
    </row>
    <row r="1816" spans="1:4">
      <c r="A1816" s="1"/>
      <c r="D1816" s="1"/>
    </row>
    <row r="1817" spans="1:4">
      <c r="A1817" s="1"/>
      <c r="D1817" s="1"/>
    </row>
    <row r="1818" spans="1:4">
      <c r="A1818" s="1"/>
      <c r="D1818" s="1"/>
    </row>
    <row r="1819" spans="1:4">
      <c r="A1819" s="1"/>
      <c r="D1819" s="1"/>
    </row>
    <row r="1820" spans="1:4">
      <c r="A1820" s="1"/>
      <c r="D1820" s="1"/>
    </row>
    <row r="1821" spans="1:4">
      <c r="A1821" s="1"/>
      <c r="D1821" s="1"/>
    </row>
    <row r="1822" spans="1:4">
      <c r="A1822" s="1"/>
      <c r="D1822" s="1"/>
    </row>
    <row r="1823" spans="1:4">
      <c r="A1823" s="1"/>
      <c r="D1823" s="1"/>
    </row>
    <row r="1824" spans="1:4">
      <c r="A1824" s="1"/>
      <c r="D1824" s="1"/>
    </row>
    <row r="1825" spans="1:4">
      <c r="A1825" s="1"/>
      <c r="D1825" s="1"/>
    </row>
    <row r="1826" spans="1:4">
      <c r="A1826" s="1"/>
      <c r="D1826" s="1"/>
    </row>
    <row r="1827" spans="1:4">
      <c r="A1827" s="1"/>
      <c r="D1827" s="1"/>
    </row>
    <row r="1828" spans="1:4">
      <c r="A1828" s="1"/>
      <c r="D1828" s="1"/>
    </row>
    <row r="1829" spans="1:4">
      <c r="A1829" s="1"/>
      <c r="D1829" s="1"/>
    </row>
    <row r="1830" spans="1:4">
      <c r="A1830" s="1"/>
      <c r="D1830" s="1"/>
    </row>
    <row r="1831" spans="1:4">
      <c r="A1831" s="1"/>
      <c r="D1831" s="1"/>
    </row>
    <row r="1832" spans="1:4">
      <c r="A1832" s="1"/>
      <c r="D1832" s="1"/>
    </row>
    <row r="1833" spans="1:4">
      <c r="A1833" s="1"/>
      <c r="D1833" s="1"/>
    </row>
    <row r="1834" spans="1:4">
      <c r="A1834" s="1"/>
      <c r="D1834" s="1"/>
    </row>
    <row r="1835" spans="1:4">
      <c r="A1835" s="1"/>
      <c r="D1835" s="1"/>
    </row>
    <row r="1836" spans="1:4">
      <c r="A1836" s="1"/>
      <c r="D1836" s="1"/>
    </row>
    <row r="1837" spans="1:4">
      <c r="A1837" s="1"/>
      <c r="D1837" s="1"/>
    </row>
    <row r="1838" spans="1:4">
      <c r="A1838" s="1"/>
      <c r="D1838" s="1"/>
    </row>
    <row r="1839" spans="1:4">
      <c r="A1839" s="1"/>
      <c r="D1839" s="1"/>
    </row>
    <row r="1840" spans="1:4">
      <c r="A1840" s="1"/>
      <c r="D1840" s="1"/>
    </row>
    <row r="1841" spans="1:4">
      <c r="A1841" s="1"/>
      <c r="D1841" s="1"/>
    </row>
    <row r="1842" spans="1:4">
      <c r="A1842" s="1"/>
      <c r="D1842" s="1"/>
    </row>
    <row r="1843" spans="1:4">
      <c r="A1843" s="1"/>
      <c r="D1843" s="1"/>
    </row>
    <row r="1844" spans="1:4">
      <c r="A1844" s="1"/>
      <c r="D1844" s="1"/>
    </row>
    <row r="1845" spans="1:4">
      <c r="A1845" s="1"/>
      <c r="D1845" s="1"/>
    </row>
    <row r="1846" spans="1:4">
      <c r="A1846" s="1"/>
      <c r="D1846" s="1"/>
    </row>
    <row r="1847" spans="1:4">
      <c r="A1847" s="1"/>
      <c r="D1847" s="1"/>
    </row>
    <row r="1848" spans="1:4">
      <c r="A1848" s="1"/>
      <c r="D1848" s="1"/>
    </row>
    <row r="1849" spans="1:4">
      <c r="A1849" s="1"/>
      <c r="D1849" s="1"/>
    </row>
    <row r="1850" spans="1:4">
      <c r="A1850" s="1"/>
      <c r="D1850" s="1"/>
    </row>
    <row r="1851" spans="1:4">
      <c r="A1851" s="1"/>
      <c r="D1851" s="1"/>
    </row>
    <row r="1852" spans="1:4">
      <c r="A1852" s="1"/>
      <c r="D1852" s="1"/>
    </row>
    <row r="1853" spans="1:4">
      <c r="A1853" s="1"/>
      <c r="D1853" s="1"/>
    </row>
    <row r="1854" spans="1:4">
      <c r="A1854" s="1"/>
      <c r="D1854" s="1"/>
    </row>
    <row r="1855" spans="1:4">
      <c r="A1855" s="1"/>
      <c r="D1855" s="1"/>
    </row>
    <row r="1856" spans="1:4">
      <c r="A1856" s="1"/>
      <c r="D1856" s="1"/>
    </row>
    <row r="1857" spans="1:4">
      <c r="A1857" s="1"/>
      <c r="D1857" s="1"/>
    </row>
    <row r="1858" spans="1:4">
      <c r="A1858" s="1"/>
      <c r="D1858" s="1"/>
    </row>
    <row r="1859" spans="1:4">
      <c r="A1859" s="1"/>
      <c r="D1859" s="1"/>
    </row>
    <row r="1860" spans="1:4">
      <c r="A1860" s="1"/>
      <c r="D1860" s="1"/>
    </row>
    <row r="1861" spans="1:4">
      <c r="A1861" s="1"/>
      <c r="D1861" s="1"/>
    </row>
    <row r="1862" spans="1:4">
      <c r="A1862" s="1"/>
      <c r="D1862" s="1"/>
    </row>
    <row r="1863" spans="1:4">
      <c r="A1863" s="1"/>
      <c r="D1863" s="1"/>
    </row>
    <row r="1864" spans="1:4">
      <c r="A1864" s="1"/>
      <c r="D1864" s="1"/>
    </row>
    <row r="1865" spans="1:4">
      <c r="A1865" s="1"/>
      <c r="D1865" s="1"/>
    </row>
    <row r="1866" spans="1:4">
      <c r="A1866" s="1"/>
      <c r="D1866" s="1"/>
    </row>
    <row r="1867" spans="1:4">
      <c r="A1867" s="1"/>
      <c r="D1867" s="1"/>
    </row>
    <row r="1868" spans="1:4">
      <c r="A1868" s="1"/>
      <c r="D1868" s="1"/>
    </row>
    <row r="1869" spans="1:4">
      <c r="A1869" s="1"/>
      <c r="D1869" s="1"/>
    </row>
    <row r="1870" spans="1:4">
      <c r="A1870" s="1"/>
      <c r="D1870" s="1"/>
    </row>
    <row r="1871" spans="1:4">
      <c r="A1871" s="1"/>
      <c r="D1871" s="1"/>
    </row>
    <row r="1872" spans="1:4">
      <c r="A1872" s="1"/>
      <c r="D1872" s="1"/>
    </row>
    <row r="1873" spans="1:4">
      <c r="A1873" s="1"/>
      <c r="D1873" s="1"/>
    </row>
    <row r="1874" spans="1:4">
      <c r="A1874" s="1"/>
      <c r="D1874" s="1"/>
    </row>
    <row r="1875" spans="1:4">
      <c r="A1875" s="1"/>
      <c r="D1875" s="1"/>
    </row>
    <row r="1876" spans="1:4">
      <c r="A1876" s="1"/>
      <c r="D1876" s="1"/>
    </row>
    <row r="1877" spans="1:4">
      <c r="A1877" s="1"/>
      <c r="D1877" s="1"/>
    </row>
    <row r="1878" spans="1:4">
      <c r="A1878" s="1"/>
      <c r="D1878" s="1"/>
    </row>
    <row r="1879" spans="1:4">
      <c r="A1879" s="1"/>
      <c r="D1879" s="1"/>
    </row>
    <row r="1880" spans="1:4">
      <c r="A1880" s="1"/>
      <c r="D1880" s="1"/>
    </row>
    <row r="1881" spans="1:4">
      <c r="A1881" s="1"/>
      <c r="D1881" s="1"/>
    </row>
    <row r="1882" spans="1:4">
      <c r="A1882" s="1"/>
      <c r="D1882" s="1"/>
    </row>
    <row r="1883" spans="1:4">
      <c r="A1883" s="1"/>
      <c r="D1883" s="1"/>
    </row>
    <row r="1884" spans="1:4">
      <c r="A1884" s="1"/>
      <c r="D1884" s="1"/>
    </row>
    <row r="1885" spans="1:4">
      <c r="A1885" s="1"/>
      <c r="D1885" s="1"/>
    </row>
    <row r="1886" spans="1:4">
      <c r="A1886" s="1"/>
      <c r="D1886" s="1"/>
    </row>
    <row r="1887" spans="1:4">
      <c r="A1887" s="1"/>
      <c r="D1887" s="1"/>
    </row>
    <row r="1888" spans="1:4">
      <c r="A1888" s="1"/>
      <c r="D1888" s="1"/>
    </row>
    <row r="1889" spans="1:4">
      <c r="A1889" s="1"/>
      <c r="D1889" s="1"/>
    </row>
    <row r="1890" spans="1:4">
      <c r="A1890" s="1"/>
      <c r="D1890" s="1"/>
    </row>
    <row r="1891" spans="1:4">
      <c r="A1891" s="1"/>
      <c r="D1891" s="1"/>
    </row>
    <row r="1892" spans="1:4">
      <c r="A1892" s="1"/>
      <c r="D1892" s="1"/>
    </row>
    <row r="1893" spans="1:4">
      <c r="A1893" s="1"/>
      <c r="D1893" s="1"/>
    </row>
    <row r="1894" spans="1:4">
      <c r="A1894" s="1"/>
      <c r="D1894" s="1"/>
    </row>
    <row r="1895" spans="1:4">
      <c r="A1895" s="1"/>
      <c r="D1895" s="1"/>
    </row>
    <row r="1896" spans="1:4">
      <c r="A1896" s="1"/>
      <c r="D1896" s="1"/>
    </row>
    <row r="1897" spans="1:4">
      <c r="A1897" s="1"/>
      <c r="D1897" s="1"/>
    </row>
    <row r="1898" spans="1:4">
      <c r="A1898" s="1"/>
      <c r="D1898" s="1"/>
    </row>
    <row r="1899" spans="1:4">
      <c r="A1899" s="1"/>
      <c r="D1899" s="1"/>
    </row>
    <row r="1900" spans="1:4">
      <c r="A1900" s="1"/>
      <c r="D1900" s="1"/>
    </row>
    <row r="1901" spans="1:4">
      <c r="A1901" s="1"/>
      <c r="D1901" s="1"/>
    </row>
    <row r="1902" spans="1:4">
      <c r="A1902" s="1"/>
      <c r="D1902" s="1"/>
    </row>
    <row r="1903" spans="1:4">
      <c r="A1903" s="1"/>
      <c r="D1903" s="1"/>
    </row>
    <row r="1904" spans="1:4">
      <c r="A1904" s="1"/>
      <c r="D1904" s="1"/>
    </row>
    <row r="1905" spans="1:4">
      <c r="A1905" s="1"/>
      <c r="D1905" s="1"/>
    </row>
    <row r="1906" spans="1:4">
      <c r="A1906" s="1"/>
      <c r="D1906" s="1"/>
    </row>
    <row r="1907" spans="1:4">
      <c r="A1907" s="1"/>
      <c r="D1907" s="1"/>
    </row>
    <row r="1908" spans="1:4">
      <c r="A1908" s="1"/>
      <c r="D1908" s="1"/>
    </row>
    <row r="1909" spans="1:4">
      <c r="A1909" s="1"/>
      <c r="D1909" s="1"/>
    </row>
    <row r="1910" spans="1:4">
      <c r="A1910" s="1"/>
      <c r="D1910" s="1"/>
    </row>
    <row r="1911" spans="1:4">
      <c r="A1911" s="1"/>
      <c r="D1911" s="1"/>
    </row>
    <row r="1912" spans="1:4">
      <c r="A1912" s="1"/>
      <c r="D1912" s="1"/>
    </row>
    <row r="1913" spans="1:4">
      <c r="A1913" s="1"/>
      <c r="D1913" s="1"/>
    </row>
    <row r="1914" spans="1:4">
      <c r="A1914" s="1"/>
      <c r="D1914" s="1"/>
    </row>
    <row r="1915" spans="1:4">
      <c r="A1915" s="1"/>
      <c r="D1915" s="1"/>
    </row>
    <row r="1916" spans="1:4">
      <c r="A1916" s="1"/>
      <c r="D1916" s="1"/>
    </row>
    <row r="1917" spans="1:4">
      <c r="A1917" s="1"/>
      <c r="D1917" s="1"/>
    </row>
    <row r="1918" spans="1:4">
      <c r="A1918" s="1"/>
      <c r="D1918" s="1"/>
    </row>
    <row r="1919" spans="1:4">
      <c r="A1919" s="1"/>
      <c r="D1919" s="1"/>
    </row>
    <row r="1920" spans="1:4">
      <c r="A1920" s="1"/>
      <c r="D1920" s="1"/>
    </row>
    <row r="1921" spans="1:4">
      <c r="A1921" s="1"/>
      <c r="D1921" s="1"/>
    </row>
    <row r="1922" spans="1:4">
      <c r="A1922" s="1"/>
      <c r="D1922" s="1"/>
    </row>
    <row r="1923" spans="1:4">
      <c r="A1923" s="1"/>
      <c r="D1923" s="1"/>
    </row>
    <row r="1924" spans="1:4">
      <c r="A1924" s="1"/>
      <c r="D1924" s="1"/>
    </row>
    <row r="1925" spans="1:4">
      <c r="A1925" s="1"/>
      <c r="D1925" s="1"/>
    </row>
    <row r="1926" spans="1:4">
      <c r="A1926" s="1"/>
      <c r="D1926" s="1"/>
    </row>
    <row r="1927" spans="1:4">
      <c r="A1927" s="1"/>
      <c r="D1927" s="1"/>
    </row>
    <row r="1928" spans="1:4">
      <c r="A1928" s="1"/>
      <c r="D1928" s="1"/>
    </row>
    <row r="1929" spans="1:4">
      <c r="A1929" s="1"/>
      <c r="D1929" s="1"/>
    </row>
    <row r="1930" spans="1:4">
      <c r="A1930" s="1"/>
      <c r="D1930" s="1"/>
    </row>
    <row r="1931" spans="1:4">
      <c r="A1931" s="1"/>
      <c r="D1931" s="1"/>
    </row>
    <row r="1932" spans="1:4">
      <c r="A1932" s="1"/>
      <c r="D1932" s="1"/>
    </row>
    <row r="1933" spans="1:4">
      <c r="A1933" s="1"/>
      <c r="D1933" s="1"/>
    </row>
    <row r="1934" spans="1:4">
      <c r="A1934" s="1"/>
      <c r="D1934" s="1"/>
    </row>
    <row r="1935" spans="1:4">
      <c r="A1935" s="1"/>
      <c r="D1935" s="1"/>
    </row>
    <row r="1936" spans="1:4">
      <c r="A1936" s="1"/>
      <c r="D1936" s="1"/>
    </row>
    <row r="1937" spans="1:4">
      <c r="A1937" s="1"/>
      <c r="D1937" s="1"/>
    </row>
    <row r="1938" spans="1:4">
      <c r="A1938" s="1"/>
      <c r="D1938" s="1"/>
    </row>
    <row r="1939" spans="1:4">
      <c r="A1939" s="1"/>
      <c r="D1939" s="1"/>
    </row>
    <row r="1940" spans="1:4">
      <c r="A1940" s="1"/>
      <c r="D1940" s="1"/>
    </row>
    <row r="1941" spans="1:4">
      <c r="A1941" s="1"/>
      <c r="D1941" s="1"/>
    </row>
    <row r="1942" spans="1:4">
      <c r="A1942" s="1"/>
      <c r="D1942" s="1"/>
    </row>
    <row r="1943" spans="1:4">
      <c r="A1943" s="1"/>
      <c r="D1943" s="1"/>
    </row>
    <row r="1944" spans="1:4">
      <c r="A1944" s="1"/>
      <c r="D1944" s="1"/>
    </row>
    <row r="1945" spans="1:4">
      <c r="A1945" s="1"/>
      <c r="D1945" s="1"/>
    </row>
    <row r="1946" spans="1:4">
      <c r="A1946" s="1"/>
      <c r="D1946" s="1"/>
    </row>
    <row r="1947" spans="1:4">
      <c r="A1947" s="1"/>
      <c r="D1947" s="1"/>
    </row>
    <row r="1948" spans="1:4">
      <c r="A1948" s="1"/>
      <c r="D1948" s="1"/>
    </row>
    <row r="1949" spans="1:4">
      <c r="A1949" s="1"/>
      <c r="D1949" s="1"/>
    </row>
    <row r="1950" spans="1:4">
      <c r="A1950" s="1"/>
      <c r="D1950" s="1"/>
    </row>
    <row r="1951" spans="1:4">
      <c r="A1951" s="1"/>
      <c r="D1951" s="1"/>
    </row>
    <row r="1952" spans="1:4">
      <c r="A1952" s="1"/>
      <c r="D1952" s="1"/>
    </row>
    <row r="1953" spans="1:4">
      <c r="A1953" s="1"/>
      <c r="D1953" s="1"/>
    </row>
    <row r="1954" spans="1:4">
      <c r="A1954" s="1"/>
      <c r="D1954" s="1"/>
    </row>
    <row r="1955" spans="1:4">
      <c r="A1955" s="1"/>
      <c r="D1955" s="1"/>
    </row>
    <row r="1956" spans="1:4">
      <c r="A1956" s="1"/>
      <c r="D1956" s="1"/>
    </row>
    <row r="1957" spans="1:4">
      <c r="A1957" s="1"/>
      <c r="D1957" s="1"/>
    </row>
    <row r="1958" spans="1:4">
      <c r="A1958" s="1"/>
      <c r="D1958" s="1"/>
    </row>
    <row r="1959" spans="1:4">
      <c r="A1959" s="1"/>
      <c r="D1959" s="1"/>
    </row>
    <row r="1960" spans="1:4">
      <c r="A1960" s="1"/>
      <c r="D1960" s="1"/>
    </row>
    <row r="1961" spans="1:4">
      <c r="A1961" s="1"/>
      <c r="D1961" s="1"/>
    </row>
    <row r="1962" spans="1:4">
      <c r="A1962" s="1"/>
      <c r="D1962" s="1"/>
    </row>
    <row r="1963" spans="1:4">
      <c r="A1963" s="1"/>
      <c r="D1963" s="1"/>
    </row>
    <row r="1964" spans="1:4">
      <c r="A1964" s="1"/>
      <c r="D1964" s="1"/>
    </row>
    <row r="1965" spans="1:4">
      <c r="A1965" s="1"/>
      <c r="D1965" s="1"/>
    </row>
    <row r="1966" spans="1:4">
      <c r="A1966" s="1"/>
      <c r="D1966" s="1"/>
    </row>
    <row r="1967" spans="1:4">
      <c r="A1967" s="1"/>
      <c r="D1967" s="1"/>
    </row>
    <row r="1968" spans="1:4">
      <c r="A1968" s="1"/>
      <c r="D1968" s="1"/>
    </row>
    <row r="1969" spans="1:4">
      <c r="A1969" s="1"/>
      <c r="D1969" s="1"/>
    </row>
    <row r="1970" spans="1:4">
      <c r="A1970" s="1"/>
      <c r="D1970" s="1"/>
    </row>
    <row r="1971" spans="1:4">
      <c r="A1971" s="1"/>
      <c r="D1971" s="1"/>
    </row>
    <row r="1972" spans="1:4">
      <c r="A1972" s="1"/>
      <c r="D1972" s="1"/>
    </row>
    <row r="1973" spans="1:4">
      <c r="A1973" s="1"/>
      <c r="D1973" s="1"/>
    </row>
    <row r="1974" spans="1:4">
      <c r="A1974" s="1"/>
      <c r="D1974" s="1"/>
    </row>
    <row r="1975" spans="1:4">
      <c r="A1975" s="1"/>
      <c r="D1975" s="1"/>
    </row>
    <row r="1976" spans="1:4">
      <c r="A1976" s="1"/>
      <c r="D1976" s="1"/>
    </row>
    <row r="1977" spans="1:4">
      <c r="A1977" s="1"/>
      <c r="D1977" s="1"/>
    </row>
    <row r="1978" spans="1:4">
      <c r="A1978" s="1"/>
      <c r="D1978" s="1"/>
    </row>
    <row r="1979" spans="1:4">
      <c r="A1979" s="1"/>
      <c r="D1979" s="1"/>
    </row>
    <row r="1980" spans="1:4">
      <c r="A1980" s="1"/>
      <c r="D1980" s="1"/>
    </row>
    <row r="1981" spans="1:4">
      <c r="A1981" s="1"/>
      <c r="D1981" s="1"/>
    </row>
    <row r="1982" spans="1:4">
      <c r="A1982" s="1"/>
      <c r="D1982" s="1"/>
    </row>
    <row r="1983" spans="1:4">
      <c r="A1983" s="1"/>
      <c r="D1983" s="1"/>
    </row>
    <row r="1984" spans="1:4">
      <c r="A1984" s="1"/>
      <c r="D1984" s="1"/>
    </row>
    <row r="1985" spans="1:4">
      <c r="A1985" s="1"/>
      <c r="D1985" s="1"/>
    </row>
    <row r="1986" spans="1:4">
      <c r="A1986" s="1"/>
      <c r="D1986" s="1"/>
    </row>
    <row r="1987" spans="1:4">
      <c r="A1987" s="1"/>
      <c r="D1987" s="1"/>
    </row>
    <row r="1988" spans="1:4">
      <c r="A1988" s="1"/>
      <c r="D1988" s="1"/>
    </row>
    <row r="1989" spans="1:4">
      <c r="A1989" s="1"/>
      <c r="D1989" s="1"/>
    </row>
    <row r="1990" spans="1:4">
      <c r="A1990" s="1"/>
      <c r="D1990" s="1"/>
    </row>
    <row r="1991" spans="1:4">
      <c r="A1991" s="1"/>
      <c r="D1991" s="1"/>
    </row>
    <row r="1992" spans="1:4">
      <c r="A1992" s="1"/>
      <c r="D1992" s="1"/>
    </row>
    <row r="1993" spans="1:4">
      <c r="A1993" s="1"/>
      <c r="D1993" s="1"/>
    </row>
    <row r="1994" spans="1:4">
      <c r="A1994" s="1"/>
      <c r="D1994" s="1"/>
    </row>
    <row r="1995" spans="1:4">
      <c r="A1995" s="1"/>
      <c r="D1995" s="1"/>
    </row>
    <row r="1996" spans="1:4">
      <c r="A1996" s="1"/>
      <c r="D1996" s="1"/>
    </row>
    <row r="1997" spans="1:4">
      <c r="A1997" s="1"/>
      <c r="D1997" s="1"/>
    </row>
    <row r="1998" spans="1:4">
      <c r="A1998" s="1"/>
      <c r="D1998" s="1"/>
    </row>
    <row r="1999" spans="1:4">
      <c r="A1999" s="1"/>
      <c r="D1999" s="1"/>
    </row>
    <row r="2000" spans="1:4">
      <c r="A2000" s="1"/>
      <c r="D2000" s="1"/>
    </row>
    <row r="2001" spans="1:4">
      <c r="A2001" s="1"/>
      <c r="D2001" s="1"/>
    </row>
    <row r="2002" spans="1:4">
      <c r="A2002" s="1"/>
      <c r="D2002" s="1"/>
    </row>
    <row r="2003" spans="1:4">
      <c r="A2003" s="1"/>
      <c r="D2003" s="1"/>
    </row>
    <row r="2004" spans="1:4">
      <c r="A2004" s="1"/>
      <c r="D2004" s="1"/>
    </row>
    <row r="2005" spans="1:4">
      <c r="A2005" s="1"/>
      <c r="D2005" s="1"/>
    </row>
    <row r="2006" spans="1:4">
      <c r="A2006" s="1"/>
      <c r="D2006" s="1"/>
    </row>
    <row r="2007" spans="1:4">
      <c r="A2007" s="1"/>
      <c r="D2007" s="1"/>
    </row>
    <row r="2008" spans="1:4">
      <c r="A2008" s="1"/>
      <c r="D2008" s="1"/>
    </row>
    <row r="2009" spans="1:4">
      <c r="A2009" s="1"/>
      <c r="D2009" s="1"/>
    </row>
    <row r="2010" spans="1:4">
      <c r="A2010" s="1"/>
      <c r="D2010" s="1"/>
    </row>
    <row r="2011" spans="1:4">
      <c r="A2011" s="1"/>
      <c r="D2011" s="1"/>
    </row>
    <row r="2012" spans="1:4">
      <c r="A2012" s="1"/>
      <c r="D2012" s="1"/>
    </row>
    <row r="2013" spans="1:4">
      <c r="A2013" s="1"/>
      <c r="D2013" s="1"/>
    </row>
    <row r="2014" spans="1:4">
      <c r="A2014" s="1"/>
      <c r="D2014" s="1"/>
    </row>
    <row r="2015" spans="1:4">
      <c r="A2015" s="1"/>
      <c r="D2015" s="1"/>
    </row>
    <row r="2016" spans="1:4">
      <c r="A2016" s="1"/>
      <c r="D2016" s="1"/>
    </row>
    <row r="2017" spans="1:4">
      <c r="A2017" s="1"/>
      <c r="D2017" s="1"/>
    </row>
    <row r="2018" spans="1:4">
      <c r="A2018" s="1"/>
      <c r="D2018" s="1"/>
    </row>
    <row r="2019" spans="1:4">
      <c r="A2019" s="1"/>
      <c r="D2019" s="1"/>
    </row>
    <row r="2020" spans="1:4">
      <c r="A2020" s="1"/>
      <c r="D2020" s="1"/>
    </row>
    <row r="2021" spans="1:4">
      <c r="A2021" s="1"/>
      <c r="D2021" s="1"/>
    </row>
    <row r="2022" spans="1:4">
      <c r="A2022" s="1"/>
      <c r="D2022" s="1"/>
    </row>
    <row r="2023" spans="1:4">
      <c r="A2023" s="1"/>
      <c r="D2023" s="1"/>
    </row>
    <row r="2024" spans="1:4">
      <c r="A2024" s="1"/>
      <c r="D2024" s="1"/>
    </row>
    <row r="2025" spans="1:4">
      <c r="A2025" s="1"/>
      <c r="D2025" s="1"/>
    </row>
    <row r="2026" spans="1:4">
      <c r="A2026" s="1"/>
      <c r="D2026" s="1"/>
    </row>
    <row r="2027" spans="1:4">
      <c r="A2027" s="1"/>
      <c r="D2027" s="1"/>
    </row>
    <row r="2028" spans="1:4">
      <c r="A2028" s="1"/>
      <c r="D2028" s="1"/>
    </row>
    <row r="2029" spans="1:4">
      <c r="A2029" s="1"/>
      <c r="D2029" s="1"/>
    </row>
    <row r="2030" spans="1:4">
      <c r="A2030" s="1"/>
      <c r="D2030" s="1"/>
    </row>
    <row r="2031" spans="1:4">
      <c r="A2031" s="1"/>
      <c r="D2031" s="1"/>
    </row>
    <row r="2032" spans="1:4">
      <c r="A2032" s="1"/>
      <c r="D2032" s="1"/>
    </row>
    <row r="2033" spans="1:4">
      <c r="A2033" s="1"/>
      <c r="D2033" s="1"/>
    </row>
    <row r="2034" spans="1:4">
      <c r="A2034" s="1"/>
      <c r="D2034" s="1"/>
    </row>
    <row r="2035" spans="1:4">
      <c r="A2035" s="1"/>
      <c r="D2035" s="1"/>
    </row>
    <row r="2036" spans="1:4">
      <c r="A2036" s="1"/>
      <c r="D2036" s="1"/>
    </row>
    <row r="2037" spans="1:4">
      <c r="A2037" s="1"/>
      <c r="D2037" s="1"/>
    </row>
    <row r="2038" spans="1:4">
      <c r="A2038" s="1"/>
      <c r="D2038" s="1"/>
    </row>
    <row r="2039" spans="1:4">
      <c r="A2039" s="1"/>
      <c r="D2039" s="1"/>
    </row>
    <row r="2040" spans="1:4">
      <c r="A2040" s="1"/>
      <c r="D2040" s="1"/>
    </row>
    <row r="2041" spans="1:4">
      <c r="A2041" s="1"/>
      <c r="D2041" s="1"/>
    </row>
    <row r="2042" spans="1:4">
      <c r="A2042" s="1"/>
      <c r="D2042" s="1"/>
    </row>
    <row r="2043" spans="1:4">
      <c r="A2043" s="1"/>
      <c r="D2043" s="1"/>
    </row>
    <row r="2044" spans="1:4">
      <c r="A2044" s="1"/>
      <c r="D2044" s="1"/>
    </row>
    <row r="2045" spans="1:4">
      <c r="A2045" s="1"/>
      <c r="D2045" s="1"/>
    </row>
    <row r="2046" spans="1:4">
      <c r="A2046" s="1"/>
      <c r="D2046" s="1"/>
    </row>
    <row r="2047" spans="1:4">
      <c r="A2047" s="1"/>
      <c r="D2047" s="1"/>
    </row>
    <row r="2048" spans="1:4">
      <c r="A2048" s="1"/>
      <c r="D2048" s="1"/>
    </row>
    <row r="2049" spans="1:4">
      <c r="A2049" s="1"/>
      <c r="D2049" s="1"/>
    </row>
    <row r="2050" spans="1:4">
      <c r="A2050" s="1"/>
      <c r="D2050" s="1"/>
    </row>
    <row r="2051" spans="1:4">
      <c r="A2051" s="1"/>
      <c r="D2051" s="1"/>
    </row>
    <row r="2052" spans="1:4">
      <c r="A2052" s="1"/>
      <c r="D2052" s="1"/>
    </row>
    <row r="2053" spans="1:4">
      <c r="A2053" s="1"/>
      <c r="D2053" s="1"/>
    </row>
    <row r="2054" spans="1:4">
      <c r="A2054" s="1"/>
      <c r="D2054" s="1"/>
    </row>
    <row r="2055" spans="1:4">
      <c r="A2055" s="1"/>
      <c r="D2055" s="1"/>
    </row>
    <row r="2056" spans="1:4">
      <c r="A2056" s="1"/>
      <c r="D2056" s="1"/>
    </row>
    <row r="2057" spans="1:4">
      <c r="A2057" s="1"/>
      <c r="D2057" s="1"/>
    </row>
    <row r="2058" spans="1:4">
      <c r="A2058" s="1"/>
      <c r="D2058" s="1"/>
    </row>
    <row r="2059" spans="1:4">
      <c r="A2059" s="1"/>
      <c r="D2059" s="1"/>
    </row>
    <row r="2060" spans="1:4">
      <c r="A2060" s="1"/>
      <c r="D2060" s="1"/>
    </row>
    <row r="2061" spans="1:4">
      <c r="A2061" s="1"/>
      <c r="D2061" s="1"/>
    </row>
    <row r="2062" spans="1:4">
      <c r="A2062" s="1"/>
      <c r="D2062" s="1"/>
    </row>
    <row r="2063" spans="1:4">
      <c r="A2063" s="1"/>
      <c r="D2063" s="1"/>
    </row>
    <row r="2064" spans="1:4">
      <c r="A2064" s="1"/>
      <c r="D2064" s="1"/>
    </row>
    <row r="2065" spans="1:4">
      <c r="A2065" s="1"/>
      <c r="D2065" s="1"/>
    </row>
    <row r="2066" spans="1:4">
      <c r="A2066" s="1"/>
      <c r="D2066" s="1"/>
    </row>
    <row r="2067" spans="1:4">
      <c r="A2067" s="1"/>
      <c r="D2067" s="1"/>
    </row>
    <row r="2068" spans="1:4">
      <c r="A2068" s="1"/>
      <c r="D2068" s="1"/>
    </row>
    <row r="2069" spans="1:4">
      <c r="A2069" s="1"/>
      <c r="D2069" s="1"/>
    </row>
    <row r="2070" spans="1:4">
      <c r="A2070" s="1"/>
      <c r="D2070" s="1"/>
    </row>
    <row r="2071" spans="1:4">
      <c r="A2071" s="1"/>
      <c r="D2071" s="1"/>
    </row>
    <row r="2072" spans="1:4">
      <c r="A2072" s="1"/>
      <c r="D2072" s="1"/>
    </row>
    <row r="2073" spans="1:4">
      <c r="A2073" s="1"/>
      <c r="D2073" s="1"/>
    </row>
    <row r="2074" spans="1:4">
      <c r="A2074" s="1"/>
      <c r="D2074" s="1"/>
    </row>
    <row r="2075" spans="1:4">
      <c r="A2075" s="1"/>
      <c r="D2075" s="1"/>
    </row>
    <row r="2076" spans="1:4">
      <c r="A2076" s="1"/>
      <c r="D2076" s="1"/>
    </row>
    <row r="2077" spans="1:4">
      <c r="A2077" s="1"/>
      <c r="D2077" s="1"/>
    </row>
    <row r="2078" spans="1:4">
      <c r="A2078" s="1"/>
      <c r="D2078" s="1"/>
    </row>
    <row r="2079" spans="1:4">
      <c r="A2079" s="1"/>
      <c r="D2079" s="1"/>
    </row>
    <row r="2080" spans="1:4">
      <c r="A2080" s="1"/>
      <c r="D2080" s="1"/>
    </row>
    <row r="2081" spans="1:4">
      <c r="A2081" s="1"/>
      <c r="D2081" s="1"/>
    </row>
    <row r="2082" spans="1:4">
      <c r="A2082" s="1"/>
      <c r="D2082" s="1"/>
    </row>
    <row r="2083" spans="1:4">
      <c r="A2083" s="1"/>
      <c r="D2083" s="1"/>
    </row>
    <row r="2084" spans="1:4">
      <c r="A2084" s="1"/>
      <c r="D2084" s="1"/>
    </row>
    <row r="2085" spans="1:4">
      <c r="A2085" s="1"/>
      <c r="D2085" s="1"/>
    </row>
    <row r="2086" spans="1:4">
      <c r="A2086" s="1"/>
      <c r="D2086" s="1"/>
    </row>
    <row r="2087" spans="1:4">
      <c r="A2087" s="1"/>
      <c r="D2087" s="1"/>
    </row>
    <row r="2088" spans="1:4">
      <c r="A2088" s="1"/>
      <c r="D2088" s="1"/>
    </row>
    <row r="2089" spans="1:4">
      <c r="A2089" s="1"/>
      <c r="D2089" s="1"/>
    </row>
    <row r="2090" spans="1:4">
      <c r="A2090" s="1"/>
      <c r="D2090" s="1"/>
    </row>
    <row r="2091" spans="1:4">
      <c r="A2091" s="1"/>
      <c r="D2091" s="1"/>
    </row>
    <row r="2092" spans="1:4">
      <c r="A2092" s="1"/>
      <c r="D2092" s="1"/>
    </row>
    <row r="2093" spans="1:4">
      <c r="A2093" s="1"/>
      <c r="D2093" s="1"/>
    </row>
    <row r="2094" spans="1:4">
      <c r="A2094" s="1"/>
      <c r="D2094" s="1"/>
    </row>
    <row r="2095" spans="1:4">
      <c r="A2095" s="1"/>
      <c r="D2095" s="1"/>
    </row>
    <row r="2096" spans="1:4">
      <c r="A2096" s="1"/>
      <c r="D2096" s="1"/>
    </row>
    <row r="2097" spans="1:4">
      <c r="A2097" s="1"/>
      <c r="D2097" s="1"/>
    </row>
    <row r="2098" spans="1:4">
      <c r="A2098" s="1"/>
      <c r="D2098" s="1"/>
    </row>
    <row r="2099" spans="1:4">
      <c r="A2099" s="1"/>
      <c r="D2099" s="1"/>
    </row>
    <row r="2100" spans="1:4">
      <c r="A2100" s="1"/>
      <c r="D2100" s="1"/>
    </row>
    <row r="2101" spans="1:4">
      <c r="A2101" s="1"/>
      <c r="D2101" s="1"/>
    </row>
    <row r="2102" spans="1:4">
      <c r="A2102" s="1"/>
      <c r="D2102" s="1"/>
    </row>
    <row r="2103" spans="1:4">
      <c r="A2103" s="1"/>
      <c r="D2103" s="1"/>
    </row>
    <row r="2104" spans="1:4">
      <c r="A2104" s="1"/>
      <c r="D2104" s="1"/>
    </row>
    <row r="2105" spans="1:4">
      <c r="A2105" s="1"/>
      <c r="D2105" s="1"/>
    </row>
    <row r="2106" spans="1:4">
      <c r="A2106" s="1"/>
      <c r="D2106" s="1"/>
    </row>
    <row r="2107" spans="1:4">
      <c r="A2107" s="1"/>
      <c r="D2107" s="1"/>
    </row>
    <row r="2108" spans="1:4">
      <c r="A2108" s="1"/>
      <c r="D2108" s="1"/>
    </row>
    <row r="2109" spans="1:4">
      <c r="A2109" s="1"/>
      <c r="D2109" s="1"/>
    </row>
    <row r="2110" spans="1:4">
      <c r="A2110" s="1"/>
      <c r="D2110" s="1"/>
    </row>
    <row r="2111" spans="1:4">
      <c r="A2111" s="1"/>
      <c r="D2111" s="1"/>
    </row>
    <row r="2112" spans="1:4">
      <c r="A2112" s="1"/>
      <c r="D2112" s="1"/>
    </row>
    <row r="2113" spans="1:4">
      <c r="A2113" s="1"/>
      <c r="D2113" s="1"/>
    </row>
    <row r="2114" spans="1:4">
      <c r="A2114" s="1"/>
      <c r="D2114" s="1"/>
    </row>
    <row r="2115" spans="1:4">
      <c r="A2115" s="1"/>
      <c r="D2115" s="1"/>
    </row>
    <row r="2116" spans="1:4">
      <c r="A2116" s="1"/>
      <c r="D2116" s="1"/>
    </row>
    <row r="2117" spans="1:4">
      <c r="A2117" s="1"/>
      <c r="D2117" s="1"/>
    </row>
    <row r="2118" spans="1:4">
      <c r="A2118" s="1"/>
      <c r="D2118" s="1"/>
    </row>
    <row r="2119" spans="1:4">
      <c r="A2119" s="1"/>
      <c r="D2119" s="1"/>
    </row>
    <row r="2120" spans="1:4">
      <c r="A2120" s="1"/>
      <c r="D2120" s="1"/>
    </row>
    <row r="2121" spans="1:4">
      <c r="A2121" s="1"/>
      <c r="D2121" s="1"/>
    </row>
    <row r="2122" spans="1:4">
      <c r="A2122" s="1"/>
      <c r="D2122" s="1"/>
    </row>
    <row r="2123" spans="1:4">
      <c r="A2123" s="1"/>
      <c r="D2123" s="1"/>
    </row>
    <row r="2124" spans="1:4">
      <c r="A2124" s="1"/>
      <c r="D2124" s="1"/>
    </row>
    <row r="2125" spans="1:4">
      <c r="A2125" s="1"/>
      <c r="D2125" s="1"/>
    </row>
    <row r="2126" spans="1:4">
      <c r="A2126" s="1"/>
      <c r="D2126" s="1"/>
    </row>
    <row r="2127" spans="1:4">
      <c r="A2127" s="1"/>
      <c r="D2127" s="1"/>
    </row>
    <row r="2128" spans="1:4">
      <c r="A2128" s="1"/>
      <c r="D2128" s="1"/>
    </row>
    <row r="2129" spans="1:4">
      <c r="A2129" s="1"/>
      <c r="D2129" s="1"/>
    </row>
    <row r="2130" spans="1:4">
      <c r="A2130" s="1"/>
      <c r="D2130" s="1"/>
    </row>
    <row r="2131" spans="1:4">
      <c r="A2131" s="1"/>
      <c r="D2131" s="1"/>
    </row>
    <row r="2132" spans="1:4">
      <c r="A2132" s="1"/>
      <c r="D2132" s="1"/>
    </row>
    <row r="2133" spans="1:4">
      <c r="A2133" s="1"/>
      <c r="D2133" s="1"/>
    </row>
    <row r="2134" spans="1:4">
      <c r="A2134" s="1"/>
      <c r="D2134" s="1"/>
    </row>
    <row r="2135" spans="1:4">
      <c r="A2135" s="1"/>
      <c r="D2135" s="1"/>
    </row>
    <row r="2136" spans="1:4">
      <c r="A2136" s="1"/>
      <c r="D2136" s="1"/>
    </row>
    <row r="2137" spans="1:4">
      <c r="A2137" s="1"/>
      <c r="D2137" s="1"/>
    </row>
    <row r="2138" spans="1:4">
      <c r="A2138" s="1"/>
      <c r="D2138" s="1"/>
    </row>
    <row r="2139" spans="1:4">
      <c r="A2139" s="1"/>
      <c r="D2139" s="1"/>
    </row>
    <row r="2140" spans="1:4">
      <c r="A2140" s="1"/>
      <c r="D2140" s="1"/>
    </row>
    <row r="2141" spans="1:4">
      <c r="A2141" s="1"/>
      <c r="D2141" s="1"/>
    </row>
    <row r="2142" spans="1:4">
      <c r="A2142" s="1"/>
      <c r="D2142" s="1"/>
    </row>
    <row r="2143" spans="1:4">
      <c r="A2143" s="1"/>
      <c r="D2143" s="1"/>
    </row>
    <row r="2144" spans="1:4">
      <c r="A2144" s="1"/>
      <c r="D2144" s="1"/>
    </row>
    <row r="2145" spans="1:4">
      <c r="A2145" s="1"/>
      <c r="D2145" s="1"/>
    </row>
    <row r="2146" spans="1:4">
      <c r="A2146" s="1"/>
      <c r="D2146" s="1"/>
    </row>
    <row r="2147" spans="1:4">
      <c r="A2147" s="1"/>
      <c r="D2147" s="1"/>
    </row>
    <row r="2148" spans="1:4">
      <c r="A2148" s="1"/>
      <c r="D2148" s="1"/>
    </row>
    <row r="2149" spans="1:4">
      <c r="A2149" s="1"/>
      <c r="D2149" s="1"/>
    </row>
    <row r="2150" spans="1:4">
      <c r="A2150" s="1"/>
      <c r="D2150" s="1"/>
    </row>
    <row r="2151" spans="1:4">
      <c r="A2151" s="1"/>
      <c r="D2151" s="1"/>
    </row>
    <row r="2152" spans="1:4">
      <c r="A2152" s="1"/>
      <c r="D2152" s="1"/>
    </row>
    <row r="2153" spans="1:4">
      <c r="A2153" s="1"/>
      <c r="D2153" s="1"/>
    </row>
    <row r="2154" spans="1:4">
      <c r="A2154" s="1"/>
      <c r="D2154" s="1"/>
    </row>
    <row r="2155" spans="1:4">
      <c r="A2155" s="1"/>
      <c r="D2155" s="1"/>
    </row>
    <row r="2156" spans="1:4">
      <c r="A2156" s="1"/>
      <c r="D2156" s="1"/>
    </row>
    <row r="2157" spans="1:4">
      <c r="A2157" s="1"/>
      <c r="D2157" s="1"/>
    </row>
    <row r="2158" spans="1:4">
      <c r="A2158" s="1"/>
      <c r="D2158" s="1"/>
    </row>
    <row r="2159" spans="1:4">
      <c r="A2159" s="1"/>
      <c r="D2159" s="1"/>
    </row>
    <row r="2160" spans="1:4">
      <c r="A2160" s="1"/>
      <c r="D2160" s="1"/>
    </row>
    <row r="2161" spans="1:4">
      <c r="A2161" s="1"/>
      <c r="D2161" s="1"/>
    </row>
    <row r="2162" spans="1:4">
      <c r="A2162" s="1"/>
      <c r="D2162" s="1"/>
    </row>
    <row r="2163" spans="1:4">
      <c r="A2163" s="1"/>
      <c r="D2163" s="1"/>
    </row>
    <row r="2164" spans="1:4">
      <c r="A2164" s="1"/>
      <c r="D2164" s="1"/>
    </row>
    <row r="2165" spans="1:4">
      <c r="A2165" s="1"/>
      <c r="D2165" s="1"/>
    </row>
    <row r="2166" spans="1:4">
      <c r="A2166" s="1"/>
      <c r="D2166" s="1"/>
    </row>
    <row r="2167" spans="1:4">
      <c r="A2167" s="1"/>
      <c r="D2167" s="1"/>
    </row>
    <row r="2168" spans="1:4">
      <c r="A2168" s="1"/>
      <c r="D2168" s="1"/>
    </row>
    <row r="2169" spans="1:4">
      <c r="A2169" s="1"/>
      <c r="D2169" s="1"/>
    </row>
    <row r="2170" spans="1:4">
      <c r="A2170" s="1"/>
      <c r="D2170" s="1"/>
    </row>
    <row r="2171" spans="1:4">
      <c r="A2171" s="1"/>
      <c r="D2171" s="1"/>
    </row>
    <row r="2172" spans="1:4">
      <c r="A2172" s="1"/>
      <c r="D2172" s="1"/>
    </row>
    <row r="2173" spans="1:4">
      <c r="A2173" s="1"/>
      <c r="D2173" s="1"/>
    </row>
    <row r="2174" spans="1:4">
      <c r="A2174" s="1"/>
      <c r="D2174" s="1"/>
    </row>
    <row r="2175" spans="1:4">
      <c r="A2175" s="1"/>
      <c r="D2175" s="1"/>
    </row>
    <row r="2176" spans="1:4">
      <c r="A2176" s="1"/>
      <c r="D2176" s="1"/>
    </row>
    <row r="2177" spans="1:4">
      <c r="A2177" s="1"/>
      <c r="D2177" s="1"/>
    </row>
    <row r="2178" spans="1:4">
      <c r="A2178" s="1"/>
      <c r="D2178" s="1"/>
    </row>
    <row r="2179" spans="1:4">
      <c r="A2179" s="1"/>
      <c r="D2179" s="1"/>
    </row>
    <row r="2180" spans="1:4">
      <c r="A2180" s="1"/>
      <c r="D2180" s="1"/>
    </row>
    <row r="2181" spans="1:4">
      <c r="A2181" s="1"/>
      <c r="D2181" s="1"/>
    </row>
    <row r="2182" spans="1:4">
      <c r="A2182" s="1"/>
      <c r="D2182" s="1"/>
    </row>
    <row r="2183" spans="1:4">
      <c r="A2183" s="1"/>
      <c r="D2183" s="1"/>
    </row>
    <row r="2184" spans="1:4">
      <c r="A2184" s="1"/>
      <c r="D2184" s="1"/>
    </row>
    <row r="2185" spans="1:4">
      <c r="A2185" s="1"/>
      <c r="D2185" s="1"/>
    </row>
    <row r="2186" spans="1:4">
      <c r="A2186" s="1"/>
      <c r="D2186" s="1"/>
    </row>
    <row r="2187" spans="1:4">
      <c r="A2187" s="1"/>
      <c r="D2187" s="1"/>
    </row>
    <row r="2188" spans="1:4">
      <c r="A2188" s="1"/>
      <c r="D2188" s="1"/>
    </row>
    <row r="2189" spans="1:4">
      <c r="A2189" s="1"/>
      <c r="D2189" s="1"/>
    </row>
    <row r="2190" spans="1:4">
      <c r="A2190" s="1"/>
      <c r="D2190" s="1"/>
    </row>
    <row r="2191" spans="1:4">
      <c r="A2191" s="1"/>
      <c r="D2191" s="1"/>
    </row>
    <row r="2192" spans="1:4">
      <c r="A2192" s="1"/>
      <c r="D2192" s="1"/>
    </row>
    <row r="2193" spans="1:4">
      <c r="A2193" s="1"/>
      <c r="D2193" s="1"/>
    </row>
    <row r="2194" spans="1:4">
      <c r="A2194" s="1"/>
      <c r="D2194" s="1"/>
    </row>
    <row r="2195" spans="1:4">
      <c r="A2195" s="1"/>
      <c r="D2195" s="1"/>
    </row>
    <row r="2196" spans="1:4">
      <c r="A2196" s="1"/>
      <c r="D2196" s="1"/>
    </row>
    <row r="2197" spans="1:4">
      <c r="A2197" s="1"/>
      <c r="D2197" s="1"/>
    </row>
    <row r="2198" spans="1:4">
      <c r="A2198" s="1"/>
      <c r="D2198" s="1"/>
    </row>
    <row r="2199" spans="1:4">
      <c r="A2199" s="1"/>
      <c r="D2199" s="1"/>
    </row>
    <row r="2200" spans="1:4">
      <c r="A2200" s="1"/>
      <c r="D2200" s="1"/>
    </row>
    <row r="2201" spans="1:4">
      <c r="A2201" s="1"/>
      <c r="D2201" s="1"/>
    </row>
    <row r="2202" spans="1:4">
      <c r="A2202" s="1"/>
      <c r="D2202" s="1"/>
    </row>
    <row r="2203" spans="1:4">
      <c r="A2203" s="1"/>
      <c r="D2203" s="1"/>
    </row>
    <row r="2204" spans="1:4">
      <c r="A2204" s="1"/>
      <c r="D2204" s="1"/>
    </row>
    <row r="2205" spans="1:4">
      <c r="A2205" s="1"/>
      <c r="D2205" s="1"/>
    </row>
    <row r="2206" spans="1:4">
      <c r="A2206" s="1"/>
      <c r="D2206" s="1"/>
    </row>
    <row r="2207" spans="1:4">
      <c r="A2207" s="1"/>
      <c r="D2207" s="1"/>
    </row>
    <row r="2208" spans="1:4">
      <c r="A2208" s="1"/>
      <c r="D2208" s="1"/>
    </row>
    <row r="2209" spans="1:4">
      <c r="A2209" s="1"/>
      <c r="D2209" s="1"/>
    </row>
    <row r="2210" spans="1:4">
      <c r="A2210" s="1"/>
      <c r="D2210" s="1"/>
    </row>
    <row r="2211" spans="1:4">
      <c r="A2211" s="1"/>
      <c r="D2211" s="1"/>
    </row>
    <row r="2212" spans="1:4">
      <c r="A2212" s="1"/>
      <c r="D2212" s="1"/>
    </row>
    <row r="2213" spans="1:4">
      <c r="A2213" s="1"/>
      <c r="D2213" s="1"/>
    </row>
    <row r="2214" spans="1:4">
      <c r="A2214" s="1"/>
      <c r="D2214" s="1"/>
    </row>
    <row r="2215" spans="1:4">
      <c r="A2215" s="1"/>
      <c r="D2215" s="1"/>
    </row>
    <row r="2216" spans="1:4">
      <c r="A2216" s="1"/>
      <c r="D2216" s="1"/>
    </row>
    <row r="2217" spans="1:4">
      <c r="A2217" s="1"/>
      <c r="D2217" s="1"/>
    </row>
    <row r="2218" spans="1:4">
      <c r="A2218" s="1"/>
      <c r="D2218" s="1"/>
    </row>
    <row r="2219" spans="1:4">
      <c r="A2219" s="1"/>
      <c r="D2219" s="1"/>
    </row>
    <row r="2220" spans="1:4">
      <c r="A2220" s="1"/>
      <c r="D2220" s="1"/>
    </row>
    <row r="2221" spans="1:4">
      <c r="A2221" s="1"/>
      <c r="D2221" s="1"/>
    </row>
    <row r="2222" spans="1:4">
      <c r="A2222" s="1"/>
      <c r="D2222" s="1"/>
    </row>
    <row r="2223" spans="1:4">
      <c r="A2223" s="1"/>
      <c r="D2223" s="1"/>
    </row>
    <row r="2224" spans="1:4">
      <c r="A2224" s="1"/>
      <c r="D2224" s="1"/>
    </row>
    <row r="2225" spans="1:4">
      <c r="A2225" s="1"/>
      <c r="D2225" s="1"/>
    </row>
    <row r="2226" spans="1:4">
      <c r="A2226" s="1"/>
      <c r="D2226" s="1"/>
    </row>
    <row r="2227" spans="1:4">
      <c r="A2227" s="1"/>
      <c r="D2227" s="1"/>
    </row>
    <row r="2228" spans="1:4">
      <c r="A2228" s="1"/>
      <c r="D2228" s="1"/>
    </row>
    <row r="2229" spans="1:4">
      <c r="A2229" s="1"/>
      <c r="D2229" s="1"/>
    </row>
    <row r="2230" spans="1:4">
      <c r="A2230" s="1"/>
      <c r="D2230" s="1"/>
    </row>
    <row r="2231" spans="1:4">
      <c r="A2231" s="1"/>
      <c r="D2231" s="1"/>
    </row>
    <row r="2232" spans="1:4">
      <c r="A2232" s="1"/>
      <c r="D2232" s="1"/>
    </row>
    <row r="2233" spans="1:4">
      <c r="A2233" s="1"/>
      <c r="D2233" s="1"/>
    </row>
    <row r="2234" spans="1:4">
      <c r="A2234" s="1"/>
      <c r="D2234" s="1"/>
    </row>
    <row r="2235" spans="1:4">
      <c r="A2235" s="1"/>
      <c r="D2235" s="1"/>
    </row>
    <row r="2236" spans="1:4">
      <c r="A2236" s="1"/>
      <c r="D2236" s="1"/>
    </row>
    <row r="2237" spans="1:4">
      <c r="A2237" s="1"/>
      <c r="D2237" s="1"/>
    </row>
    <row r="2238" spans="1:4">
      <c r="A2238" s="1"/>
      <c r="D2238" s="1"/>
    </row>
    <row r="2239" spans="1:4">
      <c r="A2239" s="1"/>
      <c r="D2239" s="1"/>
    </row>
    <row r="2240" spans="1:4">
      <c r="A2240" s="1"/>
      <c r="D2240" s="1"/>
    </row>
    <row r="2241" spans="1:4">
      <c r="A2241" s="1"/>
      <c r="D2241" s="1"/>
    </row>
    <row r="2242" spans="1:4">
      <c r="A2242" s="1"/>
      <c r="D2242" s="1"/>
    </row>
    <row r="2243" spans="1:4">
      <c r="A2243" s="1"/>
      <c r="D2243" s="1"/>
    </row>
    <row r="2244" spans="1:4">
      <c r="A2244" s="1"/>
      <c r="D2244" s="1"/>
    </row>
    <row r="2245" spans="1:4">
      <c r="A2245" s="1"/>
      <c r="D2245" s="1"/>
    </row>
    <row r="2246" spans="1:4">
      <c r="A2246" s="1"/>
      <c r="D2246" s="1"/>
    </row>
    <row r="2247" spans="1:4">
      <c r="A2247" s="1"/>
      <c r="D2247" s="1"/>
    </row>
    <row r="2248" spans="1:4">
      <c r="A2248" s="1"/>
      <c r="D2248" s="1"/>
    </row>
    <row r="2249" spans="1:4">
      <c r="A2249" s="1"/>
      <c r="D2249" s="1"/>
    </row>
    <row r="2250" spans="1:4">
      <c r="A2250" s="1"/>
      <c r="D2250" s="1"/>
    </row>
    <row r="2251" spans="1:4">
      <c r="A2251" s="1"/>
      <c r="D2251" s="1"/>
    </row>
    <row r="2252" spans="1:4">
      <c r="A2252" s="1"/>
      <c r="D2252" s="1"/>
    </row>
    <row r="2253" spans="1:4">
      <c r="A2253" s="1"/>
      <c r="D2253" s="1"/>
    </row>
    <row r="2254" spans="1:4">
      <c r="A2254" s="1"/>
      <c r="D2254" s="1"/>
    </row>
    <row r="2255" spans="1:4">
      <c r="A2255" s="1"/>
      <c r="D2255" s="1"/>
    </row>
    <row r="2256" spans="1:4">
      <c r="A2256" s="1"/>
      <c r="D2256" s="1"/>
    </row>
    <row r="2257" spans="1:4">
      <c r="A2257" s="1"/>
      <c r="D2257" s="1"/>
    </row>
    <row r="2258" spans="1:4">
      <c r="A2258" s="1"/>
      <c r="D2258" s="1"/>
    </row>
    <row r="2259" spans="1:4">
      <c r="A2259" s="1"/>
      <c r="D2259" s="1"/>
    </row>
    <row r="2260" spans="1:4">
      <c r="A2260" s="1"/>
      <c r="D2260" s="1"/>
    </row>
    <row r="2261" spans="1:4">
      <c r="A2261" s="1"/>
      <c r="D2261" s="1"/>
    </row>
    <row r="2262" spans="1:4">
      <c r="A2262" s="1"/>
      <c r="D2262" s="1"/>
    </row>
    <row r="2263" spans="1:4">
      <c r="A2263" s="1"/>
      <c r="D2263" s="1"/>
    </row>
    <row r="2264" spans="1:4">
      <c r="A2264" s="1"/>
      <c r="D2264" s="1"/>
    </row>
    <row r="2265" spans="1:4">
      <c r="A2265" s="1"/>
      <c r="D2265" s="1"/>
    </row>
    <row r="2266" spans="1:4">
      <c r="A2266" s="1"/>
      <c r="D2266" s="1"/>
    </row>
    <row r="2267" spans="1:4">
      <c r="A2267" s="1"/>
      <c r="D2267" s="1"/>
    </row>
    <row r="2268" spans="1:4">
      <c r="A2268" s="1"/>
      <c r="D2268" s="1"/>
    </row>
    <row r="2269" spans="1:4">
      <c r="A2269" s="1"/>
      <c r="D2269" s="1"/>
    </row>
    <row r="2270" spans="1:4">
      <c r="A2270" s="1"/>
      <c r="D2270" s="1"/>
    </row>
    <row r="2271" spans="1:4">
      <c r="A2271" s="1"/>
      <c r="D2271" s="1"/>
    </row>
    <row r="2272" spans="1:4">
      <c r="A2272" s="1"/>
      <c r="D2272" s="1"/>
    </row>
    <row r="2273" spans="1:4">
      <c r="A2273" s="1"/>
      <c r="D2273" s="1"/>
    </row>
    <row r="2274" spans="1:4">
      <c r="A2274" s="1"/>
      <c r="D2274" s="1"/>
    </row>
    <row r="2275" spans="1:4">
      <c r="A2275" s="1"/>
      <c r="D2275" s="1"/>
    </row>
    <row r="2276" spans="1:4">
      <c r="A2276" s="1"/>
      <c r="D2276" s="1"/>
    </row>
    <row r="2277" spans="1:4">
      <c r="A2277" s="1"/>
      <c r="D2277" s="1"/>
    </row>
    <row r="2278" spans="1:4">
      <c r="A2278" s="1"/>
      <c r="D2278" s="1"/>
    </row>
    <row r="2279" spans="1:4">
      <c r="A2279" s="1"/>
      <c r="D2279" s="1"/>
    </row>
    <row r="2280" spans="1:4">
      <c r="A2280" s="1"/>
      <c r="D2280" s="1"/>
    </row>
    <row r="2281" spans="1:4">
      <c r="A2281" s="1"/>
      <c r="D2281" s="1"/>
    </row>
    <row r="2282" spans="1:4">
      <c r="A2282" s="1"/>
      <c r="D2282" s="1"/>
    </row>
    <row r="2283" spans="1:4">
      <c r="A2283" s="1"/>
      <c r="D2283" s="1"/>
    </row>
    <row r="2284" spans="1:4">
      <c r="A2284" s="1"/>
      <c r="D2284" s="1"/>
    </row>
    <row r="2285" spans="1:4">
      <c r="A2285" s="1"/>
      <c r="D2285" s="1"/>
    </row>
    <row r="2286" spans="1:4">
      <c r="A2286" s="1"/>
      <c r="D2286" s="1"/>
    </row>
    <row r="2287" spans="1:4">
      <c r="A2287" s="1"/>
      <c r="D2287" s="1"/>
    </row>
    <row r="2288" spans="1:4">
      <c r="A2288" s="1"/>
      <c r="D2288" s="1"/>
    </row>
    <row r="2289" spans="1:4">
      <c r="A2289" s="1"/>
      <c r="D2289" s="1"/>
    </row>
    <row r="2290" spans="1:4">
      <c r="A2290" s="1"/>
      <c r="D2290" s="1"/>
    </row>
    <row r="2291" spans="1:4">
      <c r="A2291" s="1"/>
      <c r="D2291" s="1"/>
    </row>
    <row r="2292" spans="1:4">
      <c r="A2292" s="1"/>
      <c r="D2292" s="1"/>
    </row>
    <row r="2293" spans="1:4">
      <c r="A2293" s="1"/>
      <c r="D2293" s="1"/>
    </row>
    <row r="2294" spans="1:4">
      <c r="A2294" s="1"/>
      <c r="D2294" s="1"/>
    </row>
    <row r="2295" spans="1:4">
      <c r="A2295" s="1"/>
      <c r="D2295" s="1"/>
    </row>
    <row r="2296" spans="1:4">
      <c r="A2296" s="1"/>
      <c r="D2296" s="1"/>
    </row>
    <row r="2297" spans="1:4">
      <c r="A2297" s="1"/>
      <c r="D2297" s="1"/>
    </row>
    <row r="2298" spans="1:4">
      <c r="A2298" s="1"/>
      <c r="D2298" s="1"/>
    </row>
    <row r="2299" spans="1:4">
      <c r="A2299" s="1"/>
      <c r="D2299" s="1"/>
    </row>
    <row r="2300" spans="1:4">
      <c r="A2300" s="1"/>
      <c r="D2300" s="1"/>
    </row>
    <row r="2301" spans="1:4">
      <c r="A2301" s="1"/>
      <c r="D2301" s="1"/>
    </row>
    <row r="2302" spans="1:4">
      <c r="A2302" s="1"/>
      <c r="D2302" s="1"/>
    </row>
    <row r="2303" spans="1:4">
      <c r="A2303" s="1"/>
      <c r="D2303" s="1"/>
    </row>
    <row r="2304" spans="1:4">
      <c r="A2304" s="1"/>
      <c r="D2304" s="1"/>
    </row>
    <row r="2305" spans="1:4">
      <c r="A2305" s="1"/>
      <c r="D2305" s="1"/>
    </row>
    <row r="2306" spans="1:4">
      <c r="A2306" s="1"/>
      <c r="D2306" s="1"/>
    </row>
    <row r="2307" spans="1:4">
      <c r="A2307" s="1"/>
      <c r="D2307" s="1"/>
    </row>
    <row r="2308" spans="1:4">
      <c r="A2308" s="1"/>
      <c r="D2308" s="1"/>
    </row>
    <row r="2309" spans="1:4">
      <c r="A2309" s="1"/>
      <c r="D2309" s="1"/>
    </row>
    <row r="2310" spans="1:4">
      <c r="A2310" s="1"/>
      <c r="D2310" s="1"/>
    </row>
    <row r="2311" spans="1:4">
      <c r="A2311" s="1"/>
      <c r="D2311" s="1"/>
    </row>
    <row r="2312" spans="1:4">
      <c r="A2312" s="1"/>
      <c r="D2312" s="1"/>
    </row>
    <row r="2313" spans="1:4">
      <c r="A2313" s="1"/>
      <c r="D2313" s="1"/>
    </row>
    <row r="2314" spans="1:4">
      <c r="A2314" s="1"/>
      <c r="D2314" s="1"/>
    </row>
    <row r="2315" spans="1:4">
      <c r="A2315" s="1"/>
      <c r="D2315" s="1"/>
    </row>
    <row r="2316" spans="1:4">
      <c r="A2316" s="1"/>
      <c r="D2316" s="1"/>
    </row>
    <row r="2317" spans="1:4">
      <c r="A2317" s="1"/>
      <c r="D2317" s="1"/>
    </row>
    <row r="2318" spans="1:4">
      <c r="A2318" s="1"/>
      <c r="D2318" s="1"/>
    </row>
    <row r="2319" spans="1:4">
      <c r="A2319" s="1"/>
      <c r="D2319" s="1"/>
    </row>
    <row r="2320" spans="1:4">
      <c r="A2320" s="1"/>
      <c r="D2320" s="1"/>
    </row>
    <row r="2321" spans="1:4">
      <c r="A2321" s="1"/>
      <c r="D2321" s="1"/>
    </row>
    <row r="2322" spans="1:4">
      <c r="A2322" s="1"/>
      <c r="D2322" s="1"/>
    </row>
    <row r="2323" spans="1:4">
      <c r="A2323" s="1"/>
      <c r="D2323" s="1"/>
    </row>
    <row r="2324" spans="1:4">
      <c r="A2324" s="1"/>
      <c r="D2324" s="1"/>
    </row>
    <row r="2325" spans="1:4">
      <c r="A2325" s="1"/>
      <c r="D2325" s="1"/>
    </row>
    <row r="2326" spans="1:4">
      <c r="A2326" s="1"/>
      <c r="D2326" s="1"/>
    </row>
    <row r="2327" spans="1:4">
      <c r="A2327" s="1"/>
      <c r="D2327" s="1"/>
    </row>
    <row r="2328" spans="1:4">
      <c r="A2328" s="1"/>
      <c r="D2328" s="1"/>
    </row>
    <row r="2329" spans="1:4">
      <c r="A2329" s="1"/>
      <c r="D2329" s="1"/>
    </row>
    <row r="2330" spans="1:4">
      <c r="A2330" s="1"/>
      <c r="D2330" s="1"/>
    </row>
    <row r="2331" spans="1:4">
      <c r="A2331" s="1"/>
      <c r="D2331" s="1"/>
    </row>
    <row r="2332" spans="1:4">
      <c r="A2332" s="1"/>
      <c r="D2332" s="1"/>
    </row>
    <row r="2333" spans="1:4">
      <c r="A2333" s="1"/>
      <c r="D2333" s="1"/>
    </row>
    <row r="2334" spans="1:4">
      <c r="A2334" s="1"/>
      <c r="D2334" s="1"/>
    </row>
    <row r="2335" spans="1:4">
      <c r="A2335" s="1"/>
      <c r="D2335" s="1"/>
    </row>
    <row r="2336" spans="1:4">
      <c r="A2336" s="1"/>
      <c r="D2336" s="1"/>
    </row>
    <row r="2337" spans="1:4">
      <c r="A2337" s="1"/>
      <c r="D2337" s="1"/>
    </row>
    <row r="2338" spans="1:4">
      <c r="A2338" s="1"/>
      <c r="D2338" s="1"/>
    </row>
    <row r="2339" spans="1:4">
      <c r="A2339" s="1"/>
      <c r="D2339" s="1"/>
    </row>
    <row r="2340" spans="1:4">
      <c r="A2340" s="1"/>
      <c r="D2340" s="1"/>
    </row>
    <row r="2341" spans="1:4">
      <c r="A2341" s="1"/>
      <c r="D2341" s="1"/>
    </row>
    <row r="2342" spans="1:4">
      <c r="A2342" s="1"/>
      <c r="D2342" s="1"/>
    </row>
    <row r="2343" spans="1:4">
      <c r="A2343" s="1"/>
      <c r="D2343" s="1"/>
    </row>
    <row r="2344" spans="1:4">
      <c r="A2344" s="1"/>
      <c r="D2344" s="1"/>
    </row>
    <row r="2345" spans="1:4">
      <c r="A2345" s="1"/>
      <c r="D2345" s="1"/>
    </row>
    <row r="2346" spans="1:4">
      <c r="A2346" s="1"/>
      <c r="D2346" s="1"/>
    </row>
    <row r="2347" spans="1:4">
      <c r="A2347" s="1"/>
      <c r="D2347" s="1"/>
    </row>
    <row r="2348" spans="1:4">
      <c r="A2348" s="1"/>
      <c r="D2348" s="1"/>
    </row>
    <row r="2349" spans="1:4">
      <c r="A2349" s="1"/>
      <c r="D2349" s="1"/>
    </row>
    <row r="2350" spans="1:4">
      <c r="A2350" s="1"/>
      <c r="D2350" s="1"/>
    </row>
    <row r="2351" spans="1:4">
      <c r="A2351" s="1"/>
      <c r="D2351" s="1"/>
    </row>
    <row r="2352" spans="1:4">
      <c r="A2352" s="1"/>
      <c r="D2352" s="1"/>
    </row>
    <row r="2353" spans="1:4">
      <c r="A2353" s="1"/>
      <c r="D2353" s="1"/>
    </row>
    <row r="2354" spans="1:4">
      <c r="A2354" s="1"/>
      <c r="D2354" s="1"/>
    </row>
    <row r="2355" spans="1:4">
      <c r="A2355" s="1"/>
      <c r="D2355" s="1"/>
    </row>
    <row r="2356" spans="1:4">
      <c r="A2356" s="1"/>
      <c r="D2356" s="1"/>
    </row>
    <row r="2357" spans="1:4">
      <c r="A2357" s="1"/>
      <c r="D2357" s="1"/>
    </row>
    <row r="2358" spans="1:4">
      <c r="A2358" s="1"/>
      <c r="D2358" s="1"/>
    </row>
    <row r="2359" spans="1:4">
      <c r="A2359" s="1"/>
      <c r="D2359" s="1"/>
    </row>
    <row r="2360" spans="1:4">
      <c r="A2360" s="1"/>
      <c r="D2360" s="1"/>
    </row>
    <row r="2361" spans="1:4">
      <c r="A2361" s="1"/>
      <c r="D2361" s="1"/>
    </row>
    <row r="2362" spans="1:4">
      <c r="A2362" s="1"/>
      <c r="D2362" s="1"/>
    </row>
    <row r="2363" spans="1:4">
      <c r="A2363" s="1"/>
      <c r="D2363" s="1"/>
    </row>
    <row r="2364" spans="1:4">
      <c r="A2364" s="1"/>
      <c r="D2364" s="1"/>
    </row>
    <row r="2365" spans="1:4">
      <c r="A2365" s="1"/>
      <c r="D2365" s="1"/>
    </row>
    <row r="2366" spans="1:4">
      <c r="A2366" s="1"/>
      <c r="D2366" s="1"/>
    </row>
    <row r="2367" spans="1:4">
      <c r="A2367" s="1"/>
      <c r="D2367" s="1"/>
    </row>
    <row r="2368" spans="1:4">
      <c r="A2368" s="1"/>
      <c r="D2368" s="1"/>
    </row>
    <row r="2369" spans="1:4">
      <c r="A2369" s="1"/>
      <c r="D2369" s="1"/>
    </row>
    <row r="2370" spans="1:4">
      <c r="A2370" s="1"/>
      <c r="D2370" s="1"/>
    </row>
    <row r="2371" spans="1:4">
      <c r="A2371" s="1"/>
      <c r="D2371" s="1"/>
    </row>
    <row r="2372" spans="1:4">
      <c r="A2372" s="1"/>
      <c r="D2372" s="1"/>
    </row>
    <row r="2373" spans="1:4">
      <c r="A2373" s="1"/>
      <c r="D2373" s="1"/>
    </row>
    <row r="2374" spans="1:4">
      <c r="A2374" s="1"/>
      <c r="D2374" s="1"/>
    </row>
    <row r="2375" spans="1:4">
      <c r="A2375" s="1"/>
      <c r="D2375" s="1"/>
    </row>
    <row r="2376" spans="1:4">
      <c r="A2376" s="1"/>
      <c r="D2376" s="1"/>
    </row>
    <row r="2377" spans="1:4">
      <c r="A2377" s="1"/>
      <c r="D2377" s="1"/>
    </row>
    <row r="2378" spans="1:4">
      <c r="A2378" s="1"/>
      <c r="D2378" s="1"/>
    </row>
    <row r="2379" spans="1:4">
      <c r="A2379" s="1"/>
      <c r="D2379" s="1"/>
    </row>
    <row r="2380" spans="1:4">
      <c r="A2380" s="1"/>
      <c r="D2380" s="1"/>
    </row>
    <row r="2381" spans="1:4">
      <c r="A2381" s="1"/>
      <c r="D2381" s="1"/>
    </row>
    <row r="2382" spans="1:4">
      <c r="A2382" s="1"/>
      <c r="D2382" s="1"/>
    </row>
    <row r="2383" spans="1:4">
      <c r="A2383" s="1"/>
      <c r="D2383" s="1"/>
    </row>
    <row r="2384" spans="1:4">
      <c r="A2384" s="1"/>
      <c r="D2384" s="1"/>
    </row>
    <row r="2385" spans="1:4">
      <c r="A2385" s="1"/>
      <c r="D2385" s="1"/>
    </row>
    <row r="2386" spans="1:4">
      <c r="A2386" s="1"/>
      <c r="D2386" s="1"/>
    </row>
    <row r="2387" spans="1:4">
      <c r="A2387" s="1"/>
      <c r="D2387" s="1"/>
    </row>
    <row r="2388" spans="1:4">
      <c r="A2388" s="1"/>
      <c r="D2388" s="1"/>
    </row>
    <row r="2389" spans="1:4">
      <c r="A2389" s="1"/>
      <c r="D2389" s="1"/>
    </row>
    <row r="2390" spans="1:4">
      <c r="A2390" s="1"/>
      <c r="D2390" s="1"/>
    </row>
    <row r="2391" spans="1:4">
      <c r="A2391" s="1"/>
      <c r="D2391" s="1"/>
    </row>
    <row r="2392" spans="1:4">
      <c r="A2392" s="1"/>
      <c r="D2392" s="1"/>
    </row>
    <row r="2393" spans="1:4">
      <c r="A2393" s="1"/>
      <c r="D2393" s="1"/>
    </row>
    <row r="2394" spans="1:4">
      <c r="A2394" s="1"/>
      <c r="D2394" s="1"/>
    </row>
    <row r="2395" spans="1:4">
      <c r="A2395" s="1"/>
      <c r="D2395" s="1"/>
    </row>
    <row r="2396" spans="1:4">
      <c r="A2396" s="1"/>
      <c r="D2396" s="1"/>
    </row>
    <row r="2397" spans="1:4">
      <c r="A2397" s="1"/>
      <c r="D2397" s="1"/>
    </row>
    <row r="2398" spans="1:4">
      <c r="A2398" s="1"/>
      <c r="D2398" s="1"/>
    </row>
    <row r="2399" spans="1:4">
      <c r="A2399" s="1"/>
      <c r="D2399" s="1"/>
    </row>
    <row r="2400" spans="1:4">
      <c r="A2400" s="1"/>
      <c r="D2400" s="1"/>
    </row>
    <row r="2401" spans="1:4">
      <c r="A2401" s="1"/>
      <c r="D2401" s="1"/>
    </row>
    <row r="2402" spans="1:4">
      <c r="A2402" s="1"/>
      <c r="D2402" s="1"/>
    </row>
    <row r="2403" spans="1:4">
      <c r="A2403" s="1"/>
      <c r="D2403" s="1"/>
    </row>
    <row r="2404" spans="1:4">
      <c r="A2404" s="1"/>
      <c r="D2404" s="1"/>
    </row>
    <row r="2405" spans="1:4">
      <c r="A2405" s="1"/>
      <c r="D2405" s="1"/>
    </row>
    <row r="2406" spans="1:4">
      <c r="A2406" s="1"/>
      <c r="D2406" s="1"/>
    </row>
    <row r="2407" spans="1:4">
      <c r="A2407" s="1"/>
      <c r="D2407" s="1"/>
    </row>
    <row r="2408" spans="1:4">
      <c r="A2408" s="1"/>
      <c r="D2408" s="1"/>
    </row>
    <row r="2409" spans="1:4">
      <c r="A2409" s="1"/>
      <c r="D2409" s="1"/>
    </row>
    <row r="2410" spans="1:4">
      <c r="A2410" s="1"/>
      <c r="D2410" s="1"/>
    </row>
    <row r="2411" spans="1:4">
      <c r="A2411" s="1"/>
      <c r="D2411" s="1"/>
    </row>
    <row r="2412" spans="1:4">
      <c r="A2412" s="1"/>
      <c r="D2412" s="1"/>
    </row>
    <row r="2413" spans="1:4">
      <c r="A2413" s="1"/>
      <c r="D2413" s="1"/>
    </row>
    <row r="2414" spans="1:4">
      <c r="A2414" s="1"/>
      <c r="D2414" s="1"/>
    </row>
    <row r="2415" spans="1:4">
      <c r="A2415" s="1"/>
      <c r="D2415" s="1"/>
    </row>
    <row r="2416" spans="1:4">
      <c r="A2416" s="1"/>
      <c r="D2416" s="1"/>
    </row>
    <row r="2417" spans="1:4">
      <c r="A2417" s="1"/>
      <c r="D2417" s="1"/>
    </row>
    <row r="2418" spans="1:4">
      <c r="A2418" s="1"/>
      <c r="D2418" s="1"/>
    </row>
    <row r="2419" spans="1:4">
      <c r="A2419" s="1"/>
      <c r="D2419" s="1"/>
    </row>
    <row r="2420" spans="1:4">
      <c r="A2420" s="1"/>
      <c r="D2420" s="1"/>
    </row>
    <row r="2421" spans="1:4">
      <c r="A2421" s="1"/>
      <c r="D2421" s="1"/>
    </row>
    <row r="2422" spans="1:4">
      <c r="A2422" s="1"/>
      <c r="D2422" s="1"/>
    </row>
    <row r="2423" spans="1:4">
      <c r="A2423" s="1"/>
      <c r="D2423" s="1"/>
    </row>
    <row r="2424" spans="1:4">
      <c r="A2424" s="1"/>
      <c r="D2424" s="1"/>
    </row>
    <row r="2425" spans="1:4">
      <c r="A2425" s="1"/>
      <c r="D2425" s="1"/>
    </row>
    <row r="2426" spans="1:4">
      <c r="A2426" s="1"/>
      <c r="D2426" s="1"/>
    </row>
    <row r="2427" spans="1:4">
      <c r="A2427" s="1"/>
      <c r="D2427" s="1"/>
    </row>
    <row r="2428" spans="1:4">
      <c r="A2428" s="1"/>
      <c r="D2428" s="1"/>
    </row>
    <row r="2429" spans="1:4">
      <c r="A2429" s="1"/>
      <c r="D2429" s="1"/>
    </row>
    <row r="2430" spans="1:4">
      <c r="A2430" s="1"/>
      <c r="D2430" s="1"/>
    </row>
    <row r="2431" spans="1:4">
      <c r="A2431" s="1"/>
      <c r="D2431" s="1"/>
    </row>
    <row r="2432" spans="1:4">
      <c r="A2432" s="1"/>
      <c r="D2432" s="1"/>
    </row>
    <row r="2433" spans="1:4">
      <c r="A2433" s="1"/>
      <c r="D2433" s="1"/>
    </row>
    <row r="2434" spans="1:4">
      <c r="A2434" s="1"/>
      <c r="D2434" s="1"/>
    </row>
    <row r="2435" spans="1:4">
      <c r="A2435" s="1"/>
      <c r="D2435" s="1"/>
    </row>
    <row r="2436" spans="1:4">
      <c r="A2436" s="1"/>
      <c r="D2436" s="1"/>
    </row>
    <row r="2437" spans="1:4">
      <c r="A2437" s="1"/>
      <c r="D2437" s="1"/>
    </row>
    <row r="2438" spans="1:4">
      <c r="A2438" s="1"/>
      <c r="D2438" s="1"/>
    </row>
    <row r="2439" spans="1:4">
      <c r="A2439" s="1"/>
      <c r="D2439" s="1"/>
    </row>
    <row r="2440" spans="1:4">
      <c r="A2440" s="1"/>
      <c r="D2440" s="1"/>
    </row>
    <row r="2441" spans="1:4">
      <c r="A2441" s="1"/>
      <c r="D2441" s="1"/>
    </row>
    <row r="2442" spans="1:4">
      <c r="A2442" s="1"/>
      <c r="D2442" s="1"/>
    </row>
    <row r="2443" spans="1:4">
      <c r="A2443" s="1"/>
      <c r="D2443" s="1"/>
    </row>
    <row r="2444" spans="1:4">
      <c r="A2444" s="1"/>
      <c r="D2444" s="1"/>
    </row>
    <row r="2445" spans="1:4">
      <c r="A2445" s="1"/>
      <c r="D2445" s="1"/>
    </row>
    <row r="2446" spans="1:4">
      <c r="A2446" s="1"/>
      <c r="D2446" s="1"/>
    </row>
    <row r="2447" spans="1:4">
      <c r="A2447" s="1"/>
      <c r="D2447" s="1"/>
    </row>
    <row r="2448" spans="1:4">
      <c r="A2448" s="1"/>
      <c r="D2448" s="1"/>
    </row>
    <row r="2449" spans="1:4">
      <c r="A2449" s="1"/>
      <c r="D2449" s="1"/>
    </row>
    <row r="2450" spans="1:4">
      <c r="A2450" s="1"/>
      <c r="D2450" s="1"/>
    </row>
    <row r="2451" spans="1:4">
      <c r="A2451" s="1"/>
      <c r="D2451" s="1"/>
    </row>
    <row r="2452" spans="1:4">
      <c r="A2452" s="1"/>
      <c r="D2452" s="1"/>
    </row>
    <row r="2453" spans="1:4">
      <c r="A2453" s="1"/>
      <c r="D2453" s="1"/>
    </row>
    <row r="2454" spans="1:4">
      <c r="A2454" s="1"/>
      <c r="D2454" s="1"/>
    </row>
    <row r="2455" spans="1:4">
      <c r="A2455" s="1"/>
      <c r="D2455" s="1"/>
    </row>
    <row r="2456" spans="1:4">
      <c r="A2456" s="1"/>
      <c r="D2456" s="1"/>
    </row>
    <row r="2457" spans="1:4">
      <c r="A2457" s="1"/>
      <c r="D2457" s="1"/>
    </row>
    <row r="2458" spans="1:4">
      <c r="A2458" s="1"/>
      <c r="D2458" s="1"/>
    </row>
    <row r="2459" spans="1:4">
      <c r="A2459" s="1"/>
      <c r="D2459" s="1"/>
    </row>
    <row r="2460" spans="1:4">
      <c r="A2460" s="1"/>
      <c r="D2460" s="1"/>
    </row>
    <row r="2461" spans="1:4">
      <c r="A2461" s="1"/>
      <c r="D2461" s="1"/>
    </row>
    <row r="2462" spans="1:4">
      <c r="A2462" s="1"/>
      <c r="D2462" s="1"/>
    </row>
    <row r="2463" spans="1:4">
      <c r="A2463" s="1"/>
      <c r="D2463" s="1"/>
    </row>
    <row r="2464" spans="1:4">
      <c r="A2464" s="1"/>
      <c r="D2464" s="1"/>
    </row>
    <row r="2465" spans="1:4">
      <c r="A2465" s="1"/>
      <c r="D2465" s="1"/>
    </row>
    <row r="2466" spans="1:4">
      <c r="A2466" s="1"/>
      <c r="D2466" s="1"/>
    </row>
    <row r="2467" spans="1:4">
      <c r="A2467" s="1"/>
      <c r="D2467" s="1"/>
    </row>
    <row r="2468" spans="1:4">
      <c r="A2468" s="1"/>
      <c r="D2468" s="1"/>
    </row>
    <row r="2469" spans="1:4">
      <c r="A2469" s="1"/>
      <c r="D2469" s="1"/>
    </row>
    <row r="2470" spans="1:4">
      <c r="A2470" s="1"/>
      <c r="D2470" s="1"/>
    </row>
    <row r="2471" spans="1:4">
      <c r="A2471" s="1"/>
      <c r="D2471" s="1"/>
    </row>
    <row r="2472" spans="1:4">
      <c r="A2472" s="1"/>
      <c r="D2472" s="1"/>
    </row>
    <row r="2473" spans="1:4">
      <c r="A2473" s="1"/>
      <c r="D2473" s="1"/>
    </row>
    <row r="2474" spans="1:4">
      <c r="A2474" s="1"/>
      <c r="D2474" s="1"/>
    </row>
    <row r="2475" spans="1:4">
      <c r="A2475" s="1"/>
      <c r="D2475" s="1"/>
    </row>
    <row r="2476" spans="1:4">
      <c r="A2476" s="1"/>
      <c r="D2476" s="1"/>
    </row>
    <row r="2477" spans="1:4">
      <c r="A2477" s="1"/>
      <c r="D2477" s="1"/>
    </row>
    <row r="2478" spans="1:4">
      <c r="A2478" s="1"/>
      <c r="D2478" s="1"/>
    </row>
    <row r="2479" spans="1:4">
      <c r="A2479" s="1"/>
      <c r="D2479" s="1"/>
    </row>
    <row r="2480" spans="1:4">
      <c r="A2480" s="1"/>
      <c r="D2480" s="1"/>
    </row>
    <row r="2481" spans="1:4">
      <c r="A2481" s="1"/>
      <c r="D2481" s="1"/>
    </row>
    <row r="2482" spans="1:4">
      <c r="A2482" s="1"/>
      <c r="D2482" s="1"/>
    </row>
    <row r="2483" spans="1:4">
      <c r="A2483" s="1"/>
      <c r="D2483" s="1"/>
    </row>
    <row r="2484" spans="1:4">
      <c r="A2484" s="1"/>
      <c r="D2484" s="1"/>
    </row>
    <row r="2485" spans="1:4">
      <c r="A2485" s="1"/>
      <c r="D2485" s="1"/>
    </row>
    <row r="2486" spans="1:4">
      <c r="A2486" s="1"/>
      <c r="D2486" s="1"/>
    </row>
    <row r="2487" spans="1:4">
      <c r="A2487" s="1"/>
      <c r="D2487" s="1"/>
    </row>
    <row r="2488" spans="1:4">
      <c r="A2488" s="1"/>
      <c r="D2488" s="1"/>
    </row>
    <row r="2489" spans="1:4">
      <c r="A2489" s="1"/>
      <c r="D2489" s="1"/>
    </row>
    <row r="2490" spans="1:4">
      <c r="A2490" s="1"/>
      <c r="D2490" s="1"/>
    </row>
    <row r="2491" spans="1:4">
      <c r="A2491" s="1"/>
      <c r="D2491" s="1"/>
    </row>
    <row r="2492" spans="1:4">
      <c r="A2492" s="1"/>
      <c r="D2492" s="1"/>
    </row>
    <row r="2493" spans="1:4">
      <c r="A2493" s="1"/>
      <c r="D2493" s="1"/>
    </row>
    <row r="2494" spans="1:4">
      <c r="A2494" s="1"/>
      <c r="D2494" s="1"/>
    </row>
    <row r="2495" spans="1:4">
      <c r="A2495" s="1"/>
      <c r="D2495" s="1"/>
    </row>
    <row r="2496" spans="1:4">
      <c r="A2496" s="1"/>
      <c r="D2496" s="1"/>
    </row>
    <row r="2497" spans="1:4">
      <c r="A2497" s="1"/>
      <c r="D2497" s="1"/>
    </row>
    <row r="2498" spans="1:4">
      <c r="A2498" s="1"/>
      <c r="D2498" s="1"/>
    </row>
    <row r="2499" spans="1:4">
      <c r="A2499" s="1"/>
      <c r="D2499" s="1"/>
    </row>
    <row r="2500" spans="1:4">
      <c r="A2500" s="1"/>
      <c r="D2500" s="1"/>
    </row>
    <row r="2501" spans="1:4">
      <c r="A2501" s="1"/>
      <c r="D2501" s="1"/>
    </row>
    <row r="2502" spans="1:4">
      <c r="A2502" s="1"/>
      <c r="D2502" s="1"/>
    </row>
    <row r="2503" spans="1:4">
      <c r="A2503" s="1"/>
      <c r="D2503" s="1"/>
    </row>
    <row r="2504" spans="1:4">
      <c r="A2504" s="1"/>
      <c r="D2504" s="1"/>
    </row>
    <row r="2505" spans="1:4">
      <c r="A2505" s="1"/>
      <c r="D2505" s="1"/>
    </row>
    <row r="2506" spans="1:4">
      <c r="A2506" s="1"/>
      <c r="D2506" s="1"/>
    </row>
    <row r="2507" spans="1:4">
      <c r="A2507" s="1"/>
      <c r="D2507" s="1"/>
    </row>
    <row r="2508" spans="1:4">
      <c r="A2508" s="1"/>
      <c r="D2508" s="1"/>
    </row>
    <row r="2509" spans="1:4">
      <c r="A2509" s="1"/>
      <c r="D2509" s="1"/>
    </row>
    <row r="2510" spans="1:4">
      <c r="A2510" s="1"/>
      <c r="D2510" s="1"/>
    </row>
    <row r="2511" spans="1:4">
      <c r="A2511" s="1"/>
      <c r="D2511" s="1"/>
    </row>
    <row r="2512" spans="1:4">
      <c r="A2512" s="1"/>
      <c r="D2512" s="1"/>
    </row>
    <row r="2513" spans="1:4">
      <c r="A2513" s="1"/>
      <c r="D2513" s="1"/>
    </row>
    <row r="2514" spans="1:4">
      <c r="A2514" s="1"/>
      <c r="D2514" s="1"/>
    </row>
    <row r="2515" spans="1:4">
      <c r="A2515" s="1"/>
      <c r="D2515" s="1"/>
    </row>
    <row r="2516" spans="1:4">
      <c r="A2516" s="1"/>
      <c r="D2516" s="1"/>
    </row>
    <row r="2517" spans="1:4">
      <c r="A2517" s="1"/>
      <c r="D2517" s="1"/>
    </row>
    <row r="2518" spans="1:4">
      <c r="A2518" s="1"/>
      <c r="D2518" s="1"/>
    </row>
    <row r="2519" spans="1:4">
      <c r="A2519" s="1"/>
      <c r="D2519" s="1"/>
    </row>
    <row r="2520" spans="1:4">
      <c r="A2520" s="1"/>
      <c r="D2520" s="1"/>
    </row>
    <row r="2521" spans="1:4">
      <c r="A2521" s="1"/>
      <c r="D2521" s="1"/>
    </row>
    <row r="2522" spans="1:4">
      <c r="A2522" s="1"/>
      <c r="D2522" s="1"/>
    </row>
    <row r="2523" spans="1:4">
      <c r="A2523" s="1"/>
      <c r="D2523" s="1"/>
    </row>
    <row r="2524" spans="1:4">
      <c r="A2524" s="1"/>
      <c r="D2524" s="1"/>
    </row>
    <row r="2525" spans="1:4">
      <c r="A2525" s="1"/>
      <c r="D2525" s="1"/>
    </row>
    <row r="2526" spans="1:4">
      <c r="A2526" s="1"/>
      <c r="D2526" s="1"/>
    </row>
    <row r="2527" spans="1:4">
      <c r="A2527" s="1"/>
      <c r="D2527" s="1"/>
    </row>
    <row r="2528" spans="1:4">
      <c r="A2528" s="1"/>
      <c r="D2528" s="1"/>
    </row>
    <row r="2529" spans="1:4">
      <c r="A2529" s="1"/>
      <c r="D2529" s="1"/>
    </row>
    <row r="2530" spans="1:4">
      <c r="A2530" s="1"/>
      <c r="D2530" s="1"/>
    </row>
    <row r="2531" spans="1:4">
      <c r="A2531" s="1"/>
      <c r="D2531" s="1"/>
    </row>
    <row r="2532" spans="1:4">
      <c r="A2532" s="1"/>
      <c r="D2532" s="1"/>
    </row>
    <row r="2533" spans="1:4">
      <c r="A2533" s="1"/>
      <c r="D2533" s="1"/>
    </row>
    <row r="2534" spans="1:4">
      <c r="A2534" s="1"/>
      <c r="D2534" s="1"/>
    </row>
    <row r="2535" spans="1:4">
      <c r="A2535" s="1"/>
      <c r="D2535" s="1"/>
    </row>
    <row r="2536" spans="1:4">
      <c r="A2536" s="1"/>
      <c r="D2536" s="1"/>
    </row>
    <row r="2537" spans="1:4">
      <c r="A2537" s="1"/>
      <c r="D2537" s="1"/>
    </row>
    <row r="2538" spans="1:4">
      <c r="A2538" s="1"/>
      <c r="D2538" s="1"/>
    </row>
    <row r="2539" spans="1:4">
      <c r="A2539" s="1"/>
      <c r="D2539" s="1"/>
    </row>
    <row r="2540" spans="1:4">
      <c r="A2540" s="1"/>
      <c r="D2540" s="1"/>
    </row>
    <row r="2541" spans="1:4">
      <c r="A2541" s="1"/>
      <c r="D2541" s="1"/>
    </row>
    <row r="2542" spans="1:4">
      <c r="A2542" s="1"/>
      <c r="D2542" s="1"/>
    </row>
    <row r="2543" spans="1:4">
      <c r="A2543" s="1"/>
      <c r="D2543" s="1"/>
    </row>
    <row r="2544" spans="1:4">
      <c r="A2544" s="1"/>
      <c r="D2544" s="1"/>
    </row>
    <row r="2545" spans="1:4">
      <c r="A2545" s="1"/>
      <c r="D2545" s="1"/>
    </row>
    <row r="2546" spans="1:4">
      <c r="A2546" s="1"/>
      <c r="D2546" s="1"/>
    </row>
    <row r="2547" spans="1:4">
      <c r="A2547" s="1"/>
      <c r="D2547" s="1"/>
    </row>
    <row r="2548" spans="1:4">
      <c r="A2548" s="1"/>
      <c r="D2548" s="1"/>
    </row>
    <row r="2549" spans="1:4">
      <c r="A2549" s="1"/>
      <c r="D2549" s="1"/>
    </row>
    <row r="2550" spans="1:4">
      <c r="A2550" s="1"/>
      <c r="D2550" s="1"/>
    </row>
    <row r="2551" spans="1:4">
      <c r="A2551" s="1"/>
      <c r="D2551" s="1"/>
    </row>
    <row r="2552" spans="1:4">
      <c r="A2552" s="1"/>
      <c r="D2552" s="1"/>
    </row>
    <row r="2553" spans="1:4">
      <c r="A2553" s="1"/>
      <c r="D2553" s="1"/>
    </row>
    <row r="2554" spans="1:4">
      <c r="A2554" s="1"/>
      <c r="D2554" s="1"/>
    </row>
    <row r="2555" spans="1:4">
      <c r="A2555" s="1"/>
      <c r="D2555" s="1"/>
    </row>
    <row r="2556" spans="1:4">
      <c r="A2556" s="1"/>
      <c r="D2556" s="1"/>
    </row>
    <row r="2557" spans="1:4">
      <c r="A2557" s="1"/>
      <c r="D2557" s="1"/>
    </row>
    <row r="2558" spans="1:4">
      <c r="A2558" s="1"/>
      <c r="D2558" s="1"/>
    </row>
    <row r="2559" spans="1:4">
      <c r="A2559" s="1"/>
      <c r="D2559" s="1"/>
    </row>
    <row r="2560" spans="1:4">
      <c r="A2560" s="1"/>
      <c r="D2560" s="1"/>
    </row>
    <row r="2561" spans="1:4">
      <c r="A2561" s="1"/>
      <c r="D2561" s="1"/>
    </row>
    <row r="2562" spans="1:4">
      <c r="A2562" s="1"/>
      <c r="D2562" s="1"/>
    </row>
    <row r="2563" spans="1:4">
      <c r="A2563" s="1"/>
      <c r="D2563" s="1"/>
    </row>
    <row r="2564" spans="1:4">
      <c r="A2564" s="1"/>
      <c r="D2564" s="1"/>
    </row>
    <row r="2565" spans="1:4">
      <c r="A2565" s="1"/>
      <c r="D2565" s="1"/>
    </row>
    <row r="2566" spans="1:4">
      <c r="A2566" s="1"/>
      <c r="D2566" s="1"/>
    </row>
    <row r="2567" spans="1:4">
      <c r="A2567" s="1"/>
      <c r="D2567" s="1"/>
    </row>
    <row r="2568" spans="1:4">
      <c r="A2568" s="1"/>
      <c r="D2568" s="1"/>
    </row>
    <row r="2569" spans="1:4">
      <c r="A2569" s="1"/>
      <c r="D2569" s="1"/>
    </row>
    <row r="2570" spans="1:4">
      <c r="A2570" s="1"/>
      <c r="D2570" s="1"/>
    </row>
    <row r="2571" spans="1:4">
      <c r="A2571" s="1"/>
      <c r="D2571" s="1"/>
    </row>
    <row r="2572" spans="1:4">
      <c r="A2572" s="1"/>
      <c r="D2572" s="1"/>
    </row>
    <row r="2573" spans="1:4">
      <c r="A2573" s="1"/>
      <c r="D2573" s="1"/>
    </row>
    <row r="2574" spans="1:4">
      <c r="A2574" s="1"/>
      <c r="D2574" s="1"/>
    </row>
    <row r="2575" spans="1:4">
      <c r="A2575" s="1"/>
      <c r="D2575" s="1"/>
    </row>
    <row r="2576" spans="1:4">
      <c r="A2576" s="1"/>
      <c r="D2576" s="1"/>
    </row>
    <row r="2577" spans="1:4">
      <c r="A2577" s="1"/>
      <c r="D2577" s="1"/>
    </row>
    <row r="2578" spans="1:4">
      <c r="A2578" s="1"/>
      <c r="D2578" s="1"/>
    </row>
    <row r="2579" spans="1:4">
      <c r="A2579" s="1"/>
      <c r="D2579" s="1"/>
    </row>
    <row r="2580" spans="1:4">
      <c r="A2580" s="1"/>
      <c r="D2580" s="1"/>
    </row>
    <row r="2581" spans="1:4">
      <c r="A2581" s="1"/>
      <c r="D2581" s="1"/>
    </row>
    <row r="2582" spans="1:4">
      <c r="A2582" s="1"/>
      <c r="D2582" s="1"/>
    </row>
    <row r="2583" spans="1:4">
      <c r="A2583" s="1"/>
      <c r="D2583" s="1"/>
    </row>
    <row r="2584" spans="1:4">
      <c r="A2584" s="1"/>
      <c r="D2584" s="1"/>
    </row>
    <row r="2585" spans="1:4">
      <c r="A2585" s="1"/>
      <c r="D2585" s="1"/>
    </row>
    <row r="2586" spans="1:4">
      <c r="A2586" s="1"/>
      <c r="D2586" s="1"/>
    </row>
    <row r="2587" spans="1:4">
      <c r="A2587" s="1"/>
      <c r="D2587" s="1"/>
    </row>
    <row r="2588" spans="1:4">
      <c r="A2588" s="1"/>
      <c r="D2588" s="1"/>
    </row>
    <row r="2589" spans="1:4">
      <c r="A2589" s="1"/>
      <c r="D2589" s="1"/>
    </row>
    <row r="2590" spans="1:4">
      <c r="A2590" s="1"/>
      <c r="D2590" s="1"/>
    </row>
    <row r="2591" spans="1:4">
      <c r="A2591" s="1"/>
      <c r="D2591" s="1"/>
    </row>
    <row r="2592" spans="1:4">
      <c r="A2592" s="1"/>
      <c r="D2592" s="1"/>
    </row>
    <row r="2593" spans="1:4">
      <c r="A2593" s="1"/>
      <c r="D2593" s="1"/>
    </row>
    <row r="2594" spans="1:4">
      <c r="A2594" s="1"/>
      <c r="D2594" s="1"/>
    </row>
    <row r="2595" spans="1:4">
      <c r="A2595" s="1"/>
      <c r="D2595" s="1"/>
    </row>
    <row r="2596" spans="1:4">
      <c r="A2596" s="1"/>
      <c r="D2596" s="1"/>
    </row>
    <row r="2597" spans="1:4">
      <c r="A2597" s="1"/>
      <c r="D2597" s="1"/>
    </row>
    <row r="2598" spans="1:4">
      <c r="A2598" s="1"/>
      <c r="D2598" s="1"/>
    </row>
    <row r="2599" spans="1:4">
      <c r="A2599" s="1"/>
      <c r="D2599" s="1"/>
    </row>
    <row r="2600" spans="1:4">
      <c r="A2600" s="1"/>
      <c r="D2600" s="1"/>
    </row>
    <row r="2601" spans="1:4">
      <c r="A2601" s="1"/>
      <c r="D2601" s="1"/>
    </row>
    <row r="2602" spans="1:4">
      <c r="A2602" s="1"/>
      <c r="D2602" s="1"/>
    </row>
    <row r="2603" spans="1:4">
      <c r="A2603" s="1"/>
      <c r="D2603" s="1"/>
    </row>
    <row r="2604" spans="1:4">
      <c r="A2604" s="1"/>
      <c r="D2604" s="1"/>
    </row>
    <row r="2605" spans="1:4">
      <c r="A2605" s="1"/>
      <c r="D2605" s="1"/>
    </row>
    <row r="2606" spans="1:4">
      <c r="A2606" s="1"/>
      <c r="D2606" s="1"/>
    </row>
    <row r="2607" spans="1:4">
      <c r="A2607" s="1"/>
      <c r="D2607" s="1"/>
    </row>
    <row r="2608" spans="1:4">
      <c r="A2608" s="1"/>
      <c r="D2608" s="1"/>
    </row>
    <row r="2609" spans="1:4">
      <c r="A2609" s="1"/>
      <c r="D2609" s="1"/>
    </row>
    <row r="2610" spans="1:4">
      <c r="A2610" s="1"/>
      <c r="D2610" s="1"/>
    </row>
    <row r="2611" spans="1:4">
      <c r="A2611" s="1"/>
      <c r="D2611" s="1"/>
    </row>
    <row r="2612" spans="1:4">
      <c r="A2612" s="1"/>
      <c r="D2612" s="1"/>
    </row>
    <row r="2613" spans="1:4">
      <c r="A2613" s="1"/>
      <c r="D2613" s="1"/>
    </row>
    <row r="2614" spans="1:4">
      <c r="A2614" s="1"/>
      <c r="D2614" s="1"/>
    </row>
    <row r="2615" spans="1:4">
      <c r="A2615" s="1"/>
      <c r="D2615" s="1"/>
    </row>
    <row r="2616" spans="1:4">
      <c r="A2616" s="1"/>
      <c r="D2616" s="1"/>
    </row>
    <row r="2617" spans="1:4">
      <c r="A2617" s="1"/>
      <c r="D2617" s="1"/>
    </row>
    <row r="2618" spans="1:4">
      <c r="A2618" s="1"/>
      <c r="D2618" s="1"/>
    </row>
    <row r="2619" spans="1:4">
      <c r="A2619" s="1"/>
      <c r="D2619" s="1"/>
    </row>
    <row r="2620" spans="1:4">
      <c r="A2620" s="1"/>
      <c r="D2620" s="1"/>
    </row>
    <row r="2621" spans="1:4">
      <c r="A2621" s="1"/>
      <c r="D2621" s="1"/>
    </row>
    <row r="2622" spans="1:4">
      <c r="A2622" s="1"/>
      <c r="D2622" s="1"/>
    </row>
    <row r="2623" spans="1:4">
      <c r="A2623" s="1"/>
      <c r="D2623" s="1"/>
    </row>
    <row r="2624" spans="1:4">
      <c r="A2624" s="1"/>
      <c r="D2624" s="1"/>
    </row>
    <row r="2625" spans="1:4">
      <c r="A2625" s="1"/>
      <c r="D2625" s="1"/>
    </row>
    <row r="2626" spans="1:4">
      <c r="A2626" s="1"/>
      <c r="D2626" s="1"/>
    </row>
    <row r="2627" spans="1:4">
      <c r="A2627" s="1"/>
      <c r="D2627" s="1"/>
    </row>
    <row r="2628" spans="1:4">
      <c r="A2628" s="1"/>
      <c r="D2628" s="1"/>
    </row>
    <row r="2629" spans="1:4">
      <c r="A2629" s="1"/>
      <c r="D2629" s="1"/>
    </row>
    <row r="2630" spans="1:4">
      <c r="A2630" s="1"/>
      <c r="D2630" s="1"/>
    </row>
    <row r="2631" spans="1:4">
      <c r="A2631" s="1"/>
      <c r="D2631" s="1"/>
    </row>
    <row r="2632" spans="1:4">
      <c r="A2632" s="1"/>
      <c r="D2632" s="1"/>
    </row>
    <row r="2633" spans="1:4">
      <c r="A2633" s="1"/>
      <c r="D2633" s="1"/>
    </row>
    <row r="2634" spans="1:4">
      <c r="A2634" s="1"/>
      <c r="D2634" s="1"/>
    </row>
    <row r="2635" spans="1:4">
      <c r="A2635" s="1"/>
      <c r="D2635" s="1"/>
    </row>
    <row r="2636" spans="1:4">
      <c r="A2636" s="1"/>
      <c r="D2636" s="1"/>
    </row>
    <row r="2637" spans="1:4">
      <c r="A2637" s="1"/>
      <c r="D2637" s="1"/>
    </row>
    <row r="2638" spans="1:4">
      <c r="A2638" s="1"/>
      <c r="D2638" s="1"/>
    </row>
    <row r="2639" spans="1:4">
      <c r="A2639" s="1"/>
      <c r="D2639" s="1"/>
    </row>
    <row r="2640" spans="1:4">
      <c r="A2640" s="1"/>
      <c r="D2640" s="1"/>
    </row>
    <row r="2641" spans="1:4">
      <c r="A2641" s="1"/>
      <c r="D2641" s="1"/>
    </row>
    <row r="2642" spans="1:4">
      <c r="A2642" s="1"/>
      <c r="D2642" s="1"/>
    </row>
    <row r="2643" spans="1:4">
      <c r="A2643" s="1"/>
      <c r="D2643" s="1"/>
    </row>
    <row r="2644" spans="1:4">
      <c r="A2644" s="1"/>
      <c r="D2644" s="1"/>
    </row>
    <row r="2645" spans="1:4">
      <c r="A2645" s="1"/>
      <c r="D2645" s="1"/>
    </row>
    <row r="2646" spans="1:4">
      <c r="A2646" s="1"/>
      <c r="D2646" s="1"/>
    </row>
    <row r="2647" spans="1:4">
      <c r="A2647" s="1"/>
      <c r="D2647" s="1"/>
    </row>
    <row r="2648" spans="1:4">
      <c r="A2648" s="1"/>
      <c r="D2648" s="1"/>
    </row>
    <row r="2649" spans="1:4">
      <c r="A2649" s="1"/>
      <c r="D2649" s="1"/>
    </row>
    <row r="2650" spans="1:4">
      <c r="A2650" s="1"/>
      <c r="D2650" s="1"/>
    </row>
    <row r="2651" spans="1:4">
      <c r="A2651" s="1"/>
      <c r="D2651" s="1"/>
    </row>
    <row r="2652" spans="1:4">
      <c r="A2652" s="1"/>
      <c r="D2652" s="1"/>
    </row>
    <row r="2653" spans="1:4">
      <c r="A2653" s="1"/>
      <c r="D2653" s="1"/>
    </row>
    <row r="2654" spans="1:4">
      <c r="A2654" s="1"/>
      <c r="D2654" s="1"/>
    </row>
    <row r="2655" spans="1:4">
      <c r="A2655" s="1"/>
      <c r="D2655" s="1"/>
    </row>
    <row r="2656" spans="1:4">
      <c r="A2656" s="1"/>
      <c r="D2656" s="1"/>
    </row>
    <row r="2657" spans="1:4">
      <c r="A2657" s="1"/>
      <c r="D2657" s="1"/>
    </row>
    <row r="2658" spans="1:4">
      <c r="A2658" s="1"/>
      <c r="D2658" s="1"/>
    </row>
    <row r="2659" spans="1:4">
      <c r="A2659" s="1"/>
      <c r="D2659" s="1"/>
    </row>
    <row r="2660" spans="1:4">
      <c r="A2660" s="1"/>
      <c r="D2660" s="1"/>
    </row>
    <row r="2661" spans="1:4">
      <c r="A2661" s="1"/>
      <c r="D2661" s="1"/>
    </row>
    <row r="2662" spans="1:4">
      <c r="A2662" s="1"/>
      <c r="D2662" s="1"/>
    </row>
    <row r="2663" spans="1:4">
      <c r="A2663" s="1"/>
      <c r="D2663" s="1"/>
    </row>
    <row r="2664" spans="1:4">
      <c r="A2664" s="1"/>
      <c r="D2664" s="1"/>
    </row>
    <row r="2665" spans="1:4">
      <c r="A2665" s="1"/>
      <c r="D2665" s="1"/>
    </row>
    <row r="2666" spans="1:4">
      <c r="A2666" s="1"/>
      <c r="D2666" s="1"/>
    </row>
    <row r="2667" spans="1:4">
      <c r="A2667" s="1"/>
      <c r="D2667" s="1"/>
    </row>
    <row r="2668" spans="1:4">
      <c r="A2668" s="1"/>
      <c r="D2668" s="1"/>
    </row>
    <row r="2669" spans="1:4">
      <c r="A2669" s="1"/>
      <c r="D2669" s="1"/>
    </row>
    <row r="2670" spans="1:4">
      <c r="A2670" s="1"/>
      <c r="D2670" s="1"/>
    </row>
    <row r="2671" spans="1:4">
      <c r="A2671" s="1"/>
      <c r="D2671" s="1"/>
    </row>
    <row r="2672" spans="1:4">
      <c r="A2672" s="1"/>
      <c r="D2672" s="1"/>
    </row>
    <row r="2673" spans="1:4">
      <c r="A2673" s="1"/>
      <c r="D2673" s="1"/>
    </row>
    <row r="2674" spans="1:4">
      <c r="A2674" s="1"/>
      <c r="D2674" s="1"/>
    </row>
    <row r="2675" spans="1:4">
      <c r="A2675" s="1"/>
      <c r="D2675" s="1"/>
    </row>
    <row r="2676" spans="1:4">
      <c r="A2676" s="1"/>
      <c r="D2676" s="1"/>
    </row>
    <row r="2677" spans="1:4">
      <c r="A2677" s="1"/>
      <c r="D2677" s="1"/>
    </row>
    <row r="2678" spans="1:4">
      <c r="A2678" s="1"/>
      <c r="D2678" s="1"/>
    </row>
    <row r="2679" spans="1:4">
      <c r="A2679" s="1"/>
      <c r="D2679" s="1"/>
    </row>
    <row r="2680" spans="1:4">
      <c r="A2680" s="1"/>
      <c r="D2680" s="1"/>
    </row>
    <row r="2681" spans="1:4">
      <c r="A2681" s="1"/>
      <c r="D2681" s="1"/>
    </row>
    <row r="2682" spans="1:4">
      <c r="A2682" s="1"/>
      <c r="D2682" s="1"/>
    </row>
    <row r="2683" spans="1:4">
      <c r="A2683" s="1"/>
      <c r="D2683" s="1"/>
    </row>
    <row r="2684" spans="1:4">
      <c r="A2684" s="1"/>
      <c r="D2684" s="1"/>
    </row>
    <row r="2685" spans="1:4">
      <c r="A2685" s="1"/>
      <c r="D2685" s="1"/>
    </row>
    <row r="2686" spans="1:4">
      <c r="A2686" s="1"/>
      <c r="D2686" s="1"/>
    </row>
    <row r="2687" spans="1:4">
      <c r="A2687" s="1"/>
      <c r="D2687" s="1"/>
    </row>
    <row r="2688" spans="1:4">
      <c r="A2688" s="1"/>
      <c r="D2688" s="1"/>
    </row>
    <row r="2689" spans="1:4">
      <c r="A2689" s="1"/>
      <c r="D2689" s="1"/>
    </row>
    <row r="2690" spans="1:4">
      <c r="A2690" s="1"/>
      <c r="D2690" s="1"/>
    </row>
    <row r="2691" spans="1:4">
      <c r="A2691" s="1"/>
      <c r="D2691" s="1"/>
    </row>
    <row r="2692" spans="1:4">
      <c r="A2692" s="1"/>
      <c r="D2692" s="1"/>
    </row>
    <row r="2693" spans="1:4">
      <c r="A2693" s="1"/>
      <c r="D2693" s="1"/>
    </row>
    <row r="2694" spans="1:4">
      <c r="A2694" s="1"/>
      <c r="D2694" s="1"/>
    </row>
    <row r="2695" spans="1:4">
      <c r="A2695" s="1"/>
      <c r="D2695" s="1"/>
    </row>
    <row r="2696" spans="1:4">
      <c r="A2696" s="1"/>
      <c r="D2696" s="1"/>
    </row>
    <row r="2697" spans="1:4">
      <c r="A2697" s="1"/>
      <c r="D2697" s="1"/>
    </row>
    <row r="2698" spans="1:4">
      <c r="A2698" s="1"/>
      <c r="D2698" s="1"/>
    </row>
    <row r="2699" spans="1:4">
      <c r="A2699" s="1"/>
      <c r="D2699" s="1"/>
    </row>
    <row r="2700" spans="1:4">
      <c r="A2700" s="1"/>
      <c r="D2700" s="1"/>
    </row>
    <row r="2701" spans="1:4">
      <c r="A2701" s="1"/>
      <c r="D2701" s="1"/>
    </row>
    <row r="2702" spans="1:4">
      <c r="A2702" s="1"/>
      <c r="D2702" s="1"/>
    </row>
    <row r="2703" spans="1:4">
      <c r="A2703" s="1"/>
      <c r="D2703" s="1"/>
    </row>
    <row r="2704" spans="1:4">
      <c r="A2704" s="1"/>
      <c r="D2704" s="1"/>
    </row>
    <row r="2705" spans="1:4">
      <c r="A2705" s="1"/>
      <c r="D2705" s="1"/>
    </row>
    <row r="2706" spans="1:4">
      <c r="A2706" s="1"/>
      <c r="D2706" s="1"/>
    </row>
    <row r="2707" spans="1:4">
      <c r="A2707" s="1"/>
      <c r="D2707" s="1"/>
    </row>
    <row r="2708" spans="1:4">
      <c r="A2708" s="1"/>
      <c r="D2708" s="1"/>
    </row>
    <row r="2709" spans="1:4">
      <c r="A2709" s="1"/>
      <c r="D2709" s="1"/>
    </row>
    <row r="2710" spans="1:4">
      <c r="A2710" s="1"/>
      <c r="D2710" s="1"/>
    </row>
    <row r="2711" spans="1:4">
      <c r="A2711" s="1"/>
      <c r="D2711" s="1"/>
    </row>
    <row r="2712" spans="1:4">
      <c r="A2712" s="1"/>
      <c r="D2712" s="1"/>
    </row>
    <row r="2713" spans="1:4">
      <c r="A2713" s="1"/>
      <c r="D2713" s="1"/>
    </row>
    <row r="2714" spans="1:4">
      <c r="A2714" s="1"/>
      <c r="D2714" s="1"/>
    </row>
    <row r="2715" spans="1:4">
      <c r="A2715" s="1"/>
      <c r="D2715" s="1"/>
    </row>
    <row r="2716" spans="1:4">
      <c r="A2716" s="1"/>
      <c r="D2716" s="1"/>
    </row>
    <row r="2717" spans="1:4">
      <c r="A2717" s="1"/>
      <c r="D2717" s="1"/>
    </row>
    <row r="2718" spans="1:4">
      <c r="A2718" s="1"/>
      <c r="D2718" s="1"/>
    </row>
    <row r="2719" spans="1:4">
      <c r="A2719" s="1"/>
      <c r="D2719" s="1"/>
    </row>
    <row r="2720" spans="1:4">
      <c r="A2720" s="1"/>
      <c r="D2720" s="1"/>
    </row>
    <row r="2721" spans="1:4">
      <c r="A2721" s="1"/>
      <c r="D2721" s="1"/>
    </row>
    <row r="2722" spans="1:4">
      <c r="A2722" s="1"/>
      <c r="D2722" s="1"/>
    </row>
    <row r="2723" spans="1:4">
      <c r="A2723" s="1"/>
      <c r="D2723" s="1"/>
    </row>
    <row r="2724" spans="1:4">
      <c r="A2724" s="1"/>
      <c r="D2724" s="1"/>
    </row>
    <row r="2725" spans="1:4">
      <c r="A2725" s="1"/>
      <c r="D2725" s="1"/>
    </row>
    <row r="2726" spans="1:4">
      <c r="A2726" s="1"/>
      <c r="D2726" s="1"/>
    </row>
    <row r="2727" spans="1:4">
      <c r="A2727" s="1"/>
      <c r="D2727" s="1"/>
    </row>
    <row r="2728" spans="1:4">
      <c r="A2728" s="1"/>
      <c r="D2728" s="1"/>
    </row>
    <row r="2729" spans="1:4">
      <c r="A2729" s="1"/>
      <c r="D2729" s="1"/>
    </row>
    <row r="2730" spans="1:4">
      <c r="A2730" s="1"/>
      <c r="D2730" s="1"/>
    </row>
    <row r="2731" spans="1:4">
      <c r="A2731" s="1"/>
      <c r="D2731" s="1"/>
    </row>
    <row r="2732" spans="1:4">
      <c r="A2732" s="1"/>
      <c r="D2732" s="1"/>
    </row>
    <row r="2733" spans="1:4">
      <c r="A2733" s="1"/>
      <c r="D2733" s="1"/>
    </row>
    <row r="2734" spans="1:4">
      <c r="A2734" s="1"/>
      <c r="D2734" s="1"/>
    </row>
    <row r="2735" spans="1:4">
      <c r="A2735" s="1"/>
      <c r="D2735" s="1"/>
    </row>
    <row r="2736" spans="1:4">
      <c r="A2736" s="1"/>
      <c r="D2736" s="1"/>
    </row>
    <row r="2737" spans="1:4">
      <c r="A2737" s="1"/>
      <c r="D2737" s="1"/>
    </row>
    <row r="2738" spans="1:4">
      <c r="A2738" s="1"/>
      <c r="D2738" s="1"/>
    </row>
    <row r="2739" spans="1:4">
      <c r="A2739" s="1"/>
      <c r="D2739" s="1"/>
    </row>
    <row r="2740" spans="1:4">
      <c r="A2740" s="1"/>
      <c r="D2740" s="1"/>
    </row>
    <row r="2741" spans="1:4">
      <c r="A2741" s="1"/>
      <c r="D2741" s="1"/>
    </row>
    <row r="2742" spans="1:4">
      <c r="A2742" s="1"/>
      <c r="D2742" s="1"/>
    </row>
    <row r="2743" spans="1:4">
      <c r="A2743" s="1"/>
      <c r="D2743" s="1"/>
    </row>
    <row r="2744" spans="1:4">
      <c r="A2744" s="1"/>
      <c r="D2744" s="1"/>
    </row>
    <row r="2745" spans="1:4">
      <c r="A2745" s="1"/>
      <c r="D2745" s="1"/>
    </row>
    <row r="2746" spans="1:4">
      <c r="A2746" s="1"/>
      <c r="D2746" s="1"/>
    </row>
    <row r="2747" spans="1:4">
      <c r="A2747" s="1"/>
      <c r="D2747" s="1"/>
    </row>
    <row r="2748" spans="1:4">
      <c r="A2748" s="1"/>
      <c r="D2748" s="1"/>
    </row>
    <row r="2749" spans="1:4">
      <c r="A2749" s="1"/>
      <c r="D2749" s="1"/>
    </row>
    <row r="2750" spans="1:4">
      <c r="A2750" s="1"/>
      <c r="D2750" s="1"/>
    </row>
    <row r="2751" spans="1:4">
      <c r="A2751" s="1"/>
      <c r="D2751" s="1"/>
    </row>
    <row r="2752" spans="1:4">
      <c r="A2752" s="1"/>
      <c r="D2752" s="1"/>
    </row>
    <row r="2753" spans="1:4">
      <c r="A2753" s="1"/>
      <c r="D2753" s="1"/>
    </row>
    <row r="2754" spans="1:4">
      <c r="A2754" s="1"/>
      <c r="D2754" s="1"/>
    </row>
    <row r="2755" spans="1:4">
      <c r="A2755" s="1"/>
      <c r="D2755" s="1"/>
    </row>
    <row r="2756" spans="1:4">
      <c r="A2756" s="1"/>
      <c r="D2756" s="1"/>
    </row>
    <row r="2757" spans="1:4">
      <c r="A2757" s="1"/>
      <c r="D2757" s="1"/>
    </row>
    <row r="2758" spans="1:4">
      <c r="A2758" s="1"/>
      <c r="D2758" s="1"/>
    </row>
    <row r="2759" spans="1:4">
      <c r="A2759" s="1"/>
      <c r="D2759" s="1"/>
    </row>
    <row r="2760" spans="1:4">
      <c r="A2760" s="1"/>
      <c r="D2760" s="1"/>
    </row>
    <row r="2761" spans="1:4">
      <c r="A2761" s="1"/>
      <c r="D2761" s="1"/>
    </row>
    <row r="2762" spans="1:4">
      <c r="A2762" s="1"/>
      <c r="D2762" s="1"/>
    </row>
    <row r="2763" spans="1:4">
      <c r="A2763" s="1"/>
      <c r="D2763" s="1"/>
    </row>
    <row r="2764" spans="1:4">
      <c r="A2764" s="1"/>
      <c r="D2764" s="1"/>
    </row>
    <row r="2765" spans="1:4">
      <c r="A2765" s="1"/>
      <c r="D2765" s="1"/>
    </row>
    <row r="2766" spans="1:4">
      <c r="A2766" s="1"/>
      <c r="D2766" s="1"/>
    </row>
    <row r="2767" spans="1:4">
      <c r="A2767" s="1"/>
      <c r="D2767" s="1"/>
    </row>
    <row r="2768" spans="1:4">
      <c r="A2768" s="1"/>
      <c r="D2768" s="1"/>
    </row>
    <row r="2769" spans="1:4">
      <c r="A2769" s="1"/>
      <c r="D2769" s="1"/>
    </row>
    <row r="2770" spans="1:4">
      <c r="A2770" s="1"/>
      <c r="D2770" s="1"/>
    </row>
    <row r="2771" spans="1:4">
      <c r="A2771" s="1"/>
      <c r="D2771" s="1"/>
    </row>
    <row r="2772" spans="1:4">
      <c r="A2772" s="1"/>
      <c r="D2772" s="1"/>
    </row>
    <row r="2773" spans="1:4">
      <c r="A2773" s="1"/>
      <c r="D2773" s="1"/>
    </row>
    <row r="2774" spans="1:4">
      <c r="A2774" s="1"/>
      <c r="D2774" s="1"/>
    </row>
    <row r="2775" spans="1:4">
      <c r="A2775" s="1"/>
      <c r="D2775" s="1"/>
    </row>
    <row r="2776" spans="1:4">
      <c r="A2776" s="1"/>
      <c r="D2776" s="1"/>
    </row>
    <row r="2777" spans="1:4">
      <c r="A2777" s="1"/>
      <c r="D2777" s="1"/>
    </row>
    <row r="2778" spans="1:4">
      <c r="A2778" s="1"/>
      <c r="D2778" s="1"/>
    </row>
    <row r="2779" spans="1:4">
      <c r="A2779" s="1"/>
      <c r="D2779" s="1"/>
    </row>
    <row r="2780" spans="1:4">
      <c r="A2780" s="1"/>
      <c r="D2780" s="1"/>
    </row>
    <row r="2781" spans="1:4">
      <c r="A2781" s="1"/>
      <c r="D2781" s="1"/>
    </row>
  </sheetData>
  <pageMargins left="0.75" right="0.75" top="1" bottom="1" header="0.5" footer="0.5"/>
  <headerFooter alignWithMargins="0"/>
  <drawing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9"/>
  <dimension ref="A1:K2781"/>
  <sheetViews>
    <sheetView workbookViewId="0"/>
  </sheetViews>
  <sheetFormatPr defaultRowHeight="13.2"/>
  <cols>
    <col min="1" max="1" width="9.77734375" bestFit="1" customWidth="1"/>
    <col min="4" max="4" width="9.77734375" bestFit="1" customWidth="1"/>
    <col min="16" max="16" width="11.21875" bestFit="1" customWidth="1"/>
    <col min="17" max="17" width="10.109375" bestFit="1" customWidth="1"/>
    <col min="18" max="20" width="10.109375" customWidth="1"/>
    <col min="21" max="21" width="12.5546875" bestFit="1" customWidth="1"/>
    <col min="22" max="22" width="9.5546875" bestFit="1" customWidth="1"/>
    <col min="23" max="23" width="9.5546875" customWidth="1"/>
    <col min="24" max="24" width="9.33203125" bestFit="1" customWidth="1"/>
    <col min="27" max="27" width="9.33203125" bestFit="1" customWidth="1"/>
    <col min="28" max="28" width="9.33203125" customWidth="1"/>
    <col min="30" max="30" width="10.109375" bestFit="1" customWidth="1"/>
    <col min="31" max="34" width="10.109375" customWidth="1"/>
    <col min="40" max="40" width="9.33203125" bestFit="1" customWidth="1"/>
    <col min="41" max="41" width="9.33203125" customWidth="1"/>
    <col min="52" max="52" width="10.109375" bestFit="1" customWidth="1"/>
    <col min="53" max="53" width="12.33203125" bestFit="1" customWidth="1"/>
  </cols>
  <sheetData>
    <row r="1" spans="1:11">
      <c r="A1" t="s">
        <v>8</v>
      </c>
      <c r="B1">
        <v>-23.47</v>
      </c>
    </row>
    <row r="3" spans="1:11">
      <c r="A3" t="s">
        <v>9</v>
      </c>
      <c r="B3" t="s">
        <v>6</v>
      </c>
      <c r="C3" t="s">
        <v>7</v>
      </c>
      <c r="D3" t="s">
        <v>11</v>
      </c>
      <c r="E3" t="s">
        <v>0</v>
      </c>
      <c r="F3" t="s">
        <v>1</v>
      </c>
      <c r="G3" t="s">
        <v>2</v>
      </c>
      <c r="H3" t="s">
        <v>3</v>
      </c>
      <c r="I3" s="3" t="s">
        <v>88</v>
      </c>
      <c r="J3" t="s">
        <v>4</v>
      </c>
      <c r="K3" s="3"/>
    </row>
    <row r="4" spans="1:11">
      <c r="A4" s="1">
        <f>DATE(E4,1,1)+F4-1</f>
        <v>32568</v>
      </c>
      <c r="B4">
        <f>J4</f>
        <v>12.012505587942268</v>
      </c>
      <c r="C4">
        <f>day_length(F4,$B$1,Fitting!$B$4)</f>
        <v>13.386826515197754</v>
      </c>
      <c r="D4" s="1">
        <f>A4</f>
        <v>32568</v>
      </c>
      <c r="E4" s="5">
        <v>1989</v>
      </c>
      <c r="F4" s="5">
        <v>60</v>
      </c>
      <c r="G4">
        <v>31</v>
      </c>
      <c r="H4">
        <v>18</v>
      </c>
      <c r="I4">
        <f>MAX(0,1-Fitting!$B$7*(Fitting!$B$6-Herm8889!C4)^2)</f>
        <v>0.49649376843153181</v>
      </c>
      <c r="J4">
        <f>tt(G4,H4,Fitting!$B$1:$E$1,Fitting!$B$2:$E$2)*I4</f>
        <v>12.012505587942268</v>
      </c>
      <c r="K4" s="3"/>
    </row>
    <row r="5" spans="1:11">
      <c r="A5" s="1">
        <f>A4+1</f>
        <v>32569</v>
      </c>
      <c r="B5">
        <f t="shared" ref="B5:B68" si="0">B4+J5</f>
        <v>23.992473764127197</v>
      </c>
      <c r="C5">
        <f>day_length(F5,$B$1,Fitting!$B$4)</f>
        <v>13.363358497619629</v>
      </c>
      <c r="D5" s="1">
        <f t="shared" ref="D5:D68" si="1">A5</f>
        <v>32569</v>
      </c>
      <c r="E5">
        <f>YEAR(A5)</f>
        <v>1989</v>
      </c>
      <c r="F5" s="6">
        <f>A5-DATE(E5,1,1)+1</f>
        <v>61</v>
      </c>
      <c r="G5">
        <v>30</v>
      </c>
      <c r="H5">
        <v>18.5</v>
      </c>
      <c r="I5">
        <f>MAX(0,1-Fitting!$B$7*(Fitting!$B$6-Herm8889!C5)^2)</f>
        <v>0.49401934509080636</v>
      </c>
      <c r="J5">
        <f>tt(G5,H5,Fitting!$B$1:$E$1,Fitting!$B$2:$E$2)*I5</f>
        <v>11.979968176184931</v>
      </c>
    </row>
    <row r="6" spans="1:11">
      <c r="A6" s="1">
        <f t="shared" ref="A6:A69" si="2">A5+1</f>
        <v>32570</v>
      </c>
      <c r="B6">
        <f t="shared" si="0"/>
        <v>36.281736227297273</v>
      </c>
      <c r="C6">
        <f>day_length(F6,$B$1,Fitting!$B$4)</f>
        <v>13.33983325958252</v>
      </c>
      <c r="D6" s="1">
        <f t="shared" si="1"/>
        <v>32570</v>
      </c>
      <c r="E6">
        <f t="shared" ref="E6:E69" si="3">YEAR(A6)</f>
        <v>1989</v>
      </c>
      <c r="F6" s="6">
        <f t="shared" ref="F6:F69" si="4">A6-DATE(E6,1,1)+1</f>
        <v>62</v>
      </c>
      <c r="G6">
        <v>30</v>
      </c>
      <c r="H6">
        <v>20</v>
      </c>
      <c r="I6">
        <f>MAX(0,1-Fitting!$B$7*(Fitting!$B$6-Herm8889!C6)^2)</f>
        <v>0.49157046102295321</v>
      </c>
      <c r="J6">
        <f>tt(G6,H6,Fitting!$B$1:$E$1,Fitting!$B$2:$E$2)*I6</f>
        <v>12.289262463170077</v>
      </c>
    </row>
    <row r="7" spans="1:11">
      <c r="A7" s="1">
        <f t="shared" si="2"/>
        <v>32571</v>
      </c>
      <c r="B7">
        <f t="shared" si="0"/>
        <v>47.287563365861416</v>
      </c>
      <c r="C7">
        <f>day_length(F7,$B$1,Fitting!$B$4)</f>
        <v>13.316255569458008</v>
      </c>
      <c r="D7" s="1">
        <f t="shared" si="1"/>
        <v>32571</v>
      </c>
      <c r="E7">
        <f t="shared" si="3"/>
        <v>1989</v>
      </c>
      <c r="F7" s="6">
        <f t="shared" si="4"/>
        <v>63</v>
      </c>
      <c r="G7">
        <v>25.5</v>
      </c>
      <c r="H7">
        <v>19.5</v>
      </c>
      <c r="I7">
        <f>MAX(0,1-Fitting!$B$7*(Fitting!$B$6-Herm8889!C7)^2)</f>
        <v>0.4891478728250731</v>
      </c>
      <c r="J7">
        <f>tt(G7,H7,Fitting!$B$1:$E$1,Fitting!$B$2:$E$2)*I7</f>
        <v>11.005827138564145</v>
      </c>
    </row>
    <row r="8" spans="1:11">
      <c r="A8" s="1">
        <f t="shared" si="2"/>
        <v>32572</v>
      </c>
      <c r="B8">
        <f t="shared" si="0"/>
        <v>59.334688997778699</v>
      </c>
      <c r="C8">
        <f>day_length(F8,$B$1,Fitting!$B$4)</f>
        <v>13.292632102966309</v>
      </c>
      <c r="D8" s="1">
        <f t="shared" si="1"/>
        <v>32572</v>
      </c>
      <c r="E8">
        <f t="shared" si="3"/>
        <v>1989</v>
      </c>
      <c r="F8" s="6">
        <f t="shared" si="4"/>
        <v>64</v>
      </c>
      <c r="G8">
        <v>28.5</v>
      </c>
      <c r="H8">
        <v>21</v>
      </c>
      <c r="I8">
        <f>MAX(0,1-Fitting!$B$7*(Fitting!$B$6-Herm8889!C8)^2)</f>
        <v>0.48675255078453661</v>
      </c>
      <c r="J8">
        <f>tt(G8,H8,Fitting!$B$1:$E$1,Fitting!$B$2:$E$2)*I8</f>
        <v>12.047125631917281</v>
      </c>
    </row>
    <row r="9" spans="1:11">
      <c r="A9" s="1">
        <f t="shared" si="2"/>
        <v>32573</v>
      </c>
      <c r="B9">
        <f t="shared" si="0"/>
        <v>71.565423844173708</v>
      </c>
      <c r="C9">
        <f>day_length(F9,$B$1,Fitting!$B$4)</f>
        <v>13.26896858215332</v>
      </c>
      <c r="D9" s="1">
        <f t="shared" si="1"/>
        <v>32573</v>
      </c>
      <c r="E9">
        <f t="shared" si="3"/>
        <v>1989</v>
      </c>
      <c r="F9" s="6">
        <f t="shared" si="4"/>
        <v>65</v>
      </c>
      <c r="G9">
        <v>29.5</v>
      </c>
      <c r="H9">
        <v>21</v>
      </c>
      <c r="I9">
        <f>MAX(0,1-Fitting!$B$7*(Fitting!$B$6-Herm8889!C9)^2)</f>
        <v>0.4843855750608782</v>
      </c>
      <c r="J9">
        <f>tt(G9,H9,Fitting!$B$1:$E$1,Fitting!$B$2:$E$2)*I9</f>
        <v>12.230734846395011</v>
      </c>
    </row>
    <row r="10" spans="1:11">
      <c r="A10" s="1">
        <f t="shared" si="2"/>
        <v>32574</v>
      </c>
      <c r="B10">
        <f t="shared" si="0"/>
        <v>83.575515913257775</v>
      </c>
      <c r="C10">
        <f>day_length(F10,$B$1,Fitting!$B$4)</f>
        <v>13.245271682739258</v>
      </c>
      <c r="D10" s="1">
        <f t="shared" si="1"/>
        <v>32574</v>
      </c>
      <c r="E10">
        <f t="shared" si="3"/>
        <v>1989</v>
      </c>
      <c r="F10" s="6">
        <f t="shared" si="4"/>
        <v>66</v>
      </c>
      <c r="G10">
        <v>30.5</v>
      </c>
      <c r="H10">
        <v>19.5</v>
      </c>
      <c r="I10">
        <f>MAX(0,1-Fitting!$B$7*(Fitting!$B$6-Herm8889!C10)^2)</f>
        <v>0.48204792398846619</v>
      </c>
      <c r="J10">
        <f>tt(G10,H10,Fitting!$B$1:$E$1,Fitting!$B$2:$E$2)*I10</f>
        <v>12.010092069084068</v>
      </c>
    </row>
    <row r="11" spans="1:11">
      <c r="A11" s="1">
        <f t="shared" si="2"/>
        <v>32575</v>
      </c>
      <c r="B11">
        <f t="shared" si="0"/>
        <v>95.531712620671087</v>
      </c>
      <c r="C11">
        <f>day_length(F11,$B$1,Fitting!$B$4)</f>
        <v>13.221545219421387</v>
      </c>
      <c r="D11" s="1">
        <f t="shared" si="1"/>
        <v>32575</v>
      </c>
      <c r="E11">
        <f t="shared" si="3"/>
        <v>1989</v>
      </c>
      <c r="F11" s="6">
        <f t="shared" si="4"/>
        <v>67</v>
      </c>
      <c r="G11">
        <v>31</v>
      </c>
      <c r="H11">
        <v>19.5</v>
      </c>
      <c r="I11">
        <f>MAX(0,1-Fitting!$B$7*(Fitting!$B$6-Herm8889!C11)^2)</f>
        <v>0.47974057917609025</v>
      </c>
      <c r="J11">
        <f>tt(G11,H11,Fitting!$B$1:$E$1,Fitting!$B$2:$E$2)*I11</f>
        <v>11.956196707413314</v>
      </c>
    </row>
    <row r="12" spans="1:11">
      <c r="A12" s="1">
        <f t="shared" si="2"/>
        <v>32576</v>
      </c>
      <c r="B12">
        <f t="shared" si="0"/>
        <v>107.34895962071914</v>
      </c>
      <c r="C12">
        <f>day_length(F12,$B$1,Fitting!$B$4)</f>
        <v>13.197795867919922</v>
      </c>
      <c r="D12" s="1">
        <f t="shared" si="1"/>
        <v>32576</v>
      </c>
      <c r="E12">
        <f t="shared" si="3"/>
        <v>1989</v>
      </c>
      <c r="F12" s="6">
        <f t="shared" si="4"/>
        <v>68</v>
      </c>
      <c r="G12">
        <v>29.5</v>
      </c>
      <c r="H12">
        <v>20</v>
      </c>
      <c r="I12">
        <f>MAX(0,1-Fitting!$B$7*(Fitting!$B$6-Herm8889!C12)^2)</f>
        <v>0.47746452525446692</v>
      </c>
      <c r="J12">
        <f>tt(G12,H12,Fitting!$B$1:$E$1,Fitting!$B$2:$E$2)*I12</f>
        <v>11.817247000048056</v>
      </c>
    </row>
    <row r="13" spans="1:11">
      <c r="A13" s="1">
        <f t="shared" si="2"/>
        <v>32577</v>
      </c>
      <c r="B13">
        <f t="shared" si="0"/>
        <v>118.78181314328646</v>
      </c>
      <c r="C13">
        <f>day_length(F13,$B$1,Fitting!$B$4)</f>
        <v>13.174029350280762</v>
      </c>
      <c r="D13" s="1">
        <f t="shared" si="1"/>
        <v>32577</v>
      </c>
      <c r="E13">
        <f t="shared" si="3"/>
        <v>1989</v>
      </c>
      <c r="F13" s="6">
        <f t="shared" si="4"/>
        <v>69</v>
      </c>
      <c r="G13">
        <v>32</v>
      </c>
      <c r="H13">
        <v>18.5</v>
      </c>
      <c r="I13">
        <f>MAX(0,1-Fitting!$B$7*(Fitting!$B$6-Herm8889!C13)^2)</f>
        <v>0.47522096367271294</v>
      </c>
      <c r="J13">
        <f>tt(G13,H13,Fitting!$B$1:$E$1,Fitting!$B$2:$E$2)*I13</f>
        <v>11.432853522567321</v>
      </c>
    </row>
    <row r="14" spans="1:11">
      <c r="A14" s="1">
        <f t="shared" si="2"/>
        <v>32578</v>
      </c>
      <c r="B14">
        <f t="shared" si="0"/>
        <v>130.2655888178989</v>
      </c>
      <c r="C14">
        <f>day_length(F14,$B$1,Fitting!$B$4)</f>
        <v>13.150251388549805</v>
      </c>
      <c r="D14" s="1">
        <f t="shared" si="1"/>
        <v>32578</v>
      </c>
      <c r="E14">
        <f t="shared" si="3"/>
        <v>1989</v>
      </c>
      <c r="F14" s="6">
        <f t="shared" si="4"/>
        <v>70</v>
      </c>
      <c r="G14">
        <v>32</v>
      </c>
      <c r="H14">
        <v>19</v>
      </c>
      <c r="I14">
        <f>MAX(0,1-Fitting!$B$7*(Fitting!$B$6-Herm8889!C14)^2)</f>
        <v>0.47301056392056673</v>
      </c>
      <c r="J14">
        <f>tt(G14,H14,Fitting!$B$1:$E$1,Fitting!$B$2:$E$2)*I14</f>
        <v>11.483775674612438</v>
      </c>
    </row>
    <row r="15" spans="1:11">
      <c r="A15" s="1">
        <f t="shared" si="2"/>
        <v>32579</v>
      </c>
      <c r="B15">
        <f t="shared" si="0"/>
        <v>141.3856821725866</v>
      </c>
      <c r="C15">
        <f>day_length(F15,$B$1,Fitting!$B$4)</f>
        <v>13.12646484375</v>
      </c>
      <c r="D15" s="1">
        <f t="shared" si="1"/>
        <v>32579</v>
      </c>
      <c r="E15">
        <f t="shared" si="3"/>
        <v>1989</v>
      </c>
      <c r="F15" s="6">
        <f t="shared" si="4"/>
        <v>71</v>
      </c>
      <c r="G15">
        <v>32.5</v>
      </c>
      <c r="H15">
        <v>18</v>
      </c>
      <c r="I15">
        <f>MAX(0,1-Fitting!$B$7*(Fitting!$B$6-Herm8889!C15)^2)</f>
        <v>0.47083474733279762</v>
      </c>
      <c r="J15">
        <f>tt(G15,H15,Fitting!$B$1:$E$1,Fitting!$B$2:$E$2)*I15</f>
        <v>11.120093354687695</v>
      </c>
    </row>
    <row r="16" spans="1:11">
      <c r="A16" s="1">
        <f t="shared" si="2"/>
        <v>32580</v>
      </c>
      <c r="B16">
        <f t="shared" si="0"/>
        <v>152.45522268506204</v>
      </c>
      <c r="C16">
        <f>day_length(F16,$B$1,Fitting!$B$4)</f>
        <v>13.102678298950195</v>
      </c>
      <c r="D16" s="1">
        <f t="shared" si="1"/>
        <v>32580</v>
      </c>
      <c r="E16">
        <f t="shared" si="3"/>
        <v>1989</v>
      </c>
      <c r="F16" s="6">
        <f t="shared" si="4"/>
        <v>72</v>
      </c>
      <c r="G16">
        <v>32</v>
      </c>
      <c r="H16">
        <v>17.5</v>
      </c>
      <c r="I16">
        <f>MAX(0,1-Fitting!$B$7*(Fitting!$B$6-Herm8889!C16)^2)</f>
        <v>0.46869429455683898</v>
      </c>
      <c r="J16">
        <f>tt(G16,H16,Fitting!$B$1:$E$1,Fitting!$B$2:$E$2)*I16</f>
        <v>11.069540512475442</v>
      </c>
    </row>
    <row r="17" spans="1:10">
      <c r="A17" s="1">
        <f t="shared" si="2"/>
        <v>32581</v>
      </c>
      <c r="B17">
        <f t="shared" si="0"/>
        <v>163.57775501779491</v>
      </c>
      <c r="C17">
        <f>day_length(F17,$B$1,Fitting!$B$4)</f>
        <v>13.07889461517334</v>
      </c>
      <c r="D17" s="1">
        <f t="shared" si="1"/>
        <v>32581</v>
      </c>
      <c r="E17">
        <f t="shared" si="3"/>
        <v>1989</v>
      </c>
      <c r="F17" s="6">
        <f t="shared" si="4"/>
        <v>73</v>
      </c>
      <c r="G17">
        <v>33</v>
      </c>
      <c r="H17">
        <v>19</v>
      </c>
      <c r="I17">
        <f>MAX(0,1-Fitting!$B$7*(Fitting!$B$6-Herm8889!C17)^2)</f>
        <v>0.4665903098517683</v>
      </c>
      <c r="J17">
        <f>tt(G17,H17,Fitting!$B$1:$E$1,Fitting!$B$2:$E$2)*I17</f>
        <v>11.12253233273287</v>
      </c>
    </row>
    <row r="18" spans="1:10">
      <c r="A18" s="1">
        <f t="shared" si="2"/>
        <v>32582</v>
      </c>
      <c r="B18">
        <f t="shared" si="0"/>
        <v>174.11025463873921</v>
      </c>
      <c r="C18">
        <f>day_length(F18,$B$1,Fitting!$B$4)</f>
        <v>13.055118560791016</v>
      </c>
      <c r="D18" s="1">
        <f t="shared" si="1"/>
        <v>32582</v>
      </c>
      <c r="E18">
        <f t="shared" si="3"/>
        <v>1989</v>
      </c>
      <c r="F18" s="6">
        <f t="shared" si="4"/>
        <v>74</v>
      </c>
      <c r="G18">
        <v>35.5</v>
      </c>
      <c r="H18">
        <v>21.5</v>
      </c>
      <c r="I18">
        <f>MAX(0,1-Fitting!$B$7*(Fitting!$B$6-Herm8889!C18)^2)</f>
        <v>0.46452389968027452</v>
      </c>
      <c r="J18">
        <f>tt(G18,H18,Fitting!$B$1:$E$1,Fitting!$B$2:$E$2)*I18</f>
        <v>10.532499620944288</v>
      </c>
    </row>
    <row r="19" spans="1:10">
      <c r="A19" s="1">
        <f t="shared" si="2"/>
        <v>32583</v>
      </c>
      <c r="B19">
        <f t="shared" si="0"/>
        <v>184.47303171139811</v>
      </c>
      <c r="C19">
        <f>day_length(F19,$B$1,Fitting!$B$4)</f>
        <v>13.031355857849121</v>
      </c>
      <c r="D19" s="1">
        <f t="shared" si="1"/>
        <v>32583</v>
      </c>
      <c r="E19">
        <f t="shared" si="3"/>
        <v>1989</v>
      </c>
      <c r="F19" s="6">
        <f t="shared" si="4"/>
        <v>75</v>
      </c>
      <c r="G19">
        <v>36</v>
      </c>
      <c r="H19">
        <v>23</v>
      </c>
      <c r="I19">
        <f>MAX(0,1-Fitting!$B$7*(Fitting!$B$6-Herm8889!C19)^2)</f>
        <v>0.46249595574117297</v>
      </c>
      <c r="J19">
        <f>tt(G19,H19,Fitting!$B$1:$E$1,Fitting!$B$2:$E$2)*I19</f>
        <v>10.362777072658906</v>
      </c>
    </row>
    <row r="20" spans="1:10">
      <c r="A20" s="1">
        <f t="shared" si="2"/>
        <v>32584</v>
      </c>
      <c r="B20">
        <f t="shared" si="0"/>
        <v>195.07797001031736</v>
      </c>
      <c r="C20">
        <f>day_length(F20,$B$1,Fitting!$B$4)</f>
        <v>13.007611274719238</v>
      </c>
      <c r="D20" s="1">
        <f t="shared" si="1"/>
        <v>32584</v>
      </c>
      <c r="E20">
        <f t="shared" si="3"/>
        <v>1989</v>
      </c>
      <c r="F20" s="6">
        <f t="shared" si="4"/>
        <v>76</v>
      </c>
      <c r="G20">
        <v>35.5</v>
      </c>
      <c r="H20">
        <v>23.5</v>
      </c>
      <c r="I20">
        <f>MAX(0,1-Fitting!$B$7*(Fitting!$B$6-Herm8889!C20)^2)</f>
        <v>0.46050769521310575</v>
      </c>
      <c r="J20">
        <f>tt(G20,H20,Fitting!$B$1:$E$1,Fitting!$B$2:$E$2)*I20</f>
        <v>10.604938298919238</v>
      </c>
    </row>
    <row r="21" spans="1:10">
      <c r="A21" s="1">
        <f t="shared" si="2"/>
        <v>32585</v>
      </c>
      <c r="B21">
        <f t="shared" si="0"/>
        <v>206.41274395505499</v>
      </c>
      <c r="C21">
        <f>day_length(F21,$B$1,Fitting!$B$4)</f>
        <v>12.983889579772949</v>
      </c>
      <c r="D21" s="1">
        <f t="shared" si="1"/>
        <v>32585</v>
      </c>
      <c r="E21">
        <f t="shared" si="3"/>
        <v>1989</v>
      </c>
      <c r="F21" s="6">
        <f t="shared" si="4"/>
        <v>77</v>
      </c>
      <c r="G21">
        <v>32.5</v>
      </c>
      <c r="H21">
        <v>20.5</v>
      </c>
      <c r="I21">
        <f>MAX(0,1-Fitting!$B$7*(Fitting!$B$6-Herm8889!C21)^2)</f>
        <v>0.4585599024417697</v>
      </c>
      <c r="J21">
        <f>tt(G21,H21,Fitting!$B$1:$E$1,Fitting!$B$2:$E$2)*I21</f>
        <v>11.334773944737629</v>
      </c>
    </row>
    <row r="22" spans="1:10">
      <c r="A22" s="1">
        <f t="shared" si="2"/>
        <v>32586</v>
      </c>
      <c r="B22">
        <f t="shared" si="0"/>
        <v>218.30339255310693</v>
      </c>
      <c r="C22">
        <f>day_length(F22,$B$1,Fitting!$B$4)</f>
        <v>12.960195541381836</v>
      </c>
      <c r="D22" s="1">
        <f t="shared" si="1"/>
        <v>32586</v>
      </c>
      <c r="E22">
        <f t="shared" si="3"/>
        <v>1989</v>
      </c>
      <c r="F22" s="6">
        <f t="shared" si="4"/>
        <v>78</v>
      </c>
      <c r="G22">
        <v>32</v>
      </c>
      <c r="H22">
        <v>23</v>
      </c>
      <c r="I22">
        <f>MAX(0,1-Fitting!$B$7*(Fitting!$B$6-Herm8889!C22)^2)</f>
        <v>0.45665379595054578</v>
      </c>
      <c r="J22">
        <f>tt(G22,H22,Fitting!$B$1:$E$1,Fitting!$B$2:$E$2)*I22</f>
        <v>11.890648598051939</v>
      </c>
    </row>
    <row r="23" spans="1:10">
      <c r="A23" s="1">
        <f t="shared" si="2"/>
        <v>32587</v>
      </c>
      <c r="B23">
        <f t="shared" si="0"/>
        <v>230.0454319784196</v>
      </c>
      <c r="C23">
        <f>day_length(F23,$B$1,Fitting!$B$4)</f>
        <v>12.93653392791748</v>
      </c>
      <c r="D23" s="1">
        <f t="shared" si="1"/>
        <v>32587</v>
      </c>
      <c r="E23">
        <f t="shared" si="3"/>
        <v>1989</v>
      </c>
      <c r="F23" s="6">
        <f t="shared" si="4"/>
        <v>79</v>
      </c>
      <c r="G23">
        <v>32</v>
      </c>
      <c r="H23">
        <v>22.5</v>
      </c>
      <c r="I23">
        <f>MAX(0,1-Fitting!$B$7*(Fitting!$B$6-Herm8889!C23)^2)</f>
        <v>0.45479037740610695</v>
      </c>
      <c r="J23">
        <f>tt(G23,H23,Fitting!$B$1:$E$1,Fitting!$B$2:$E$2)*I23</f>
        <v>11.742039425312665</v>
      </c>
    </row>
    <row r="24" spans="1:10">
      <c r="A24" s="1">
        <f t="shared" si="2"/>
        <v>32588</v>
      </c>
      <c r="B24">
        <f t="shared" si="0"/>
        <v>241.74048858201422</v>
      </c>
      <c r="C24">
        <f>day_length(F24,$B$1,Fitting!$B$4)</f>
        <v>12.912907600402832</v>
      </c>
      <c r="D24" s="1">
        <f t="shared" si="1"/>
        <v>32588</v>
      </c>
      <c r="E24">
        <f t="shared" si="3"/>
        <v>1989</v>
      </c>
      <c r="F24" s="6">
        <f t="shared" si="4"/>
        <v>80</v>
      </c>
      <c r="G24">
        <v>31</v>
      </c>
      <c r="H24">
        <v>21.5</v>
      </c>
      <c r="I24">
        <f>MAX(0,1-Fitting!$B$7*(Fitting!$B$6-Herm8889!C24)^2)</f>
        <v>0.45297064793264874</v>
      </c>
      <c r="J24">
        <f>tt(G24,H24,Fitting!$B$1:$E$1,Fitting!$B$2:$E$2)*I24</f>
        <v>11.695056603594628</v>
      </c>
    </row>
    <row r="25" spans="1:10">
      <c r="A25" s="1">
        <f t="shared" si="2"/>
        <v>32589</v>
      </c>
      <c r="B25">
        <f t="shared" si="0"/>
        <v>253.24597658057809</v>
      </c>
      <c r="C25">
        <f>day_length(F25,$B$1,Fitting!$B$4)</f>
        <v>12.889324188232422</v>
      </c>
      <c r="D25" s="1">
        <f t="shared" si="1"/>
        <v>32589</v>
      </c>
      <c r="E25">
        <f t="shared" si="3"/>
        <v>1989</v>
      </c>
      <c r="F25" s="6">
        <f t="shared" si="4"/>
        <v>81</v>
      </c>
      <c r="G25">
        <v>29.5</v>
      </c>
      <c r="H25">
        <v>21.5</v>
      </c>
      <c r="I25">
        <f>MAX(0,1-Fitting!$B$7*(Fitting!$B$6-Herm8889!C25)^2)</f>
        <v>0.45119560778681811</v>
      </c>
      <c r="J25">
        <f>tt(G25,H25,Fitting!$B$1:$E$1,Fitting!$B$2:$E$2)*I25</f>
        <v>11.505487998563861</v>
      </c>
    </row>
    <row r="26" spans="1:10">
      <c r="A26" s="1">
        <f t="shared" si="2"/>
        <v>32590</v>
      </c>
      <c r="B26">
        <f t="shared" si="0"/>
        <v>264.45488854224254</v>
      </c>
      <c r="C26">
        <f>day_length(F26,$B$1,Fitting!$B$4)</f>
        <v>12.865784645080566</v>
      </c>
      <c r="D26" s="1">
        <f t="shared" si="1"/>
        <v>32590</v>
      </c>
      <c r="E26">
        <f t="shared" si="3"/>
        <v>1989</v>
      </c>
      <c r="F26" s="6">
        <f t="shared" si="4"/>
        <v>82</v>
      </c>
      <c r="G26">
        <v>32.5</v>
      </c>
      <c r="H26">
        <v>21</v>
      </c>
      <c r="I26">
        <f>MAX(0,1-Fitting!$B$7*(Fitting!$B$6-Herm8889!C26)^2)</f>
        <v>0.44946625602729362</v>
      </c>
      <c r="J26">
        <f>tt(G26,H26,Fitting!$B$1:$E$1,Fitting!$B$2:$E$2)*I26</f>
        <v>11.208911961664452</v>
      </c>
    </row>
    <row r="27" spans="1:10">
      <c r="A27" s="1">
        <f t="shared" si="2"/>
        <v>32591</v>
      </c>
      <c r="B27">
        <f t="shared" si="0"/>
        <v>274.6465832262312</v>
      </c>
      <c r="C27">
        <f>day_length(F27,$B$1,Fitting!$B$4)</f>
        <v>12.84229564666748</v>
      </c>
      <c r="D27" s="1">
        <f t="shared" si="1"/>
        <v>32591</v>
      </c>
      <c r="E27">
        <f t="shared" si="3"/>
        <v>1989</v>
      </c>
      <c r="F27" s="6">
        <f t="shared" si="4"/>
        <v>83</v>
      </c>
      <c r="G27">
        <v>35</v>
      </c>
      <c r="H27">
        <v>20.5</v>
      </c>
      <c r="I27">
        <f>MAX(0,1-Fitting!$B$7*(Fitting!$B$6-Herm8889!C27)^2)</f>
        <v>0.44778359017901859</v>
      </c>
      <c r="J27">
        <f>tt(G27,H27,Fitting!$B$1:$E$1,Fitting!$B$2:$E$2)*I27</f>
        <v>10.191694683988631</v>
      </c>
    </row>
    <row r="28" spans="1:10">
      <c r="A28" s="1">
        <f t="shared" si="2"/>
        <v>32592</v>
      </c>
      <c r="B28">
        <f t="shared" si="0"/>
        <v>284.72814382908678</v>
      </c>
      <c r="C28">
        <f>day_length(F28,$B$1,Fitting!$B$4)</f>
        <v>12.81886100769043</v>
      </c>
      <c r="D28" s="1">
        <f t="shared" si="1"/>
        <v>32592</v>
      </c>
      <c r="E28">
        <f t="shared" si="3"/>
        <v>1989</v>
      </c>
      <c r="F28" s="6">
        <f t="shared" si="4"/>
        <v>84</v>
      </c>
      <c r="G28">
        <v>35</v>
      </c>
      <c r="H28">
        <v>20</v>
      </c>
      <c r="I28">
        <f>MAX(0,1-Fitting!$B$7*(Fitting!$B$6-Herm8889!C28)^2)</f>
        <v>0.44614849594028239</v>
      </c>
      <c r="J28">
        <f>tt(G28,H28,Fitting!$B$1:$E$1,Fitting!$B$2:$E$2)*I28</f>
        <v>10.081560602855555</v>
      </c>
    </row>
    <row r="29" spans="1:10">
      <c r="A29" s="1">
        <f t="shared" si="2"/>
        <v>32593</v>
      </c>
      <c r="B29">
        <f t="shared" si="0"/>
        <v>295.32094905624569</v>
      </c>
      <c r="C29">
        <f>day_length(F29,$B$1,Fitting!$B$4)</f>
        <v>12.79548454284668</v>
      </c>
      <c r="D29" s="1">
        <f t="shared" si="1"/>
        <v>32593</v>
      </c>
      <c r="E29">
        <f t="shared" si="3"/>
        <v>1989</v>
      </c>
      <c r="F29" s="6">
        <f t="shared" si="4"/>
        <v>85</v>
      </c>
      <c r="G29">
        <v>34.5</v>
      </c>
      <c r="H29">
        <v>22.5</v>
      </c>
      <c r="I29">
        <f>MAX(0,1-Fitting!$B$7*(Fitting!$B$6-Herm8889!C29)^2)</f>
        <v>0.44456218648612411</v>
      </c>
      <c r="J29">
        <f>tt(G29,H29,Fitting!$B$1:$E$1,Fitting!$B$2:$E$2)*I29</f>
        <v>10.592805227158896</v>
      </c>
    </row>
    <row r="30" spans="1:10">
      <c r="A30" s="1">
        <f t="shared" si="2"/>
        <v>32594</v>
      </c>
      <c r="B30">
        <f t="shared" si="0"/>
        <v>306.3542159516112</v>
      </c>
      <c r="C30">
        <f>day_length(F30,$B$1,Fitting!$B$4)</f>
        <v>12.772170066833496</v>
      </c>
      <c r="D30" s="1">
        <f t="shared" si="1"/>
        <v>32594</v>
      </c>
      <c r="E30">
        <f t="shared" si="3"/>
        <v>1989</v>
      </c>
      <c r="F30" s="6">
        <f t="shared" si="4"/>
        <v>86</v>
      </c>
      <c r="G30">
        <v>33</v>
      </c>
      <c r="H30">
        <v>22</v>
      </c>
      <c r="I30">
        <f>MAX(0,1-Fitting!$B$7*(Fitting!$B$6-Herm8889!C30)^2)</f>
        <v>0.44302521209875156</v>
      </c>
      <c r="J30">
        <f>tt(G30,H30,Fitting!$B$1:$E$1,Fitting!$B$2:$E$2)*I30</f>
        <v>11.03326689536552</v>
      </c>
    </row>
    <row r="31" spans="1:10">
      <c r="A31" s="1">
        <f t="shared" si="2"/>
        <v>32595</v>
      </c>
      <c r="B31">
        <f t="shared" si="0"/>
        <v>316.76887709185803</v>
      </c>
      <c r="C31">
        <f>day_length(F31,$B$1,Fitting!$B$4)</f>
        <v>12.748924255371094</v>
      </c>
      <c r="D31" s="1">
        <f t="shared" si="1"/>
        <v>32595</v>
      </c>
      <c r="E31">
        <f t="shared" si="3"/>
        <v>1989</v>
      </c>
      <c r="F31" s="6">
        <f t="shared" si="4"/>
        <v>87</v>
      </c>
      <c r="G31">
        <v>34</v>
      </c>
      <c r="H31">
        <v>20.5</v>
      </c>
      <c r="I31">
        <f>MAX(0,1-Fitting!$B$7*(Fitting!$B$6-Herm8889!C31)^2)</f>
        <v>0.44153889060571239</v>
      </c>
      <c r="J31">
        <f>tt(G31,H31,Fitting!$B$1:$E$1,Fitting!$B$2:$E$2)*I31</f>
        <v>10.41466114024683</v>
      </c>
    </row>
    <row r="32" spans="1:10">
      <c r="A32" s="1">
        <f t="shared" si="2"/>
        <v>32596</v>
      </c>
      <c r="B32">
        <f t="shared" si="0"/>
        <v>327.11132075315243</v>
      </c>
      <c r="C32">
        <f>day_length(F32,$B$1,Fitting!$B$4)</f>
        <v>12.725749015808105</v>
      </c>
      <c r="D32" s="1">
        <f t="shared" si="1"/>
        <v>32596</v>
      </c>
      <c r="E32">
        <f t="shared" si="3"/>
        <v>1989</v>
      </c>
      <c r="F32" s="6">
        <f t="shared" si="4"/>
        <v>88</v>
      </c>
      <c r="G32">
        <v>28</v>
      </c>
      <c r="H32">
        <v>19</v>
      </c>
      <c r="I32">
        <f>MAX(0,1-Fitting!$B$7*(Fitting!$B$6-Herm8889!C32)^2)</f>
        <v>0.4401039855869967</v>
      </c>
      <c r="J32">
        <f>tt(G32,H32,Fitting!$B$1:$E$1,Fitting!$B$2:$E$2)*I32</f>
        <v>10.342443661294423</v>
      </c>
    </row>
    <row r="33" spans="1:10">
      <c r="A33" s="1">
        <f t="shared" si="2"/>
        <v>32597</v>
      </c>
      <c r="B33">
        <f t="shared" si="0"/>
        <v>338.34192735043911</v>
      </c>
      <c r="C33">
        <f>day_length(F33,$B$1,Fitting!$B$4)</f>
        <v>12.702649116516113</v>
      </c>
      <c r="D33" s="1">
        <f t="shared" si="1"/>
        <v>32597</v>
      </c>
      <c r="E33">
        <f t="shared" si="3"/>
        <v>1989</v>
      </c>
      <c r="F33" s="6">
        <f t="shared" si="4"/>
        <v>89</v>
      </c>
      <c r="G33">
        <v>31</v>
      </c>
      <c r="H33">
        <v>21</v>
      </c>
      <c r="I33">
        <f>MAX(0,1-Fitting!$B$7*(Fitting!$B$6-Herm8889!C33)^2)</f>
        <v>0.43872125587173649</v>
      </c>
      <c r="J33">
        <f>tt(G33,H33,Fitting!$B$1:$E$1,Fitting!$B$2:$E$2)*I33</f>
        <v>11.2306065972867</v>
      </c>
    </row>
    <row r="34" spans="1:10">
      <c r="A34" s="1">
        <f t="shared" si="2"/>
        <v>32598</v>
      </c>
      <c r="B34">
        <f t="shared" si="0"/>
        <v>349.27671927315197</v>
      </c>
      <c r="C34">
        <f>day_length(F34,$B$1,Fitting!$B$4)</f>
        <v>12.679628372192383</v>
      </c>
      <c r="D34" s="1">
        <f t="shared" si="1"/>
        <v>32598</v>
      </c>
      <c r="E34">
        <f t="shared" si="3"/>
        <v>1989</v>
      </c>
      <c r="F34" s="6">
        <f t="shared" si="4"/>
        <v>90</v>
      </c>
      <c r="G34">
        <v>29.5</v>
      </c>
      <c r="H34">
        <v>20.5</v>
      </c>
      <c r="I34">
        <f>MAX(0,1-Fitting!$B$7*(Fitting!$B$6-Herm8889!C34)^2)</f>
        <v>0.43739167690851355</v>
      </c>
      <c r="J34">
        <f>tt(G34,H34,Fitting!$B$1:$E$1,Fitting!$B$2:$E$2)*I34</f>
        <v>10.934791922712838</v>
      </c>
    </row>
    <row r="35" spans="1:10">
      <c r="A35" s="1">
        <f t="shared" si="2"/>
        <v>32599</v>
      </c>
      <c r="B35">
        <f t="shared" si="0"/>
        <v>360.39768005071136</v>
      </c>
      <c r="C35">
        <f>day_length(F35,$B$1,Fitting!$B$4)</f>
        <v>12.656692504882812</v>
      </c>
      <c r="D35" s="1">
        <f t="shared" si="1"/>
        <v>32599</v>
      </c>
      <c r="E35">
        <f t="shared" si="3"/>
        <v>1989</v>
      </c>
      <c r="F35" s="6">
        <f t="shared" si="4"/>
        <v>91</v>
      </c>
      <c r="G35">
        <v>30</v>
      </c>
      <c r="H35">
        <v>21</v>
      </c>
      <c r="I35">
        <f>MAX(0,1-Fitting!$B$7*(Fitting!$B$6-Herm8889!C35)^2)</f>
        <v>0.43611610892389763</v>
      </c>
      <c r="J35">
        <f>tt(G35,H35,Fitting!$B$1:$E$1,Fitting!$B$2:$E$2)*I35</f>
        <v>11.120960777559389</v>
      </c>
    </row>
    <row r="36" spans="1:10">
      <c r="A36" s="1">
        <f t="shared" si="2"/>
        <v>32600</v>
      </c>
      <c r="B36">
        <f t="shared" si="0"/>
        <v>371.16134137407886</v>
      </c>
      <c r="C36">
        <f>day_length(F36,$B$1,Fitting!$B$4)</f>
        <v>12.633842468261719</v>
      </c>
      <c r="D36" s="1">
        <f t="shared" si="1"/>
        <v>32600</v>
      </c>
      <c r="E36">
        <f t="shared" si="3"/>
        <v>1989</v>
      </c>
      <c r="F36" s="6">
        <f t="shared" si="4"/>
        <v>92</v>
      </c>
      <c r="G36">
        <v>28.5</v>
      </c>
      <c r="H36">
        <v>21</v>
      </c>
      <c r="I36">
        <f>MAX(0,1-Fitting!$B$7*(Fitting!$B$6-Herm8889!C36)^2)</f>
        <v>0.43489540700474749</v>
      </c>
      <c r="J36">
        <f>tt(G36,H36,Fitting!$B$1:$E$1,Fitting!$B$2:$E$2)*I36</f>
        <v>10.763661323367501</v>
      </c>
    </row>
    <row r="37" spans="1:10">
      <c r="A37" s="1">
        <f t="shared" si="2"/>
        <v>32601</v>
      </c>
      <c r="B37">
        <f t="shared" si="0"/>
        <v>382.00459911384286</v>
      </c>
      <c r="C37">
        <f>day_length(F37,$B$1,Fitting!$B$4)</f>
        <v>12.611086845397949</v>
      </c>
      <c r="D37" s="1">
        <f t="shared" si="1"/>
        <v>32601</v>
      </c>
      <c r="E37">
        <f t="shared" si="3"/>
        <v>1989</v>
      </c>
      <c r="F37" s="6">
        <f t="shared" si="4"/>
        <v>93</v>
      </c>
      <c r="G37">
        <v>29</v>
      </c>
      <c r="H37">
        <v>21</v>
      </c>
      <c r="I37">
        <f>MAX(0,1-Fitting!$B$7*(Fitting!$B$6-Herm8889!C37)^2)</f>
        <v>0.4337303095905608</v>
      </c>
      <c r="J37">
        <f>tt(G37,H37,Fitting!$B$1:$E$1,Fitting!$B$2:$E$2)*I37</f>
        <v>10.84325773976402</v>
      </c>
    </row>
    <row r="38" spans="1:10">
      <c r="A38" s="1">
        <f t="shared" si="2"/>
        <v>32602</v>
      </c>
      <c r="B38">
        <f t="shared" si="0"/>
        <v>391.84674353299528</v>
      </c>
      <c r="C38">
        <f>day_length(F38,$B$1,Fitting!$B$4)</f>
        <v>12.588425636291504</v>
      </c>
      <c r="D38" s="1">
        <f t="shared" si="1"/>
        <v>32602</v>
      </c>
      <c r="E38">
        <f t="shared" si="3"/>
        <v>1989</v>
      </c>
      <c r="F38" s="6">
        <f t="shared" si="4"/>
        <v>94</v>
      </c>
      <c r="G38">
        <v>25</v>
      </c>
      <c r="H38">
        <v>20.5</v>
      </c>
      <c r="I38">
        <f>MAX(0,1-Fitting!$B$7*(Fitting!$B$6-Herm8889!C38)^2)</f>
        <v>0.43262166016842818</v>
      </c>
      <c r="J38">
        <f>tt(G38,H38,Fitting!$B$1:$E$1,Fitting!$B$2:$E$2)*I38</f>
        <v>9.8421444191524046</v>
      </c>
    </row>
    <row r="39" spans="1:10">
      <c r="A39" s="1">
        <f t="shared" si="2"/>
        <v>32603</v>
      </c>
      <c r="B39">
        <f t="shared" si="0"/>
        <v>401.44917766479335</v>
      </c>
      <c r="C39">
        <f>day_length(F39,$B$1,Fitting!$B$4)</f>
        <v>12.565866470336914</v>
      </c>
      <c r="D39" s="1">
        <f t="shared" si="1"/>
        <v>32603</v>
      </c>
      <c r="E39">
        <f t="shared" si="3"/>
        <v>1989</v>
      </c>
      <c r="F39" s="6">
        <f t="shared" si="4"/>
        <v>95</v>
      </c>
      <c r="G39">
        <v>24</v>
      </c>
      <c r="H39">
        <v>20.5</v>
      </c>
      <c r="I39">
        <f>MAX(0,1-Fitting!$B$7*(Fitting!$B$6-Herm8889!C39)^2)</f>
        <v>0.43157007333923869</v>
      </c>
      <c r="J39">
        <f>tt(G39,H39,Fitting!$B$1:$E$1,Fitting!$B$2:$E$2)*I39</f>
        <v>9.602434131798061</v>
      </c>
    </row>
    <row r="40" spans="1:10">
      <c r="A40" s="1">
        <f t="shared" si="2"/>
        <v>32604</v>
      </c>
      <c r="B40">
        <f t="shared" si="0"/>
        <v>411.46007589495156</v>
      </c>
      <c r="C40">
        <f>day_length(F40,$B$1,Fitting!$B$4)</f>
        <v>12.54340934753418</v>
      </c>
      <c r="D40" s="1">
        <f t="shared" si="1"/>
        <v>32604</v>
      </c>
      <c r="E40">
        <f t="shared" si="3"/>
        <v>1989</v>
      </c>
      <c r="F40" s="6">
        <f t="shared" si="4"/>
        <v>96</v>
      </c>
      <c r="G40">
        <v>26.5</v>
      </c>
      <c r="H40">
        <v>20</v>
      </c>
      <c r="I40">
        <f>MAX(0,1-Fitting!$B$7*(Fitting!$B$6-Herm8889!C40)^2)</f>
        <v>0.43057626796379367</v>
      </c>
      <c r="J40">
        <f>tt(G40,H40,Fitting!$B$1:$E$1,Fitting!$B$2:$E$2)*I40</f>
        <v>10.010898230158203</v>
      </c>
    </row>
    <row r="41" spans="1:10">
      <c r="A41" s="1">
        <f t="shared" si="2"/>
        <v>32605</v>
      </c>
      <c r="B41">
        <f t="shared" si="0"/>
        <v>421.66404594553421</v>
      </c>
      <c r="C41">
        <f>day_length(F41,$B$1,Fitting!$B$4)</f>
        <v>12.521062850952148</v>
      </c>
      <c r="D41" s="1">
        <f t="shared" si="1"/>
        <v>32605</v>
      </c>
      <c r="E41">
        <f t="shared" si="3"/>
        <v>1989</v>
      </c>
      <c r="F41" s="6">
        <f t="shared" si="4"/>
        <v>97</v>
      </c>
      <c r="G41">
        <v>30</v>
      </c>
      <c r="H41">
        <v>17.5</v>
      </c>
      <c r="I41">
        <f>MAX(0,1-Fitting!$B$7*(Fitting!$B$6-Herm8889!C41)^2)</f>
        <v>0.42964084423505844</v>
      </c>
      <c r="J41">
        <f>tt(G41,H41,Fitting!$B$1:$E$1,Fitting!$B$2:$E$2)*I41</f>
        <v>10.203970050582639</v>
      </c>
    </row>
    <row r="42" spans="1:10">
      <c r="A42" s="1">
        <f t="shared" si="2"/>
        <v>32606</v>
      </c>
      <c r="B42">
        <f t="shared" si="0"/>
        <v>431.20406117951046</v>
      </c>
      <c r="C42">
        <f>day_length(F42,$B$1,Fitting!$B$4)</f>
        <v>12.49882698059082</v>
      </c>
      <c r="D42" s="1">
        <f t="shared" si="1"/>
        <v>32606</v>
      </c>
      <c r="E42">
        <f t="shared" si="3"/>
        <v>1989</v>
      </c>
      <c r="F42" s="6">
        <f t="shared" si="4"/>
        <v>98</v>
      </c>
      <c r="G42">
        <v>25</v>
      </c>
      <c r="H42">
        <v>19.5</v>
      </c>
      <c r="I42">
        <f>MAX(0,1-Fitting!$B$7*(Fitting!$B$6-Herm8889!C42)^2)</f>
        <v>0.4287647296169107</v>
      </c>
      <c r="J42">
        <f>tt(G42,H42,Fitting!$B$1:$E$1,Fitting!$B$2:$E$2)*I42</f>
        <v>9.5400152339762627</v>
      </c>
    </row>
    <row r="43" spans="1:10">
      <c r="A43" s="1">
        <f t="shared" si="2"/>
        <v>32607</v>
      </c>
      <c r="B43">
        <f t="shared" si="0"/>
        <v>441.04686836788642</v>
      </c>
      <c r="C43">
        <f>day_length(F43,$B$1,Fitting!$B$4)</f>
        <v>12.476710319519043</v>
      </c>
      <c r="D43" s="1">
        <f t="shared" si="1"/>
        <v>32607</v>
      </c>
      <c r="E43">
        <f t="shared" si="3"/>
        <v>1989</v>
      </c>
      <c r="F43" s="6">
        <f t="shared" si="4"/>
        <v>99</v>
      </c>
      <c r="G43">
        <v>29</v>
      </c>
      <c r="H43">
        <v>17</v>
      </c>
      <c r="I43">
        <f>MAX(0,1-Fitting!$B$7*(Fitting!$B$6-Herm8889!C43)^2)</f>
        <v>0.42794817411401342</v>
      </c>
      <c r="J43">
        <f>tt(G43,H43,Fitting!$B$1:$E$1,Fitting!$B$2:$E$2)*I43</f>
        <v>9.8428071883759447</v>
      </c>
    </row>
    <row r="44" spans="1:10">
      <c r="A44" s="1">
        <f t="shared" si="2"/>
        <v>32608</v>
      </c>
      <c r="B44">
        <f t="shared" si="0"/>
        <v>450.97907843340562</v>
      </c>
      <c r="C44">
        <f>day_length(F44,$B$1,Fitting!$B$4)</f>
        <v>12.454713821411133</v>
      </c>
      <c r="D44" s="1">
        <f t="shared" si="1"/>
        <v>32608</v>
      </c>
      <c r="E44">
        <f t="shared" si="3"/>
        <v>1989</v>
      </c>
      <c r="F44" s="6">
        <f t="shared" si="4"/>
        <v>100</v>
      </c>
      <c r="G44">
        <v>29</v>
      </c>
      <c r="H44">
        <v>17.5</v>
      </c>
      <c r="I44">
        <f>MAX(0,1-Fitting!$B$7*(Fitting!$B$6-Herm8889!C44)^2)</f>
        <v>0.42719186582034485</v>
      </c>
      <c r="J44">
        <f>tt(G44,H44,Fitting!$B$1:$E$1,Fitting!$B$2:$E$2)*I44</f>
        <v>9.9322100655191967</v>
      </c>
    </row>
    <row r="45" spans="1:10">
      <c r="A45" s="1">
        <f t="shared" si="2"/>
        <v>32609</v>
      </c>
      <c r="B45">
        <f t="shared" si="0"/>
        <v>461.2948287462076</v>
      </c>
      <c r="C45">
        <f>day_length(F45,$B$1,Fitting!$B$4)</f>
        <v>12.432842254638672</v>
      </c>
      <c r="D45" s="1">
        <f t="shared" si="1"/>
        <v>32609</v>
      </c>
      <c r="E45">
        <f t="shared" si="3"/>
        <v>1989</v>
      </c>
      <c r="F45" s="6">
        <f t="shared" si="4"/>
        <v>101</v>
      </c>
      <c r="G45">
        <v>30.5</v>
      </c>
      <c r="H45">
        <v>18</v>
      </c>
      <c r="I45">
        <f>MAX(0,1-Fitting!$B$7*(Fitting!$B$6-Herm8889!C45)^2)</f>
        <v>0.42649648467637602</v>
      </c>
      <c r="J45">
        <f>tt(G45,H45,Fitting!$B$1:$E$1,Fitting!$B$2:$E$2)*I45</f>
        <v>10.315750312801987</v>
      </c>
    </row>
    <row r="46" spans="1:10">
      <c r="A46" s="1">
        <f t="shared" si="2"/>
        <v>32610</v>
      </c>
      <c r="B46">
        <f t="shared" si="0"/>
        <v>471.4951503629585</v>
      </c>
      <c r="C46">
        <f>day_length(F46,$B$1,Fitting!$B$4)</f>
        <v>12.411100387573242</v>
      </c>
      <c r="D46" s="1">
        <f t="shared" si="1"/>
        <v>32610</v>
      </c>
      <c r="E46">
        <f t="shared" si="3"/>
        <v>1989</v>
      </c>
      <c r="F46" s="6">
        <f t="shared" si="4"/>
        <v>102</v>
      </c>
      <c r="G46">
        <v>31</v>
      </c>
      <c r="H46">
        <v>17.5</v>
      </c>
      <c r="I46">
        <f>MAX(0,1-Fitting!$B$7*(Fitting!$B$6-Herm8889!C46)^2)</f>
        <v>0.42586225438159631</v>
      </c>
      <c r="J46">
        <f>tt(G46,H46,Fitting!$B$1:$E$1,Fitting!$B$2:$E$2)*I46</f>
        <v>10.2003216167509</v>
      </c>
    </row>
    <row r="47" spans="1:10">
      <c r="A47" s="1">
        <f t="shared" si="2"/>
        <v>32611</v>
      </c>
      <c r="B47">
        <f t="shared" si="0"/>
        <v>481.78489993954179</v>
      </c>
      <c r="C47">
        <f>day_length(F47,$B$1,Fitting!$B$4)</f>
        <v>12.389492034912109</v>
      </c>
      <c r="D47" s="1">
        <f t="shared" si="1"/>
        <v>32611</v>
      </c>
      <c r="E47">
        <f t="shared" si="3"/>
        <v>1989</v>
      </c>
      <c r="F47" s="6">
        <f t="shared" si="4"/>
        <v>103</v>
      </c>
      <c r="G47">
        <v>31</v>
      </c>
      <c r="H47">
        <v>18</v>
      </c>
      <c r="I47">
        <f>MAX(0,1-Fitting!$B$7*(Fitting!$B$6-Herm8889!C47)^2)</f>
        <v>0.42528983700308343</v>
      </c>
      <c r="J47">
        <f>tt(G47,H47,Fitting!$B$1:$E$1,Fitting!$B$2:$E$2)*I47</f>
        <v>10.289749576583288</v>
      </c>
    </row>
    <row r="48" spans="1:10">
      <c r="A48" s="1">
        <f t="shared" si="2"/>
        <v>32612</v>
      </c>
      <c r="B48">
        <f t="shared" si="0"/>
        <v>492.37134338901302</v>
      </c>
      <c r="C48">
        <f>day_length(F48,$B$1,Fitting!$B$4)</f>
        <v>12.368022918701172</v>
      </c>
      <c r="D48" s="1">
        <f t="shared" si="1"/>
        <v>32612</v>
      </c>
      <c r="E48">
        <f t="shared" si="3"/>
        <v>1989</v>
      </c>
      <c r="F48" s="6">
        <f t="shared" si="4"/>
        <v>104</v>
      </c>
      <c r="G48">
        <v>31</v>
      </c>
      <c r="H48">
        <v>19.5</v>
      </c>
      <c r="I48">
        <f>MAX(0,1-Fitting!$B$7*(Fitting!$B$6-Herm8889!C48)^2)</f>
        <v>0.42477943748744473</v>
      </c>
      <c r="J48">
        <f>tt(G48,H48,Fitting!$B$1:$E$1,Fitting!$B$2:$E$2)*I48</f>
        <v>10.586443449471254</v>
      </c>
    </row>
    <row r="49" spans="1:10">
      <c r="A49" s="1">
        <f t="shared" si="2"/>
        <v>32613</v>
      </c>
      <c r="B49">
        <f t="shared" si="0"/>
        <v>502.6379111337863</v>
      </c>
      <c r="C49">
        <f>day_length(F49,$B$1,Fitting!$B$4)</f>
        <v>12.346694946289063</v>
      </c>
      <c r="D49" s="1">
        <f t="shared" si="1"/>
        <v>32613</v>
      </c>
      <c r="E49">
        <f t="shared" si="3"/>
        <v>1989</v>
      </c>
      <c r="F49" s="6">
        <f t="shared" si="4"/>
        <v>105</v>
      </c>
      <c r="G49">
        <v>31</v>
      </c>
      <c r="H49">
        <v>18</v>
      </c>
      <c r="I49">
        <f>MAX(0,1-Fitting!$B$7*(Fitting!$B$6-Herm8889!C49)^2)</f>
        <v>0.42433169925653058</v>
      </c>
      <c r="J49">
        <f>tt(G49,H49,Fitting!$B$1:$E$1,Fitting!$B$2:$E$2)*I49</f>
        <v>10.266567744773305</v>
      </c>
    </row>
    <row r="50" spans="1:10">
      <c r="A50" s="1">
        <f t="shared" si="2"/>
        <v>32614</v>
      </c>
      <c r="B50">
        <f t="shared" si="0"/>
        <v>512.68953811548431</v>
      </c>
      <c r="C50">
        <f>day_length(F50,$B$1,Fitting!$B$4)</f>
        <v>12.325514793395996</v>
      </c>
      <c r="D50" s="1">
        <f t="shared" si="1"/>
        <v>32614</v>
      </c>
      <c r="E50">
        <f t="shared" si="3"/>
        <v>1989</v>
      </c>
      <c r="F50" s="6">
        <f t="shared" si="4"/>
        <v>106</v>
      </c>
      <c r="G50">
        <v>31</v>
      </c>
      <c r="H50">
        <v>17</v>
      </c>
      <c r="I50">
        <f>MAX(0,1-Fitting!$B$7*(Fitting!$B$6-Herm8889!C50)^2)</f>
        <v>0.42394669569112009</v>
      </c>
      <c r="J50">
        <f>tt(G50,H50,Fitting!$B$1:$E$1,Fitting!$B$2:$E$2)*I50</f>
        <v>10.051626981697989</v>
      </c>
    </row>
    <row r="51" spans="1:10">
      <c r="A51" s="1">
        <f t="shared" si="2"/>
        <v>32615</v>
      </c>
      <c r="B51">
        <f t="shared" si="0"/>
        <v>522.00928263584046</v>
      </c>
      <c r="C51">
        <f>day_length(F51,$B$1,Fitting!$B$4)</f>
        <v>12.304485321044922</v>
      </c>
      <c r="D51" s="1">
        <f t="shared" si="1"/>
        <v>32615</v>
      </c>
      <c r="E51">
        <f t="shared" si="3"/>
        <v>1989</v>
      </c>
      <c r="F51" s="6">
        <f t="shared" si="4"/>
        <v>107</v>
      </c>
      <c r="G51">
        <v>29</v>
      </c>
      <c r="H51">
        <v>15</v>
      </c>
      <c r="I51">
        <f>MAX(0,1-Fitting!$B$7*(Fitting!$B$6-Herm8889!C51)^2)</f>
        <v>0.42362471419800751</v>
      </c>
      <c r="J51">
        <f>tt(G51,H51,Fitting!$B$1:$E$1,Fitting!$B$2:$E$2)*I51</f>
        <v>9.3197445203561848</v>
      </c>
    </row>
    <row r="52" spans="1:10">
      <c r="A52" s="1">
        <f t="shared" si="2"/>
        <v>32616</v>
      </c>
      <c r="B52">
        <f t="shared" si="0"/>
        <v>531.4311140580312</v>
      </c>
      <c r="C52">
        <f>day_length(F52,$B$1,Fitting!$B$4)</f>
        <v>12.283611297607422</v>
      </c>
      <c r="D52" s="1">
        <f t="shared" si="1"/>
        <v>32616</v>
      </c>
      <c r="E52">
        <f t="shared" si="3"/>
        <v>1989</v>
      </c>
      <c r="F52" s="6">
        <f t="shared" si="4"/>
        <v>108</v>
      </c>
      <c r="G52">
        <v>31</v>
      </c>
      <c r="H52">
        <v>14</v>
      </c>
      <c r="I52">
        <f>MAX(0,1-Fitting!$B$7*(Fitting!$B$6-Herm8889!C52)^2)</f>
        <v>0.42336603208105406</v>
      </c>
      <c r="J52">
        <f>tt(G52,H52,Fitting!$B$1:$E$1,Fitting!$B$2:$E$2)*I52</f>
        <v>9.4218314221907562</v>
      </c>
    </row>
    <row r="53" spans="1:10">
      <c r="A53" s="1">
        <f t="shared" si="2"/>
        <v>32617</v>
      </c>
      <c r="B53">
        <f t="shared" si="0"/>
        <v>541.46434758613702</v>
      </c>
      <c r="C53">
        <f>day_length(F53,$B$1,Fitting!$B$4)</f>
        <v>12.262898445129395</v>
      </c>
      <c r="D53" s="1">
        <f t="shared" si="1"/>
        <v>32617</v>
      </c>
      <c r="E53">
        <f t="shared" si="3"/>
        <v>1989</v>
      </c>
      <c r="F53" s="6">
        <f t="shared" si="4"/>
        <v>109</v>
      </c>
      <c r="G53">
        <v>31</v>
      </c>
      <c r="H53">
        <v>17</v>
      </c>
      <c r="I53">
        <f>MAX(0,1-Fitting!$B$7*(Fitting!$B$6-Herm8889!C53)^2)</f>
        <v>0.42317091641807925</v>
      </c>
      <c r="J53">
        <f>tt(G53,H53,Fitting!$B$1:$E$1,Fitting!$B$2:$E$2)*I53</f>
        <v>10.033233528105841</v>
      </c>
    </row>
    <row r="54" spans="1:10">
      <c r="A54" s="1">
        <f t="shared" si="2"/>
        <v>32618</v>
      </c>
      <c r="B54">
        <f t="shared" si="0"/>
        <v>551.80224332472665</v>
      </c>
      <c r="C54">
        <f>day_length(F54,$B$1,Fitting!$B$4)</f>
        <v>12.242349624633789</v>
      </c>
      <c r="D54" s="1">
        <f t="shared" si="1"/>
        <v>32618</v>
      </c>
      <c r="E54">
        <f t="shared" si="3"/>
        <v>1989</v>
      </c>
      <c r="F54" s="6">
        <f t="shared" si="4"/>
        <v>110</v>
      </c>
      <c r="G54">
        <v>31</v>
      </c>
      <c r="H54">
        <v>18.5</v>
      </c>
      <c r="I54">
        <f>MAX(0,1-Fitting!$B$7*(Fitting!$B$6-Herm8889!C54)^2)</f>
        <v>0.42303951171512921</v>
      </c>
      <c r="J54">
        <f>tt(G54,H54,Fitting!$B$1:$E$1,Fitting!$B$2:$E$2)*I54</f>
        <v>10.337895738589646</v>
      </c>
    </row>
    <row r="55" spans="1:10">
      <c r="A55" s="1">
        <f t="shared" si="2"/>
        <v>32619</v>
      </c>
      <c r="B55">
        <f t="shared" si="0"/>
        <v>562.03590427940264</v>
      </c>
      <c r="C55">
        <f>day_length(F55,$B$1,Fitting!$B$4)</f>
        <v>12.22197151184082</v>
      </c>
      <c r="D55" s="1">
        <f t="shared" si="1"/>
        <v>32619</v>
      </c>
      <c r="E55">
        <f t="shared" si="3"/>
        <v>1989</v>
      </c>
      <c r="F55" s="6">
        <f t="shared" si="4"/>
        <v>111</v>
      </c>
      <c r="G55">
        <v>31</v>
      </c>
      <c r="H55">
        <v>18</v>
      </c>
      <c r="I55">
        <f>MAX(0,1-Fitting!$B$7*(Fitting!$B$6-Herm8889!C55)^2)</f>
        <v>0.4229716152921319</v>
      </c>
      <c r="J55">
        <f>tt(G55,H55,Fitting!$B$1:$E$1,Fitting!$B$2:$E$2)*I55</f>
        <v>10.233660954675972</v>
      </c>
    </row>
    <row r="56" spans="1:10">
      <c r="A56" s="1">
        <f t="shared" si="2"/>
        <v>32620</v>
      </c>
      <c r="B56">
        <f t="shared" si="0"/>
        <v>572.2116498442698</v>
      </c>
      <c r="C56">
        <f>day_length(F56,$B$1,Fitting!$B$4)</f>
        <v>12.201766014099121</v>
      </c>
      <c r="D56" s="1">
        <f t="shared" si="1"/>
        <v>32620</v>
      </c>
      <c r="E56">
        <f t="shared" si="3"/>
        <v>1989</v>
      </c>
      <c r="F56" s="6">
        <f t="shared" si="4"/>
        <v>112</v>
      </c>
      <c r="G56">
        <v>31.5</v>
      </c>
      <c r="H56">
        <v>18</v>
      </c>
      <c r="I56">
        <f>MAX(0,1-Fitting!$B$7*(Fitting!$B$6-Herm8889!C56)^2)</f>
        <v>0.42296768727765632</v>
      </c>
      <c r="J56">
        <f>tt(G56,H56,Fitting!$B$1:$E$1,Fitting!$B$2:$E$2)*I56</f>
        <v>10.17574556486716</v>
      </c>
    </row>
    <row r="57" spans="1:10">
      <c r="A57" s="1">
        <f t="shared" si="2"/>
        <v>32621</v>
      </c>
      <c r="B57">
        <f t="shared" si="0"/>
        <v>582.15279618540762</v>
      </c>
      <c r="C57">
        <f>day_length(F57,$B$1,Fitting!$B$4)</f>
        <v>12.18173885345459</v>
      </c>
      <c r="D57" s="1">
        <f t="shared" si="1"/>
        <v>32621</v>
      </c>
      <c r="E57">
        <f t="shared" si="3"/>
        <v>1989</v>
      </c>
      <c r="F57" s="6">
        <f t="shared" si="4"/>
        <v>113</v>
      </c>
      <c r="G57">
        <v>28</v>
      </c>
      <c r="H57">
        <v>19</v>
      </c>
      <c r="I57">
        <f>MAX(0,1-Fitting!$B$7*(Fitting!$B$6-Herm8889!C57)^2)</f>
        <v>0.42302750387820565</v>
      </c>
      <c r="J57">
        <f>tt(G57,H57,Fitting!$B$1:$E$1,Fitting!$B$2:$E$2)*I57</f>
        <v>9.9411463411378325</v>
      </c>
    </row>
    <row r="58" spans="1:10">
      <c r="A58" s="1">
        <f t="shared" si="2"/>
        <v>32622</v>
      </c>
      <c r="B58">
        <f t="shared" si="0"/>
        <v>590.51003033233678</v>
      </c>
      <c r="C58">
        <f>day_length(F58,$B$1,Fitting!$B$4)</f>
        <v>12.161895751953125</v>
      </c>
      <c r="D58" s="1">
        <f t="shared" si="1"/>
        <v>32622</v>
      </c>
      <c r="E58">
        <f t="shared" si="3"/>
        <v>1989</v>
      </c>
      <c r="F58" s="6">
        <f t="shared" si="4"/>
        <v>114</v>
      </c>
      <c r="G58">
        <v>22</v>
      </c>
      <c r="H58">
        <v>17.5</v>
      </c>
      <c r="I58">
        <f>MAX(0,1-Fitting!$B$7*(Fitting!$B$6-Herm8889!C58)^2)</f>
        <v>0.42315105518139351</v>
      </c>
      <c r="J58">
        <f>tt(G58,H58,Fitting!$B$1:$E$1,Fitting!$B$2:$E$2)*I58</f>
        <v>8.3572341469291089</v>
      </c>
    </row>
    <row r="59" spans="1:10">
      <c r="A59" s="1">
        <f t="shared" si="2"/>
        <v>32623</v>
      </c>
      <c r="B59">
        <f t="shared" si="0"/>
        <v>599.71763556015856</v>
      </c>
      <c r="C59">
        <f>day_length(F59,$B$1,Fitting!$B$4)</f>
        <v>12.142240524291992</v>
      </c>
      <c r="D59" s="1">
        <f t="shared" si="1"/>
        <v>32623</v>
      </c>
      <c r="E59">
        <f t="shared" si="3"/>
        <v>1989</v>
      </c>
      <c r="F59" s="6">
        <f t="shared" si="4"/>
        <v>115</v>
      </c>
      <c r="G59">
        <v>26</v>
      </c>
      <c r="H59">
        <v>17.5</v>
      </c>
      <c r="I59">
        <f>MAX(0,1-Fitting!$B$7*(Fitting!$B$6-Herm8889!C59)^2)</f>
        <v>0.42333820851840753</v>
      </c>
      <c r="J59">
        <f>tt(G59,H59,Fitting!$B$1:$E$1,Fitting!$B$2:$E$2)*I59</f>
        <v>9.2076052278218103</v>
      </c>
    </row>
    <row r="60" spans="1:10">
      <c r="A60" s="1">
        <f t="shared" si="2"/>
        <v>32624</v>
      </c>
      <c r="B60">
        <f t="shared" si="0"/>
        <v>608.93069404331254</v>
      </c>
      <c r="C60">
        <f>day_length(F60,$B$1,Fitting!$B$4)</f>
        <v>12.122777938842773</v>
      </c>
      <c r="D60" s="1">
        <f t="shared" si="1"/>
        <v>32624</v>
      </c>
      <c r="E60">
        <f t="shared" si="3"/>
        <v>1989</v>
      </c>
      <c r="F60" s="6">
        <f t="shared" si="4"/>
        <v>116</v>
      </c>
      <c r="G60">
        <v>26</v>
      </c>
      <c r="H60">
        <v>17.5</v>
      </c>
      <c r="I60">
        <f>MAX(0,1-Fitting!$B$7*(Fitting!$B$6-Herm8889!C60)^2)</f>
        <v>0.4235889329234851</v>
      </c>
      <c r="J60">
        <f>tt(G60,H60,Fitting!$B$1:$E$1,Fitting!$B$2:$E$2)*I60</f>
        <v>9.213058483154029</v>
      </c>
    </row>
    <row r="61" spans="1:10">
      <c r="A61" s="1">
        <f t="shared" si="2"/>
        <v>32625</v>
      </c>
      <c r="B61">
        <f t="shared" si="0"/>
        <v>618.04460532885162</v>
      </c>
      <c r="C61">
        <f>day_length(F61,$B$1,Fitting!$B$4)</f>
        <v>12.103512763977051</v>
      </c>
      <c r="D61" s="1">
        <f t="shared" si="1"/>
        <v>32625</v>
      </c>
      <c r="E61">
        <f t="shared" si="3"/>
        <v>1989</v>
      </c>
      <c r="F61" s="6">
        <f t="shared" si="4"/>
        <v>117</v>
      </c>
      <c r="G61">
        <v>25.5</v>
      </c>
      <c r="H61">
        <v>17.5</v>
      </c>
      <c r="I61">
        <f>MAX(0,1-Fitting!$B$7*(Fitting!$B$6-Herm8889!C61)^2)</f>
        <v>0.42390285049018894</v>
      </c>
      <c r="J61">
        <f>tt(G61,H61,Fitting!$B$1:$E$1,Fitting!$B$2:$E$2)*I61</f>
        <v>9.1139112855390625</v>
      </c>
    </row>
    <row r="62" spans="1:10">
      <c r="A62" s="1">
        <f t="shared" si="2"/>
        <v>32626</v>
      </c>
      <c r="B62">
        <f t="shared" si="0"/>
        <v>627.06055817070092</v>
      </c>
      <c r="C62">
        <f>day_length(F62,$B$1,Fitting!$B$4)</f>
        <v>12.084451675415039</v>
      </c>
      <c r="D62" s="1">
        <f t="shared" si="1"/>
        <v>32626</v>
      </c>
      <c r="E62">
        <f t="shared" si="3"/>
        <v>1989</v>
      </c>
      <c r="F62" s="6">
        <f t="shared" si="4"/>
        <v>118</v>
      </c>
      <c r="G62">
        <v>29</v>
      </c>
      <c r="H62">
        <v>13.5</v>
      </c>
      <c r="I62">
        <f>MAX(0,1-Fitting!$B$7*(Fitting!$B$6-Herm8889!C62)^2)</f>
        <v>0.42428013373408613</v>
      </c>
      <c r="J62">
        <f>tt(G62,H62,Fitting!$B$1:$E$1,Fitting!$B$2:$E$2)*I62</f>
        <v>9.0159528418493302</v>
      </c>
    </row>
    <row r="63" spans="1:10">
      <c r="A63" s="1">
        <f t="shared" si="2"/>
        <v>32627</v>
      </c>
      <c r="B63">
        <f t="shared" si="0"/>
        <v>636.40440003555466</v>
      </c>
      <c r="C63">
        <f>day_length(F63,$B$1,Fitting!$B$4)</f>
        <v>12.065597534179688</v>
      </c>
      <c r="D63" s="1">
        <f t="shared" si="1"/>
        <v>32627</v>
      </c>
      <c r="E63">
        <f t="shared" si="3"/>
        <v>1989</v>
      </c>
      <c r="F63" s="6">
        <f t="shared" si="4"/>
        <v>119</v>
      </c>
      <c r="G63">
        <v>29</v>
      </c>
      <c r="H63">
        <v>15</v>
      </c>
      <c r="I63">
        <f>MAX(0,1-Fitting!$B$7*(Fitting!$B$6-Herm8889!C63)^2)</f>
        <v>0.42472004794384155</v>
      </c>
      <c r="J63">
        <f>tt(G63,H63,Fitting!$B$1:$E$1,Fitting!$B$2:$E$2)*I63</f>
        <v>9.3438418648537169</v>
      </c>
    </row>
    <row r="64" spans="1:10">
      <c r="A64" s="1">
        <f t="shared" si="2"/>
        <v>32628</v>
      </c>
      <c r="B64">
        <f t="shared" si="0"/>
        <v>645.54668583750356</v>
      </c>
      <c r="C64">
        <f>day_length(F64,$B$1,Fitting!$B$4)</f>
        <v>12.046956062316895</v>
      </c>
      <c r="D64" s="1">
        <f t="shared" si="1"/>
        <v>32628</v>
      </c>
      <c r="E64">
        <f t="shared" si="3"/>
        <v>1989</v>
      </c>
      <c r="F64" s="6">
        <f t="shared" si="4"/>
        <v>120</v>
      </c>
      <c r="G64">
        <v>29</v>
      </c>
      <c r="H64">
        <v>14</v>
      </c>
      <c r="I64">
        <f>MAX(0,1-Fitting!$B$7*(Fitting!$B$6-Herm8889!C64)^2)</f>
        <v>0.42522263316263886</v>
      </c>
      <c r="J64">
        <f>tt(G64,H64,Fitting!$B$1:$E$1,Fitting!$B$2:$E$2)*I64</f>
        <v>9.1422858019489279</v>
      </c>
    </row>
    <row r="65" spans="1:10">
      <c r="A65" s="1">
        <f t="shared" si="2"/>
        <v>32629</v>
      </c>
      <c r="B65">
        <f t="shared" si="0"/>
        <v>655.12690060675936</v>
      </c>
      <c r="C65">
        <f>day_length(F65,$B$1,Fitting!$B$4)</f>
        <v>12.028531074523926</v>
      </c>
      <c r="D65" s="1">
        <f t="shared" si="1"/>
        <v>32629</v>
      </c>
      <c r="E65">
        <f t="shared" si="3"/>
        <v>1989</v>
      </c>
      <c r="F65" s="6">
        <f t="shared" si="4"/>
        <v>121</v>
      </c>
      <c r="G65">
        <v>30</v>
      </c>
      <c r="H65">
        <v>15</v>
      </c>
      <c r="I65">
        <f>MAX(0,1-Fitting!$B$7*(Fitting!$B$6-Herm8889!C65)^2)</f>
        <v>0.42578735917247834</v>
      </c>
      <c r="J65">
        <f>tt(G65,H65,Fitting!$B$1:$E$1,Fitting!$B$2:$E$2)*I65</f>
        <v>9.580214769255825</v>
      </c>
    </row>
    <row r="66" spans="1:10">
      <c r="A66" s="1">
        <f t="shared" si="2"/>
        <v>32630</v>
      </c>
      <c r="B66">
        <f t="shared" si="0"/>
        <v>664.18819382111496</v>
      </c>
      <c r="C66">
        <f>day_length(F66,$B$1,Fitting!$B$4)</f>
        <v>12.010330200195313</v>
      </c>
      <c r="D66" s="1">
        <f t="shared" si="1"/>
        <v>32630</v>
      </c>
      <c r="E66">
        <f t="shared" si="3"/>
        <v>1989</v>
      </c>
      <c r="F66" s="6">
        <f t="shared" si="4"/>
        <v>122</v>
      </c>
      <c r="G66">
        <v>29</v>
      </c>
      <c r="H66">
        <v>13.5</v>
      </c>
      <c r="I66">
        <f>MAX(0,1-Fitting!$B$7*(Fitting!$B$6-Herm8889!C66)^2)</f>
        <v>0.42641379832261916</v>
      </c>
      <c r="J66">
        <f>tt(G66,H66,Fitting!$B$1:$E$1,Fitting!$B$2:$E$2)*I66</f>
        <v>9.0612932143556577</v>
      </c>
    </row>
    <row r="67" spans="1:10">
      <c r="A67" s="1">
        <f t="shared" si="2"/>
        <v>32631</v>
      </c>
      <c r="B67">
        <f t="shared" si="0"/>
        <v>673.37087876799819</v>
      </c>
      <c r="C67">
        <f>day_length(F67,$B$1,Fitting!$B$4)</f>
        <v>11.99235725402832</v>
      </c>
      <c r="D67" s="1">
        <f t="shared" si="1"/>
        <v>32631</v>
      </c>
      <c r="E67">
        <f t="shared" si="3"/>
        <v>1989</v>
      </c>
      <c r="F67" s="6">
        <f t="shared" si="4"/>
        <v>123</v>
      </c>
      <c r="G67">
        <v>29.5</v>
      </c>
      <c r="H67">
        <v>13.5</v>
      </c>
      <c r="I67">
        <f>MAX(0,1-Fitting!$B$7*(Fitting!$B$6-Herm8889!C67)^2)</f>
        <v>0.42710162543642949</v>
      </c>
      <c r="J67">
        <f>tt(G67,H67,Fitting!$B$1:$E$1,Fitting!$B$2:$E$2)*I67</f>
        <v>9.1826849468832332</v>
      </c>
    </row>
    <row r="68" spans="1:10">
      <c r="A68" s="1">
        <f t="shared" si="2"/>
        <v>32632</v>
      </c>
      <c r="B68">
        <f t="shared" si="0"/>
        <v>682.35573469770043</v>
      </c>
      <c r="C68">
        <f>day_length(F68,$B$1,Fitting!$B$4)</f>
        <v>11.974617004394531</v>
      </c>
      <c r="D68" s="1">
        <f t="shared" si="1"/>
        <v>32632</v>
      </c>
      <c r="E68">
        <f t="shared" si="3"/>
        <v>1989</v>
      </c>
      <c r="F68" s="6">
        <f t="shared" si="4"/>
        <v>124</v>
      </c>
      <c r="G68">
        <v>29</v>
      </c>
      <c r="H68">
        <v>13</v>
      </c>
      <c r="I68">
        <f>MAX(0,1-Fitting!$B$7*(Fitting!$B$6-Herm8889!C68)^2)</f>
        <v>0.42785028236677503</v>
      </c>
      <c r="J68">
        <f>tt(G68,H68,Fitting!$B$1:$E$1,Fitting!$B$2:$E$2)*I68</f>
        <v>8.9848559297022756</v>
      </c>
    </row>
    <row r="69" spans="1:10">
      <c r="A69" s="1">
        <f t="shared" si="2"/>
        <v>32633</v>
      </c>
      <c r="B69">
        <f t="shared" ref="B69:B132" si="5">B68+J69</f>
        <v>691.46474511870804</v>
      </c>
      <c r="C69">
        <f>day_length(F69,$B$1,Fitting!$B$4)</f>
        <v>11.957114219665527</v>
      </c>
      <c r="D69" s="1">
        <f t="shared" ref="D69:D132" si="6">A69</f>
        <v>32633</v>
      </c>
      <c r="E69">
        <f t="shared" si="3"/>
        <v>1989</v>
      </c>
      <c r="F69" s="6">
        <f t="shared" si="4"/>
        <v>125</v>
      </c>
      <c r="G69">
        <v>28.5</v>
      </c>
      <c r="H69">
        <v>14</v>
      </c>
      <c r="I69">
        <f>MAX(0,1-Fitting!$B$7*(Fitting!$B$6-Herm8889!C69)^2)</f>
        <v>0.42865931392977108</v>
      </c>
      <c r="J69">
        <f>tt(G69,H69,Fitting!$B$1:$E$1,Fitting!$B$2:$E$2)*I69</f>
        <v>9.1090104210076355</v>
      </c>
    </row>
    <row r="70" spans="1:10">
      <c r="A70" s="1">
        <f t="shared" ref="A70:A133" si="7">A69+1</f>
        <v>32634</v>
      </c>
      <c r="B70">
        <f t="shared" si="5"/>
        <v>700.80698226244681</v>
      </c>
      <c r="C70">
        <f>day_length(F70,$B$1,Fitting!$B$4)</f>
        <v>11.939855575561523</v>
      </c>
      <c r="D70" s="1">
        <f t="shared" si="6"/>
        <v>32634</v>
      </c>
      <c r="E70">
        <f t="shared" ref="E70:E133" si="8">YEAR(A70)</f>
        <v>1989</v>
      </c>
      <c r="F70" s="6">
        <f t="shared" ref="F70:F133" si="9">A70-DATE(E70,1,1)+1</f>
        <v>126</v>
      </c>
      <c r="G70">
        <v>29</v>
      </c>
      <c r="H70">
        <v>14.5</v>
      </c>
      <c r="I70">
        <f>MAX(0,1-Fitting!$B$7*(Fitting!$B$6-Herm8889!C70)^2)</f>
        <v>0.42952814453971222</v>
      </c>
      <c r="J70">
        <f>tt(G70,H70,Fitting!$B$1:$E$1,Fitting!$B$2:$E$2)*I70</f>
        <v>9.3422371437387408</v>
      </c>
    </row>
    <row r="71" spans="1:10">
      <c r="A71" s="1">
        <f t="shared" si="7"/>
        <v>32635</v>
      </c>
      <c r="B71">
        <f t="shared" si="5"/>
        <v>710.38463001666128</v>
      </c>
      <c r="C71">
        <f>day_length(F71,$B$1,Fitting!$B$4)</f>
        <v>11.922845840454102</v>
      </c>
      <c r="D71" s="1">
        <f t="shared" si="6"/>
        <v>32635</v>
      </c>
      <c r="E71">
        <f t="shared" si="8"/>
        <v>1989</v>
      </c>
      <c r="F71" s="6">
        <f t="shared" si="9"/>
        <v>127</v>
      </c>
      <c r="G71">
        <v>29.5</v>
      </c>
      <c r="H71">
        <v>15</v>
      </c>
      <c r="I71">
        <f>MAX(0,1-Fitting!$B$7*(Fitting!$B$6-Herm8889!C71)^2)</f>
        <v>0.43045607884109816</v>
      </c>
      <c r="J71">
        <f>tt(G71,H71,Fitting!$B$1:$E$1,Fitting!$B$2:$E$2)*I71</f>
        <v>9.5776477542144338</v>
      </c>
    </row>
    <row r="72" spans="1:10">
      <c r="A72" s="1">
        <f t="shared" si="7"/>
        <v>32636</v>
      </c>
      <c r="B72">
        <f t="shared" si="5"/>
        <v>720.0920901638126</v>
      </c>
      <c r="C72">
        <f>day_length(F72,$B$1,Fitting!$B$4)</f>
        <v>11.906089782714844</v>
      </c>
      <c r="D72" s="1">
        <f t="shared" si="6"/>
        <v>32636</v>
      </c>
      <c r="E72">
        <f t="shared" si="8"/>
        <v>1989</v>
      </c>
      <c r="F72" s="6">
        <f t="shared" si="9"/>
        <v>128</v>
      </c>
      <c r="G72">
        <v>26</v>
      </c>
      <c r="H72">
        <v>19</v>
      </c>
      <c r="I72">
        <f>MAX(0,1-Fitting!$B$7*(Fitting!$B$6-Herm8889!C72)^2)</f>
        <v>0.43144263663287896</v>
      </c>
      <c r="J72">
        <f>tt(G72,H72,Fitting!$B$1:$E$1,Fitting!$B$2:$E$2)*I72</f>
        <v>9.7074601471513002</v>
      </c>
    </row>
    <row r="73" spans="1:10">
      <c r="A73" s="1">
        <f t="shared" si="7"/>
        <v>32637</v>
      </c>
      <c r="B73">
        <f t="shared" si="5"/>
        <v>729.39056296297042</v>
      </c>
      <c r="C73">
        <f>day_length(F73,$B$1,Fitting!$B$4)</f>
        <v>11.889592170715332</v>
      </c>
      <c r="D73" s="1">
        <f t="shared" si="6"/>
        <v>32637</v>
      </c>
      <c r="E73">
        <f t="shared" si="8"/>
        <v>1989</v>
      </c>
      <c r="F73" s="6">
        <f t="shared" si="9"/>
        <v>129</v>
      </c>
      <c r="G73">
        <v>23</v>
      </c>
      <c r="H73">
        <v>20</v>
      </c>
      <c r="I73">
        <f>MAX(0,1-Fitting!$B$7*(Fitting!$B$6-Herm8889!C73)^2)</f>
        <v>0.43248710693757497</v>
      </c>
      <c r="J73">
        <f>tt(G73,H73,Fitting!$B$1:$E$1,Fitting!$B$2:$E$2)*I73</f>
        <v>9.298472799157862</v>
      </c>
    </row>
    <row r="74" spans="1:10">
      <c r="A74" s="1">
        <f t="shared" si="7"/>
        <v>32638</v>
      </c>
      <c r="B74">
        <f t="shared" si="5"/>
        <v>739.1463078230471</v>
      </c>
      <c r="C74">
        <f>day_length(F74,$B$1,Fitting!$B$4)</f>
        <v>11.873360633850098</v>
      </c>
      <c r="D74" s="1">
        <f t="shared" si="6"/>
        <v>32638</v>
      </c>
      <c r="E74">
        <f t="shared" si="8"/>
        <v>1989</v>
      </c>
      <c r="F74" s="6">
        <f t="shared" si="9"/>
        <v>130</v>
      </c>
      <c r="G74">
        <v>25</v>
      </c>
      <c r="H74">
        <v>20</v>
      </c>
      <c r="I74">
        <f>MAX(0,1-Fitting!$B$7*(Fitting!$B$6-Herm8889!C74)^2)</f>
        <v>0.43358866044785283</v>
      </c>
      <c r="J74">
        <f>tt(G74,H74,Fitting!$B$1:$E$1,Fitting!$B$2:$E$2)*I74</f>
        <v>9.755744860076689</v>
      </c>
    </row>
    <row r="75" spans="1:10">
      <c r="A75" s="1">
        <f t="shared" si="7"/>
        <v>32639</v>
      </c>
      <c r="B75">
        <f t="shared" si="5"/>
        <v>747.84124454612265</v>
      </c>
      <c r="C75">
        <f>day_length(F75,$B$1,Fitting!$B$4)</f>
        <v>11.857398986816406</v>
      </c>
      <c r="D75" s="1">
        <f t="shared" si="6"/>
        <v>32639</v>
      </c>
      <c r="E75">
        <f t="shared" si="8"/>
        <v>1989</v>
      </c>
      <c r="F75" s="6">
        <f t="shared" si="9"/>
        <v>131</v>
      </c>
      <c r="G75">
        <v>27</v>
      </c>
      <c r="H75">
        <v>13</v>
      </c>
      <c r="I75">
        <f>MAX(0,1-Fitting!$B$7*(Fitting!$B$6-Herm8889!C75)^2)</f>
        <v>0.43474679469309196</v>
      </c>
      <c r="J75">
        <f>tt(G75,H75,Fitting!$B$1:$E$1,Fitting!$B$2:$E$2)*I75</f>
        <v>8.6949367230755445</v>
      </c>
    </row>
    <row r="76" spans="1:10">
      <c r="A76" s="1">
        <f t="shared" si="7"/>
        <v>32640</v>
      </c>
      <c r="B76">
        <f t="shared" si="5"/>
        <v>756.56045871442586</v>
      </c>
      <c r="C76">
        <f>day_length(F76,$B$1,Fitting!$B$4)</f>
        <v>11.84171199798584</v>
      </c>
      <c r="D76" s="1">
        <f t="shared" si="6"/>
        <v>32640</v>
      </c>
      <c r="E76">
        <f t="shared" si="8"/>
        <v>1989</v>
      </c>
      <c r="F76" s="6">
        <f t="shared" si="9"/>
        <v>132</v>
      </c>
      <c r="G76">
        <v>27</v>
      </c>
      <c r="H76">
        <v>13</v>
      </c>
      <c r="I76">
        <f>MAX(0,1-Fitting!$B$7*(Fitting!$B$6-Herm8889!C76)^2)</f>
        <v>0.43596066683871326</v>
      </c>
      <c r="J76">
        <f>tt(G76,H76,Fitting!$B$1:$E$1,Fitting!$B$2:$E$2)*I76</f>
        <v>8.7192141683032478</v>
      </c>
    </row>
    <row r="77" spans="1:10">
      <c r="A77" s="1">
        <f t="shared" si="7"/>
        <v>32641</v>
      </c>
      <c r="B77">
        <f t="shared" si="5"/>
        <v>765.85158087514901</v>
      </c>
      <c r="C77">
        <f>day_length(F77,$B$1,Fitting!$B$4)</f>
        <v>11.826306343078613</v>
      </c>
      <c r="D77" s="1">
        <f t="shared" si="6"/>
        <v>32641</v>
      </c>
      <c r="E77">
        <f t="shared" si="8"/>
        <v>1989</v>
      </c>
      <c r="F77" s="6">
        <f t="shared" si="9"/>
        <v>133</v>
      </c>
      <c r="G77">
        <v>27</v>
      </c>
      <c r="H77">
        <v>15.5</v>
      </c>
      <c r="I77">
        <f>MAX(0,1-Fitting!$B$7*(Fitting!$B$6-Herm8889!C77)^2)</f>
        <v>0.4372293173963262</v>
      </c>
      <c r="J77">
        <f>tt(G77,H77,Fitting!$B$1:$E$1,Fitting!$B$2:$E$2)*I77</f>
        <v>9.2911221607231909</v>
      </c>
    </row>
    <row r="78" spans="1:10">
      <c r="A78" s="1">
        <f t="shared" si="7"/>
        <v>32642</v>
      </c>
      <c r="B78">
        <f t="shared" si="5"/>
        <v>775.17081329812515</v>
      </c>
      <c r="C78">
        <f>day_length(F78,$B$1,Fitting!$B$4)</f>
        <v>11.811186790466309</v>
      </c>
      <c r="D78" s="1">
        <f t="shared" si="6"/>
        <v>32642</v>
      </c>
      <c r="E78">
        <f t="shared" si="8"/>
        <v>1989</v>
      </c>
      <c r="F78" s="6">
        <f t="shared" si="9"/>
        <v>134</v>
      </c>
      <c r="G78">
        <v>25</v>
      </c>
      <c r="H78">
        <v>17.5</v>
      </c>
      <c r="I78">
        <f>MAX(0,1-Fitting!$B$7*(Fitting!$B$6-Herm8889!C78)^2)</f>
        <v>0.43855211402240823</v>
      </c>
      <c r="J78">
        <f>tt(G78,H78,Fitting!$B$1:$E$1,Fitting!$B$2:$E$2)*I78</f>
        <v>9.3192324229761745</v>
      </c>
    </row>
    <row r="79" spans="1:10">
      <c r="A79" s="1">
        <f t="shared" si="7"/>
        <v>32643</v>
      </c>
      <c r="B79">
        <f t="shared" si="5"/>
        <v>784.51928748498494</v>
      </c>
      <c r="C79">
        <f>day_length(F79,$B$1,Fitting!$B$4)</f>
        <v>11.796359062194824</v>
      </c>
      <c r="D79" s="1">
        <f t="shared" si="6"/>
        <v>32643</v>
      </c>
      <c r="E79">
        <f t="shared" si="8"/>
        <v>1989</v>
      </c>
      <c r="F79" s="6">
        <f t="shared" si="9"/>
        <v>135</v>
      </c>
      <c r="G79">
        <v>27.5</v>
      </c>
      <c r="H79">
        <v>15</v>
      </c>
      <c r="I79">
        <f>MAX(0,1-Fitting!$B$7*(Fitting!$B$6-Herm8889!C79)^2)</f>
        <v>0.43992819702869745</v>
      </c>
      <c r="J79">
        <f>tt(G79,H79,Fitting!$B$1:$E$1,Fitting!$B$2:$E$2)*I79</f>
        <v>9.3484741868598213</v>
      </c>
    </row>
    <row r="80" spans="1:10">
      <c r="A80" s="1">
        <f t="shared" si="7"/>
        <v>32644</v>
      </c>
      <c r="B80">
        <f t="shared" si="5"/>
        <v>793.56709987320744</v>
      </c>
      <c r="C80">
        <f>day_length(F80,$B$1,Fitting!$B$4)</f>
        <v>11.781827926635742</v>
      </c>
      <c r="D80" s="1">
        <f t="shared" si="6"/>
        <v>32644</v>
      </c>
      <c r="E80">
        <f t="shared" si="8"/>
        <v>1989</v>
      </c>
      <c r="F80" s="6">
        <f t="shared" si="9"/>
        <v>136</v>
      </c>
      <c r="G80">
        <v>26</v>
      </c>
      <c r="H80">
        <v>15</v>
      </c>
      <c r="I80">
        <f>MAX(0,1-Fitting!$B$7*(Fitting!$B$6-Herm8889!C80)^2)</f>
        <v>0.4413567018645117</v>
      </c>
      <c r="J80">
        <f>tt(G80,H80,Fitting!$B$1:$E$1,Fitting!$B$2:$E$2)*I80</f>
        <v>9.0478123882224892</v>
      </c>
    </row>
    <row r="81" spans="1:10">
      <c r="A81" s="1">
        <f t="shared" si="7"/>
        <v>32645</v>
      </c>
      <c r="B81">
        <f t="shared" si="5"/>
        <v>800.98461374662963</v>
      </c>
      <c r="C81">
        <f>day_length(F81,$B$1,Fitting!$B$4)</f>
        <v>11.767598152160645</v>
      </c>
      <c r="D81" s="1">
        <f t="shared" si="6"/>
        <v>32645</v>
      </c>
      <c r="E81">
        <f t="shared" si="8"/>
        <v>1989</v>
      </c>
      <c r="F81" s="6">
        <f t="shared" si="9"/>
        <v>137</v>
      </c>
      <c r="G81">
        <v>19</v>
      </c>
      <c r="H81">
        <v>14.5</v>
      </c>
      <c r="I81">
        <f>MAX(0,1-Fitting!$B$7*(Fitting!$B$6-Herm8889!C81)^2)</f>
        <v>0.44283664915953158</v>
      </c>
      <c r="J81">
        <f>tt(G81,H81,Fitting!$B$1:$E$1,Fitting!$B$2:$E$2)*I81</f>
        <v>7.4175138734221537</v>
      </c>
    </row>
    <row r="82" spans="1:10">
      <c r="A82" s="1">
        <f t="shared" si="7"/>
        <v>32646</v>
      </c>
      <c r="B82">
        <f t="shared" si="5"/>
        <v>809.64977563225739</v>
      </c>
      <c r="C82">
        <f>day_length(F82,$B$1,Fitting!$B$4)</f>
        <v>11.753676414489746</v>
      </c>
      <c r="D82" s="1">
        <f t="shared" si="6"/>
        <v>32646</v>
      </c>
      <c r="E82">
        <f t="shared" si="8"/>
        <v>1989</v>
      </c>
      <c r="F82" s="6">
        <f t="shared" si="9"/>
        <v>138</v>
      </c>
      <c r="G82">
        <v>25</v>
      </c>
      <c r="H82">
        <v>14</v>
      </c>
      <c r="I82">
        <f>MAX(0,1-Fitting!$B$7*(Fitting!$B$6-Herm8889!C82)^2)</f>
        <v>0.44436727618603622</v>
      </c>
      <c r="J82">
        <f>tt(G82,H82,Fitting!$B$1:$E$1,Fitting!$B$2:$E$2)*I82</f>
        <v>8.6651618856277057</v>
      </c>
    </row>
    <row r="83" spans="1:10">
      <c r="A83" s="1">
        <f t="shared" si="7"/>
        <v>32647</v>
      </c>
      <c r="B83">
        <f t="shared" si="5"/>
        <v>818.68021359604427</v>
      </c>
      <c r="C83">
        <f>day_length(F83,$B$1,Fitting!$B$4)</f>
        <v>11.740067481994629</v>
      </c>
      <c r="D83" s="1">
        <f t="shared" si="6"/>
        <v>32647</v>
      </c>
      <c r="E83">
        <f t="shared" si="8"/>
        <v>1989</v>
      </c>
      <c r="F83" s="6">
        <f t="shared" si="9"/>
        <v>139</v>
      </c>
      <c r="G83">
        <v>24.5</v>
      </c>
      <c r="H83">
        <v>16</v>
      </c>
      <c r="I83">
        <f>MAX(0,1-Fitting!$B$7*(Fitting!$B$6-Herm8889!C83)^2)</f>
        <v>0.44594759577108201</v>
      </c>
      <c r="J83">
        <f>tt(G83,H83,Fitting!$B$1:$E$1,Fitting!$B$2:$E$2)*I83</f>
        <v>9.0304379637868735</v>
      </c>
    </row>
    <row r="84" spans="1:10">
      <c r="A84" s="1">
        <f t="shared" si="7"/>
        <v>32648</v>
      </c>
      <c r="B84">
        <f t="shared" si="5"/>
        <v>827.74363925268858</v>
      </c>
      <c r="C84">
        <f>day_length(F84,$B$1,Fitting!$B$4)</f>
        <v>11.726777076721191</v>
      </c>
      <c r="D84" s="1">
        <f t="shared" si="6"/>
        <v>32648</v>
      </c>
      <c r="E84">
        <f t="shared" si="8"/>
        <v>1989</v>
      </c>
      <c r="F84" s="6">
        <f t="shared" si="9"/>
        <v>140</v>
      </c>
      <c r="G84">
        <v>26</v>
      </c>
      <c r="H84">
        <v>14.5</v>
      </c>
      <c r="I84">
        <f>MAX(0,1-Fitting!$B$7*(Fitting!$B$6-Herm8889!C84)^2)</f>
        <v>0.44757661779402402</v>
      </c>
      <c r="J84">
        <f>tt(G84,H84,Fitting!$B$1:$E$1,Fitting!$B$2:$E$2)*I84</f>
        <v>9.0634256566443359</v>
      </c>
    </row>
    <row r="85" spans="1:10">
      <c r="A85" s="1">
        <f t="shared" si="7"/>
        <v>32649</v>
      </c>
      <c r="B85">
        <f t="shared" si="5"/>
        <v>836.7287062435621</v>
      </c>
      <c r="C85">
        <f>day_length(F85,$B$1,Fitting!$B$4)</f>
        <v>11.713809967041016</v>
      </c>
      <c r="D85" s="1">
        <f t="shared" si="6"/>
        <v>32649</v>
      </c>
      <c r="E85">
        <f t="shared" si="8"/>
        <v>1989</v>
      </c>
      <c r="F85" s="6">
        <f t="shared" si="9"/>
        <v>141</v>
      </c>
      <c r="G85">
        <v>26.5</v>
      </c>
      <c r="H85">
        <v>13.5</v>
      </c>
      <c r="I85">
        <f>MAX(0,1-Fitting!$B$7*(Fitting!$B$6-Herm8889!C85)^2)</f>
        <v>0.44925334954367457</v>
      </c>
      <c r="J85">
        <f>tt(G85,H85,Fitting!$B$1:$E$1,Fitting!$B$2:$E$2)*I85</f>
        <v>8.9850669908734915</v>
      </c>
    </row>
    <row r="86" spans="1:10">
      <c r="A86" s="1">
        <f t="shared" si="7"/>
        <v>32650</v>
      </c>
      <c r="B86">
        <f t="shared" si="5"/>
        <v>845.52275590162344</v>
      </c>
      <c r="C86">
        <f>day_length(F86,$B$1,Fitting!$B$4)</f>
        <v>11.701170921325684</v>
      </c>
      <c r="D86" s="1">
        <f t="shared" si="6"/>
        <v>32650</v>
      </c>
      <c r="E86">
        <f t="shared" si="8"/>
        <v>1989</v>
      </c>
      <c r="F86" s="6">
        <f t="shared" si="9"/>
        <v>142</v>
      </c>
      <c r="G86">
        <v>26</v>
      </c>
      <c r="H86">
        <v>13</v>
      </c>
      <c r="I86">
        <f>MAX(0,1-Fitting!$B$7*(Fitting!$B$6-Herm8889!C86)^2)</f>
        <v>0.45097690554160541</v>
      </c>
      <c r="J86">
        <f>tt(G86,H86,Fitting!$B$1:$E$1,Fitting!$B$2:$E$2)*I86</f>
        <v>8.7940496580613061</v>
      </c>
    </row>
    <row r="87" spans="1:10">
      <c r="A87" s="1">
        <f t="shared" si="7"/>
        <v>32651</v>
      </c>
      <c r="B87">
        <f t="shared" si="5"/>
        <v>854.69086959172523</v>
      </c>
      <c r="C87">
        <f>day_length(F87,$B$1,Fitting!$B$4)</f>
        <v>11.688865661621094</v>
      </c>
      <c r="D87" s="1">
        <f t="shared" si="6"/>
        <v>32651</v>
      </c>
      <c r="E87">
        <f t="shared" si="8"/>
        <v>1989</v>
      </c>
      <c r="F87" s="6">
        <f t="shared" si="9"/>
        <v>143</v>
      </c>
      <c r="G87">
        <v>26</v>
      </c>
      <c r="H87">
        <v>14.5</v>
      </c>
      <c r="I87">
        <f>MAX(0,1-Fitting!$B$7*(Fitting!$B$6-Herm8889!C87)^2)</f>
        <v>0.45274639771096548</v>
      </c>
      <c r="J87">
        <f>tt(G87,H87,Fitting!$B$1:$E$1,Fitting!$B$2:$E$2)*I87</f>
        <v>9.1681136901018281</v>
      </c>
    </row>
    <row r="88" spans="1:10">
      <c r="A88" s="1">
        <f t="shared" si="7"/>
        <v>32652</v>
      </c>
      <c r="B88">
        <f t="shared" si="5"/>
        <v>862.98660069373022</v>
      </c>
      <c r="C88">
        <f>day_length(F88,$B$1,Fitting!$B$4)</f>
        <v>11.676900863647461</v>
      </c>
      <c r="D88" s="1">
        <f t="shared" si="6"/>
        <v>32652</v>
      </c>
      <c r="E88">
        <f t="shared" si="8"/>
        <v>1989</v>
      </c>
      <c r="F88" s="6">
        <f t="shared" si="9"/>
        <v>144</v>
      </c>
      <c r="G88">
        <v>25</v>
      </c>
      <c r="H88">
        <v>11.5</v>
      </c>
      <c r="I88">
        <f>MAX(0,1-Fitting!$B$7*(Fitting!$B$6-Herm8889!C88)^2)</f>
        <v>0.45456060832904222</v>
      </c>
      <c r="J88">
        <f>tt(G88,H88,Fitting!$B$1:$E$1,Fitting!$B$2:$E$2)*I88</f>
        <v>8.2957311020050213</v>
      </c>
    </row>
    <row r="89" spans="1:10">
      <c r="A89" s="1">
        <f t="shared" si="7"/>
        <v>32653</v>
      </c>
      <c r="B89">
        <f t="shared" si="5"/>
        <v>871.08802973870479</v>
      </c>
      <c r="C89">
        <f>day_length(F89,$B$1,Fitting!$B$4)</f>
        <v>11.665277481079102</v>
      </c>
      <c r="D89" s="1">
        <f t="shared" si="6"/>
        <v>32653</v>
      </c>
      <c r="E89">
        <f t="shared" si="8"/>
        <v>1989</v>
      </c>
      <c r="F89" s="6">
        <f t="shared" si="9"/>
        <v>145</v>
      </c>
      <c r="G89">
        <v>24</v>
      </c>
      <c r="H89">
        <v>11.5</v>
      </c>
      <c r="I89">
        <f>MAX(0,1-Fitting!$B$7*(Fitting!$B$6-Herm8889!C89)^2)</f>
        <v>0.45641853774504304</v>
      </c>
      <c r="J89">
        <f>tt(G89,H89,Fitting!$B$1:$E$1,Fitting!$B$2:$E$2)*I89</f>
        <v>8.1014290449745143</v>
      </c>
    </row>
    <row r="90" spans="1:10">
      <c r="A90" s="1">
        <f t="shared" si="7"/>
        <v>32654</v>
      </c>
      <c r="B90">
        <f t="shared" si="5"/>
        <v>879.91067824449408</v>
      </c>
      <c r="C90">
        <f>day_length(F90,$B$1,Fitting!$B$4)</f>
        <v>11.654004096984863</v>
      </c>
      <c r="D90" s="1">
        <f t="shared" si="6"/>
        <v>32654</v>
      </c>
      <c r="E90">
        <f t="shared" si="8"/>
        <v>1989</v>
      </c>
      <c r="F90" s="6">
        <f t="shared" si="9"/>
        <v>146</v>
      </c>
      <c r="G90">
        <v>24</v>
      </c>
      <c r="H90">
        <v>14.5</v>
      </c>
      <c r="I90">
        <f>MAX(0,1-Fitting!$B$7*(Fitting!$B$6-Herm8889!C90)^2)</f>
        <v>0.45831940289814699</v>
      </c>
      <c r="J90">
        <f>tt(G90,H90,Fitting!$B$1:$E$1,Fitting!$B$2:$E$2)*I90</f>
        <v>8.8226485057893296</v>
      </c>
    </row>
    <row r="91" spans="1:10">
      <c r="A91" s="1">
        <f t="shared" si="7"/>
        <v>32655</v>
      </c>
      <c r="B91">
        <f t="shared" si="5"/>
        <v>888.540590452743</v>
      </c>
      <c r="C91">
        <f>day_length(F91,$B$1,Fitting!$B$4)</f>
        <v>11.643083572387695</v>
      </c>
      <c r="D91" s="1">
        <f t="shared" si="6"/>
        <v>32655</v>
      </c>
      <c r="E91">
        <f t="shared" si="8"/>
        <v>1989</v>
      </c>
      <c r="F91" s="6">
        <f t="shared" si="9"/>
        <v>147</v>
      </c>
      <c r="G91">
        <v>24</v>
      </c>
      <c r="H91">
        <v>13.5</v>
      </c>
      <c r="I91">
        <f>MAX(0,1-Fitting!$B$7*(Fitting!$B$6-Herm8889!C91)^2)</f>
        <v>0.46026198443994504</v>
      </c>
      <c r="J91">
        <f>tt(G91,H91,Fitting!$B$1:$E$1,Fitting!$B$2:$E$2)*I91</f>
        <v>8.6299122082489692</v>
      </c>
    </row>
    <row r="92" spans="1:10">
      <c r="A92" s="1">
        <f t="shared" si="7"/>
        <v>32656</v>
      </c>
      <c r="B92">
        <f t="shared" si="5"/>
        <v>896.51432155017653</v>
      </c>
      <c r="C92">
        <f>day_length(F92,$B$1,Fitting!$B$4)</f>
        <v>11.632522583007813</v>
      </c>
      <c r="D92" s="1">
        <f t="shared" si="6"/>
        <v>32656</v>
      </c>
      <c r="E92">
        <f t="shared" si="8"/>
        <v>1989</v>
      </c>
      <c r="F92" s="6">
        <f t="shared" si="9"/>
        <v>148</v>
      </c>
      <c r="G92">
        <v>21.5</v>
      </c>
      <c r="H92">
        <v>13</v>
      </c>
      <c r="I92">
        <f>MAX(0,1-Fitting!$B$7*(Fitting!$B$6-Herm8889!C92)^2)</f>
        <v>0.46224528101064244</v>
      </c>
      <c r="J92">
        <f>tt(G92,H92,Fitting!$B$1:$E$1,Fitting!$B$2:$E$2)*I92</f>
        <v>7.973731097433582</v>
      </c>
    </row>
    <row r="93" spans="1:10">
      <c r="A93" s="1">
        <f t="shared" si="7"/>
        <v>32657</v>
      </c>
      <c r="B93">
        <f t="shared" si="5"/>
        <v>904.52294957555307</v>
      </c>
      <c r="C93">
        <f>day_length(F93,$B$1,Fitting!$B$4)</f>
        <v>11.622323989868164</v>
      </c>
      <c r="D93" s="1">
        <f t="shared" si="6"/>
        <v>32657</v>
      </c>
      <c r="E93">
        <f t="shared" si="8"/>
        <v>1989</v>
      </c>
      <c r="F93" s="6">
        <f t="shared" si="9"/>
        <v>149</v>
      </c>
      <c r="G93">
        <v>23.5</v>
      </c>
      <c r="H93">
        <v>11</v>
      </c>
      <c r="I93">
        <f>MAX(0,1-Fitting!$B$7*(Fitting!$B$6-Herm8889!C93)^2)</f>
        <v>0.46426829132617597</v>
      </c>
      <c r="J93">
        <f>tt(G93,H93,Fitting!$B$1:$E$1,Fitting!$B$2:$E$2)*I93</f>
        <v>8.0086280253765363</v>
      </c>
    </row>
    <row r="94" spans="1:10">
      <c r="A94" s="1">
        <f t="shared" si="7"/>
        <v>32658</v>
      </c>
      <c r="B94">
        <f t="shared" si="5"/>
        <v>912.33397731821435</v>
      </c>
      <c r="C94">
        <f>day_length(F94,$B$1,Fitting!$B$4)</f>
        <v>11.612491607666016</v>
      </c>
      <c r="D94" s="1">
        <f t="shared" si="6"/>
        <v>32658</v>
      </c>
      <c r="E94">
        <f t="shared" si="8"/>
        <v>1989</v>
      </c>
      <c r="F94" s="6">
        <f t="shared" si="9"/>
        <v>150</v>
      </c>
      <c r="G94">
        <v>25</v>
      </c>
      <c r="H94">
        <v>8.5</v>
      </c>
      <c r="I94">
        <f>MAX(0,1-Fitting!$B$7*(Fitting!$B$6-Herm8889!C94)^2)</f>
        <v>0.46633001448724276</v>
      </c>
      <c r="J94">
        <f>tt(G94,H94,Fitting!$B$1:$E$1,Fitting!$B$2:$E$2)*I94</f>
        <v>7.8110277426613166</v>
      </c>
    </row>
    <row r="95" spans="1:10">
      <c r="A95" s="1">
        <f t="shared" si="7"/>
        <v>32659</v>
      </c>
      <c r="B95">
        <f t="shared" si="5"/>
        <v>920.64859814875194</v>
      </c>
      <c r="C95">
        <f>day_length(F95,$B$1,Fitting!$B$4)</f>
        <v>11.603033065795898</v>
      </c>
      <c r="D95" s="1">
        <f t="shared" si="6"/>
        <v>32659</v>
      </c>
      <c r="E95">
        <f t="shared" si="8"/>
        <v>1989</v>
      </c>
      <c r="F95" s="6">
        <f t="shared" si="9"/>
        <v>151</v>
      </c>
      <c r="G95">
        <v>25</v>
      </c>
      <c r="H95">
        <v>10.5</v>
      </c>
      <c r="I95">
        <f>MAX(0,1-Fitting!$B$7*(Fitting!$B$6-Herm8889!C95)^2)</f>
        <v>0.46842934256549962</v>
      </c>
      <c r="J95">
        <f>tt(G95,H95,Fitting!$B$1:$E$1,Fitting!$B$2:$E$2)*I95</f>
        <v>8.3146208305376188</v>
      </c>
    </row>
    <row r="96" spans="1:10">
      <c r="A96" s="1">
        <f t="shared" si="7"/>
        <v>32660</v>
      </c>
      <c r="B96">
        <f t="shared" si="5"/>
        <v>928.64820875505927</v>
      </c>
      <c r="C96">
        <f>day_length(F96,$B$1,Fitting!$B$4)</f>
        <v>11.593950271606445</v>
      </c>
      <c r="D96" s="1">
        <f t="shared" si="6"/>
        <v>32660</v>
      </c>
      <c r="E96">
        <f t="shared" si="8"/>
        <v>1989</v>
      </c>
      <c r="F96" s="6">
        <f t="shared" si="9"/>
        <v>152</v>
      </c>
      <c r="G96">
        <v>25.5</v>
      </c>
      <c r="H96">
        <v>8.5</v>
      </c>
      <c r="I96">
        <f>MAX(0,1-Fitting!$B$7*(Fitting!$B$6-Herm8889!C96)^2)</f>
        <v>0.47056527698678108</v>
      </c>
      <c r="J96">
        <f>tt(G96,H96,Fitting!$B$1:$E$1,Fitting!$B$2:$E$2)*I96</f>
        <v>7.999610606307316</v>
      </c>
    </row>
    <row r="97" spans="1:10">
      <c r="A97" s="1">
        <f t="shared" si="7"/>
        <v>32661</v>
      </c>
      <c r="B97">
        <f t="shared" si="5"/>
        <v>937.15747242539248</v>
      </c>
      <c r="C97">
        <f>day_length(F97,$B$1,Fitting!$B$4)</f>
        <v>11.585248947143555</v>
      </c>
      <c r="D97" s="1">
        <f t="shared" si="6"/>
        <v>32661</v>
      </c>
      <c r="E97">
        <f t="shared" si="8"/>
        <v>1989</v>
      </c>
      <c r="F97" s="6">
        <f t="shared" si="9"/>
        <v>153</v>
      </c>
      <c r="G97">
        <v>25</v>
      </c>
      <c r="H97">
        <v>11</v>
      </c>
      <c r="I97">
        <f>MAX(0,1-Fitting!$B$7*(Fitting!$B$6-Herm8889!C97)^2)</f>
        <v>0.4727368204810718</v>
      </c>
      <c r="J97">
        <f>tt(G97,H97,Fitting!$B$1:$E$1,Fitting!$B$2:$E$2)*I97</f>
        <v>8.5092636703332207</v>
      </c>
    </row>
    <row r="98" spans="1:10">
      <c r="A98" s="1">
        <f t="shared" si="7"/>
        <v>32662</v>
      </c>
      <c r="B98">
        <f t="shared" si="5"/>
        <v>944.16287818345359</v>
      </c>
      <c r="C98">
        <f>day_length(F98,$B$1,Fitting!$B$4)</f>
        <v>11.576930046081543</v>
      </c>
      <c r="D98" s="1">
        <f t="shared" si="6"/>
        <v>32662</v>
      </c>
      <c r="E98">
        <f t="shared" si="8"/>
        <v>1989</v>
      </c>
      <c r="F98" s="6">
        <f t="shared" si="9"/>
        <v>154</v>
      </c>
      <c r="G98">
        <v>22</v>
      </c>
      <c r="H98">
        <v>7.5</v>
      </c>
      <c r="I98">
        <f>MAX(0,1-Fitting!$B$7*(Fitting!$B$6-Herm8889!C98)^2)</f>
        <v>0.47494276325837748</v>
      </c>
      <c r="J98">
        <f>tt(G98,H98,Fitting!$B$1:$E$1,Fitting!$B$2:$E$2)*I98</f>
        <v>7.0054057580610678</v>
      </c>
    </row>
    <row r="99" spans="1:10">
      <c r="A99" s="1">
        <f t="shared" si="7"/>
        <v>32663</v>
      </c>
      <c r="B99">
        <f t="shared" si="5"/>
        <v>952.87145564276364</v>
      </c>
      <c r="C99">
        <f>day_length(F99,$B$1,Fitting!$B$4)</f>
        <v>11.569002151489258</v>
      </c>
      <c r="D99" s="1">
        <f t="shared" si="6"/>
        <v>32663</v>
      </c>
      <c r="E99">
        <f t="shared" si="8"/>
        <v>1989</v>
      </c>
      <c r="F99" s="6">
        <f t="shared" si="9"/>
        <v>155</v>
      </c>
      <c r="G99">
        <v>25.5</v>
      </c>
      <c r="H99">
        <v>11</v>
      </c>
      <c r="I99">
        <f>MAX(0,1-Fitting!$B$7*(Fitting!$B$6-Herm8889!C99)^2)</f>
        <v>0.47718232653753689</v>
      </c>
      <c r="J99">
        <f>tt(G99,H99,Fitting!$B$1:$E$1,Fitting!$B$2:$E$2)*I99</f>
        <v>8.7085774593100478</v>
      </c>
    </row>
    <row r="100" spans="1:10">
      <c r="A100" s="1">
        <f t="shared" si="7"/>
        <v>32664</v>
      </c>
      <c r="B100">
        <f t="shared" si="5"/>
        <v>962.3406781762834</v>
      </c>
      <c r="C100">
        <f>day_length(F100,$B$1,Fitting!$B$4)</f>
        <v>11.561465263366699</v>
      </c>
      <c r="D100" s="1">
        <f t="shared" si="6"/>
        <v>32664</v>
      </c>
      <c r="E100">
        <f t="shared" si="8"/>
        <v>1989</v>
      </c>
      <c r="F100" s="6">
        <f t="shared" si="9"/>
        <v>156</v>
      </c>
      <c r="G100">
        <v>24.5</v>
      </c>
      <c r="H100">
        <v>15</v>
      </c>
      <c r="I100">
        <f>MAX(0,1-Fitting!$B$7*(Fitting!$B$6-Herm8889!C100)^2)</f>
        <v>0.47945430549466983</v>
      </c>
      <c r="J100">
        <f>tt(G100,H100,Fitting!$B$1:$E$1,Fitting!$B$2:$E$2)*I100</f>
        <v>9.46922253351973</v>
      </c>
    </row>
    <row r="101" spans="1:10">
      <c r="A101" s="1">
        <f t="shared" si="7"/>
        <v>32665</v>
      </c>
      <c r="B101">
        <f t="shared" si="5"/>
        <v>969.80792390652596</v>
      </c>
      <c r="C101">
        <f>day_length(F101,$B$1,Fitting!$B$4)</f>
        <v>11.554325103759766</v>
      </c>
      <c r="D101" s="1">
        <f t="shared" si="6"/>
        <v>32665</v>
      </c>
      <c r="E101">
        <f t="shared" si="8"/>
        <v>1989</v>
      </c>
      <c r="F101" s="6">
        <f t="shared" si="9"/>
        <v>157</v>
      </c>
      <c r="G101">
        <v>19.5</v>
      </c>
      <c r="H101">
        <v>11.5</v>
      </c>
      <c r="I101">
        <f>MAX(0,1-Fitting!$B$7*(Fitting!$B$6-Herm8889!C101)^2)</f>
        <v>0.48175781868919876</v>
      </c>
      <c r="J101">
        <f>tt(G101,H101,Fitting!$B$1:$E$1,Fitting!$B$2:$E$2)*I101</f>
        <v>7.4672457302425226</v>
      </c>
    </row>
    <row r="102" spans="1:10">
      <c r="A102" s="1">
        <f t="shared" si="7"/>
        <v>32666</v>
      </c>
      <c r="B102">
        <f t="shared" si="5"/>
        <v>975.73804860229495</v>
      </c>
      <c r="C102">
        <f>day_length(F102,$B$1,Fitting!$B$4)</f>
        <v>11.547584533691406</v>
      </c>
      <c r="D102" s="1">
        <f t="shared" si="6"/>
        <v>32666</v>
      </c>
      <c r="E102">
        <f t="shared" si="8"/>
        <v>1989</v>
      </c>
      <c r="F102" s="6">
        <f t="shared" si="9"/>
        <v>158</v>
      </c>
      <c r="G102">
        <v>20.5</v>
      </c>
      <c r="H102">
        <v>4</v>
      </c>
      <c r="I102">
        <f>MAX(0,1-Fitting!$B$7*(Fitting!$B$6-Herm8889!C102)^2)</f>
        <v>0.48409177421249661</v>
      </c>
      <c r="J102">
        <f>tt(G102,H102,Fitting!$B$1:$E$1,Fitting!$B$2:$E$2)*I102</f>
        <v>5.9301246957689751</v>
      </c>
    </row>
    <row r="103" spans="1:10">
      <c r="A103" s="1">
        <f t="shared" si="7"/>
        <v>32667</v>
      </c>
      <c r="B103">
        <f t="shared" si="5"/>
        <v>981.81873847692293</v>
      </c>
      <c r="C103">
        <f>day_length(F103,$B$1,Fitting!$B$4)</f>
        <v>11.54124641418457</v>
      </c>
      <c r="D103" s="1">
        <f t="shared" si="6"/>
        <v>32667</v>
      </c>
      <c r="E103">
        <f t="shared" si="8"/>
        <v>1989</v>
      </c>
      <c r="F103" s="6">
        <f t="shared" si="9"/>
        <v>159</v>
      </c>
      <c r="G103">
        <v>18.5</v>
      </c>
      <c r="H103">
        <v>6.5</v>
      </c>
      <c r="I103">
        <f>MAX(0,1-Fitting!$B$7*(Fitting!$B$6-Herm8889!C103)^2)</f>
        <v>0.48645518997023462</v>
      </c>
      <c r="J103">
        <f>tt(G103,H103,Fitting!$B$1:$E$1,Fitting!$B$2:$E$2)*I103</f>
        <v>6.0806898746279332</v>
      </c>
    </row>
    <row r="104" spans="1:10">
      <c r="A104" s="1">
        <f t="shared" si="7"/>
        <v>32668</v>
      </c>
      <c r="B104">
        <f t="shared" si="5"/>
        <v>987.92932395886794</v>
      </c>
      <c r="C104">
        <f>day_length(F104,$B$1,Fitting!$B$4)</f>
        <v>11.535314559936523</v>
      </c>
      <c r="D104" s="1">
        <f t="shared" si="6"/>
        <v>32668</v>
      </c>
      <c r="E104">
        <f t="shared" si="8"/>
        <v>1989</v>
      </c>
      <c r="F104" s="6">
        <f t="shared" si="9"/>
        <v>160</v>
      </c>
      <c r="G104">
        <v>16.5</v>
      </c>
      <c r="H104">
        <v>8.5</v>
      </c>
      <c r="I104">
        <f>MAX(0,1-Fitting!$B$7*(Fitting!$B$6-Herm8889!C104)^2)</f>
        <v>0.48884687585165376</v>
      </c>
      <c r="J104">
        <f>tt(G104,H104,Fitting!$B$1:$E$1,Fitting!$B$2:$E$2)*I104</f>
        <v>6.1105854819449616</v>
      </c>
    </row>
    <row r="105" spans="1:10">
      <c r="A105" s="1">
        <f t="shared" si="7"/>
        <v>32669</v>
      </c>
      <c r="B105">
        <f t="shared" si="5"/>
        <v>994.5614173095945</v>
      </c>
      <c r="C105">
        <f>day_length(F105,$B$1,Fitting!$B$4)</f>
        <v>11.529791831970215</v>
      </c>
      <c r="D105" s="1">
        <f t="shared" si="6"/>
        <v>32669</v>
      </c>
      <c r="E105">
        <f t="shared" si="8"/>
        <v>1989</v>
      </c>
      <c r="F105" s="6">
        <f t="shared" si="9"/>
        <v>161</v>
      </c>
      <c r="G105">
        <v>21.5</v>
      </c>
      <c r="H105">
        <v>5.5</v>
      </c>
      <c r="I105">
        <f>MAX(0,1-Fitting!$B$7*(Fitting!$B$6-Herm8889!C105)^2)</f>
        <v>0.49126617412789531</v>
      </c>
      <c r="J105">
        <f>tt(G105,H105,Fitting!$B$1:$E$1,Fitting!$B$2:$E$2)*I105</f>
        <v>6.6320933507265867</v>
      </c>
    </row>
    <row r="106" spans="1:10">
      <c r="A106" s="1">
        <f t="shared" si="7"/>
        <v>32670</v>
      </c>
      <c r="B106">
        <f t="shared" si="5"/>
        <v>999.74539070778053</v>
      </c>
      <c r="C106">
        <f>day_length(F106,$B$1,Fitting!$B$4)</f>
        <v>11.524681091308594</v>
      </c>
      <c r="D106" s="1">
        <f t="shared" si="6"/>
        <v>32670</v>
      </c>
      <c r="E106">
        <f t="shared" si="8"/>
        <v>1989</v>
      </c>
      <c r="F106" s="6">
        <f t="shared" si="9"/>
        <v>162</v>
      </c>
      <c r="G106">
        <v>18.5</v>
      </c>
      <c r="H106">
        <v>2.5</v>
      </c>
      <c r="I106">
        <f>MAX(0,1-Fitting!$B$7*(Fitting!$B$6-Herm8889!C106)^2)</f>
        <v>0.49371179705012214</v>
      </c>
      <c r="J106">
        <f>tt(G106,H106,Fitting!$B$1:$E$1,Fitting!$B$2:$E$2)*I106</f>
        <v>5.1839733981860219</v>
      </c>
    </row>
    <row r="107" spans="1:10">
      <c r="A107" s="1">
        <f t="shared" si="7"/>
        <v>32671</v>
      </c>
      <c r="B107">
        <f t="shared" si="5"/>
        <v>1005.3274497986658</v>
      </c>
      <c r="C107">
        <f>day_length(F107,$B$1,Fitting!$B$4)</f>
        <v>11.519983291625977</v>
      </c>
      <c r="D107" s="1">
        <f t="shared" si="6"/>
        <v>32671</v>
      </c>
      <c r="E107">
        <f t="shared" si="8"/>
        <v>1989</v>
      </c>
      <c r="F107" s="6">
        <f t="shared" si="9"/>
        <v>163</v>
      </c>
      <c r="G107">
        <v>19.5</v>
      </c>
      <c r="H107">
        <v>3</v>
      </c>
      <c r="I107">
        <f>MAX(0,1-Fitting!$B$7*(Fitting!$B$6-Herm8889!C107)^2)</f>
        <v>0.49618298823896656</v>
      </c>
      <c r="J107">
        <f>tt(G107,H107,Fitting!$B$1:$E$1,Fitting!$B$2:$E$2)*I107</f>
        <v>5.5820590908853456</v>
      </c>
    </row>
    <row r="108" spans="1:10">
      <c r="A108" s="1">
        <f t="shared" si="7"/>
        <v>32672</v>
      </c>
      <c r="B108">
        <f t="shared" si="5"/>
        <v>1011.8102758294879</v>
      </c>
      <c r="C108">
        <f>day_length(F108,$B$1,Fitting!$B$4)</f>
        <v>11.515704154968262</v>
      </c>
      <c r="D108" s="1">
        <f t="shared" si="6"/>
        <v>32672</v>
      </c>
      <c r="E108">
        <f t="shared" si="8"/>
        <v>1989</v>
      </c>
      <c r="F108" s="6">
        <f t="shared" si="9"/>
        <v>164</v>
      </c>
      <c r="G108">
        <v>20</v>
      </c>
      <c r="H108">
        <v>6</v>
      </c>
      <c r="I108">
        <f>MAX(0,1-Fitting!$B$7*(Fitting!$B$6-Herm8889!C108)^2)</f>
        <v>0.49867888886498435</v>
      </c>
      <c r="J108">
        <f>tt(G108,H108,Fitting!$B$1:$E$1,Fitting!$B$2:$E$2)*I108</f>
        <v>6.4828260308220447</v>
      </c>
    </row>
    <row r="109" spans="1:10">
      <c r="A109" s="1">
        <f t="shared" si="7"/>
        <v>32673</v>
      </c>
      <c r="B109">
        <f t="shared" si="5"/>
        <v>1019.7041478904623</v>
      </c>
      <c r="C109">
        <f>day_length(F109,$B$1,Fitting!$B$4)</f>
        <v>11.511842727661133</v>
      </c>
      <c r="D109" s="1">
        <f t="shared" si="6"/>
        <v>32673</v>
      </c>
      <c r="E109">
        <f t="shared" si="8"/>
        <v>1989</v>
      </c>
      <c r="F109" s="6">
        <f t="shared" si="9"/>
        <v>165</v>
      </c>
      <c r="G109">
        <v>22</v>
      </c>
      <c r="H109">
        <v>9.5</v>
      </c>
      <c r="I109">
        <f>MAX(0,1-Fitting!$B$7*(Fitting!$B$6-Herm8889!C109)^2)</f>
        <v>0.50119822609361475</v>
      </c>
      <c r="J109">
        <f>tt(G109,H109,Fitting!$B$1:$E$1,Fitting!$B$2:$E$2)*I109</f>
        <v>7.8938720609744326</v>
      </c>
    </row>
    <row r="110" spans="1:10">
      <c r="A110" s="1">
        <f t="shared" si="7"/>
        <v>32674</v>
      </c>
      <c r="B110">
        <f t="shared" si="5"/>
        <v>1027.5121191016692</v>
      </c>
      <c r="C110">
        <f>day_length(F110,$B$1,Fitting!$B$4)</f>
        <v>11.508402824401855</v>
      </c>
      <c r="D110" s="1">
        <f t="shared" si="6"/>
        <v>32674</v>
      </c>
      <c r="E110">
        <f t="shared" si="8"/>
        <v>1989</v>
      </c>
      <c r="F110" s="6">
        <f t="shared" si="9"/>
        <v>166</v>
      </c>
      <c r="G110">
        <v>24</v>
      </c>
      <c r="H110">
        <v>7</v>
      </c>
      <c r="I110">
        <f>MAX(0,1-Fitting!$B$7*(Fitting!$B$6-Herm8889!C110)^2)</f>
        <v>0.50374004714858156</v>
      </c>
      <c r="J110">
        <f>tt(G110,H110,Fitting!$B$1:$E$1,Fitting!$B$2:$E$2)*I110</f>
        <v>7.8079712112069597</v>
      </c>
    </row>
    <row r="111" spans="1:10">
      <c r="A111" s="1">
        <f t="shared" si="7"/>
        <v>32675</v>
      </c>
      <c r="B111">
        <f t="shared" si="5"/>
        <v>1035.3598287850446</v>
      </c>
      <c r="C111">
        <f>day_length(F111,$B$1,Fitting!$B$4)</f>
        <v>11.505385398864746</v>
      </c>
      <c r="D111" s="1">
        <f t="shared" si="6"/>
        <v>32675</v>
      </c>
      <c r="E111">
        <f t="shared" si="8"/>
        <v>1989</v>
      </c>
      <c r="F111" s="6">
        <f t="shared" si="9"/>
        <v>167</v>
      </c>
      <c r="G111">
        <v>24</v>
      </c>
      <c r="H111">
        <v>7</v>
      </c>
      <c r="I111">
        <f>MAX(0,1-Fitting!$B$7*(Fitting!$B$6-Herm8889!C111)^2)</f>
        <v>0.50630381938880054</v>
      </c>
      <c r="J111">
        <f>tt(G111,H111,Fitting!$B$1:$E$1,Fitting!$B$2:$E$2)*I111</f>
        <v>7.8477096833753572</v>
      </c>
    </row>
    <row r="112" spans="1:10">
      <c r="A112" s="1">
        <f t="shared" si="7"/>
        <v>32676</v>
      </c>
      <c r="B112">
        <f t="shared" si="5"/>
        <v>1044.7742620791551</v>
      </c>
      <c r="C112">
        <f>day_length(F112,$B$1,Fitting!$B$4)</f>
        <v>11.502792358398437</v>
      </c>
      <c r="D112" s="1">
        <f t="shared" si="6"/>
        <v>32676</v>
      </c>
      <c r="E112">
        <f t="shared" si="8"/>
        <v>1989</v>
      </c>
      <c r="F112" s="6">
        <f t="shared" si="9"/>
        <v>168</v>
      </c>
      <c r="G112">
        <v>25</v>
      </c>
      <c r="H112">
        <v>12</v>
      </c>
      <c r="I112">
        <f>MAX(0,1-Fitting!$B$7*(Fitting!$B$6-Herm8889!C112)^2)</f>
        <v>0.50888828616813409</v>
      </c>
      <c r="J112">
        <f>tt(G112,H112,Fitting!$B$1:$E$1,Fitting!$B$2:$E$2)*I112</f>
        <v>9.4144332941104807</v>
      </c>
    </row>
    <row r="113" spans="1:10">
      <c r="A113" s="1">
        <f t="shared" si="7"/>
        <v>32677</v>
      </c>
      <c r="B113">
        <f t="shared" si="5"/>
        <v>1054.2368773194878</v>
      </c>
      <c r="C113">
        <f>day_length(F113,$B$1,Fitting!$B$4)</f>
        <v>11.500625610351563</v>
      </c>
      <c r="D113" s="1">
        <f t="shared" si="6"/>
        <v>32677</v>
      </c>
      <c r="E113">
        <f t="shared" si="8"/>
        <v>1989</v>
      </c>
      <c r="F113" s="6">
        <f t="shared" si="9"/>
        <v>169</v>
      </c>
      <c r="G113">
        <v>24</v>
      </c>
      <c r="H113">
        <v>13</v>
      </c>
      <c r="I113">
        <f>MAX(0,1-Fitting!$B$7*(Fitting!$B$6-Herm8889!C113)^2)</f>
        <v>0.51149271569366106</v>
      </c>
      <c r="J113">
        <f>tt(G113,H113,Fitting!$B$1:$E$1,Fitting!$B$2:$E$2)*I113</f>
        <v>9.4626152403327293</v>
      </c>
    </row>
    <row r="114" spans="1:10">
      <c r="A114" s="1">
        <f t="shared" si="7"/>
        <v>32678</v>
      </c>
      <c r="B114">
        <f t="shared" si="5"/>
        <v>1064.0050826588365</v>
      </c>
      <c r="C114">
        <f>day_length(F114,$B$1,Fitting!$B$4)</f>
        <v>11.498884201049805</v>
      </c>
      <c r="D114" s="1">
        <f t="shared" si="6"/>
        <v>32678</v>
      </c>
      <c r="E114">
        <f t="shared" si="8"/>
        <v>1989</v>
      </c>
      <c r="F114" s="6">
        <f t="shared" si="9"/>
        <v>170</v>
      </c>
      <c r="G114">
        <v>27</v>
      </c>
      <c r="H114">
        <v>11</v>
      </c>
      <c r="I114">
        <f>MAX(0,1-Fitting!$B$7*(Fitting!$B$6-Herm8889!C114)^2)</f>
        <v>0.51411607049204211</v>
      </c>
      <c r="J114">
        <f>tt(G114,H114,Fitting!$B$1:$E$1,Fitting!$B$2:$E$2)*I114</f>
        <v>9.7682053393487998</v>
      </c>
    </row>
    <row r="115" spans="1:10">
      <c r="A115" s="1">
        <f t="shared" si="7"/>
        <v>32679</v>
      </c>
      <c r="B115">
        <f t="shared" si="5"/>
        <v>1072.9191517414874</v>
      </c>
      <c r="C115">
        <f>day_length(F115,$B$1,Fitting!$B$4)</f>
        <v>11.497570991516113</v>
      </c>
      <c r="D115" s="1">
        <f t="shared" si="6"/>
        <v>32679</v>
      </c>
      <c r="E115">
        <f t="shared" si="8"/>
        <v>1989</v>
      </c>
      <c r="F115" s="6">
        <f t="shared" si="9"/>
        <v>171</v>
      </c>
      <c r="G115">
        <v>25.5</v>
      </c>
      <c r="H115">
        <v>9</v>
      </c>
      <c r="I115">
        <f>MAX(0,1-Fitting!$B$7*(Fitting!$B$6-Herm8889!C115)^2)</f>
        <v>0.51675762797976499</v>
      </c>
      <c r="J115">
        <f>tt(G115,H115,Fitting!$B$1:$E$1,Fitting!$B$2:$E$2)*I115</f>
        <v>8.9140690826509452</v>
      </c>
    </row>
    <row r="116" spans="1:10">
      <c r="A116" s="1">
        <f t="shared" si="7"/>
        <v>32680</v>
      </c>
      <c r="B116">
        <f t="shared" si="5"/>
        <v>1079.4118557699771</v>
      </c>
      <c r="C116">
        <f>day_length(F116,$B$1,Fitting!$B$4)</f>
        <v>11.496685981750488</v>
      </c>
      <c r="D116" s="1">
        <f t="shared" si="6"/>
        <v>32680</v>
      </c>
      <c r="E116">
        <f t="shared" si="8"/>
        <v>1989</v>
      </c>
      <c r="F116" s="6">
        <f t="shared" si="9"/>
        <v>172</v>
      </c>
      <c r="G116">
        <v>22</v>
      </c>
      <c r="H116">
        <v>3</v>
      </c>
      <c r="I116">
        <f>MAX(0,1-Fitting!$B$7*(Fitting!$B$6-Herm8889!C116)^2)</f>
        <v>0.51941636190749163</v>
      </c>
      <c r="J116">
        <f>tt(G116,H116,Fitting!$B$1:$E$1,Fitting!$B$2:$E$2)*I116</f>
        <v>6.4927040284896016</v>
      </c>
    </row>
    <row r="117" spans="1:10">
      <c r="A117" s="1">
        <f t="shared" si="7"/>
        <v>32681</v>
      </c>
      <c r="B117">
        <f t="shared" si="5"/>
        <v>1084.6327718893297</v>
      </c>
      <c r="C117">
        <f>day_length(F117,$B$1,Fitting!$B$4)</f>
        <v>11.496230125427246</v>
      </c>
      <c r="D117" s="1">
        <f t="shared" si="6"/>
        <v>32681</v>
      </c>
      <c r="E117">
        <f t="shared" si="8"/>
        <v>1989</v>
      </c>
      <c r="F117" s="6">
        <f t="shared" si="9"/>
        <v>173</v>
      </c>
      <c r="G117">
        <v>18</v>
      </c>
      <c r="H117">
        <v>2</v>
      </c>
      <c r="I117">
        <f>MAX(0,1-Fitting!$B$7*(Fitting!$B$6-Herm8889!C117)^2)</f>
        <v>0.52209166172580446</v>
      </c>
      <c r="J117">
        <f>tt(G117,H117,Fitting!$B$1:$E$1,Fitting!$B$2:$E$2)*I117</f>
        <v>5.2209161193526361</v>
      </c>
    </row>
    <row r="118" spans="1:10">
      <c r="A118" s="1">
        <f t="shared" si="7"/>
        <v>32682</v>
      </c>
      <c r="B118">
        <f t="shared" si="5"/>
        <v>1091.3237481224044</v>
      </c>
      <c r="C118">
        <f>day_length(F118,$B$1,Fitting!$B$4)</f>
        <v>11.496203422546387</v>
      </c>
      <c r="D118" s="1">
        <f t="shared" si="6"/>
        <v>32682</v>
      </c>
      <c r="E118">
        <f t="shared" si="8"/>
        <v>1989</v>
      </c>
      <c r="F118" s="6">
        <f t="shared" si="9"/>
        <v>174</v>
      </c>
      <c r="G118">
        <v>21</v>
      </c>
      <c r="H118">
        <v>4.5</v>
      </c>
      <c r="I118">
        <f>MAX(0,1-Fitting!$B$7*(Fitting!$B$6-Herm8889!C118)^2)</f>
        <v>0.52478241040025742</v>
      </c>
      <c r="J118">
        <f>tt(G118,H118,Fitting!$B$1:$E$1,Fitting!$B$2:$E$2)*I118</f>
        <v>6.6909762330747888</v>
      </c>
    </row>
    <row r="119" spans="1:10">
      <c r="A119" s="1">
        <f t="shared" si="7"/>
        <v>32683</v>
      </c>
      <c r="B119">
        <f t="shared" si="5"/>
        <v>1098.444835353615</v>
      </c>
      <c r="C119">
        <f>day_length(F119,$B$1,Fitting!$B$4)</f>
        <v>11.496604919433594</v>
      </c>
      <c r="D119" s="1">
        <f t="shared" si="6"/>
        <v>32683</v>
      </c>
      <c r="E119">
        <f t="shared" si="8"/>
        <v>1989</v>
      </c>
      <c r="F119" s="6">
        <f t="shared" si="9"/>
        <v>175</v>
      </c>
      <c r="G119">
        <v>22</v>
      </c>
      <c r="H119">
        <v>5</v>
      </c>
      <c r="I119">
        <f>MAX(0,1-Fitting!$B$7*(Fitting!$B$6-Herm8889!C119)^2)</f>
        <v>0.52748790578954496</v>
      </c>
      <c r="J119">
        <f>tt(G119,H119,Fitting!$B$1:$E$1,Fitting!$B$2:$E$2)*I119</f>
        <v>7.1210872312105247</v>
      </c>
    </row>
    <row r="120" spans="1:10">
      <c r="A120" s="1">
        <f t="shared" si="7"/>
        <v>32684</v>
      </c>
      <c r="B120">
        <f t="shared" si="5"/>
        <v>1104.012012009164</v>
      </c>
      <c r="C120">
        <f>day_length(F120,$B$1,Fitting!$B$4)</f>
        <v>11.4974365234375</v>
      </c>
      <c r="D120" s="1">
        <f t="shared" si="6"/>
        <v>32684</v>
      </c>
      <c r="E120">
        <f t="shared" si="8"/>
        <v>1989</v>
      </c>
      <c r="F120" s="6">
        <f t="shared" si="9"/>
        <v>176</v>
      </c>
      <c r="G120">
        <v>20</v>
      </c>
      <c r="H120">
        <v>1</v>
      </c>
      <c r="I120">
        <f>MAX(0,1-Fitting!$B$7*(Fitting!$B$6-Herm8889!C120)^2)</f>
        <v>0.53020734868515862</v>
      </c>
      <c r="J120">
        <f>tt(G120,H120,Fitting!$B$1:$E$1,Fitting!$B$2:$E$2)*I120</f>
        <v>5.5671766555490345</v>
      </c>
    </row>
    <row r="121" spans="1:10">
      <c r="A121" s="1">
        <f t="shared" si="7"/>
        <v>32685</v>
      </c>
      <c r="B121">
        <f t="shared" si="5"/>
        <v>1109.0749419984754</v>
      </c>
      <c r="C121">
        <f>day_length(F121,$B$1,Fitting!$B$4)</f>
        <v>11.498696327209473</v>
      </c>
      <c r="D121" s="1">
        <f t="shared" si="6"/>
        <v>32685</v>
      </c>
      <c r="E121">
        <f t="shared" si="8"/>
        <v>1989</v>
      </c>
      <c r="F121" s="6">
        <f t="shared" si="9"/>
        <v>177</v>
      </c>
      <c r="G121">
        <v>16.5</v>
      </c>
      <c r="H121">
        <v>2.5</v>
      </c>
      <c r="I121">
        <f>MAX(0,1-Fitting!$B$7*(Fitting!$B$6-Herm8889!C121)^2)</f>
        <v>0.53293994537476097</v>
      </c>
      <c r="J121">
        <f>tt(G121,H121,Fitting!$B$1:$E$1,Fitting!$B$2:$E$2)*I121</f>
        <v>5.0629299893113675</v>
      </c>
    </row>
    <row r="122" spans="1:10">
      <c r="A122" s="1">
        <f t="shared" si="7"/>
        <v>32686</v>
      </c>
      <c r="B122">
        <f t="shared" si="5"/>
        <v>1114.5657117821968</v>
      </c>
      <c r="C122">
        <f>day_length(F122,$B$1,Fitting!$B$4)</f>
        <v>11.500383377075195</v>
      </c>
      <c r="D122" s="1">
        <f t="shared" si="6"/>
        <v>32686</v>
      </c>
      <c r="E122">
        <f t="shared" si="8"/>
        <v>1989</v>
      </c>
      <c r="F122" s="6">
        <f t="shared" si="9"/>
        <v>178</v>
      </c>
      <c r="G122">
        <v>18</v>
      </c>
      <c r="H122">
        <v>2.5</v>
      </c>
      <c r="I122">
        <f>MAX(0,1-Fitting!$B$7*(Fitting!$B$6-Herm8889!C122)^2)</f>
        <v>0.53568480710756017</v>
      </c>
      <c r="J122">
        <f>tt(G122,H122,Fitting!$B$1:$E$1,Fitting!$B$2:$E$2)*I122</f>
        <v>5.4907697837213343</v>
      </c>
    </row>
    <row r="123" spans="1:10">
      <c r="A123" s="1">
        <f t="shared" si="7"/>
        <v>32687</v>
      </c>
      <c r="B123">
        <f t="shared" si="5"/>
        <v>1121.700059198851</v>
      </c>
      <c r="C123">
        <f>day_length(F123,$B$1,Fitting!$B$4)</f>
        <v>11.502497673034668</v>
      </c>
      <c r="D123" s="1">
        <f t="shared" si="6"/>
        <v>32687</v>
      </c>
      <c r="E123">
        <f t="shared" si="8"/>
        <v>1989</v>
      </c>
      <c r="F123" s="6">
        <f t="shared" si="9"/>
        <v>179</v>
      </c>
      <c r="G123">
        <v>20</v>
      </c>
      <c r="H123">
        <v>6.5</v>
      </c>
      <c r="I123">
        <f>MAX(0,1-Fitting!$B$7*(Fitting!$B$6-Herm8889!C123)^2)</f>
        <v>0.53844135321901732</v>
      </c>
      <c r="J123">
        <f>tt(G123,H123,Fitting!$B$1:$E$1,Fitting!$B$2:$E$2)*I123</f>
        <v>7.1343474166542897</v>
      </c>
    </row>
    <row r="124" spans="1:10">
      <c r="A124" s="1">
        <f t="shared" si="7"/>
        <v>32688</v>
      </c>
      <c r="B124">
        <f t="shared" si="5"/>
        <v>1130.6300018209995</v>
      </c>
      <c r="C124">
        <f>day_length(F124,$B$1,Fitting!$B$4)</f>
        <v>11.505037307739258</v>
      </c>
      <c r="D124" s="1">
        <f t="shared" si="6"/>
        <v>32688</v>
      </c>
      <c r="E124">
        <f t="shared" si="8"/>
        <v>1989</v>
      </c>
      <c r="F124" s="6">
        <f t="shared" si="9"/>
        <v>180</v>
      </c>
      <c r="G124">
        <v>20.5</v>
      </c>
      <c r="H124">
        <v>12.5</v>
      </c>
      <c r="I124">
        <f>MAX(0,1-Fitting!$B$7*(Fitting!$B$6-Herm8889!C124)^2)</f>
        <v>0.54120870632861084</v>
      </c>
      <c r="J124">
        <f>tt(G124,H124,Fitting!$B$1:$E$1,Fitting!$B$2:$E$2)*I124</f>
        <v>8.9299426221483937</v>
      </c>
    </row>
    <row r="125" spans="1:10">
      <c r="A125" s="1">
        <f t="shared" si="7"/>
        <v>32689</v>
      </c>
      <c r="B125">
        <f t="shared" si="5"/>
        <v>1139.4697742605858</v>
      </c>
      <c r="C125">
        <f>day_length(F125,$B$1,Fitting!$B$4)</f>
        <v>11.508002281188965</v>
      </c>
      <c r="D125" s="1">
        <f t="shared" si="6"/>
        <v>32689</v>
      </c>
      <c r="E125">
        <f t="shared" si="8"/>
        <v>1989</v>
      </c>
      <c r="F125" s="6">
        <f t="shared" si="9"/>
        <v>181</v>
      </c>
      <c r="G125">
        <v>21</v>
      </c>
      <c r="H125">
        <v>11.5</v>
      </c>
      <c r="I125">
        <f>MAX(0,1-Fitting!$B$7*(Fitting!$B$6-Herm8889!C125)^2)</f>
        <v>0.54398599628223021</v>
      </c>
      <c r="J125">
        <f>tt(G125,H125,Fitting!$B$1:$E$1,Fitting!$B$2:$E$2)*I125</f>
        <v>8.8397724395862411</v>
      </c>
    </row>
    <row r="126" spans="1:10">
      <c r="A126" s="1">
        <f t="shared" si="7"/>
        <v>32690</v>
      </c>
      <c r="B126">
        <f t="shared" si="5"/>
        <v>1149.3116821169199</v>
      </c>
      <c r="C126">
        <f>day_length(F126,$B$1,Fitting!$B$4)</f>
        <v>11.51138973236084</v>
      </c>
      <c r="D126" s="1">
        <f t="shared" si="6"/>
        <v>32690</v>
      </c>
      <c r="E126">
        <f t="shared" si="8"/>
        <v>1989</v>
      </c>
      <c r="F126" s="6">
        <f t="shared" si="9"/>
        <v>182</v>
      </c>
      <c r="G126">
        <v>25.5</v>
      </c>
      <c r="H126">
        <v>10.5</v>
      </c>
      <c r="I126">
        <f>MAX(0,1-Fitting!$B$7*(Fitting!$B$6-Herm8889!C126)^2)</f>
        <v>0.54677265868522218</v>
      </c>
      <c r="J126">
        <f>tt(G126,H126,Fitting!$B$1:$E$1,Fitting!$B$2:$E$2)*I126</f>
        <v>9.8419078563340001</v>
      </c>
    </row>
    <row r="127" spans="1:10">
      <c r="A127" s="1">
        <f t="shared" si="7"/>
        <v>32691</v>
      </c>
      <c r="B127">
        <f t="shared" si="5"/>
        <v>1159.3412969242888</v>
      </c>
      <c r="C127">
        <f>day_length(F127,$B$1,Fitting!$B$4)</f>
        <v>11.51519775390625</v>
      </c>
      <c r="D127" s="1">
        <f t="shared" si="6"/>
        <v>32691</v>
      </c>
      <c r="E127">
        <f t="shared" si="8"/>
        <v>1989</v>
      </c>
      <c r="F127" s="6">
        <f t="shared" si="9"/>
        <v>183</v>
      </c>
      <c r="G127">
        <v>26</v>
      </c>
      <c r="H127">
        <v>10.5</v>
      </c>
      <c r="I127">
        <f>MAX(0,1-Fitting!$B$7*(Fitting!$B$6-Herm8889!C127)^2)</f>
        <v>0.54956793465035481</v>
      </c>
      <c r="J127">
        <f>tt(G127,H127,Fitting!$B$1:$E$1,Fitting!$B$2:$E$2)*I127</f>
        <v>10.029614807368976</v>
      </c>
    </row>
    <row r="128" spans="1:10">
      <c r="A128" s="1">
        <f t="shared" si="7"/>
        <v>32692</v>
      </c>
      <c r="B128">
        <f t="shared" si="5"/>
        <v>1169.4220689820854</v>
      </c>
      <c r="C128">
        <f>day_length(F128,$B$1,Fitting!$B$4)</f>
        <v>11.519426345825195</v>
      </c>
      <c r="D128" s="1">
        <f t="shared" si="6"/>
        <v>32692</v>
      </c>
      <c r="E128">
        <f t="shared" si="8"/>
        <v>1989</v>
      </c>
      <c r="F128" s="6">
        <f t="shared" si="9"/>
        <v>184</v>
      </c>
      <c r="G128">
        <v>26</v>
      </c>
      <c r="H128">
        <v>10.5</v>
      </c>
      <c r="I128">
        <f>MAX(0,1-Fitting!$B$7*(Fitting!$B$6-Herm8889!C128)^2)</f>
        <v>0.55237107166008537</v>
      </c>
      <c r="J128">
        <f>tt(G128,H128,Fitting!$B$1:$E$1,Fitting!$B$2:$E$2)*I128</f>
        <v>10.080772057796558</v>
      </c>
    </row>
    <row r="129" spans="1:10">
      <c r="A129" s="1">
        <f t="shared" si="7"/>
        <v>32693</v>
      </c>
      <c r="B129">
        <f t="shared" si="5"/>
        <v>1180.664492781927</v>
      </c>
      <c r="C129">
        <f>day_length(F129,$B$1,Fitting!$B$4)</f>
        <v>11.524070739746094</v>
      </c>
      <c r="D129" s="1">
        <f t="shared" si="6"/>
        <v>32693</v>
      </c>
      <c r="E129">
        <f t="shared" si="8"/>
        <v>1989</v>
      </c>
      <c r="F129" s="6">
        <f t="shared" si="9"/>
        <v>185</v>
      </c>
      <c r="G129">
        <v>26.5</v>
      </c>
      <c r="H129">
        <v>14</v>
      </c>
      <c r="I129">
        <f>MAX(0,1-Fitting!$B$7*(Fitting!$B$6-Herm8889!C129)^2)</f>
        <v>0.5551814222143967</v>
      </c>
      <c r="J129">
        <f>tt(G129,H129,Fitting!$B$1:$E$1,Fitting!$B$2:$E$2)*I129</f>
        <v>11.242423799841534</v>
      </c>
    </row>
    <row r="130" spans="1:10">
      <c r="A130" s="1">
        <f t="shared" si="7"/>
        <v>32694</v>
      </c>
      <c r="B130">
        <f t="shared" si="5"/>
        <v>1189.0344655296312</v>
      </c>
      <c r="C130">
        <f>day_length(F130,$B$1,Fitting!$B$4)</f>
        <v>11.529130935668945</v>
      </c>
      <c r="D130" s="1">
        <f t="shared" si="6"/>
        <v>32694</v>
      </c>
      <c r="E130">
        <f t="shared" si="8"/>
        <v>1989</v>
      </c>
      <c r="F130" s="6">
        <f t="shared" si="9"/>
        <v>186</v>
      </c>
      <c r="G130">
        <v>22</v>
      </c>
      <c r="H130">
        <v>8</v>
      </c>
      <c r="I130">
        <f>MAX(0,1-Fitting!$B$7*(Fitting!$B$6-Herm8889!C130)^2)</f>
        <v>0.55799814770370726</v>
      </c>
      <c r="J130">
        <f>tt(G130,H130,Fitting!$B$1:$E$1,Fitting!$B$2:$E$2)*I130</f>
        <v>8.3699727477041108</v>
      </c>
    </row>
    <row r="131" spans="1:10">
      <c r="A131" s="1">
        <f t="shared" si="7"/>
        <v>32695</v>
      </c>
      <c r="B131">
        <f t="shared" si="5"/>
        <v>1197.867393272903</v>
      </c>
      <c r="C131">
        <f>day_length(F131,$B$1,Fitting!$B$4)</f>
        <v>11.534602165222168</v>
      </c>
      <c r="D131" s="1">
        <f t="shared" si="6"/>
        <v>32695</v>
      </c>
      <c r="E131">
        <f t="shared" si="8"/>
        <v>1989</v>
      </c>
      <c r="F131" s="6">
        <f t="shared" si="9"/>
        <v>187</v>
      </c>
      <c r="G131">
        <v>24.5</v>
      </c>
      <c r="H131">
        <v>7</v>
      </c>
      <c r="I131">
        <f>MAX(0,1-Fitting!$B$7*(Fitting!$B$6-Herm8889!C131)^2)</f>
        <v>0.56082080909661636</v>
      </c>
      <c r="J131">
        <f>tt(G131,H131,Fitting!$B$1:$E$1,Fitting!$B$2:$E$2)*I131</f>
        <v>8.832927743271707</v>
      </c>
    </row>
    <row r="132" spans="1:10">
      <c r="A132" s="1">
        <f t="shared" si="7"/>
        <v>32696</v>
      </c>
      <c r="B132">
        <f t="shared" si="5"/>
        <v>1207.5903295942001</v>
      </c>
      <c r="C132">
        <f>day_length(F132,$B$1,Fitting!$B$4)</f>
        <v>11.540482521057129</v>
      </c>
      <c r="D132" s="1">
        <f t="shared" si="6"/>
        <v>32696</v>
      </c>
      <c r="E132">
        <f t="shared" si="8"/>
        <v>1989</v>
      </c>
      <c r="F132" s="6">
        <f t="shared" si="9"/>
        <v>188</v>
      </c>
      <c r="G132">
        <v>24</v>
      </c>
      <c r="H132">
        <v>10.5</v>
      </c>
      <c r="I132">
        <f>MAX(0,1-Fitting!$B$7*(Fitting!$B$6-Herm8889!C132)^2)</f>
        <v>0.56364848239403365</v>
      </c>
      <c r="J132">
        <f>tt(G132,H132,Fitting!$B$1:$E$1,Fitting!$B$2:$E$2)*I132</f>
        <v>9.7229363212970803</v>
      </c>
    </row>
    <row r="133" spans="1:10">
      <c r="A133" s="1">
        <f t="shared" si="7"/>
        <v>32697</v>
      </c>
      <c r="B133">
        <f t="shared" ref="B133:B196" si="10">B132+J133</f>
        <v>1215.5210585836369</v>
      </c>
      <c r="C133">
        <f>day_length(F133,$B$1,Fitting!$B$4)</f>
        <v>11.546770095825195</v>
      </c>
      <c r="D133" s="1">
        <f t="shared" ref="D133:D196" si="11">A133</f>
        <v>32697</v>
      </c>
      <c r="E133">
        <f t="shared" si="8"/>
        <v>1989</v>
      </c>
      <c r="F133" s="6">
        <f t="shared" si="9"/>
        <v>189</v>
      </c>
      <c r="G133">
        <v>17.5</v>
      </c>
      <c r="H133">
        <v>10.5</v>
      </c>
      <c r="I133">
        <f>MAX(0,1-Fitting!$B$7*(Fitting!$B$6-Herm8889!C133)^2)</f>
        <v>0.56648064210262417</v>
      </c>
      <c r="J133">
        <f>tt(G133,H133,Fitting!$B$1:$E$1,Fitting!$B$2:$E$2)*I133</f>
        <v>7.9307289894367381</v>
      </c>
    </row>
    <row r="134" spans="1:10">
      <c r="A134" s="1">
        <f t="shared" ref="A134:A197" si="12">A133+1</f>
        <v>32698</v>
      </c>
      <c r="B134">
        <f t="shared" si="10"/>
        <v>1224.6301248412692</v>
      </c>
      <c r="C134">
        <f>day_length(F134,$B$1,Fitting!$B$4)</f>
        <v>11.553461074829102</v>
      </c>
      <c r="D134" s="1">
        <f t="shared" si="11"/>
        <v>32698</v>
      </c>
      <c r="E134">
        <f t="shared" ref="E134:E197" si="13">YEAR(A134)</f>
        <v>1989</v>
      </c>
      <c r="F134" s="6">
        <f t="shared" ref="F134:F197" si="14">A134-DATE(E134,1,1)+1</f>
        <v>190</v>
      </c>
      <c r="G134">
        <v>23</v>
      </c>
      <c r="H134">
        <v>9</v>
      </c>
      <c r="I134">
        <f>MAX(0,1-Fitting!$B$7*(Fitting!$B$6-Herm8889!C134)^2)</f>
        <v>0.56931657323419493</v>
      </c>
      <c r="J134">
        <f>tt(G134,H134,Fitting!$B$1:$E$1,Fitting!$B$2:$E$2)*I134</f>
        <v>9.1090662576323069</v>
      </c>
    </row>
    <row r="135" spans="1:10">
      <c r="A135" s="1">
        <f t="shared" si="12"/>
        <v>32699</v>
      </c>
      <c r="B135">
        <f t="shared" si="10"/>
        <v>1234.9289257106377</v>
      </c>
      <c r="C135">
        <f>day_length(F135,$B$1,Fitting!$B$4)</f>
        <v>11.560551643371582</v>
      </c>
      <c r="D135" s="1">
        <f t="shared" si="11"/>
        <v>32699</v>
      </c>
      <c r="E135">
        <f t="shared" si="13"/>
        <v>1989</v>
      </c>
      <c r="F135" s="6">
        <f t="shared" si="14"/>
        <v>191</v>
      </c>
      <c r="G135">
        <v>22</v>
      </c>
      <c r="H135">
        <v>14</v>
      </c>
      <c r="I135">
        <f>MAX(0,1-Fitting!$B$7*(Fitting!$B$6-Herm8889!C135)^2)</f>
        <v>0.57215566448160105</v>
      </c>
      <c r="J135">
        <f>tt(G135,H135,Fitting!$B$1:$E$1,Fitting!$B$2:$E$2)*I135</f>
        <v>10.298800869368494</v>
      </c>
    </row>
    <row r="136" spans="1:10">
      <c r="A136" s="1">
        <f t="shared" si="12"/>
        <v>32700</v>
      </c>
      <c r="B136">
        <f t="shared" si="10"/>
        <v>1242.835138728371</v>
      </c>
      <c r="C136">
        <f>day_length(F136,$B$1,Fitting!$B$4)</f>
        <v>11.568037986755371</v>
      </c>
      <c r="D136" s="1">
        <f t="shared" si="11"/>
        <v>32700</v>
      </c>
      <c r="E136">
        <f t="shared" si="13"/>
        <v>1989</v>
      </c>
      <c r="F136" s="6">
        <f t="shared" si="14"/>
        <v>192</v>
      </c>
      <c r="G136">
        <v>19.5</v>
      </c>
      <c r="H136">
        <v>8</v>
      </c>
      <c r="I136">
        <f>MAX(0,1-Fitting!$B$7*(Fitting!$B$6-Herm8889!C136)^2)</f>
        <v>0.57499731038060409</v>
      </c>
      <c r="J136">
        <f>tt(G136,H136,Fitting!$B$1:$E$1,Fitting!$B$2:$E$2)*I136</f>
        <v>7.9062130177333065</v>
      </c>
    </row>
    <row r="137" spans="1:10">
      <c r="A137" s="1">
        <f t="shared" si="12"/>
        <v>32701</v>
      </c>
      <c r="B137">
        <f t="shared" si="10"/>
        <v>1248.9024682978495</v>
      </c>
      <c r="C137">
        <f>day_length(F137,$B$1,Fitting!$B$4)</f>
        <v>11.575918197631836</v>
      </c>
      <c r="D137" s="1">
        <f t="shared" si="11"/>
        <v>32701</v>
      </c>
      <c r="E137">
        <f t="shared" si="13"/>
        <v>1989</v>
      </c>
      <c r="F137" s="6">
        <f t="shared" si="14"/>
        <v>193</v>
      </c>
      <c r="G137">
        <v>17</v>
      </c>
      <c r="H137">
        <v>4</v>
      </c>
      <c r="I137">
        <f>MAX(0,1-Fitting!$B$7*(Fitting!$B$6-Herm8889!C137)^2)</f>
        <v>0.57784091137890392</v>
      </c>
      <c r="J137">
        <f>tt(G137,H137,Fitting!$B$1:$E$1,Fitting!$B$2:$E$2)*I137</f>
        <v>6.067329569478491</v>
      </c>
    </row>
    <row r="138" spans="1:10">
      <c r="A138" s="1">
        <f t="shared" si="12"/>
        <v>32702</v>
      </c>
      <c r="B138">
        <f t="shared" si="10"/>
        <v>1255.8706964886003</v>
      </c>
      <c r="C138">
        <f>day_length(F138,$B$1,Fitting!$B$4)</f>
        <v>11.584187507629395</v>
      </c>
      <c r="D138" s="1">
        <f t="shared" si="11"/>
        <v>32702</v>
      </c>
      <c r="E138">
        <f t="shared" si="13"/>
        <v>1989</v>
      </c>
      <c r="F138" s="6">
        <f t="shared" si="14"/>
        <v>194</v>
      </c>
      <c r="G138">
        <v>18.5</v>
      </c>
      <c r="H138">
        <v>5.5</v>
      </c>
      <c r="I138">
        <f>MAX(0,1-Fitting!$B$7*(Fitting!$B$6-Herm8889!C138)^2)</f>
        <v>0.58068568256255815</v>
      </c>
      <c r="J138">
        <f>tt(G138,H138,Fitting!$B$1:$E$1,Fitting!$B$2:$E$2)*I138</f>
        <v>6.9682281907506978</v>
      </c>
    </row>
    <row r="139" spans="1:10">
      <c r="A139" s="1">
        <f t="shared" si="12"/>
        <v>32703</v>
      </c>
      <c r="B139">
        <f t="shared" si="10"/>
        <v>1261.1224781064584</v>
      </c>
      <c r="C139">
        <f>day_length(F139,$B$1,Fitting!$B$4)</f>
        <v>11.592842102050781</v>
      </c>
      <c r="D139" s="1">
        <f t="shared" si="11"/>
        <v>32703</v>
      </c>
      <c r="E139">
        <f t="shared" si="13"/>
        <v>1989</v>
      </c>
      <c r="F139" s="6">
        <f t="shared" si="14"/>
        <v>195</v>
      </c>
      <c r="G139">
        <v>16</v>
      </c>
      <c r="H139">
        <v>2</v>
      </c>
      <c r="I139">
        <f>MAX(0,1-Fitting!$B$7*(Fitting!$B$6-Herm8889!C139)^2)</f>
        <v>0.58353122903992327</v>
      </c>
      <c r="J139">
        <f>tt(G139,H139,Fitting!$B$1:$E$1,Fitting!$B$2:$E$2)*I139</f>
        <v>5.2517816178580556</v>
      </c>
    </row>
    <row r="140" spans="1:10">
      <c r="A140" s="1">
        <f t="shared" si="12"/>
        <v>32704</v>
      </c>
      <c r="B140">
        <f t="shared" si="10"/>
        <v>1267.1328396800814</v>
      </c>
      <c r="C140">
        <f>day_length(F140,$B$1,Fitting!$B$4)</f>
        <v>11.601877212524414</v>
      </c>
      <c r="D140" s="1">
        <f t="shared" si="11"/>
        <v>32704</v>
      </c>
      <c r="E140">
        <f t="shared" si="13"/>
        <v>1989</v>
      </c>
      <c r="F140" s="6">
        <f t="shared" si="14"/>
        <v>196</v>
      </c>
      <c r="G140">
        <v>18</v>
      </c>
      <c r="H140">
        <v>2.5</v>
      </c>
      <c r="I140">
        <f>MAX(0,1-Fitting!$B$7*(Fitting!$B$6-Herm8889!C140)^2)</f>
        <v>0.58637668433274115</v>
      </c>
      <c r="J140">
        <f>tt(G140,H140,Fitting!$B$1:$E$1,Fitting!$B$2:$E$2)*I140</f>
        <v>6.0103615736229807</v>
      </c>
    </row>
    <row r="141" spans="1:10">
      <c r="A141" s="1">
        <f t="shared" si="12"/>
        <v>32705</v>
      </c>
      <c r="B141">
        <f t="shared" si="10"/>
        <v>1271.2573913386311</v>
      </c>
      <c r="C141">
        <f>day_length(F141,$B$1,Fitting!$B$4)</f>
        <v>11.611289978027344</v>
      </c>
      <c r="D141" s="1">
        <f t="shared" si="11"/>
        <v>32705</v>
      </c>
      <c r="E141">
        <f t="shared" si="13"/>
        <v>1989</v>
      </c>
      <c r="F141" s="6">
        <f t="shared" si="14"/>
        <v>197</v>
      </c>
      <c r="G141">
        <v>12.5</v>
      </c>
      <c r="H141">
        <v>1.5</v>
      </c>
      <c r="I141">
        <f>MAX(0,1-Fitting!$B$7*(Fitting!$B$6-Herm8889!C141)^2)</f>
        <v>0.58922166550710242</v>
      </c>
      <c r="J141">
        <f>tt(G141,H141,Fitting!$B$1:$E$1,Fitting!$B$2:$E$2)*I141</f>
        <v>4.1245516585497173</v>
      </c>
    </row>
    <row r="142" spans="1:10">
      <c r="A142" s="1">
        <f t="shared" si="12"/>
        <v>32706</v>
      </c>
      <c r="B142">
        <f t="shared" si="10"/>
        <v>1278.5101938379419</v>
      </c>
      <c r="C142">
        <f>day_length(F142,$B$1,Fitting!$B$4)</f>
        <v>11.621073722839355</v>
      </c>
      <c r="D142" s="1">
        <f t="shared" si="11"/>
        <v>32706</v>
      </c>
      <c r="E142">
        <f t="shared" si="13"/>
        <v>1989</v>
      </c>
      <c r="F142" s="6">
        <f t="shared" si="14"/>
        <v>198</v>
      </c>
      <c r="G142">
        <v>17.5</v>
      </c>
      <c r="H142">
        <v>7</v>
      </c>
      <c r="I142">
        <f>MAX(0,1-Fitting!$B$7*(Fitting!$B$6-Herm8889!C142)^2)</f>
        <v>0.59206551014781317</v>
      </c>
      <c r="J142">
        <f>tt(G142,H142,Fitting!$B$1:$E$1,Fitting!$B$2:$E$2)*I142</f>
        <v>7.252802499310711</v>
      </c>
    </row>
    <row r="143" spans="1:10">
      <c r="A143" s="1">
        <f t="shared" si="12"/>
        <v>32707</v>
      </c>
      <c r="B143">
        <f t="shared" si="10"/>
        <v>1284.607996759599</v>
      </c>
      <c r="C143">
        <f>day_length(F143,$B$1,Fitting!$B$4)</f>
        <v>11.631227493286133</v>
      </c>
      <c r="D143" s="1">
        <f t="shared" si="11"/>
        <v>32707</v>
      </c>
      <c r="E143">
        <f t="shared" si="13"/>
        <v>1989</v>
      </c>
      <c r="F143" s="6">
        <f t="shared" si="14"/>
        <v>199</v>
      </c>
      <c r="G143">
        <v>17</v>
      </c>
      <c r="H143">
        <v>3.5</v>
      </c>
      <c r="I143">
        <f>MAX(0,1-Fitting!$B$7*(Fitting!$B$6-Herm8889!C143)^2)</f>
        <v>0.59490765746394203</v>
      </c>
      <c r="J143">
        <f>tt(G143,H143,Fitting!$B$1:$E$1,Fitting!$B$2:$E$2)*I143</f>
        <v>6.0978029216572525</v>
      </c>
    </row>
    <row r="144" spans="1:10">
      <c r="A144" s="1">
        <f t="shared" si="12"/>
        <v>32708</v>
      </c>
      <c r="B144">
        <f t="shared" si="10"/>
        <v>1290.2865976228495</v>
      </c>
      <c r="C144">
        <f>day_length(F144,$B$1,Fitting!$B$4)</f>
        <v>11.641744613647461</v>
      </c>
      <c r="D144" s="1">
        <f t="shared" si="11"/>
        <v>32708</v>
      </c>
      <c r="E144">
        <f t="shared" si="13"/>
        <v>1989</v>
      </c>
      <c r="F144" s="6">
        <f t="shared" si="14"/>
        <v>200</v>
      </c>
      <c r="G144">
        <v>17.5</v>
      </c>
      <c r="H144">
        <v>1.5</v>
      </c>
      <c r="I144">
        <f>MAX(0,1-Fitting!$B$7*(Fitting!$B$6-Herm8889!C144)^2)</f>
        <v>0.59774745928953044</v>
      </c>
      <c r="J144">
        <f>tt(G144,H144,Fitting!$B$1:$E$1,Fitting!$B$2:$E$2)*I144</f>
        <v>5.6786008632505389</v>
      </c>
    </row>
    <row r="145" spans="1:10">
      <c r="A145" s="1">
        <f t="shared" si="12"/>
        <v>32709</v>
      </c>
      <c r="B145">
        <f t="shared" si="10"/>
        <v>1295.8420030317468</v>
      </c>
      <c r="C145">
        <f>day_length(F145,$B$1,Fitting!$B$4)</f>
        <v>11.652619361877441</v>
      </c>
      <c r="D145" s="1">
        <f t="shared" si="11"/>
        <v>32709</v>
      </c>
      <c r="E145">
        <f t="shared" si="13"/>
        <v>1989</v>
      </c>
      <c r="F145" s="6">
        <f t="shared" si="14"/>
        <v>201</v>
      </c>
      <c r="G145">
        <v>18</v>
      </c>
      <c r="H145">
        <v>0.5</v>
      </c>
      <c r="I145">
        <f>MAX(0,1-Fitting!$B$7*(Fitting!$B$6-Herm8889!C145)^2)</f>
        <v>0.60058436852944763</v>
      </c>
      <c r="J145">
        <f>tt(G145,H145,Fitting!$B$1:$E$1,Fitting!$B$2:$E$2)*I145</f>
        <v>5.555405408897391</v>
      </c>
    </row>
    <row r="146" spans="1:10">
      <c r="A146" s="1">
        <f t="shared" si="12"/>
        <v>32710</v>
      </c>
      <c r="B146">
        <f t="shared" si="10"/>
        <v>1301.5744710952524</v>
      </c>
      <c r="C146">
        <f>day_length(F146,$B$1,Fitting!$B$4)</f>
        <v>11.663849830627441</v>
      </c>
      <c r="D146" s="1">
        <f t="shared" si="11"/>
        <v>32710</v>
      </c>
      <c r="E146">
        <f t="shared" si="13"/>
        <v>1989</v>
      </c>
      <c r="F146" s="6">
        <f t="shared" si="14"/>
        <v>202</v>
      </c>
      <c r="G146">
        <v>19</v>
      </c>
      <c r="H146">
        <v>0</v>
      </c>
      <c r="I146">
        <f>MAX(0,1-Fitting!$B$7*(Fitting!$B$6-Herm8889!C146)^2)</f>
        <v>0.60341775147049337</v>
      </c>
      <c r="J146">
        <f>tt(G146,H146,Fitting!$B$1:$E$1,Fitting!$B$2:$E$2)*I146</f>
        <v>5.7324680635056753</v>
      </c>
    </row>
    <row r="147" spans="1:10">
      <c r="A147" s="1">
        <f t="shared" si="12"/>
        <v>32711</v>
      </c>
      <c r="B147">
        <f t="shared" si="10"/>
        <v>1307.4853815575946</v>
      </c>
      <c r="C147">
        <f>day_length(F147,$B$1,Fitting!$B$4)</f>
        <v>11.67542839050293</v>
      </c>
      <c r="D147" s="1">
        <f t="shared" si="11"/>
        <v>32711</v>
      </c>
      <c r="E147">
        <f t="shared" si="13"/>
        <v>1989</v>
      </c>
      <c r="F147" s="6">
        <f t="shared" si="14"/>
        <v>203</v>
      </c>
      <c r="G147">
        <v>18</v>
      </c>
      <c r="H147">
        <v>1.5</v>
      </c>
      <c r="I147">
        <f>MAX(0,1-Fitting!$B$7*(Fitting!$B$6-Herm8889!C147)^2)</f>
        <v>0.60624716760818598</v>
      </c>
      <c r="J147">
        <f>tt(G147,H147,Fitting!$B$1:$E$1,Fitting!$B$2:$E$2)*I147</f>
        <v>5.9109104623421667</v>
      </c>
    </row>
    <row r="148" spans="1:10">
      <c r="A148" s="1">
        <f t="shared" si="12"/>
        <v>32712</v>
      </c>
      <c r="B148">
        <f t="shared" si="10"/>
        <v>1316.3169255120579</v>
      </c>
      <c r="C148">
        <f>day_length(F148,$B$1,Fitting!$B$4)</f>
        <v>11.687351226806641</v>
      </c>
      <c r="D148" s="1">
        <f t="shared" si="11"/>
        <v>32712</v>
      </c>
      <c r="E148">
        <f t="shared" si="13"/>
        <v>1989</v>
      </c>
      <c r="F148" s="6">
        <f t="shared" si="14"/>
        <v>204</v>
      </c>
      <c r="G148">
        <v>20.5</v>
      </c>
      <c r="H148">
        <v>8.5</v>
      </c>
      <c r="I148">
        <f>MAX(0,1-Fitting!$B$7*(Fitting!$B$6-Herm8889!C148)^2)</f>
        <v>0.60907199685954394</v>
      </c>
      <c r="J148">
        <f>tt(G148,H148,Fitting!$B$1:$E$1,Fitting!$B$2:$E$2)*I148</f>
        <v>8.8315439544633865</v>
      </c>
    </row>
    <row r="149" spans="1:10">
      <c r="A149" s="1">
        <f t="shared" si="12"/>
        <v>32713</v>
      </c>
      <c r="B149">
        <f t="shared" si="10"/>
        <v>1324.8834064180901</v>
      </c>
      <c r="C149">
        <f>day_length(F149,$B$1,Fitting!$B$4)</f>
        <v>11.699614524841309</v>
      </c>
      <c r="D149" s="1">
        <f t="shared" si="11"/>
        <v>32713</v>
      </c>
      <c r="E149">
        <f t="shared" si="13"/>
        <v>1989</v>
      </c>
      <c r="F149" s="6">
        <f t="shared" si="14"/>
        <v>205</v>
      </c>
      <c r="G149">
        <v>24</v>
      </c>
      <c r="H149">
        <v>4</v>
      </c>
      <c r="I149">
        <f>MAX(0,1-Fitting!$B$7*(Fitting!$B$6-Herm8889!C149)^2)</f>
        <v>0.61189153496982174</v>
      </c>
      <c r="J149">
        <f>tt(G149,H149,Fitting!$B$1:$E$1,Fitting!$B$2:$E$2)*I149</f>
        <v>8.5664809060322629</v>
      </c>
    </row>
    <row r="150" spans="1:10">
      <c r="A150" s="1">
        <f t="shared" si="12"/>
        <v>32714</v>
      </c>
      <c r="B150">
        <f t="shared" si="10"/>
        <v>1331.4914900459648</v>
      </c>
      <c r="C150">
        <f>day_length(F150,$B$1,Fitting!$B$4)</f>
        <v>11.712211608886719</v>
      </c>
      <c r="D150" s="1">
        <f t="shared" si="11"/>
        <v>32714</v>
      </c>
      <c r="E150">
        <f t="shared" si="13"/>
        <v>1989</v>
      </c>
      <c r="F150" s="6">
        <f t="shared" si="14"/>
        <v>206</v>
      </c>
      <c r="G150">
        <v>20</v>
      </c>
      <c r="H150">
        <v>1.5</v>
      </c>
      <c r="I150">
        <f>MAX(0,1-Fitting!$B$7*(Fitting!$B$6-Herm8889!C150)^2)</f>
        <v>0.61470545375579966</v>
      </c>
      <c r="J150">
        <f>tt(G150,H150,Fitting!$B$1:$E$1,Fitting!$B$2:$E$2)*I150</f>
        <v>6.608083627874846</v>
      </c>
    </row>
    <row r="151" spans="1:10">
      <c r="A151" s="1">
        <f t="shared" si="12"/>
        <v>32715</v>
      </c>
      <c r="B151">
        <f t="shared" si="10"/>
        <v>1338.9016457111582</v>
      </c>
      <c r="C151">
        <f>day_length(F151,$B$1,Fitting!$B$4)</f>
        <v>11.725138664245605</v>
      </c>
      <c r="D151" s="1">
        <f t="shared" si="11"/>
        <v>32715</v>
      </c>
      <c r="E151">
        <f t="shared" si="13"/>
        <v>1989</v>
      </c>
      <c r="F151" s="6">
        <f t="shared" si="14"/>
        <v>207</v>
      </c>
      <c r="G151">
        <v>20</v>
      </c>
      <c r="H151">
        <v>4</v>
      </c>
      <c r="I151">
        <f>MAX(0,1-Fitting!$B$7*(Fitting!$B$6-Herm8889!C151)^2)</f>
        <v>0.61751297209945188</v>
      </c>
      <c r="J151">
        <f>tt(G151,H151,Fitting!$B$1:$E$1,Fitting!$B$2:$E$2)*I151</f>
        <v>7.4101556651934226</v>
      </c>
    </row>
    <row r="152" spans="1:10">
      <c r="A152" s="1">
        <f t="shared" si="12"/>
        <v>32716</v>
      </c>
      <c r="B152">
        <f t="shared" si="10"/>
        <v>1348.671586229065</v>
      </c>
      <c r="C152">
        <f>day_length(F152,$B$1,Fitting!$B$4)</f>
        <v>11.738389015197754</v>
      </c>
      <c r="D152" s="1">
        <f t="shared" si="11"/>
        <v>32716</v>
      </c>
      <c r="E152">
        <f t="shared" si="13"/>
        <v>1989</v>
      </c>
      <c r="F152" s="6">
        <f t="shared" si="14"/>
        <v>208</v>
      </c>
      <c r="G152">
        <v>23</v>
      </c>
      <c r="H152">
        <v>8.5</v>
      </c>
      <c r="I152">
        <f>MAX(0,1-Fitting!$B$7*(Fitting!$B$6-Herm8889!C152)^2)</f>
        <v>0.62031368367662798</v>
      </c>
      <c r="J152">
        <f>tt(G152,H152,Fitting!$B$1:$E$1,Fitting!$B$2:$E$2)*I152</f>
        <v>9.7699405179068908</v>
      </c>
    </row>
    <row r="153" spans="1:10">
      <c r="A153" s="1">
        <f t="shared" si="12"/>
        <v>32717</v>
      </c>
      <c r="B153">
        <f t="shared" si="10"/>
        <v>1358.6412983262112</v>
      </c>
      <c r="C153">
        <f>day_length(F153,$B$1,Fitting!$B$4)</f>
        <v>11.751957893371582</v>
      </c>
      <c r="D153" s="1">
        <f t="shared" si="11"/>
        <v>32717</v>
      </c>
      <c r="E153">
        <f t="shared" si="13"/>
        <v>1989</v>
      </c>
      <c r="F153" s="6">
        <f t="shared" si="14"/>
        <v>209</v>
      </c>
      <c r="G153">
        <v>24</v>
      </c>
      <c r="H153">
        <v>8</v>
      </c>
      <c r="I153">
        <f>MAX(0,1-Fitting!$B$7*(Fitting!$B$6-Herm8889!C153)^2)</f>
        <v>0.62310700607163749</v>
      </c>
      <c r="J153">
        <f>tt(G153,H153,Fitting!$B$1:$E$1,Fitting!$B$2:$E$2)*I153</f>
        <v>9.9697120971461999</v>
      </c>
    </row>
    <row r="154" spans="1:10">
      <c r="A154" s="1">
        <f t="shared" si="12"/>
        <v>32718</v>
      </c>
      <c r="B154">
        <f t="shared" si="10"/>
        <v>1368.8120477871084</v>
      </c>
      <c r="C154">
        <f>day_length(F154,$B$1,Fitting!$B$4)</f>
        <v>11.765841484069824</v>
      </c>
      <c r="D154" s="1">
        <f t="shared" si="11"/>
        <v>32718</v>
      </c>
      <c r="E154">
        <f t="shared" si="13"/>
        <v>1989</v>
      </c>
      <c r="F154" s="6">
        <f t="shared" si="14"/>
        <v>210</v>
      </c>
      <c r="G154">
        <v>24</v>
      </c>
      <c r="H154">
        <v>8.5</v>
      </c>
      <c r="I154">
        <f>MAX(0,1-Fitting!$B$7*(Fitting!$B$6-Herm8889!C154)^2)</f>
        <v>0.62589227451676011</v>
      </c>
      <c r="J154">
        <f>tt(G154,H154,Fitting!$B$1:$E$1,Fitting!$B$2:$E$2)*I154</f>
        <v>10.170749460897351</v>
      </c>
    </row>
    <row r="155" spans="1:10">
      <c r="A155" s="1">
        <f t="shared" si="12"/>
        <v>32719</v>
      </c>
      <c r="B155">
        <f t="shared" si="10"/>
        <v>1379.1850865128379</v>
      </c>
      <c r="C155">
        <f>day_length(F155,$B$1,Fitting!$B$4)</f>
        <v>11.780032157897949</v>
      </c>
      <c r="D155" s="1">
        <f t="shared" si="11"/>
        <v>32719</v>
      </c>
      <c r="E155">
        <f t="shared" si="13"/>
        <v>1989</v>
      </c>
      <c r="F155" s="6">
        <f t="shared" si="14"/>
        <v>211</v>
      </c>
      <c r="G155">
        <v>24</v>
      </c>
      <c r="H155">
        <v>9</v>
      </c>
      <c r="I155">
        <f>MAX(0,1-Fitting!$B$7*(Fitting!$B$6-Herm8889!C155)^2)</f>
        <v>0.62866901368057004</v>
      </c>
      <c r="J155">
        <f>tt(G155,H155,Fitting!$B$1:$E$1,Fitting!$B$2:$E$2)*I155</f>
        <v>10.373038725729407</v>
      </c>
    </row>
    <row r="156" spans="1:10">
      <c r="A156" s="1">
        <f t="shared" si="12"/>
        <v>32720</v>
      </c>
      <c r="B156">
        <f t="shared" si="10"/>
        <v>1390.3930873208858</v>
      </c>
      <c r="C156">
        <f>day_length(F156,$B$1,Fitting!$B$4)</f>
        <v>11.794525146484375</v>
      </c>
      <c r="D156" s="1">
        <f t="shared" si="11"/>
        <v>32720</v>
      </c>
      <c r="E156">
        <f t="shared" si="13"/>
        <v>1989</v>
      </c>
      <c r="F156" s="6">
        <f t="shared" si="14"/>
        <v>212</v>
      </c>
      <c r="G156">
        <v>25</v>
      </c>
      <c r="H156">
        <v>10.5</v>
      </c>
      <c r="I156">
        <f>MAX(0,1-Fitting!$B$7*(Fitting!$B$6-Herm8889!C156)^2)</f>
        <v>0.63143666524213948</v>
      </c>
      <c r="J156">
        <f>tt(G156,H156,Fitting!$B$1:$E$1,Fitting!$B$2:$E$2)*I156</f>
        <v>11.208000808047975</v>
      </c>
    </row>
    <row r="157" spans="1:10">
      <c r="A157" s="1">
        <f t="shared" si="12"/>
        <v>32721</v>
      </c>
      <c r="B157">
        <f t="shared" si="10"/>
        <v>1401.0158479060105</v>
      </c>
      <c r="C157">
        <f>day_length(F157,$B$1,Fitting!$B$4)</f>
        <v>11.809316635131836</v>
      </c>
      <c r="D157" s="1">
        <f t="shared" si="11"/>
        <v>32721</v>
      </c>
      <c r="E157">
        <f t="shared" si="13"/>
        <v>1989</v>
      </c>
      <c r="F157" s="6">
        <f t="shared" si="14"/>
        <v>213</v>
      </c>
      <c r="G157">
        <v>26</v>
      </c>
      <c r="H157">
        <v>7.5</v>
      </c>
      <c r="I157">
        <f>MAX(0,1-Fitting!$B$7*(Fitting!$B$6-Herm8889!C157)^2)</f>
        <v>0.63419458958177166</v>
      </c>
      <c r="J157">
        <f>tt(G157,H157,Fitting!$B$1:$E$1,Fitting!$B$2:$E$2)*I157</f>
        <v>10.622760585124858</v>
      </c>
    </row>
    <row r="158" spans="1:10">
      <c r="A158" s="1">
        <f t="shared" si="12"/>
        <v>32722</v>
      </c>
      <c r="B158">
        <f t="shared" si="10"/>
        <v>1409.1368632787421</v>
      </c>
      <c r="C158">
        <f>day_length(F158,$B$1,Fitting!$B$4)</f>
        <v>11.824400901794434</v>
      </c>
      <c r="D158" s="1">
        <f t="shared" si="11"/>
        <v>32722</v>
      </c>
      <c r="E158">
        <f t="shared" si="13"/>
        <v>1989</v>
      </c>
      <c r="F158" s="6">
        <f t="shared" si="14"/>
        <v>214</v>
      </c>
      <c r="G158">
        <v>21</v>
      </c>
      <c r="H158">
        <v>4.5</v>
      </c>
      <c r="I158">
        <f>MAX(0,1-Fitting!$B$7*(Fitting!$B$6-Herm8889!C158)^2)</f>
        <v>0.63694233453302329</v>
      </c>
      <c r="J158">
        <f>tt(G158,H158,Fitting!$B$1:$E$1,Fitting!$B$2:$E$2)*I158</f>
        <v>8.121015372731593</v>
      </c>
    </row>
    <row r="159" spans="1:10">
      <c r="A159" s="1">
        <f t="shared" si="12"/>
        <v>32723</v>
      </c>
      <c r="B159">
        <f t="shared" si="10"/>
        <v>1416.9729344254652</v>
      </c>
      <c r="C159">
        <f>day_length(F159,$B$1,Fitting!$B$4)</f>
        <v>11.839771270751953</v>
      </c>
      <c r="D159" s="1">
        <f t="shared" si="11"/>
        <v>32723</v>
      </c>
      <c r="E159">
        <f t="shared" si="13"/>
        <v>1989</v>
      </c>
      <c r="F159" s="6">
        <f t="shared" si="14"/>
        <v>215</v>
      </c>
      <c r="G159">
        <v>21</v>
      </c>
      <c r="H159">
        <v>3.5</v>
      </c>
      <c r="I159">
        <f>MAX(0,1-Fitting!$B$7*(Fitting!$B$6-Herm8889!C159)^2)</f>
        <v>0.63967927728351781</v>
      </c>
      <c r="J159">
        <f>tt(G159,H159,Fitting!$B$1:$E$1,Fitting!$B$2:$E$2)*I159</f>
        <v>7.8360711467230928</v>
      </c>
    </row>
    <row r="160" spans="1:10">
      <c r="A160" s="1">
        <f t="shared" si="12"/>
        <v>32724</v>
      </c>
      <c r="B160">
        <f t="shared" si="10"/>
        <v>1425.9665998380019</v>
      </c>
      <c r="C160">
        <f>day_length(F160,$B$1,Fitting!$B$4)</f>
        <v>11.855422973632813</v>
      </c>
      <c r="D160" s="1">
        <f t="shared" si="11"/>
        <v>32724</v>
      </c>
      <c r="E160">
        <f t="shared" si="13"/>
        <v>1989</v>
      </c>
      <c r="F160" s="6">
        <f t="shared" si="14"/>
        <v>216</v>
      </c>
      <c r="G160">
        <v>24</v>
      </c>
      <c r="H160">
        <v>4</v>
      </c>
      <c r="I160">
        <f>MAX(0,1-Fitting!$B$7*(Fitting!$B$6-Herm8889!C160)^2)</f>
        <v>0.64240471608439842</v>
      </c>
      <c r="J160">
        <f>tt(G160,H160,Fitting!$B$1:$E$1,Fitting!$B$2:$E$2)*I160</f>
        <v>8.9936654125366999</v>
      </c>
    </row>
    <row r="161" spans="1:10">
      <c r="A161" s="1">
        <f t="shared" si="12"/>
        <v>32725</v>
      </c>
      <c r="B161">
        <f t="shared" si="10"/>
        <v>1437.5787326222724</v>
      </c>
      <c r="C161">
        <f>day_length(F161,$B$1,Fitting!$B$4)</f>
        <v>11.871350288391113</v>
      </c>
      <c r="D161" s="1">
        <f t="shared" si="11"/>
        <v>32725</v>
      </c>
      <c r="E161">
        <f t="shared" si="13"/>
        <v>1989</v>
      </c>
      <c r="F161" s="6">
        <f t="shared" si="14"/>
        <v>217</v>
      </c>
      <c r="G161">
        <v>27</v>
      </c>
      <c r="H161">
        <v>9</v>
      </c>
      <c r="I161">
        <f>MAX(0,1-Fitting!$B$7*(Fitting!$B$6-Herm8889!C161)^2)</f>
        <v>0.64511848801501948</v>
      </c>
      <c r="J161">
        <f>tt(G161,H161,Fitting!$B$1:$E$1,Fitting!$B$2:$E$2)*I161</f>
        <v>11.612132784270351</v>
      </c>
    </row>
    <row r="162" spans="1:10">
      <c r="A162" s="1">
        <f t="shared" si="12"/>
        <v>32726</v>
      </c>
      <c r="B162">
        <f t="shared" si="10"/>
        <v>1448.4297116548794</v>
      </c>
      <c r="C162">
        <f>day_length(F162,$B$1,Fitting!$B$4)</f>
        <v>11.88754940032959</v>
      </c>
      <c r="D162" s="1">
        <f t="shared" si="11"/>
        <v>32726</v>
      </c>
      <c r="E162">
        <f t="shared" si="13"/>
        <v>1989</v>
      </c>
      <c r="F162" s="6">
        <f t="shared" si="14"/>
        <v>218</v>
      </c>
      <c r="G162">
        <v>28</v>
      </c>
      <c r="H162">
        <v>5.5</v>
      </c>
      <c r="I162">
        <f>MAX(0,1-Fitting!$B$7*(Fitting!$B$6-Herm8889!C162)^2)</f>
        <v>0.64781964373772638</v>
      </c>
      <c r="J162">
        <f>tt(G162,H162,Fitting!$B$1:$E$1,Fitting!$B$2:$E$2)*I162</f>
        <v>10.850979032606917</v>
      </c>
    </row>
    <row r="163" spans="1:10">
      <c r="A163" s="1">
        <f t="shared" si="12"/>
        <v>32727</v>
      </c>
      <c r="B163">
        <f t="shared" si="10"/>
        <v>1455.4226692726634</v>
      </c>
      <c r="C163">
        <f>day_length(F163,$B$1,Fitting!$B$4)</f>
        <v>11.904012680053711</v>
      </c>
      <c r="D163" s="1">
        <f t="shared" si="11"/>
        <v>32727</v>
      </c>
      <c r="E163">
        <f t="shared" si="13"/>
        <v>1989</v>
      </c>
      <c r="F163" s="6">
        <f t="shared" si="14"/>
        <v>219</v>
      </c>
      <c r="G163">
        <v>20.5</v>
      </c>
      <c r="H163">
        <v>1</v>
      </c>
      <c r="I163">
        <f>MAX(0,1-Fitting!$B$7*(Fitting!$B$6-Herm8889!C163)^2)</f>
        <v>0.65050768537526338</v>
      </c>
      <c r="J163">
        <f>tt(G163,H163,Fitting!$B$1:$E$1,Fitting!$B$2:$E$2)*I163</f>
        <v>6.9929576177840813</v>
      </c>
    </row>
    <row r="164" spans="1:10">
      <c r="A164" s="1">
        <f t="shared" si="12"/>
        <v>32728</v>
      </c>
      <c r="B164">
        <f t="shared" si="10"/>
        <v>1462.9342646885136</v>
      </c>
      <c r="C164">
        <f>day_length(F164,$B$1,Fitting!$B$4)</f>
        <v>11.920737266540527</v>
      </c>
      <c r="D164" s="1">
        <f t="shared" si="11"/>
        <v>32728</v>
      </c>
      <c r="E164">
        <f t="shared" si="13"/>
        <v>1989</v>
      </c>
      <c r="F164" s="6">
        <f t="shared" si="14"/>
        <v>220</v>
      </c>
      <c r="G164">
        <v>20.5</v>
      </c>
      <c r="H164">
        <v>2.5</v>
      </c>
      <c r="I164">
        <f>MAX(0,1-Fitting!$B$7*(Fitting!$B$6-Herm8889!C164)^2)</f>
        <v>0.65318221007393185</v>
      </c>
      <c r="J164">
        <f>tt(G164,H164,Fitting!$B$1:$E$1,Fitting!$B$2:$E$2)*I164</f>
        <v>7.5115954158502163</v>
      </c>
    </row>
    <row r="165" spans="1:10">
      <c r="A165" s="1">
        <f t="shared" si="12"/>
        <v>32729</v>
      </c>
      <c r="B165">
        <f t="shared" si="10"/>
        <v>1469.9845709878798</v>
      </c>
      <c r="C165">
        <f>day_length(F165,$B$1,Fitting!$B$4)</f>
        <v>11.937715530395508</v>
      </c>
      <c r="D165" s="1">
        <f t="shared" si="11"/>
        <v>32729</v>
      </c>
      <c r="E165">
        <f t="shared" si="13"/>
        <v>1989</v>
      </c>
      <c r="F165" s="6">
        <f t="shared" si="14"/>
        <v>221</v>
      </c>
      <c r="G165">
        <v>19</v>
      </c>
      <c r="H165">
        <v>2.5</v>
      </c>
      <c r="I165">
        <f>MAX(0,1-Fitting!$B$7*(Fitting!$B$6-Herm8889!C165)^2)</f>
        <v>0.65584238827033547</v>
      </c>
      <c r="J165">
        <f>tt(G165,H165,Fitting!$B$1:$E$1,Fitting!$B$2:$E$2)*I165</f>
        <v>7.0503062993661478</v>
      </c>
    </row>
    <row r="166" spans="1:10">
      <c r="A166" s="1">
        <f t="shared" si="12"/>
        <v>32730</v>
      </c>
      <c r="B166">
        <f t="shared" si="10"/>
        <v>1477.8864260488467</v>
      </c>
      <c r="C166">
        <f>day_length(F166,$B$1,Fitting!$B$4)</f>
        <v>11.95494270324707</v>
      </c>
      <c r="D166" s="1">
        <f t="shared" si="11"/>
        <v>32730</v>
      </c>
      <c r="E166">
        <f t="shared" si="13"/>
        <v>1989</v>
      </c>
      <c r="F166" s="6">
        <f t="shared" si="14"/>
        <v>222</v>
      </c>
      <c r="G166">
        <v>20</v>
      </c>
      <c r="H166">
        <v>4</v>
      </c>
      <c r="I166">
        <f>MAX(0,1-Fitting!$B$7*(Fitting!$B$6-Herm8889!C166)^2)</f>
        <v>0.6584879217472408</v>
      </c>
      <c r="J166">
        <f>tt(G166,H166,Fitting!$B$1:$E$1,Fitting!$B$2:$E$2)*I166</f>
        <v>7.9018550609668896</v>
      </c>
    </row>
    <row r="167" spans="1:10">
      <c r="A167" s="1">
        <f t="shared" si="12"/>
        <v>32731</v>
      </c>
      <c r="B167">
        <f t="shared" si="10"/>
        <v>1486.3156794715146</v>
      </c>
      <c r="C167">
        <f>day_length(F167,$B$1,Fitting!$B$4)</f>
        <v>11.972415924072266</v>
      </c>
      <c r="D167" s="1">
        <f t="shared" si="11"/>
        <v>32731</v>
      </c>
      <c r="E167">
        <f t="shared" si="13"/>
        <v>1989</v>
      </c>
      <c r="F167" s="6">
        <f t="shared" si="14"/>
        <v>223</v>
      </c>
      <c r="G167">
        <v>22</v>
      </c>
      <c r="H167">
        <v>3.5</v>
      </c>
      <c r="I167">
        <f>MAX(0,1-Fitting!$B$7*(Fitting!$B$6-Herm8889!C167)^2)</f>
        <v>0.66111791550336785</v>
      </c>
      <c r="J167">
        <f>tt(G167,H167,Fitting!$B$1:$E$1,Fitting!$B$2:$E$2)*I167</f>
        <v>8.4292534226679408</v>
      </c>
    </row>
    <row r="168" spans="1:10">
      <c r="A168" s="1">
        <f t="shared" si="12"/>
        <v>32732</v>
      </c>
      <c r="B168">
        <f t="shared" si="10"/>
        <v>1494.7782636036975</v>
      </c>
      <c r="C168">
        <f>day_length(F168,$B$1,Fitting!$B$4)</f>
        <v>11.990126609802246</v>
      </c>
      <c r="D168" s="1">
        <f t="shared" si="11"/>
        <v>32732</v>
      </c>
      <c r="E168">
        <f t="shared" si="13"/>
        <v>1989</v>
      </c>
      <c r="F168" s="6">
        <f t="shared" si="14"/>
        <v>224</v>
      </c>
      <c r="G168">
        <v>22</v>
      </c>
      <c r="H168">
        <v>3.5</v>
      </c>
      <c r="I168">
        <f>MAX(0,1-Fitting!$B$7*(Fitting!$B$6-Herm8889!C168)^2)</f>
        <v>0.66373208879865708</v>
      </c>
      <c r="J168">
        <f>tt(G168,H168,Fitting!$B$1:$E$1,Fitting!$B$2:$E$2)*I168</f>
        <v>8.4625841321828776</v>
      </c>
    </row>
    <row r="169" spans="1:10">
      <c r="A169" s="1">
        <f t="shared" si="12"/>
        <v>32733</v>
      </c>
      <c r="B169">
        <f t="shared" si="10"/>
        <v>1503.4405484704982</v>
      </c>
      <c r="C169">
        <f>day_length(F169,$B$1,Fitting!$B$4)</f>
        <v>12.008070945739746</v>
      </c>
      <c r="D169" s="1">
        <f t="shared" si="11"/>
        <v>32733</v>
      </c>
      <c r="E169">
        <f t="shared" si="13"/>
        <v>1989</v>
      </c>
      <c r="F169" s="6">
        <f t="shared" si="14"/>
        <v>225</v>
      </c>
      <c r="G169">
        <v>22.5</v>
      </c>
      <c r="H169">
        <v>3.5</v>
      </c>
      <c r="I169">
        <f>MAX(0,1-Fitting!$B$7*(Fitting!$B$6-Herm8889!C169)^2)</f>
        <v>0.6663296540201773</v>
      </c>
      <c r="J169">
        <f>tt(G169,H169,Fitting!$B$1:$E$1,Fitting!$B$2:$E$2)*I169</f>
        <v>8.6622848668008281</v>
      </c>
    </row>
    <row r="170" spans="1:10">
      <c r="A170" s="1">
        <f t="shared" si="12"/>
        <v>32734</v>
      </c>
      <c r="B170">
        <f t="shared" si="10"/>
        <v>1511.3002420477178</v>
      </c>
      <c r="C170">
        <f>day_length(F170,$B$1,Fitting!$B$4)</f>
        <v>12.026244163513184</v>
      </c>
      <c r="D170" s="1">
        <f t="shared" si="11"/>
        <v>32734</v>
      </c>
      <c r="E170">
        <f t="shared" si="13"/>
        <v>1989</v>
      </c>
      <c r="F170" s="6">
        <f t="shared" si="14"/>
        <v>226</v>
      </c>
      <c r="G170">
        <v>21.5</v>
      </c>
      <c r="H170">
        <v>2</v>
      </c>
      <c r="I170">
        <f>MAX(0,1-Fitting!$B$7*(Fitting!$B$6-Herm8889!C170)^2)</f>
        <v>0.66891009167825721</v>
      </c>
      <c r="J170">
        <f>tt(G170,H170,Fitting!$B$1:$E$1,Fitting!$B$2:$E$2)*I170</f>
        <v>7.859693577219522</v>
      </c>
    </row>
    <row r="171" spans="1:10">
      <c r="A171" s="1">
        <f t="shared" si="12"/>
        <v>32735</v>
      </c>
      <c r="B171">
        <f t="shared" si="10"/>
        <v>1519.693652130788</v>
      </c>
      <c r="C171">
        <f>day_length(F171,$B$1,Fitting!$B$4)</f>
        <v>12.04464054107666</v>
      </c>
      <c r="D171" s="1">
        <f t="shared" si="11"/>
        <v>32735</v>
      </c>
      <c r="E171">
        <f t="shared" si="13"/>
        <v>1989</v>
      </c>
      <c r="F171" s="6">
        <f t="shared" si="14"/>
        <v>227</v>
      </c>
      <c r="G171">
        <v>23</v>
      </c>
      <c r="H171">
        <v>2</v>
      </c>
      <c r="I171">
        <f>MAX(0,1-Fitting!$B$7*(Fitting!$B$6-Herm8889!C171)^2)</f>
        <v>0.67147280664562459</v>
      </c>
      <c r="J171">
        <f>tt(G171,H171,Fitting!$B$1:$E$1,Fitting!$B$2:$E$2)*I171</f>
        <v>8.3934100830703073</v>
      </c>
    </row>
    <row r="172" spans="1:10">
      <c r="A172" s="1">
        <f t="shared" si="12"/>
        <v>32736</v>
      </c>
      <c r="B172">
        <f t="shared" si="10"/>
        <v>1529.8039097195938</v>
      </c>
      <c r="C172">
        <f>day_length(F172,$B$1,Fitting!$B$4)</f>
        <v>12.063255310058594</v>
      </c>
      <c r="D172" s="1">
        <f t="shared" si="11"/>
        <v>32736</v>
      </c>
      <c r="E172">
        <f t="shared" si="13"/>
        <v>1989</v>
      </c>
      <c r="F172" s="6">
        <f t="shared" si="14"/>
        <v>228</v>
      </c>
      <c r="G172">
        <v>24</v>
      </c>
      <c r="H172">
        <v>6</v>
      </c>
      <c r="I172">
        <f>MAX(0,1-Fitting!$B$7*(Fitting!$B$6-Herm8889!C172)^2)</f>
        <v>0.6740171297341967</v>
      </c>
      <c r="J172">
        <f>tt(G172,H172,Fitting!$B$1:$E$1,Fitting!$B$2:$E$2)*I172</f>
        <v>10.110257588805776</v>
      </c>
    </row>
    <row r="173" spans="1:10">
      <c r="A173" s="1">
        <f t="shared" si="12"/>
        <v>32737</v>
      </c>
      <c r="B173">
        <f t="shared" si="10"/>
        <v>1539.7829120524889</v>
      </c>
      <c r="C173">
        <f>day_length(F173,$B$1,Fitting!$B$4)</f>
        <v>12.082082748413086</v>
      </c>
      <c r="D173" s="1">
        <f t="shared" si="11"/>
        <v>32737</v>
      </c>
      <c r="E173">
        <f t="shared" si="13"/>
        <v>1989</v>
      </c>
      <c r="F173" s="6">
        <f t="shared" si="14"/>
        <v>229</v>
      </c>
      <c r="G173">
        <v>23</v>
      </c>
      <c r="H173">
        <v>6.5</v>
      </c>
      <c r="I173">
        <f>MAX(0,1-Fitting!$B$7*(Fitting!$B$6-Herm8889!C173)^2)</f>
        <v>0.6765424873012762</v>
      </c>
      <c r="J173">
        <f>tt(G173,H173,Fitting!$B$1:$E$1,Fitting!$B$2:$E$2)*I173</f>
        <v>9.9790023328950177</v>
      </c>
    </row>
    <row r="174" spans="1:10">
      <c r="A174" s="1">
        <f t="shared" si="12"/>
        <v>32738</v>
      </c>
      <c r="B174">
        <f t="shared" si="10"/>
        <v>1549.2895878263278</v>
      </c>
      <c r="C174">
        <f>day_length(F174,$B$1,Fitting!$B$4)</f>
        <v>12.101119995117188</v>
      </c>
      <c r="D174" s="1">
        <f t="shared" si="11"/>
        <v>32738</v>
      </c>
      <c r="E174">
        <f t="shared" si="13"/>
        <v>1989</v>
      </c>
      <c r="F174" s="6">
        <f t="shared" si="14"/>
        <v>230</v>
      </c>
      <c r="G174">
        <v>24</v>
      </c>
      <c r="H174">
        <v>4</v>
      </c>
      <c r="I174">
        <f>MAX(0,1-Fitting!$B$7*(Fitting!$B$6-Herm8889!C174)^2)</f>
        <v>0.6790483158164079</v>
      </c>
      <c r="J174">
        <f>tt(G174,H174,Fitting!$B$1:$E$1,Fitting!$B$2:$E$2)*I174</f>
        <v>9.5066757738387722</v>
      </c>
    </row>
    <row r="175" spans="1:10">
      <c r="A175" s="1">
        <f t="shared" si="12"/>
        <v>32739</v>
      </c>
      <c r="B175">
        <f t="shared" si="10"/>
        <v>1558.6606805256156</v>
      </c>
      <c r="C175">
        <f>day_length(F175,$B$1,Fitting!$B$4)</f>
        <v>12.120359420776367</v>
      </c>
      <c r="D175" s="1">
        <f t="shared" si="11"/>
        <v>32739</v>
      </c>
      <c r="E175">
        <f t="shared" si="13"/>
        <v>1989</v>
      </c>
      <c r="F175" s="6">
        <f t="shared" si="14"/>
        <v>231</v>
      </c>
      <c r="G175">
        <v>24</v>
      </c>
      <c r="H175">
        <v>3.5</v>
      </c>
      <c r="I175">
        <f>MAX(0,1-Fitting!$B$7*(Fitting!$B$6-Herm8889!C175)^2)</f>
        <v>0.68153406176359022</v>
      </c>
      <c r="J175">
        <f>tt(G175,H175,Fitting!$B$1:$E$1,Fitting!$B$2:$E$2)*I175</f>
        <v>9.3710926992878356</v>
      </c>
    </row>
    <row r="176" spans="1:10">
      <c r="A176" s="1">
        <f t="shared" si="12"/>
        <v>32740</v>
      </c>
      <c r="B176">
        <f t="shared" si="10"/>
        <v>1569.2626633425216</v>
      </c>
      <c r="C176">
        <f>day_length(F176,$B$1,Fitting!$B$4)</f>
        <v>12.139797210693359</v>
      </c>
      <c r="D176" s="1">
        <f t="shared" si="11"/>
        <v>32740</v>
      </c>
      <c r="E176">
        <f t="shared" si="13"/>
        <v>1989</v>
      </c>
      <c r="F176" s="6">
        <f t="shared" si="14"/>
        <v>232</v>
      </c>
      <c r="G176">
        <v>22</v>
      </c>
      <c r="H176">
        <v>9</v>
      </c>
      <c r="I176">
        <f>MAX(0,1-Fitting!$B$7*(Fitting!$B$6-Herm8889!C176)^2)</f>
        <v>0.68399884932863098</v>
      </c>
      <c r="J176">
        <f>tt(G176,H176,Fitting!$B$1:$E$1,Fitting!$B$2:$E$2)*I176</f>
        <v>10.601982816905915</v>
      </c>
    </row>
    <row r="177" spans="1:10">
      <c r="A177" s="1">
        <f t="shared" si="12"/>
        <v>32741</v>
      </c>
      <c r="B177">
        <f t="shared" si="10"/>
        <v>1580.9321826809398</v>
      </c>
      <c r="C177">
        <f>day_length(F177,$B$1,Fitting!$B$4)</f>
        <v>12.159428596496582</v>
      </c>
      <c r="D177" s="1">
        <f t="shared" si="11"/>
        <v>32741</v>
      </c>
      <c r="E177">
        <f t="shared" si="13"/>
        <v>1989</v>
      </c>
      <c r="F177" s="6">
        <f t="shared" si="14"/>
        <v>233</v>
      </c>
      <c r="G177">
        <v>25</v>
      </c>
      <c r="H177">
        <v>9</v>
      </c>
      <c r="I177">
        <f>MAX(0,1-Fitting!$B$7*(Fitting!$B$6-Herm8889!C177)^2)</f>
        <v>0.68644231402460165</v>
      </c>
      <c r="J177">
        <f>tt(G177,H177,Fitting!$B$1:$E$1,Fitting!$B$2:$E$2)*I177</f>
        <v>11.669519338418228</v>
      </c>
    </row>
    <row r="178" spans="1:10">
      <c r="A178" s="1">
        <f t="shared" si="12"/>
        <v>32742</v>
      </c>
      <c r="B178">
        <f t="shared" si="10"/>
        <v>1593.3317305193964</v>
      </c>
      <c r="C178">
        <f>day_length(F178,$B$1,Fitting!$B$4)</f>
        <v>12.179247856140137</v>
      </c>
      <c r="D178" s="1">
        <f t="shared" si="11"/>
        <v>32742</v>
      </c>
      <c r="E178">
        <f t="shared" si="13"/>
        <v>1989</v>
      </c>
      <c r="F178" s="6">
        <f t="shared" si="14"/>
        <v>234</v>
      </c>
      <c r="G178">
        <v>26</v>
      </c>
      <c r="H178">
        <v>10</v>
      </c>
      <c r="I178">
        <f>MAX(0,1-Fitting!$B$7*(Fitting!$B$6-Herm8889!C178)^2)</f>
        <v>0.68886376880313938</v>
      </c>
      <c r="J178">
        <f>tt(G178,H178,Fitting!$B$1:$E$1,Fitting!$B$2:$E$2)*I178</f>
        <v>12.39954783845651</v>
      </c>
    </row>
    <row r="179" spans="1:10">
      <c r="A179" s="1">
        <f t="shared" si="12"/>
        <v>32743</v>
      </c>
      <c r="B179">
        <f t="shared" si="10"/>
        <v>1605.9472733487389</v>
      </c>
      <c r="C179">
        <f>day_length(F179,$B$1,Fitting!$B$4)</f>
        <v>12.199252128601074</v>
      </c>
      <c r="D179" s="1">
        <f t="shared" si="11"/>
        <v>32743</v>
      </c>
      <c r="E179">
        <f t="shared" si="13"/>
        <v>1989</v>
      </c>
      <c r="F179" s="6">
        <f t="shared" si="14"/>
        <v>235</v>
      </c>
      <c r="G179">
        <v>26</v>
      </c>
      <c r="H179">
        <v>10.5</v>
      </c>
      <c r="I179">
        <f>MAX(0,1-Fitting!$B$7*(Fitting!$B$6-Herm8889!C179)^2)</f>
        <v>0.69126262078589207</v>
      </c>
      <c r="J179">
        <f>tt(G179,H179,Fitting!$B$1:$E$1,Fitting!$B$2:$E$2)*I179</f>
        <v>12.61554282934253</v>
      </c>
    </row>
    <row r="180" spans="1:10">
      <c r="A180" s="1">
        <f t="shared" si="12"/>
        <v>32744</v>
      </c>
      <c r="B180">
        <f t="shared" si="10"/>
        <v>1615.3113869212621</v>
      </c>
      <c r="C180">
        <f>day_length(F180,$B$1,Fitting!$B$4)</f>
        <v>12.219435691833496</v>
      </c>
      <c r="D180" s="1">
        <f t="shared" si="11"/>
        <v>32744</v>
      </c>
      <c r="E180">
        <f t="shared" si="13"/>
        <v>1989</v>
      </c>
      <c r="F180" s="6">
        <f t="shared" si="14"/>
        <v>236</v>
      </c>
      <c r="G180">
        <v>22.5</v>
      </c>
      <c r="H180">
        <v>4.5</v>
      </c>
      <c r="I180">
        <f>MAX(0,1-Fitting!$B$7*(Fitting!$B$6-Herm8889!C180)^2)</f>
        <v>0.69363804240912574</v>
      </c>
      <c r="J180">
        <f>tt(G180,H180,Fitting!$B$1:$E$1,Fitting!$B$2:$E$2)*I180</f>
        <v>9.3641135725231983</v>
      </c>
    </row>
    <row r="181" spans="1:10">
      <c r="A181" s="1">
        <f t="shared" si="12"/>
        <v>32745</v>
      </c>
      <c r="B181">
        <f t="shared" si="10"/>
        <v>1624.7072468947561</v>
      </c>
      <c r="C181">
        <f>day_length(F181,$B$1,Fitting!$B$4)</f>
        <v>12.23979377746582</v>
      </c>
      <c r="D181" s="1">
        <f t="shared" si="11"/>
        <v>32745</v>
      </c>
      <c r="E181">
        <f t="shared" si="13"/>
        <v>1989</v>
      </c>
      <c r="F181" s="6">
        <f t="shared" si="14"/>
        <v>237</v>
      </c>
      <c r="G181">
        <v>22.5</v>
      </c>
      <c r="H181">
        <v>4.5</v>
      </c>
      <c r="I181">
        <f>MAX(0,1-Fitting!$B$7*(Fitting!$B$6-Herm8889!C181)^2)</f>
        <v>0.69598962766622563</v>
      </c>
      <c r="J181">
        <f>tt(G181,H181,Fitting!$B$1:$E$1,Fitting!$B$2:$E$2)*I181</f>
        <v>9.395859973494046</v>
      </c>
    </row>
    <row r="182" spans="1:10">
      <c r="A182" s="1">
        <f t="shared" si="12"/>
        <v>32746</v>
      </c>
      <c r="B182">
        <f t="shared" si="10"/>
        <v>1637.1023674984069</v>
      </c>
      <c r="C182">
        <f>day_length(F182,$B$1,Fitting!$B$4)</f>
        <v>12.260320663452148</v>
      </c>
      <c r="D182" s="1">
        <f t="shared" si="11"/>
        <v>32746</v>
      </c>
      <c r="E182">
        <f t="shared" si="13"/>
        <v>1989</v>
      </c>
      <c r="F182" s="6">
        <f t="shared" si="14"/>
        <v>238</v>
      </c>
      <c r="G182">
        <v>26</v>
      </c>
      <c r="H182">
        <v>9.5</v>
      </c>
      <c r="I182">
        <f>MAX(0,1-Fitting!$B$7*(Fitting!$B$6-Herm8889!C182)^2)</f>
        <v>0.69831665372680618</v>
      </c>
      <c r="J182">
        <f>tt(G182,H182,Fitting!$B$1:$E$1,Fitting!$B$2:$E$2)*I182</f>
        <v>12.39512060365081</v>
      </c>
    </row>
    <row r="183" spans="1:10">
      <c r="A183" s="1">
        <f t="shared" si="12"/>
        <v>32747</v>
      </c>
      <c r="B183">
        <f t="shared" si="10"/>
        <v>1649.1880350770264</v>
      </c>
      <c r="C183">
        <f>day_length(F183,$B$1,Fitting!$B$4)</f>
        <v>12.281014442443848</v>
      </c>
      <c r="D183" s="1">
        <f t="shared" si="11"/>
        <v>32747</v>
      </c>
      <c r="E183">
        <f t="shared" si="13"/>
        <v>1989</v>
      </c>
      <c r="F183" s="6">
        <f t="shared" si="14"/>
        <v>239</v>
      </c>
      <c r="G183">
        <v>23</v>
      </c>
      <c r="H183">
        <v>11.5</v>
      </c>
      <c r="I183">
        <f>MAX(0,1-Fitting!$B$7*(Fitting!$B$6-Herm8889!C183)^2)</f>
        <v>0.70061841035474937</v>
      </c>
      <c r="J183">
        <f>tt(G183,H183,Fitting!$B$1:$E$1,Fitting!$B$2:$E$2)*I183</f>
        <v>12.085667578619427</v>
      </c>
    </row>
    <row r="184" spans="1:10">
      <c r="A184" s="1">
        <f t="shared" si="12"/>
        <v>32748</v>
      </c>
      <c r="B184">
        <f t="shared" si="10"/>
        <v>1661.6644099800478</v>
      </c>
      <c r="C184">
        <f>day_length(F184,$B$1,Fitting!$B$4)</f>
        <v>12.301867485046387</v>
      </c>
      <c r="D184" s="1">
        <f t="shared" si="11"/>
        <v>32748</v>
      </c>
      <c r="E184">
        <f t="shared" si="13"/>
        <v>1989</v>
      </c>
      <c r="F184" s="6">
        <f t="shared" si="14"/>
        <v>240</v>
      </c>
      <c r="G184">
        <v>29</v>
      </c>
      <c r="H184">
        <v>6.5</v>
      </c>
      <c r="I184">
        <f>MAX(0,1-Fitting!$B$7*(Fitting!$B$6-Herm8889!C184)^2)</f>
        <v>0.70289436073360412</v>
      </c>
      <c r="J184">
        <f>tt(G184,H184,Fitting!$B$1:$E$1,Fitting!$B$2:$E$2)*I184</f>
        <v>12.476374903021473</v>
      </c>
    </row>
    <row r="185" spans="1:10">
      <c r="A185" s="1">
        <f t="shared" si="12"/>
        <v>32749</v>
      </c>
      <c r="B185">
        <f t="shared" si="10"/>
        <v>1675.5910003709798</v>
      </c>
      <c r="C185">
        <f>day_length(F185,$B$1,Fitting!$B$4)</f>
        <v>12.322877883911133</v>
      </c>
      <c r="D185" s="1">
        <f t="shared" si="11"/>
        <v>32749</v>
      </c>
      <c r="E185">
        <f t="shared" si="13"/>
        <v>1989</v>
      </c>
      <c r="F185" s="6">
        <f t="shared" si="14"/>
        <v>241</v>
      </c>
      <c r="G185">
        <v>28.5</v>
      </c>
      <c r="H185">
        <v>11</v>
      </c>
      <c r="I185">
        <f>MAX(0,1-Fitting!$B$7*(Fitting!$B$6-Herm8889!C185)^2)</f>
        <v>0.70514381726237474</v>
      </c>
      <c r="J185">
        <f>tt(G185,H185,Fitting!$B$1:$E$1,Fitting!$B$2:$E$2)*I185</f>
        <v>13.926590390931901</v>
      </c>
    </row>
    <row r="186" spans="1:10">
      <c r="A186" s="1">
        <f t="shared" si="12"/>
        <v>32750</v>
      </c>
      <c r="B186">
        <f t="shared" si="10"/>
        <v>1690.4456899087443</v>
      </c>
      <c r="C186">
        <f>day_length(F186,$B$1,Fitting!$B$4)</f>
        <v>12.344039916992188</v>
      </c>
      <c r="D186" s="1">
        <f t="shared" si="11"/>
        <v>32750</v>
      </c>
      <c r="E186">
        <f t="shared" si="13"/>
        <v>1989</v>
      </c>
      <c r="F186" s="6">
        <f t="shared" si="14"/>
        <v>242</v>
      </c>
      <c r="G186">
        <v>29.5</v>
      </c>
      <c r="H186">
        <v>12.5</v>
      </c>
      <c r="I186">
        <f>MAX(0,1-Fitting!$B$7*(Fitting!$B$6-Herm8889!C186)^2)</f>
        <v>0.70736610421764823</v>
      </c>
      <c r="J186">
        <f>tt(G186,H186,Fitting!$B$1:$E$1,Fitting!$B$2:$E$2)*I186</f>
        <v>14.854689537764385</v>
      </c>
    </row>
    <row r="187" spans="1:10">
      <c r="A187" s="1">
        <f t="shared" si="12"/>
        <v>32751</v>
      </c>
      <c r="B187">
        <f t="shared" si="10"/>
        <v>1703.7499547007103</v>
      </c>
      <c r="C187">
        <f>day_length(F187,$B$1,Fitting!$B$4)</f>
        <v>12.365348815917969</v>
      </c>
      <c r="D187" s="1">
        <f t="shared" si="11"/>
        <v>32751</v>
      </c>
      <c r="E187">
        <f t="shared" si="13"/>
        <v>1989</v>
      </c>
      <c r="F187" s="6">
        <f t="shared" si="14"/>
        <v>243</v>
      </c>
      <c r="G187">
        <v>30.5</v>
      </c>
      <c r="H187">
        <v>7</v>
      </c>
      <c r="I187">
        <f>MAX(0,1-Fitting!$B$7*(Fitting!$B$6-Herm8889!C187)^2)</f>
        <v>0.7095607167246053</v>
      </c>
      <c r="J187">
        <f>tt(G187,H187,Fitting!$B$1:$E$1,Fitting!$B$2:$E$2)*I187</f>
        <v>13.304264791966013</v>
      </c>
    </row>
    <row r="188" spans="1:10">
      <c r="A188" s="1">
        <f t="shared" si="12"/>
        <v>32752</v>
      </c>
      <c r="B188">
        <f t="shared" si="10"/>
        <v>1718.9040486052568</v>
      </c>
      <c r="C188">
        <f>day_length(F188,$B$1,Fitting!$B$4)</f>
        <v>12.386800765991211</v>
      </c>
      <c r="D188" s="1">
        <f t="shared" si="11"/>
        <v>32752</v>
      </c>
      <c r="E188">
        <f t="shared" si="13"/>
        <v>1989</v>
      </c>
      <c r="F188" s="6">
        <f t="shared" si="14"/>
        <v>244</v>
      </c>
      <c r="G188">
        <v>31.5</v>
      </c>
      <c r="H188">
        <v>12</v>
      </c>
      <c r="I188">
        <f>MAX(0,1-Fitting!$B$7*(Fitting!$B$6-Herm8889!C188)^2)</f>
        <v>0.71172668289926522</v>
      </c>
      <c r="J188">
        <f>tt(G188,H188,Fitting!$B$1:$E$1,Fitting!$B$2:$E$2)*I188</f>
        <v>15.154093904546516</v>
      </c>
    </row>
    <row r="189" spans="1:10">
      <c r="A189" s="1">
        <f t="shared" si="12"/>
        <v>32753</v>
      </c>
      <c r="B189">
        <f t="shared" si="10"/>
        <v>1733.064917394272</v>
      </c>
      <c r="C189">
        <f>day_length(F189,$B$1,Fitting!$B$4)</f>
        <v>12.408391952514648</v>
      </c>
      <c r="D189" s="1">
        <f t="shared" si="11"/>
        <v>32753</v>
      </c>
      <c r="E189">
        <f t="shared" si="13"/>
        <v>1989</v>
      </c>
      <c r="F189" s="6">
        <f t="shared" si="14"/>
        <v>245</v>
      </c>
      <c r="G189">
        <v>31.5</v>
      </c>
      <c r="H189">
        <v>9</v>
      </c>
      <c r="I189">
        <f>MAX(0,1-Fitting!$B$7*(Fitting!$B$6-Herm8889!C189)^2)</f>
        <v>0.71386367886434887</v>
      </c>
      <c r="J189">
        <f>tt(G189,H189,Fitting!$B$1:$E$1,Fitting!$B$2:$E$2)*I189</f>
        <v>14.160868789015129</v>
      </c>
    </row>
    <row r="190" spans="1:10">
      <c r="A190" s="1">
        <f t="shared" si="12"/>
        <v>32754</v>
      </c>
      <c r="B190">
        <f t="shared" si="10"/>
        <v>1743.8044804262315</v>
      </c>
      <c r="C190">
        <f>day_length(F190,$B$1,Fitting!$B$4)</f>
        <v>12.430117607116699</v>
      </c>
      <c r="D190" s="1">
        <f t="shared" si="11"/>
        <v>32754</v>
      </c>
      <c r="E190">
        <f t="shared" si="13"/>
        <v>1989</v>
      </c>
      <c r="F190" s="6">
        <f t="shared" si="14"/>
        <v>246</v>
      </c>
      <c r="G190">
        <v>25</v>
      </c>
      <c r="H190">
        <v>5</v>
      </c>
      <c r="I190">
        <f>MAX(0,1-Fitting!$B$7*(Fitting!$B$6-Herm8889!C190)^2)</f>
        <v>0.7159709143175077</v>
      </c>
      <c r="J190">
        <f>tt(G190,H190,Fitting!$B$1:$E$1,Fitting!$B$2:$E$2)*I190</f>
        <v>10.739563031959543</v>
      </c>
    </row>
    <row r="191" spans="1:10">
      <c r="A191" s="1">
        <f t="shared" si="12"/>
        <v>32755</v>
      </c>
      <c r="B191">
        <f t="shared" si="10"/>
        <v>1756.0112924921154</v>
      </c>
      <c r="C191">
        <f>day_length(F191,$B$1,Fitting!$B$4)</f>
        <v>12.451972007751465</v>
      </c>
      <c r="D191" s="1">
        <f t="shared" si="11"/>
        <v>32755</v>
      </c>
      <c r="E191">
        <f t="shared" si="13"/>
        <v>1989</v>
      </c>
      <c r="F191" s="6">
        <f t="shared" si="14"/>
        <v>247</v>
      </c>
      <c r="G191">
        <v>25</v>
      </c>
      <c r="H191">
        <v>9</v>
      </c>
      <c r="I191">
        <f>MAX(0,1-Fitting!$B$7*(Fitting!$B$6-Herm8889!C191)^2)</f>
        <v>0.71804776858140396</v>
      </c>
      <c r="J191">
        <f>tt(G191,H191,Fitting!$B$1:$E$1,Fitting!$B$2:$E$2)*I191</f>
        <v>12.206812065883867</v>
      </c>
    </row>
    <row r="192" spans="1:10">
      <c r="A192" s="1">
        <f t="shared" si="12"/>
        <v>32756</v>
      </c>
      <c r="B192">
        <f t="shared" si="10"/>
        <v>1768.7929516678716</v>
      </c>
      <c r="C192">
        <f>day_length(F192,$B$1,Fitting!$B$4)</f>
        <v>12.473953247070312</v>
      </c>
      <c r="D192" s="1">
        <f t="shared" si="11"/>
        <v>32756</v>
      </c>
      <c r="E192">
        <f t="shared" si="13"/>
        <v>1989</v>
      </c>
      <c r="F192" s="6">
        <f t="shared" si="14"/>
        <v>248</v>
      </c>
      <c r="G192">
        <v>26</v>
      </c>
      <c r="H192">
        <v>9.5</v>
      </c>
      <c r="I192">
        <f>MAX(0,1-Fitting!$B$7*(Fitting!$B$6-Herm8889!C192)^2)</f>
        <v>0.72009347469048945</v>
      </c>
      <c r="J192">
        <f>tt(G192,H192,Fitting!$B$1:$E$1,Fitting!$B$2:$E$2)*I192</f>
        <v>12.781659175756188</v>
      </c>
    </row>
    <row r="193" spans="1:10">
      <c r="A193" s="1">
        <f t="shared" si="12"/>
        <v>32757</v>
      </c>
      <c r="B193">
        <f t="shared" si="10"/>
        <v>1781.068782060825</v>
      </c>
      <c r="C193">
        <f>day_length(F193,$B$1,Fitting!$B$4)</f>
        <v>12.49605655670166</v>
      </c>
      <c r="D193" s="1">
        <f t="shared" si="11"/>
        <v>32757</v>
      </c>
      <c r="E193">
        <f t="shared" si="13"/>
        <v>1989</v>
      </c>
      <c r="F193" s="6">
        <f t="shared" si="14"/>
        <v>249</v>
      </c>
      <c r="G193">
        <v>25.5</v>
      </c>
      <c r="H193">
        <v>8.5</v>
      </c>
      <c r="I193">
        <f>MAX(0,1-Fitting!$B$7*(Fitting!$B$6-Herm8889!C193)^2)</f>
        <v>0.7221075891554356</v>
      </c>
      <c r="J193">
        <f>tt(G193,H193,Fitting!$B$1:$E$1,Fitting!$B$2:$E$2)*I193</f>
        <v>12.275830392953328</v>
      </c>
    </row>
    <row r="194" spans="1:10">
      <c r="A194" s="1">
        <f t="shared" si="12"/>
        <v>32758</v>
      </c>
      <c r="B194">
        <f t="shared" si="10"/>
        <v>1793.3782999486257</v>
      </c>
      <c r="C194">
        <f>day_length(F194,$B$1,Fitting!$B$4)</f>
        <v>12.518277168273926</v>
      </c>
      <c r="D194" s="1">
        <f t="shared" si="11"/>
        <v>32758</v>
      </c>
      <c r="E194">
        <f t="shared" si="13"/>
        <v>1989</v>
      </c>
      <c r="F194" s="6">
        <f t="shared" si="14"/>
        <v>250</v>
      </c>
      <c r="G194">
        <v>26.5</v>
      </c>
      <c r="H194">
        <v>7.5</v>
      </c>
      <c r="I194">
        <f>MAX(0,1-Fitting!$B$7*(Fitting!$B$6-Herm8889!C194)^2)</f>
        <v>0.72408928751768697</v>
      </c>
      <c r="J194">
        <f>tt(G194,H194,Fitting!$B$1:$E$1,Fitting!$B$2:$E$2)*I194</f>
        <v>12.309517887800679</v>
      </c>
    </row>
    <row r="195" spans="1:10">
      <c r="A195" s="1">
        <f t="shared" si="12"/>
        <v>32759</v>
      </c>
      <c r="B195">
        <f t="shared" si="10"/>
        <v>1805.7209470855778</v>
      </c>
      <c r="C195">
        <f>day_length(F195,$B$1,Fitting!$B$4)</f>
        <v>12.540609359741211</v>
      </c>
      <c r="D195" s="1">
        <f t="shared" si="11"/>
        <v>32759</v>
      </c>
      <c r="E195">
        <f t="shared" si="13"/>
        <v>1989</v>
      </c>
      <c r="F195" s="6">
        <f t="shared" si="14"/>
        <v>251</v>
      </c>
      <c r="G195">
        <v>27</v>
      </c>
      <c r="H195">
        <v>7</v>
      </c>
      <c r="I195">
        <f>MAX(0,1-Fitting!$B$7*(Fitting!$B$6-Herm8889!C195)^2)</f>
        <v>0.72603806687953321</v>
      </c>
      <c r="J195">
        <f>tt(G195,H195,Fitting!$B$1:$E$1,Fitting!$B$2:$E$2)*I195</f>
        <v>12.342647136952065</v>
      </c>
    </row>
    <row r="196" spans="1:10">
      <c r="A196" s="1">
        <f t="shared" si="12"/>
        <v>32760</v>
      </c>
      <c r="B196">
        <f t="shared" si="10"/>
        <v>1818.2781371367698</v>
      </c>
      <c r="C196">
        <f>day_length(F196,$B$1,Fitting!$B$4)</f>
        <v>12.563053131103516</v>
      </c>
      <c r="D196" s="1">
        <f t="shared" si="11"/>
        <v>32760</v>
      </c>
      <c r="E196">
        <f t="shared" si="13"/>
        <v>1989</v>
      </c>
      <c r="F196" s="6">
        <f t="shared" si="14"/>
        <v>252</v>
      </c>
      <c r="G196">
        <v>26</v>
      </c>
      <c r="H196">
        <v>8.5</v>
      </c>
      <c r="I196">
        <f>MAX(0,1-Fitting!$B$7*(Fitting!$B$6-Herm8889!C196)^2)</f>
        <v>0.72795304644591852</v>
      </c>
      <c r="J196">
        <f>tt(G196,H196,Fitting!$B$1:$E$1,Fitting!$B$2:$E$2)*I196</f>
        <v>12.557190051192094</v>
      </c>
    </row>
    <row r="197" spans="1:10">
      <c r="A197" s="1">
        <f t="shared" si="12"/>
        <v>32761</v>
      </c>
      <c r="B197">
        <f t="shared" ref="B197:B248" si="15">B196+J197</f>
        <v>1830.8677705067207</v>
      </c>
      <c r="C197">
        <f>day_length(F197,$B$1,Fitting!$B$4)</f>
        <v>12.585600852966309</v>
      </c>
      <c r="D197" s="1">
        <f t="shared" ref="D197:D248" si="16">A197</f>
        <v>32761</v>
      </c>
      <c r="E197">
        <f t="shared" si="13"/>
        <v>1989</v>
      </c>
      <c r="F197" s="6">
        <f t="shared" si="14"/>
        <v>253</v>
      </c>
      <c r="G197">
        <v>26</v>
      </c>
      <c r="H197">
        <v>8.5</v>
      </c>
      <c r="I197">
        <f>MAX(0,1-Fitting!$B$7*(Fitting!$B$6-Herm8889!C197)^2)</f>
        <v>0.72983381854787144</v>
      </c>
      <c r="J197">
        <f>tt(G197,H197,Fitting!$B$1:$E$1,Fitting!$B$2:$E$2)*I197</f>
        <v>12.589633369950782</v>
      </c>
    </row>
    <row r="198" spans="1:10">
      <c r="A198" s="1">
        <f t="shared" ref="A198:A248" si="17">A197+1</f>
        <v>32762</v>
      </c>
      <c r="B198">
        <f t="shared" si="15"/>
        <v>1846.0501237603798</v>
      </c>
      <c r="C198">
        <f>day_length(F198,$B$1,Fitting!$B$4)</f>
        <v>12.608248710632324</v>
      </c>
      <c r="D198" s="1">
        <f t="shared" si="16"/>
        <v>32762</v>
      </c>
      <c r="E198">
        <f t="shared" ref="E198:E248" si="18">YEAR(A198)</f>
        <v>1989</v>
      </c>
      <c r="F198" s="6">
        <f t="shared" ref="F198:F248" si="19">A198-DATE(E198,1,1)+1</f>
        <v>254</v>
      </c>
      <c r="G198">
        <v>29</v>
      </c>
      <c r="H198">
        <v>12.5</v>
      </c>
      <c r="I198">
        <f>MAX(0,1-Fitting!$B$7*(Fitting!$B$6-Herm8889!C198)^2)</f>
        <v>0.73167967487513663</v>
      </c>
      <c r="J198">
        <f>tt(G198,H198,Fitting!$B$1:$E$1,Fitting!$B$2:$E$2)*I198</f>
        <v>15.182353253659086</v>
      </c>
    </row>
    <row r="199" spans="1:10">
      <c r="A199" s="1">
        <f t="shared" si="17"/>
        <v>32763</v>
      </c>
      <c r="B199">
        <f t="shared" si="15"/>
        <v>1861.113638604452</v>
      </c>
      <c r="C199">
        <f>day_length(F199,$B$1,Fitting!$B$4)</f>
        <v>12.630992889404297</v>
      </c>
      <c r="D199" s="1">
        <f t="shared" si="16"/>
        <v>32763</v>
      </c>
      <c r="E199">
        <f t="shared" si="18"/>
        <v>1989</v>
      </c>
      <c r="F199" s="6">
        <f t="shared" si="19"/>
        <v>255</v>
      </c>
      <c r="G199">
        <v>32.5</v>
      </c>
      <c r="H199">
        <v>11</v>
      </c>
      <c r="I199">
        <f>MAX(0,1-Fitting!$B$7*(Fitting!$B$6-Herm8889!C199)^2)</f>
        <v>0.73348984010758611</v>
      </c>
      <c r="J199">
        <f>tt(G199,H199,Fitting!$B$1:$E$1,Fitting!$B$2:$E$2)*I199</f>
        <v>15.063514844072264</v>
      </c>
    </row>
    <row r="200" spans="1:10">
      <c r="A200" s="1">
        <f t="shared" si="17"/>
        <v>32764</v>
      </c>
      <c r="B200">
        <f t="shared" si="15"/>
        <v>1874.3483879537246</v>
      </c>
      <c r="C200">
        <f>day_length(F200,$B$1,Fitting!$B$4)</f>
        <v>12.653830528259277</v>
      </c>
      <c r="D200" s="1">
        <f t="shared" si="16"/>
        <v>32764</v>
      </c>
      <c r="E200">
        <f t="shared" si="18"/>
        <v>1989</v>
      </c>
      <c r="F200" s="6">
        <f t="shared" si="19"/>
        <v>256</v>
      </c>
      <c r="G200">
        <v>29.5</v>
      </c>
      <c r="H200">
        <v>6.5</v>
      </c>
      <c r="I200">
        <f>MAX(0,1-Fitting!$B$7*(Fitting!$B$6-Herm8889!C200)^2)</f>
        <v>0.73526385273735828</v>
      </c>
      <c r="J200">
        <f>tt(G200,H200,Fitting!$B$1:$E$1,Fitting!$B$2:$E$2)*I200</f>
        <v>13.234749349272448</v>
      </c>
    </row>
    <row r="201" spans="1:10">
      <c r="A201" s="1">
        <f t="shared" si="17"/>
        <v>32765</v>
      </c>
      <c r="B201">
        <f t="shared" si="15"/>
        <v>1885.5876517892136</v>
      </c>
      <c r="C201">
        <f>day_length(F201,$B$1,Fitting!$B$4)</f>
        <v>12.676756858825684</v>
      </c>
      <c r="D201" s="1">
        <f t="shared" si="16"/>
        <v>32765</v>
      </c>
      <c r="E201">
        <f t="shared" si="18"/>
        <v>1989</v>
      </c>
      <c r="F201" s="6">
        <f t="shared" si="19"/>
        <v>257</v>
      </c>
      <c r="G201">
        <v>25.5</v>
      </c>
      <c r="H201">
        <v>5</v>
      </c>
      <c r="I201">
        <f>MAX(0,1-Fitting!$B$7*(Fitting!$B$6-Herm8889!C201)^2)</f>
        <v>0.73700095333429627</v>
      </c>
      <c r="J201">
        <f>tt(G201,H201,Fitting!$B$1:$E$1,Fitting!$B$2:$E$2)*I201</f>
        <v>11.239263835489139</v>
      </c>
    </row>
    <row r="202" spans="1:10">
      <c r="A202" s="1">
        <f t="shared" si="17"/>
        <v>32766</v>
      </c>
      <c r="B202">
        <f t="shared" si="15"/>
        <v>1899.4382897865701</v>
      </c>
      <c r="C202">
        <f>day_length(F202,$B$1,Fitting!$B$4)</f>
        <v>12.699767112731934</v>
      </c>
      <c r="D202" s="1">
        <f t="shared" si="16"/>
        <v>32766</v>
      </c>
      <c r="E202">
        <f t="shared" si="18"/>
        <v>1989</v>
      </c>
      <c r="F202" s="6">
        <f t="shared" si="19"/>
        <v>258</v>
      </c>
      <c r="G202">
        <v>27.5</v>
      </c>
      <c r="H202">
        <v>10</v>
      </c>
      <c r="I202">
        <f>MAX(0,1-Fitting!$B$7*(Fitting!$B$6-Herm8889!C202)^2)</f>
        <v>0.7387006931923461</v>
      </c>
      <c r="J202">
        <f>tt(G202,H202,Fitting!$B$1:$E$1,Fitting!$B$2:$E$2)*I202</f>
        <v>13.85063799735649</v>
      </c>
    </row>
    <row r="203" spans="1:10">
      <c r="A203" s="1">
        <f t="shared" si="17"/>
        <v>32767</v>
      </c>
      <c r="B203">
        <f t="shared" si="15"/>
        <v>1912.9499022475725</v>
      </c>
      <c r="C203">
        <f>day_length(F203,$B$1,Fitting!$B$4)</f>
        <v>12.722857475280762</v>
      </c>
      <c r="D203" s="1">
        <f t="shared" si="16"/>
        <v>32767</v>
      </c>
      <c r="E203">
        <f t="shared" si="18"/>
        <v>1989</v>
      </c>
      <c r="F203" s="6">
        <f t="shared" si="19"/>
        <v>259</v>
      </c>
      <c r="G203">
        <v>26.5</v>
      </c>
      <c r="H203">
        <v>10</v>
      </c>
      <c r="I203">
        <f>MAX(0,1-Fitting!$B$7*(Fitting!$B$6-Herm8889!C203)^2)</f>
        <v>0.74036232663026924</v>
      </c>
      <c r="J203">
        <f>tt(G203,H203,Fitting!$B$1:$E$1,Fitting!$B$2:$E$2)*I203</f>
        <v>13.511612461002414</v>
      </c>
    </row>
    <row r="204" spans="1:10">
      <c r="A204" s="1">
        <f t="shared" si="17"/>
        <v>32768</v>
      </c>
      <c r="B204">
        <f t="shared" si="15"/>
        <v>1927.4186149251934</v>
      </c>
      <c r="C204">
        <f>day_length(F204,$B$1,Fitting!$B$4)</f>
        <v>12.746023178100586</v>
      </c>
      <c r="D204" s="1">
        <f t="shared" si="16"/>
        <v>32768</v>
      </c>
      <c r="E204">
        <f t="shared" si="18"/>
        <v>1989</v>
      </c>
      <c r="F204" s="6">
        <f t="shared" si="19"/>
        <v>260</v>
      </c>
      <c r="G204">
        <v>30.5</v>
      </c>
      <c r="H204">
        <v>8.5</v>
      </c>
      <c r="I204">
        <f>MAX(0,1-Fitting!$B$7*(Fitting!$B$6-Herm8889!C204)^2)</f>
        <v>0.74198526551902799</v>
      </c>
      <c r="J204">
        <f>tt(G204,H204,Fitting!$B$1:$E$1,Fitting!$B$2:$E$2)*I204</f>
        <v>14.468712677621046</v>
      </c>
    </row>
    <row r="205" spans="1:10">
      <c r="A205" s="1">
        <f t="shared" si="17"/>
        <v>32769</v>
      </c>
      <c r="B205">
        <f t="shared" si="15"/>
        <v>1944.1618896157793</v>
      </c>
      <c r="C205">
        <f>day_length(F205,$B$1,Fitting!$B$4)</f>
        <v>12.769260406494141</v>
      </c>
      <c r="D205" s="1">
        <f t="shared" si="16"/>
        <v>32769</v>
      </c>
      <c r="E205">
        <f t="shared" si="18"/>
        <v>1989</v>
      </c>
      <c r="F205" s="6">
        <f t="shared" si="19"/>
        <v>261</v>
      </c>
      <c r="G205">
        <v>33</v>
      </c>
      <c r="H205">
        <v>16</v>
      </c>
      <c r="I205">
        <f>MAX(0,1-Fitting!$B$7*(Fitting!$B$6-Herm8889!C205)^2)</f>
        <v>0.74356885185684407</v>
      </c>
      <c r="J205">
        <f>tt(G205,H205,Fitting!$B$1:$E$1,Fitting!$B$2:$E$2)*I205</f>
        <v>16.743274690585828</v>
      </c>
    </row>
    <row r="206" spans="1:10">
      <c r="A206" s="1">
        <f t="shared" si="17"/>
        <v>32770</v>
      </c>
      <c r="B206">
        <f t="shared" si="15"/>
        <v>1960.0893704561063</v>
      </c>
      <c r="C206">
        <f>day_length(F206,$B$1,Fitting!$B$4)</f>
        <v>12.792566299438477</v>
      </c>
      <c r="D206" s="1">
        <f t="shared" si="16"/>
        <v>32770</v>
      </c>
      <c r="E206">
        <f t="shared" si="18"/>
        <v>1989</v>
      </c>
      <c r="F206" s="6">
        <f t="shared" si="19"/>
        <v>262</v>
      </c>
      <c r="G206">
        <v>34.5</v>
      </c>
      <c r="H206">
        <v>15</v>
      </c>
      <c r="I206">
        <f>MAX(0,1-Fitting!$B$7*(Fitting!$B$6-Herm8889!C206)^2)</f>
        <v>0.74511265666572757</v>
      </c>
      <c r="J206">
        <f>tt(G206,H206,Fitting!$B$1:$E$1,Fitting!$B$2:$E$2)*I206</f>
        <v>15.927480840326956</v>
      </c>
    </row>
    <row r="207" spans="1:10">
      <c r="A207" s="1">
        <f t="shared" si="17"/>
        <v>32771</v>
      </c>
      <c r="B207">
        <f t="shared" si="15"/>
        <v>1975.3742304221078</v>
      </c>
      <c r="C207">
        <f>day_length(F207,$B$1,Fitting!$B$4)</f>
        <v>12.815936088562012</v>
      </c>
      <c r="D207" s="1">
        <f t="shared" si="16"/>
        <v>32771</v>
      </c>
      <c r="E207">
        <f t="shared" si="18"/>
        <v>1989</v>
      </c>
      <c r="F207" s="6">
        <f t="shared" si="19"/>
        <v>263</v>
      </c>
      <c r="G207">
        <v>35</v>
      </c>
      <c r="H207">
        <v>13.5</v>
      </c>
      <c r="I207">
        <f>MAX(0,1-Fitting!$B$7*(Fitting!$B$6-Herm8889!C207)^2)</f>
        <v>0.74661588107157884</v>
      </c>
      <c r="J207">
        <f>tt(G207,H207,Fitting!$B$1:$E$1,Fitting!$B$2:$E$2)*I207</f>
        <v>15.284859966001436</v>
      </c>
    </row>
    <row r="208" spans="1:10">
      <c r="A208" s="1">
        <f t="shared" si="17"/>
        <v>32772</v>
      </c>
      <c r="B208">
        <f t="shared" si="15"/>
        <v>1990.4080765451927</v>
      </c>
      <c r="C208">
        <f>day_length(F208,$B$1,Fitting!$B$4)</f>
        <v>12.839363098144531</v>
      </c>
      <c r="D208" s="1">
        <f t="shared" si="16"/>
        <v>32772</v>
      </c>
      <c r="E208">
        <f t="shared" si="18"/>
        <v>1989</v>
      </c>
      <c r="F208" s="6">
        <f t="shared" si="19"/>
        <v>264</v>
      </c>
      <c r="G208">
        <v>33</v>
      </c>
      <c r="H208">
        <v>10.5</v>
      </c>
      <c r="I208">
        <f>MAX(0,1-Fitting!$B$7*(Fitting!$B$6-Herm8889!C208)^2)</f>
        <v>0.74807817686255473</v>
      </c>
      <c r="J208">
        <f>tt(G208,H208,Fitting!$B$1:$E$1,Fitting!$B$2:$E$2)*I208</f>
        <v>15.033846123084988</v>
      </c>
    </row>
    <row r="209" spans="1:10">
      <c r="A209" s="1">
        <f t="shared" si="17"/>
        <v>32773</v>
      </c>
      <c r="B209">
        <f t="shared" si="15"/>
        <v>2007.2848774691236</v>
      </c>
      <c r="C209">
        <f>day_length(F209,$B$1,Fitting!$B$4)</f>
        <v>12.862845420837402</v>
      </c>
      <c r="D209" s="1">
        <f t="shared" si="16"/>
        <v>32773</v>
      </c>
      <c r="E209">
        <f t="shared" si="18"/>
        <v>1989</v>
      </c>
      <c r="F209" s="6">
        <f t="shared" si="19"/>
        <v>265</v>
      </c>
      <c r="G209">
        <v>33</v>
      </c>
      <c r="H209">
        <v>16</v>
      </c>
      <c r="I209">
        <f>MAX(0,1-Fitting!$B$7*(Fitting!$B$6-Herm8889!C209)^2)</f>
        <v>0.74949875206191252</v>
      </c>
      <c r="J209">
        <f>tt(G209,H209,Fitting!$B$1:$E$1,Fitting!$B$2:$E$2)*I209</f>
        <v>16.876800923930979</v>
      </c>
    </row>
    <row r="210" spans="1:10">
      <c r="A210" s="1">
        <f t="shared" si="17"/>
        <v>32774</v>
      </c>
      <c r="B210">
        <f t="shared" si="15"/>
        <v>2024.7237168675936</v>
      </c>
      <c r="C210">
        <f>day_length(F210,$B$1,Fitting!$B$4)</f>
        <v>12.886378288269043</v>
      </c>
      <c r="D210" s="1">
        <f t="shared" si="16"/>
        <v>32774</v>
      </c>
      <c r="E210">
        <f t="shared" si="18"/>
        <v>1989</v>
      </c>
      <c r="F210" s="6">
        <f t="shared" si="19"/>
        <v>266</v>
      </c>
      <c r="G210">
        <v>31</v>
      </c>
      <c r="H210">
        <v>16</v>
      </c>
      <c r="I210">
        <f>MAX(0,1-Fitting!$B$7*(Fitting!$B$6-Herm8889!C210)^2)</f>
        <v>0.75087718771063372</v>
      </c>
      <c r="J210">
        <f>tt(G210,H210,Fitting!$B$1:$E$1,Fitting!$B$2:$E$2)*I210</f>
        <v>17.438839398470062</v>
      </c>
    </row>
    <row r="211" spans="1:10">
      <c r="A211" s="1">
        <f t="shared" si="17"/>
        <v>32775</v>
      </c>
      <c r="B211">
        <f t="shared" si="15"/>
        <v>2041.2296203795149</v>
      </c>
      <c r="C211">
        <f>day_length(F211,$B$1,Fitting!$B$4)</f>
        <v>12.909957885742188</v>
      </c>
      <c r="D211" s="1">
        <f t="shared" si="16"/>
        <v>32775</v>
      </c>
      <c r="E211">
        <f t="shared" si="18"/>
        <v>1989</v>
      </c>
      <c r="F211" s="6">
        <f t="shared" si="19"/>
        <v>267</v>
      </c>
      <c r="G211">
        <v>35</v>
      </c>
      <c r="H211">
        <v>18</v>
      </c>
      <c r="I211">
        <f>MAX(0,1-Fitting!$B$7*(Fitting!$B$6-Herm8889!C211)^2)</f>
        <v>0.75221299081554205</v>
      </c>
      <c r="J211">
        <f>tt(G211,H211,Fitting!$B$1:$E$1,Fitting!$B$2:$E$2)*I211</f>
        <v>16.505903511921399</v>
      </c>
    </row>
    <row r="212" spans="1:10">
      <c r="A212" s="1">
        <f t="shared" si="17"/>
        <v>32776</v>
      </c>
      <c r="B212">
        <f t="shared" si="15"/>
        <v>2058.0754130301657</v>
      </c>
      <c r="C212">
        <f>day_length(F212,$B$1,Fitting!$B$4)</f>
        <v>12.933578491210938</v>
      </c>
      <c r="D212" s="1">
        <f t="shared" si="16"/>
        <v>32776</v>
      </c>
      <c r="E212">
        <f t="shared" si="18"/>
        <v>1989</v>
      </c>
      <c r="F212" s="6">
        <f t="shared" si="19"/>
        <v>268</v>
      </c>
      <c r="G212">
        <v>34.5</v>
      </c>
      <c r="H212">
        <v>18</v>
      </c>
      <c r="I212">
        <f>MAX(0,1-Fitting!$B$7*(Fitting!$B$6-Herm8889!C212)^2)</f>
        <v>0.75350552138852978</v>
      </c>
      <c r="J212">
        <f>tt(G212,H212,Fitting!$B$1:$E$1,Fitting!$B$2:$E$2)*I212</f>
        <v>16.845792650650754</v>
      </c>
    </row>
    <row r="213" spans="1:10">
      <c r="A213" s="1">
        <f t="shared" si="17"/>
        <v>32777</v>
      </c>
      <c r="B213">
        <f t="shared" si="15"/>
        <v>2074.9491221354697</v>
      </c>
      <c r="C213">
        <f>day_length(F213,$B$1,Fitting!$B$4)</f>
        <v>12.957236289978027</v>
      </c>
      <c r="D213" s="1">
        <f t="shared" si="16"/>
        <v>32777</v>
      </c>
      <c r="E213">
        <f t="shared" si="18"/>
        <v>1989</v>
      </c>
      <c r="F213" s="6">
        <f t="shared" si="19"/>
        <v>269</v>
      </c>
      <c r="G213">
        <v>34.5</v>
      </c>
      <c r="H213">
        <v>18</v>
      </c>
      <c r="I213">
        <f>MAX(0,1-Fitting!$B$7*(Fitting!$B$6-Herm8889!C213)^2)</f>
        <v>0.75475421316308344</v>
      </c>
      <c r="J213">
        <f>tt(G213,H213,Fitting!$B$1:$E$1,Fitting!$B$2:$E$2)*I213</f>
        <v>16.873709105303856</v>
      </c>
    </row>
    <row r="214" spans="1:10">
      <c r="A214" s="1">
        <f t="shared" si="17"/>
        <v>32778</v>
      </c>
      <c r="B214">
        <f t="shared" si="15"/>
        <v>2090.0682950335472</v>
      </c>
      <c r="C214">
        <f>day_length(F214,$B$1,Fitting!$B$4)</f>
        <v>12.980926513671875</v>
      </c>
      <c r="D214" s="1">
        <f t="shared" si="16"/>
        <v>32778</v>
      </c>
      <c r="E214">
        <f t="shared" si="18"/>
        <v>1989</v>
      </c>
      <c r="F214" s="6">
        <f t="shared" si="19"/>
        <v>270</v>
      </c>
      <c r="G214">
        <v>30</v>
      </c>
      <c r="H214">
        <v>10</v>
      </c>
      <c r="I214">
        <f>MAX(0,1-Fitting!$B$7*(Fitting!$B$6-Herm8889!C214)^2)</f>
        <v>0.7559586449038761</v>
      </c>
      <c r="J214">
        <f>tt(G214,H214,Fitting!$B$1:$E$1,Fitting!$B$2:$E$2)*I214</f>
        <v>15.119172898077522</v>
      </c>
    </row>
    <row r="215" spans="1:10">
      <c r="A215" s="1">
        <f t="shared" si="17"/>
        <v>32779</v>
      </c>
      <c r="B215">
        <f t="shared" si="15"/>
        <v>2103.1285873009738</v>
      </c>
      <c r="C215">
        <f>day_length(F215,$B$1,Fitting!$B$4)</f>
        <v>13.004645347595215</v>
      </c>
      <c r="D215" s="1">
        <f t="shared" si="16"/>
        <v>32779</v>
      </c>
      <c r="E215">
        <f t="shared" si="18"/>
        <v>1989</v>
      </c>
      <c r="F215" s="6">
        <f t="shared" si="19"/>
        <v>271</v>
      </c>
      <c r="G215">
        <v>25.5</v>
      </c>
      <c r="H215">
        <v>9</v>
      </c>
      <c r="I215">
        <f>MAX(0,1-Fitting!$B$7*(Fitting!$B$6-Herm8889!C215)^2)</f>
        <v>0.75711839231458178</v>
      </c>
      <c r="J215">
        <f>tt(G215,H215,Fitting!$B$1:$E$1,Fitting!$B$2:$E$2)*I215</f>
        <v>13.060292267426536</v>
      </c>
    </row>
    <row r="216" spans="1:10">
      <c r="A216" s="1">
        <f t="shared" si="17"/>
        <v>32780</v>
      </c>
      <c r="B216">
        <f t="shared" si="15"/>
        <v>2118.1036867230109</v>
      </c>
      <c r="C216">
        <f>day_length(F216,$B$1,Fitting!$B$4)</f>
        <v>13.028387069702148</v>
      </c>
      <c r="D216" s="1">
        <f t="shared" si="16"/>
        <v>32780</v>
      </c>
      <c r="E216">
        <f t="shared" si="18"/>
        <v>1989</v>
      </c>
      <c r="F216" s="6">
        <f t="shared" si="19"/>
        <v>272</v>
      </c>
      <c r="G216">
        <v>28</v>
      </c>
      <c r="H216">
        <v>11.5</v>
      </c>
      <c r="I216">
        <f>MAX(0,1-Fitting!$B$7*(Fitting!$B$6-Herm8889!C216)^2)</f>
        <v>0.75823288212845541</v>
      </c>
      <c r="J216">
        <f>tt(G216,H216,Fitting!$B$1:$E$1,Fitting!$B$2:$E$2)*I216</f>
        <v>14.975099422036994</v>
      </c>
    </row>
    <row r="217" spans="1:10">
      <c r="A217" s="1">
        <f t="shared" si="17"/>
        <v>32781</v>
      </c>
      <c r="B217">
        <f t="shared" si="15"/>
        <v>2133.2897218331145</v>
      </c>
      <c r="C217">
        <f>day_length(F217,$B$1,Fitting!$B$4)</f>
        <v>13.052146911621094</v>
      </c>
      <c r="D217" s="1">
        <f t="shared" si="16"/>
        <v>32781</v>
      </c>
      <c r="E217">
        <f t="shared" si="18"/>
        <v>1989</v>
      </c>
      <c r="F217" s="6">
        <f t="shared" si="19"/>
        <v>273</v>
      </c>
      <c r="G217">
        <v>28</v>
      </c>
      <c r="H217">
        <v>12</v>
      </c>
      <c r="I217">
        <f>MAX(0,1-Fitting!$B$7*(Fitting!$B$6-Herm8889!C217)^2)</f>
        <v>0.75930175550517198</v>
      </c>
      <c r="J217">
        <f>tt(G217,H217,Fitting!$B$1:$E$1,Fitting!$B$2:$E$2)*I217</f>
        <v>15.18603511010344</v>
      </c>
    </row>
    <row r="218" spans="1:10">
      <c r="A218" s="1">
        <f t="shared" si="17"/>
        <v>32782</v>
      </c>
      <c r="B218">
        <f t="shared" si="15"/>
        <v>2147.0515915642595</v>
      </c>
      <c r="C218">
        <f>day_length(F218,$B$1,Fitting!$B$4)</f>
        <v>13.075922012329102</v>
      </c>
      <c r="D218" s="1">
        <f t="shared" si="16"/>
        <v>32782</v>
      </c>
      <c r="E218">
        <f t="shared" si="18"/>
        <v>1989</v>
      </c>
      <c r="F218" s="6">
        <f t="shared" si="19"/>
        <v>274</v>
      </c>
      <c r="G218">
        <v>27.5</v>
      </c>
      <c r="H218">
        <v>8.6999999999999993</v>
      </c>
      <c r="I218">
        <f>MAX(0,1-Fitting!$B$7*(Fitting!$B$6-Herm8889!C218)^2)</f>
        <v>0.76032435863579306</v>
      </c>
      <c r="J218">
        <f>tt(G218,H218,Fitting!$B$1:$E$1,Fitting!$B$2:$E$2)*I218</f>
        <v>13.761869731144953</v>
      </c>
    </row>
    <row r="219" spans="1:10">
      <c r="A219" s="1">
        <f t="shared" si="17"/>
        <v>32783</v>
      </c>
      <c r="B219">
        <f t="shared" si="15"/>
        <v>2162.8485762530158</v>
      </c>
      <c r="C219">
        <f>day_length(F219,$B$1,Fitting!$B$4)</f>
        <v>13.099705696105957</v>
      </c>
      <c r="D219" s="1">
        <f t="shared" si="16"/>
        <v>32783</v>
      </c>
      <c r="E219">
        <f t="shared" si="18"/>
        <v>1989</v>
      </c>
      <c r="F219" s="6">
        <f t="shared" si="19"/>
        <v>275</v>
      </c>
      <c r="G219">
        <v>28.5</v>
      </c>
      <c r="H219">
        <v>13</v>
      </c>
      <c r="I219">
        <f>MAX(0,1-Fitting!$B$7*(Fitting!$B$6-Herm8889!C219)^2)</f>
        <v>0.76130046692801445</v>
      </c>
      <c r="J219">
        <f>tt(G219,H219,Fitting!$B$1:$E$1,Fitting!$B$2:$E$2)*I219</f>
        <v>15.7969846887563</v>
      </c>
    </row>
    <row r="220" spans="1:10">
      <c r="A220" s="1">
        <f t="shared" si="17"/>
        <v>32784</v>
      </c>
      <c r="B220">
        <f t="shared" si="15"/>
        <v>2178.8935108692804</v>
      </c>
      <c r="C220">
        <f>day_length(F220,$B$1,Fitting!$B$4)</f>
        <v>13.123492240905762</v>
      </c>
      <c r="D220" s="1">
        <f t="shared" si="16"/>
        <v>32784</v>
      </c>
      <c r="E220">
        <f t="shared" si="18"/>
        <v>1989</v>
      </c>
      <c r="F220" s="6">
        <f t="shared" si="19"/>
        <v>276</v>
      </c>
      <c r="G220">
        <v>29.1</v>
      </c>
      <c r="H220">
        <v>13</v>
      </c>
      <c r="I220">
        <f>MAX(0,1-Fitting!$B$7*(Fitting!$B$6-Herm8889!C220)^2)</f>
        <v>0.76222963154214085</v>
      </c>
      <c r="J220">
        <f>tt(G220,H220,Fitting!$B$1:$E$1,Fitting!$B$2:$E$2)*I220</f>
        <v>16.044934616264651</v>
      </c>
    </row>
    <row r="221" spans="1:10">
      <c r="A221" s="1">
        <f t="shared" si="17"/>
        <v>32785</v>
      </c>
      <c r="B221">
        <f t="shared" si="15"/>
        <v>2194.5784973460145</v>
      </c>
      <c r="C221">
        <f>day_length(F221,$B$1,Fitting!$B$4)</f>
        <v>13.14727783203125</v>
      </c>
      <c r="D221" s="1">
        <f t="shared" si="16"/>
        <v>32785</v>
      </c>
      <c r="E221">
        <f t="shared" si="18"/>
        <v>1989</v>
      </c>
      <c r="F221" s="6">
        <f t="shared" si="19"/>
        <v>277</v>
      </c>
      <c r="G221">
        <v>30.8</v>
      </c>
      <c r="H221">
        <v>10.5</v>
      </c>
      <c r="I221">
        <f>MAX(0,1-Fitting!$B$7*(Fitting!$B$6-Herm8889!C221)^2)</f>
        <v>0.76311139664975958</v>
      </c>
      <c r="J221">
        <f>tt(G221,H221,Fitting!$B$1:$E$1,Fitting!$B$2:$E$2)*I221</f>
        <v>15.684986476733968</v>
      </c>
    </row>
    <row r="222" spans="1:10">
      <c r="A222" s="1">
        <f t="shared" si="17"/>
        <v>32786</v>
      </c>
      <c r="B222">
        <f t="shared" si="15"/>
        <v>2210.5109536331042</v>
      </c>
      <c r="C222">
        <f>day_length(F222,$B$1,Fitting!$B$4)</f>
        <v>13.17105770111084</v>
      </c>
      <c r="D222" s="1">
        <f t="shared" si="16"/>
        <v>32786</v>
      </c>
      <c r="E222">
        <f t="shared" si="18"/>
        <v>1989</v>
      </c>
      <c r="F222" s="6">
        <f t="shared" si="19"/>
        <v>278</v>
      </c>
      <c r="G222">
        <v>31.5</v>
      </c>
      <c r="H222">
        <v>11.1</v>
      </c>
      <c r="I222">
        <f>MAX(0,1-Fitting!$B$7*(Fitting!$B$6-Herm8889!C222)^2)</f>
        <v>0.76394537052866696</v>
      </c>
      <c r="J222">
        <f>tt(G222,H222,Fitting!$B$1:$E$1,Fitting!$B$2:$E$2)*I222</f>
        <v>15.93245628708968</v>
      </c>
    </row>
    <row r="223" spans="1:10">
      <c r="A223" s="1">
        <f t="shared" si="17"/>
        <v>32787</v>
      </c>
      <c r="B223">
        <f t="shared" si="15"/>
        <v>2227.5287919836055</v>
      </c>
      <c r="C223">
        <f>day_length(F223,$B$1,Fitting!$B$4)</f>
        <v>13.194826126098633</v>
      </c>
      <c r="D223" s="1">
        <f t="shared" si="16"/>
        <v>32787</v>
      </c>
      <c r="E223">
        <f t="shared" si="18"/>
        <v>1989</v>
      </c>
      <c r="F223" s="6">
        <f t="shared" si="19"/>
        <v>279</v>
      </c>
      <c r="G223">
        <v>32.1</v>
      </c>
      <c r="H223">
        <v>14.5</v>
      </c>
      <c r="I223">
        <f>MAX(0,1-Fitting!$B$7*(Fitting!$B$6-Herm8889!C223)^2)</f>
        <v>0.76473122426765627</v>
      </c>
      <c r="J223">
        <f>tt(G223,H223,Fitting!$B$1:$E$1,Fitting!$B$2:$E$2)*I223</f>
        <v>17.017838350501339</v>
      </c>
    </row>
    <row r="224" spans="1:10">
      <c r="A224" s="1">
        <f t="shared" si="17"/>
        <v>32788</v>
      </c>
      <c r="B224">
        <f t="shared" si="15"/>
        <v>2244.4282746908002</v>
      </c>
      <c r="C224">
        <f>day_length(F224,$B$1,Fitting!$B$4)</f>
        <v>13.218578338623047</v>
      </c>
      <c r="D224" s="1">
        <f t="shared" si="16"/>
        <v>32788</v>
      </c>
      <c r="E224">
        <f t="shared" si="18"/>
        <v>1989</v>
      </c>
      <c r="F224" s="6">
        <f t="shared" si="19"/>
        <v>280</v>
      </c>
      <c r="G224">
        <v>34</v>
      </c>
      <c r="H224">
        <v>16</v>
      </c>
      <c r="I224">
        <f>MAX(0,1-Fitting!$B$7*(Fitting!$B$6-Herm8889!C224)^2)</f>
        <v>0.76546869056860489</v>
      </c>
      <c r="J224">
        <f>tt(G224,H224,Fitting!$B$1:$E$1,Fitting!$B$2:$E$2)*I224</f>
        <v>16.899482707194679</v>
      </c>
    </row>
    <row r="225" spans="1:10">
      <c r="A225" s="1">
        <f t="shared" si="17"/>
        <v>32789</v>
      </c>
      <c r="B225">
        <f t="shared" si="15"/>
        <v>2262.9279146008489</v>
      </c>
      <c r="C225">
        <f>day_length(F225,$B$1,Fitting!$B$4)</f>
        <v>13.242306709289551</v>
      </c>
      <c r="D225" s="1">
        <f t="shared" si="16"/>
        <v>32789</v>
      </c>
      <c r="E225">
        <f t="shared" si="18"/>
        <v>1989</v>
      </c>
      <c r="F225" s="6">
        <f t="shared" si="19"/>
        <v>281</v>
      </c>
      <c r="G225">
        <v>31.6</v>
      </c>
      <c r="H225">
        <v>18.3</v>
      </c>
      <c r="I225">
        <f>MAX(0,1-Fitting!$B$7*(Fitting!$B$6-Herm8889!C225)^2)</f>
        <v>0.76615741976036222</v>
      </c>
      <c r="J225">
        <f>tt(G225,H225,Fitting!$B$1:$E$1,Fitting!$B$2:$E$2)*I225</f>
        <v>18.499639910048515</v>
      </c>
    </row>
    <row r="226" spans="1:10">
      <c r="A226" s="1">
        <f t="shared" si="17"/>
        <v>32790</v>
      </c>
      <c r="B226">
        <f t="shared" si="15"/>
        <v>2280.5642451358422</v>
      </c>
      <c r="C226">
        <f>day_length(F226,$B$1,Fitting!$B$4)</f>
        <v>13.266008377075195</v>
      </c>
      <c r="D226" s="1">
        <f t="shared" si="16"/>
        <v>32790</v>
      </c>
      <c r="E226">
        <f t="shared" si="18"/>
        <v>1989</v>
      </c>
      <c r="F226" s="6">
        <f t="shared" si="19"/>
        <v>282</v>
      </c>
      <c r="G226">
        <v>27</v>
      </c>
      <c r="H226">
        <v>19</v>
      </c>
      <c r="I226">
        <f>MAX(0,1-Fitting!$B$7*(Fitting!$B$6-Herm8889!C226)^2)</f>
        <v>0.76679697978232431</v>
      </c>
      <c r="J226">
        <f>tt(G226,H226,Fitting!$B$1:$E$1,Fitting!$B$2:$E$2)*I226</f>
        <v>17.636330534993458</v>
      </c>
    </row>
    <row r="227" spans="1:10">
      <c r="A227" s="1">
        <f t="shared" si="17"/>
        <v>32791</v>
      </c>
      <c r="B227">
        <f t="shared" si="15"/>
        <v>2297.2932857792102</v>
      </c>
      <c r="C227">
        <f>day_length(F227,$B$1,Fitting!$B$4)</f>
        <v>13.289676666259766</v>
      </c>
      <c r="D227" s="1">
        <f t="shared" si="16"/>
        <v>32791</v>
      </c>
      <c r="E227">
        <f t="shared" si="18"/>
        <v>1989</v>
      </c>
      <c r="F227" s="6">
        <f t="shared" si="19"/>
        <v>283</v>
      </c>
      <c r="G227">
        <v>28.6</v>
      </c>
      <c r="H227">
        <v>15</v>
      </c>
      <c r="I227">
        <f>MAX(0,1-Fitting!$B$7*(Fitting!$B$6-Herm8889!C227)^2)</f>
        <v>0.76738721233201801</v>
      </c>
      <c r="J227">
        <f>tt(G227,H227,Fitting!$B$1:$E$1,Fitting!$B$2:$E$2)*I227</f>
        <v>16.729040643368013</v>
      </c>
    </row>
    <row r="228" spans="1:10">
      <c r="A228" s="1">
        <f t="shared" si="17"/>
        <v>32792</v>
      </c>
      <c r="B228">
        <f t="shared" si="15"/>
        <v>2314.2470577047798</v>
      </c>
      <c r="C228">
        <f>day_length(F228,$B$1,Fitting!$B$4)</f>
        <v>13.313305854797363</v>
      </c>
      <c r="D228" s="1">
        <f t="shared" si="16"/>
        <v>32792</v>
      </c>
      <c r="E228">
        <f t="shared" si="18"/>
        <v>1989</v>
      </c>
      <c r="F228" s="6">
        <f t="shared" si="19"/>
        <v>284</v>
      </c>
      <c r="G228">
        <v>33</v>
      </c>
      <c r="H228">
        <v>15</v>
      </c>
      <c r="I228">
        <f>MAX(0,1-Fitting!$B$7*(Fitting!$B$6-Herm8889!C228)^2)</f>
        <v>0.76792787467470047</v>
      </c>
      <c r="J228">
        <f>tt(G228,H228,Fitting!$B$1:$E$1,Fitting!$B$2:$E$2)*I228</f>
        <v>16.953771925569445</v>
      </c>
    </row>
    <row r="229" spans="1:10">
      <c r="A229" s="1">
        <f t="shared" si="17"/>
        <v>32793</v>
      </c>
      <c r="B229">
        <f t="shared" si="15"/>
        <v>2331.2341533151625</v>
      </c>
      <c r="C229">
        <f>day_length(F229,$B$1,Fitting!$B$4)</f>
        <v>13.336888313293457</v>
      </c>
      <c r="D229" s="1">
        <f t="shared" si="16"/>
        <v>32793</v>
      </c>
      <c r="E229">
        <f t="shared" si="18"/>
        <v>1989</v>
      </c>
      <c r="F229" s="6">
        <f t="shared" si="19"/>
        <v>285</v>
      </c>
      <c r="G229">
        <v>35</v>
      </c>
      <c r="H229">
        <v>18.5</v>
      </c>
      <c r="I229">
        <f>MAX(0,1-Fitting!$B$7*(Fitting!$B$6-Herm8889!C229)^2)</f>
        <v>0.76841871074552182</v>
      </c>
      <c r="J229">
        <f>tt(G229,H229,Fitting!$B$1:$E$1,Fitting!$B$2:$E$2)*I229</f>
        <v>16.987095610382653</v>
      </c>
    </row>
    <row r="230" spans="1:10">
      <c r="A230" s="1">
        <f t="shared" si="17"/>
        <v>32794</v>
      </c>
      <c r="B230">
        <f t="shared" si="15"/>
        <v>2347.3624602682262</v>
      </c>
      <c r="C230">
        <f>day_length(F230,$B$1,Fitting!$B$4)</f>
        <v>13.360421180725098</v>
      </c>
      <c r="D230" s="1">
        <f t="shared" si="16"/>
        <v>32794</v>
      </c>
      <c r="E230">
        <f t="shared" si="18"/>
        <v>1989</v>
      </c>
      <c r="F230" s="6">
        <f t="shared" si="19"/>
        <v>286</v>
      </c>
      <c r="G230">
        <v>33</v>
      </c>
      <c r="H230">
        <v>12.5</v>
      </c>
      <c r="I230">
        <f>MAX(0,1-Fitting!$B$7*(Fitting!$B$6-Herm8889!C230)^2)</f>
        <v>0.76885945069834272</v>
      </c>
      <c r="J230">
        <f>tt(G230,H230,Fitting!$B$1:$E$1,Fitting!$B$2:$E$2)*I230</f>
        <v>16.128306953063657</v>
      </c>
    </row>
    <row r="231" spans="1:10">
      <c r="A231" s="1">
        <f t="shared" si="17"/>
        <v>32795</v>
      </c>
      <c r="B231">
        <f t="shared" si="15"/>
        <v>2362.8243831375075</v>
      </c>
      <c r="C231">
        <f>day_length(F231,$B$1,Fitting!$B$4)</f>
        <v>13.383895874023437</v>
      </c>
      <c r="D231" s="1">
        <f t="shared" si="16"/>
        <v>32795</v>
      </c>
      <c r="E231">
        <f t="shared" si="18"/>
        <v>1989</v>
      </c>
      <c r="F231" s="6">
        <f t="shared" si="19"/>
        <v>287</v>
      </c>
      <c r="G231">
        <v>29.3</v>
      </c>
      <c r="H231">
        <v>10.9</v>
      </c>
      <c r="I231">
        <f>MAX(0,1-Fitting!$B$7*(Fitting!$B$6-Herm8889!C231)^2)</f>
        <v>0.76924995239123384</v>
      </c>
      <c r="J231">
        <f>tt(G231,H231,Fitting!$B$1:$E$1,Fitting!$B$2:$E$2)*I231</f>
        <v>15.461922869281524</v>
      </c>
    </row>
    <row r="232" spans="1:10">
      <c r="A232" s="1">
        <f t="shared" si="17"/>
        <v>32796</v>
      </c>
      <c r="B232">
        <f t="shared" si="15"/>
        <v>2378.9472924980605</v>
      </c>
      <c r="C232">
        <f>day_length(F232,$B$1,Fitting!$B$4)</f>
        <v>13.407307624816895</v>
      </c>
      <c r="D232" s="1">
        <f t="shared" si="16"/>
        <v>32796</v>
      </c>
      <c r="E232">
        <f t="shared" si="18"/>
        <v>1989</v>
      </c>
      <c r="F232" s="6">
        <f t="shared" si="19"/>
        <v>288</v>
      </c>
      <c r="G232">
        <v>29.2</v>
      </c>
      <c r="H232">
        <v>12.7</v>
      </c>
      <c r="I232">
        <f>MAX(0,1-Fitting!$B$7*(Fitting!$B$6-Herm8889!C232)^2)</f>
        <v>0.76958998765053732</v>
      </c>
      <c r="J232">
        <f>tt(G232,H232,Fitting!$B$1:$E$1,Fitting!$B$2:$E$2)*I232</f>
        <v>16.12290936055291</v>
      </c>
    </row>
    <row r="233" spans="1:10">
      <c r="A233" s="1">
        <f t="shared" si="17"/>
        <v>32797</v>
      </c>
      <c r="B233">
        <f t="shared" si="15"/>
        <v>2395.5381956301999</v>
      </c>
      <c r="C233">
        <f>day_length(F233,$B$1,Fitting!$B$4)</f>
        <v>13.430649757385254</v>
      </c>
      <c r="D233" s="1">
        <f t="shared" si="16"/>
        <v>32797</v>
      </c>
      <c r="E233">
        <f t="shared" si="18"/>
        <v>1989</v>
      </c>
      <c r="F233" s="6">
        <f t="shared" si="19"/>
        <v>289</v>
      </c>
      <c r="G233">
        <v>29.5</v>
      </c>
      <c r="H233">
        <v>13.6</v>
      </c>
      <c r="I233">
        <f>MAX(0,1-Fitting!$B$7*(Fitting!$B$6-Herm8889!C233)^2)</f>
        <v>0.76987945480659981</v>
      </c>
      <c r="J233">
        <f>tt(G233,H233,Fitting!$B$1:$E$1,Fitting!$B$2:$E$2)*I233</f>
        <v>16.590903132139342</v>
      </c>
    </row>
    <row r="234" spans="1:10">
      <c r="A234" s="1">
        <f t="shared" si="17"/>
        <v>32798</v>
      </c>
      <c r="B234">
        <f t="shared" si="15"/>
        <v>2412.5742251926431</v>
      </c>
      <c r="C234">
        <f>day_length(F234,$B$1,Fitting!$B$4)</f>
        <v>13.453914642333984</v>
      </c>
      <c r="D234" s="1">
        <f t="shared" si="16"/>
        <v>32798</v>
      </c>
      <c r="E234">
        <f t="shared" si="18"/>
        <v>1989</v>
      </c>
      <c r="F234" s="6">
        <f t="shared" si="19"/>
        <v>290</v>
      </c>
      <c r="G234">
        <v>33</v>
      </c>
      <c r="H234">
        <v>15.1</v>
      </c>
      <c r="I234">
        <f>MAX(0,1-Fitting!$B$7*(Fitting!$B$6-Herm8889!C234)^2)</f>
        <v>0.77011823626575637</v>
      </c>
      <c r="J234">
        <f>tt(G234,H234,Fitting!$B$1:$E$1,Fitting!$B$2:$E$2)*I234</f>
        <v>17.036029562443357</v>
      </c>
    </row>
    <row r="235" spans="1:10">
      <c r="A235" s="1">
        <f t="shared" si="17"/>
        <v>32799</v>
      </c>
      <c r="B235">
        <f t="shared" si="15"/>
        <v>2429.2753615135271</v>
      </c>
      <c r="C235">
        <f>day_length(F235,$B$1,Fitting!$B$4)</f>
        <v>13.477097511291504</v>
      </c>
      <c r="D235" s="1">
        <f t="shared" si="16"/>
        <v>32799</v>
      </c>
      <c r="E235">
        <f t="shared" si="18"/>
        <v>1989</v>
      </c>
      <c r="F235" s="6">
        <f t="shared" si="19"/>
        <v>291</v>
      </c>
      <c r="G235">
        <v>32.9</v>
      </c>
      <c r="H235">
        <v>14</v>
      </c>
      <c r="I235">
        <f>MAX(0,1-Fitting!$B$7*(Fitting!$B$6-Herm8889!C235)^2)</f>
        <v>0.77030619827737246</v>
      </c>
      <c r="J235">
        <f>tt(G235,H235,Fitting!$B$1:$E$1,Fitting!$B$2:$E$2)*I235</f>
        <v>16.701136320883926</v>
      </c>
    </row>
    <row r="236" spans="1:10">
      <c r="A236" s="1">
        <f t="shared" si="17"/>
        <v>32800</v>
      </c>
      <c r="B236">
        <f t="shared" si="15"/>
        <v>2447.5732873663937</v>
      </c>
      <c r="C236">
        <f>day_length(F236,$B$1,Fitting!$B$4)</f>
        <v>13.500189781188965</v>
      </c>
      <c r="D236" s="1">
        <f t="shared" si="16"/>
        <v>32800</v>
      </c>
      <c r="E236">
        <f t="shared" si="18"/>
        <v>1989</v>
      </c>
      <c r="F236" s="6">
        <f t="shared" si="19"/>
        <v>292</v>
      </c>
      <c r="G236">
        <v>32.6</v>
      </c>
      <c r="H236">
        <v>18.399999999999999</v>
      </c>
      <c r="I236">
        <f>MAX(0,1-Fitting!$B$7*(Fitting!$B$6-Herm8889!C236)^2)</f>
        <v>0.77044319069990341</v>
      </c>
      <c r="J236">
        <f>tt(G236,H236,Fitting!$B$1:$E$1,Fitting!$B$2:$E$2)*I236</f>
        <v>18.297925852866587</v>
      </c>
    </row>
    <row r="237" spans="1:10">
      <c r="A237" s="1">
        <f t="shared" si="17"/>
        <v>32801</v>
      </c>
      <c r="B237">
        <f t="shared" si="15"/>
        <v>2466.9246180875361</v>
      </c>
      <c r="C237">
        <f>day_length(F237,$B$1,Fitting!$B$4)</f>
        <v>13.523185729980469</v>
      </c>
      <c r="D237" s="1">
        <f t="shared" si="16"/>
        <v>32801</v>
      </c>
      <c r="E237">
        <f t="shared" si="18"/>
        <v>1989</v>
      </c>
      <c r="F237" s="6">
        <f t="shared" si="19"/>
        <v>293</v>
      </c>
      <c r="G237">
        <v>31</v>
      </c>
      <c r="H237">
        <v>19.899999999999999</v>
      </c>
      <c r="I237">
        <f>MAX(0,1-Fitting!$B$7*(Fitting!$B$6-Herm8889!C237)^2)</f>
        <v>0.77052925908588255</v>
      </c>
      <c r="J237">
        <f>tt(G237,H237,Fitting!$B$1:$E$1,Fitting!$B$2:$E$2)*I237</f>
        <v>19.351330721142546</v>
      </c>
    </row>
    <row r="238" spans="1:10">
      <c r="A238" s="1">
        <f t="shared" si="17"/>
        <v>32802</v>
      </c>
      <c r="B238">
        <f t="shared" si="15"/>
        <v>2483.3376398649339</v>
      </c>
      <c r="C238">
        <f>day_length(F238,$B$1,Fitting!$B$4)</f>
        <v>13.546077728271484</v>
      </c>
      <c r="D238" s="1">
        <f t="shared" si="16"/>
        <v>32802</v>
      </c>
      <c r="E238">
        <f t="shared" si="18"/>
        <v>1989</v>
      </c>
      <c r="F238" s="6">
        <f t="shared" si="19"/>
        <v>294</v>
      </c>
      <c r="G238">
        <v>26.7</v>
      </c>
      <c r="H238">
        <v>15.9</v>
      </c>
      <c r="I238">
        <f>MAX(0,1-Fitting!$B$7*(Fitting!$B$6-Herm8889!C238)^2)</f>
        <v>0.77056436129373651</v>
      </c>
      <c r="J238">
        <f>tt(G238,H238,Fitting!$B$1:$E$1,Fitting!$B$2:$E$2)*I238</f>
        <v>16.413021777397518</v>
      </c>
    </row>
    <row r="239" spans="1:10">
      <c r="A239" s="1">
        <f t="shared" si="17"/>
        <v>32803</v>
      </c>
      <c r="B239">
        <f t="shared" si="15"/>
        <v>2498.979771136806</v>
      </c>
      <c r="C239">
        <f>day_length(F239,$B$1,Fitting!$B$4)</f>
        <v>13.56885814666748</v>
      </c>
      <c r="D239" s="1">
        <f t="shared" si="16"/>
        <v>32803</v>
      </c>
      <c r="E239">
        <f t="shared" si="18"/>
        <v>1989</v>
      </c>
      <c r="F239" s="6">
        <f t="shared" si="19"/>
        <v>295</v>
      </c>
      <c r="G239">
        <v>29.6</v>
      </c>
      <c r="H239">
        <v>11</v>
      </c>
      <c r="I239">
        <f>MAX(0,1-Fitting!$B$7*(Fitting!$B$6-Herm8889!C239)^2)</f>
        <v>0.77054836747556144</v>
      </c>
      <c r="J239">
        <f>tt(G239,H239,Fitting!$B$1:$E$1,Fitting!$B$2:$E$2)*I239</f>
        <v>15.642131271872147</v>
      </c>
    </row>
    <row r="240" spans="1:10">
      <c r="A240" s="1">
        <f t="shared" si="17"/>
        <v>32804</v>
      </c>
      <c r="B240">
        <f t="shared" si="15"/>
        <v>2513.6574443007694</v>
      </c>
      <c r="C240">
        <f>day_length(F240,$B$1,Fitting!$B$4)</f>
        <v>13.591521263122559</v>
      </c>
      <c r="D240" s="1">
        <f t="shared" si="16"/>
        <v>32804</v>
      </c>
      <c r="E240">
        <f t="shared" si="18"/>
        <v>1989</v>
      </c>
      <c r="F240" s="6">
        <f t="shared" si="19"/>
        <v>296</v>
      </c>
      <c r="G240">
        <v>30.6</v>
      </c>
      <c r="H240">
        <v>7.5</v>
      </c>
      <c r="I240">
        <f>MAX(0,1-Fitting!$B$7*(Fitting!$B$6-Herm8889!C240)^2)</f>
        <v>0.77048148463082178</v>
      </c>
      <c r="J240">
        <f>tt(G240,H240,Fitting!$B$1:$E$1,Fitting!$B$2:$E$2)*I240</f>
        <v>14.677673163963238</v>
      </c>
    </row>
    <row r="241" spans="1:10">
      <c r="A241" s="1">
        <f t="shared" si="17"/>
        <v>32805</v>
      </c>
      <c r="B241">
        <f t="shared" si="15"/>
        <v>2527.292878451171</v>
      </c>
      <c r="C241">
        <f>day_length(F241,$B$1,Fitting!$B$4)</f>
        <v>13.614057540893555</v>
      </c>
      <c r="D241" s="1">
        <f t="shared" si="16"/>
        <v>32805</v>
      </c>
      <c r="E241">
        <f t="shared" si="18"/>
        <v>1989</v>
      </c>
      <c r="F241" s="6">
        <f t="shared" si="19"/>
        <v>297</v>
      </c>
      <c r="G241">
        <v>27.4</v>
      </c>
      <c r="H241">
        <v>8</v>
      </c>
      <c r="I241">
        <f>MAX(0,1-Fitting!$B$7*(Fitting!$B$6-Herm8889!C241)^2)</f>
        <v>0.77036347811643824</v>
      </c>
      <c r="J241">
        <f>tt(G241,H241,Fitting!$B$1:$E$1,Fitting!$B$2:$E$2)*I241</f>
        <v>13.635434150401647</v>
      </c>
    </row>
    <row r="242" spans="1:10">
      <c r="A242" s="1">
        <f t="shared" si="17"/>
        <v>32806</v>
      </c>
      <c r="B242">
        <f t="shared" si="15"/>
        <v>2544.3924154371985</v>
      </c>
      <c r="C242">
        <f>day_length(F242,$B$1,Fitting!$B$4)</f>
        <v>13.636462211608887</v>
      </c>
      <c r="D242" s="1">
        <f t="shared" si="16"/>
        <v>32806</v>
      </c>
      <c r="E242">
        <f t="shared" si="18"/>
        <v>1989</v>
      </c>
      <c r="F242" s="6">
        <f t="shared" si="19"/>
        <v>298</v>
      </c>
      <c r="G242">
        <v>30.7</v>
      </c>
      <c r="H242">
        <v>13.9</v>
      </c>
      <c r="I242">
        <f>MAX(0,1-Fitting!$B$7*(Fitting!$B$6-Herm8889!C242)^2)</f>
        <v>0.77019466264968828</v>
      </c>
      <c r="J242">
        <f>tt(G242,H242,Fitting!$B$1:$E$1,Fitting!$B$2:$E$2)*I242</f>
        <v>17.09953698602731</v>
      </c>
    </row>
    <row r="243" spans="1:10">
      <c r="A243" s="1">
        <f t="shared" si="17"/>
        <v>32807</v>
      </c>
      <c r="B243">
        <f t="shared" si="15"/>
        <v>2562.0633373041746</v>
      </c>
      <c r="C243">
        <f>day_length(F243,$B$1,Fitting!$B$4)</f>
        <v>13.658725738525391</v>
      </c>
      <c r="D243" s="1">
        <f t="shared" si="16"/>
        <v>32807</v>
      </c>
      <c r="E243">
        <f t="shared" si="18"/>
        <v>1989</v>
      </c>
      <c r="F243" s="6">
        <f t="shared" si="19"/>
        <v>299</v>
      </c>
      <c r="G243">
        <v>30.4</v>
      </c>
      <c r="H243">
        <v>15.5</v>
      </c>
      <c r="I243">
        <f>MAX(0,1-Fitting!$B$7*(Fitting!$B$6-Herm8889!C243)^2)</f>
        <v>0.76997491140536478</v>
      </c>
      <c r="J243">
        <f>tt(G243,H243,Fitting!$B$1:$E$1,Fitting!$B$2:$E$2)*I243</f>
        <v>17.670921866976169</v>
      </c>
    </row>
    <row r="244" spans="1:10">
      <c r="A244" s="1">
        <f t="shared" si="17"/>
        <v>32808</v>
      </c>
      <c r="B244">
        <f t="shared" si="15"/>
        <v>2578.7274410327204</v>
      </c>
      <c r="C244">
        <f>day_length(F244,$B$1,Fitting!$B$4)</f>
        <v>13.680839538574219</v>
      </c>
      <c r="D244" s="1">
        <f t="shared" si="16"/>
        <v>32808</v>
      </c>
      <c r="E244">
        <f t="shared" si="18"/>
        <v>1989</v>
      </c>
      <c r="F244" s="6">
        <f t="shared" si="19"/>
        <v>300</v>
      </c>
      <c r="G244">
        <v>29</v>
      </c>
      <c r="H244">
        <v>14.3</v>
      </c>
      <c r="I244">
        <f>MAX(0,1-Fitting!$B$7*(Fitting!$B$6-Herm8889!C244)^2)</f>
        <v>0.76970450596165751</v>
      </c>
      <c r="J244">
        <f>tt(G244,H244,Fitting!$B$1:$E$1,Fitting!$B$2:$E$2)*I244</f>
        <v>16.664103728545754</v>
      </c>
    </row>
    <row r="245" spans="1:10">
      <c r="A245" s="1">
        <f t="shared" si="17"/>
        <v>32809</v>
      </c>
      <c r="B245">
        <f t="shared" si="15"/>
        <v>2595.2392465749526</v>
      </c>
      <c r="C245">
        <f>day_length(F245,$B$1,Fitting!$B$4)</f>
        <v>13.702797889709473</v>
      </c>
      <c r="D245" s="1">
        <f t="shared" si="16"/>
        <v>32809</v>
      </c>
      <c r="E245">
        <f t="shared" si="18"/>
        <v>1989</v>
      </c>
      <c r="F245" s="6">
        <f t="shared" si="19"/>
        <v>301</v>
      </c>
      <c r="G245">
        <v>32</v>
      </c>
      <c r="H245">
        <v>12.6</v>
      </c>
      <c r="I245">
        <f>MAX(0,1-Fitting!$B$7*(Fitting!$B$6-Herm8889!C245)^2)</f>
        <v>0.7693833572577351</v>
      </c>
      <c r="J245">
        <f>tt(G245,H245,Fitting!$B$1:$E$1,Fitting!$B$2:$E$2)*I245</f>
        <v>16.51180554223199</v>
      </c>
    </row>
    <row r="246" spans="1:10">
      <c r="A246" s="1">
        <f t="shared" si="17"/>
        <v>32810</v>
      </c>
      <c r="B246">
        <f t="shared" si="15"/>
        <v>2612.8416176976466</v>
      </c>
      <c r="C246">
        <f>day_length(F246,$B$1,Fitting!$B$4)</f>
        <v>13.724590301513672</v>
      </c>
      <c r="D246" s="1">
        <f t="shared" si="16"/>
        <v>32810</v>
      </c>
      <c r="E246">
        <f t="shared" si="18"/>
        <v>1989</v>
      </c>
      <c r="F246" s="6">
        <f t="shared" si="19"/>
        <v>302</v>
      </c>
      <c r="G246">
        <v>31.3</v>
      </c>
      <c r="H246">
        <v>15.3</v>
      </c>
      <c r="I246">
        <f>MAX(0,1-Fitting!$B$7*(Fitting!$B$6-Herm8889!C246)^2)</f>
        <v>0.76901171462258933</v>
      </c>
      <c r="J246">
        <f>tt(G246,H246,Fitting!$B$1:$E$1,Fitting!$B$2:$E$2)*I246</f>
        <v>17.602371122694084</v>
      </c>
    </row>
    <row r="247" spans="1:10">
      <c r="A247" s="1">
        <f t="shared" si="17"/>
        <v>32811</v>
      </c>
      <c r="B247">
        <f t="shared" si="15"/>
        <v>2628.9070649146934</v>
      </c>
      <c r="C247">
        <f>day_length(F247,$B$1,Fitting!$B$4)</f>
        <v>13.746210098266602</v>
      </c>
      <c r="D247" s="1">
        <f t="shared" si="16"/>
        <v>32811</v>
      </c>
      <c r="E247">
        <f t="shared" si="18"/>
        <v>1989</v>
      </c>
      <c r="F247" s="6">
        <f t="shared" si="19"/>
        <v>303</v>
      </c>
      <c r="G247">
        <v>31.4</v>
      </c>
      <c r="H247">
        <v>11.2</v>
      </c>
      <c r="I247">
        <f>MAX(0,1-Fitting!$B$7*(Fitting!$B$6-Herm8889!C247)^2)</f>
        <v>0.7685898831100203</v>
      </c>
      <c r="J247">
        <f>tt(G247,H247,Fitting!$B$1:$E$1,Fitting!$B$2:$E$2)*I247</f>
        <v>16.065447217046984</v>
      </c>
    </row>
    <row r="248" spans="1:10">
      <c r="A248" s="1">
        <f t="shared" si="17"/>
        <v>32812</v>
      </c>
      <c r="B248">
        <f t="shared" si="15"/>
        <v>2645.5269462340243</v>
      </c>
      <c r="C248">
        <f>day_length(F248,$B$1,Fitting!$B$4)</f>
        <v>13.767648696899414</v>
      </c>
      <c r="D248" s="1">
        <f t="shared" si="16"/>
        <v>32812</v>
      </c>
      <c r="E248">
        <f t="shared" si="18"/>
        <v>1989</v>
      </c>
      <c r="F248" s="6">
        <f t="shared" si="19"/>
        <v>304</v>
      </c>
      <c r="G248">
        <v>32.1</v>
      </c>
      <c r="H248">
        <v>13.1</v>
      </c>
      <c r="I248">
        <f>MAX(0,1-Fitting!$B$7*(Fitting!$B$6-Herm8889!C248)^2)</f>
        <v>0.76811779738077346</v>
      </c>
      <c r="J248">
        <f>tt(G248,H248,Fitting!$B$1:$E$1,Fitting!$B$2:$E$2)*I248</f>
        <v>16.619881319331046</v>
      </c>
    </row>
    <row r="249" spans="1:10">
      <c r="A249" s="1"/>
      <c r="D249" s="1"/>
      <c r="F249" s="6"/>
    </row>
    <row r="250" spans="1:10">
      <c r="A250" s="1"/>
      <c r="D250" s="1"/>
      <c r="F250" s="6"/>
    </row>
    <row r="251" spans="1:10">
      <c r="A251" s="1"/>
      <c r="D251" s="1"/>
      <c r="F251" s="6"/>
    </row>
    <row r="252" spans="1:10">
      <c r="A252" s="1"/>
      <c r="D252" s="1"/>
      <c r="F252" s="6"/>
    </row>
    <row r="253" spans="1:10">
      <c r="A253" s="1"/>
      <c r="D253" s="1"/>
      <c r="F253" s="6"/>
    </row>
    <row r="254" spans="1:10">
      <c r="A254" s="1"/>
      <c r="D254" s="1"/>
      <c r="F254" s="6"/>
    </row>
    <row r="255" spans="1:10">
      <c r="A255" s="1"/>
      <c r="D255" s="1"/>
      <c r="F255" s="6"/>
    </row>
    <row r="256" spans="1:10">
      <c r="A256" s="1"/>
      <c r="D256" s="1"/>
      <c r="F256" s="6"/>
    </row>
    <row r="257" spans="1:6">
      <c r="A257" s="1"/>
      <c r="D257" s="1"/>
      <c r="F257" s="6"/>
    </row>
    <row r="258" spans="1:6">
      <c r="A258" s="1"/>
      <c r="D258" s="1"/>
      <c r="F258" s="6"/>
    </row>
    <row r="259" spans="1:6">
      <c r="A259" s="1"/>
      <c r="D259" s="1"/>
      <c r="F259" s="6"/>
    </row>
    <row r="260" spans="1:6">
      <c r="A260" s="1"/>
      <c r="D260" s="1"/>
      <c r="F260" s="6"/>
    </row>
    <row r="261" spans="1:6">
      <c r="A261" s="1"/>
      <c r="D261" s="1"/>
      <c r="F261" s="6"/>
    </row>
    <row r="262" spans="1:6">
      <c r="A262" s="1"/>
      <c r="D262" s="1"/>
      <c r="F262" s="6"/>
    </row>
    <row r="263" spans="1:6">
      <c r="A263" s="1"/>
      <c r="D263" s="1"/>
      <c r="F263" s="6"/>
    </row>
    <row r="264" spans="1:6">
      <c r="A264" s="1"/>
      <c r="D264" s="1"/>
      <c r="F264" s="6"/>
    </row>
    <row r="265" spans="1:6">
      <c r="A265" s="1"/>
      <c r="D265" s="1"/>
      <c r="F265" s="6"/>
    </row>
    <row r="266" spans="1:6">
      <c r="A266" s="1"/>
      <c r="D266" s="1"/>
      <c r="F266" s="6"/>
    </row>
    <row r="267" spans="1:6">
      <c r="A267" s="1"/>
      <c r="D267" s="1"/>
      <c r="F267" s="6"/>
    </row>
    <row r="268" spans="1:6">
      <c r="A268" s="1"/>
      <c r="D268" s="1"/>
      <c r="F268" s="6"/>
    </row>
    <row r="269" spans="1:6">
      <c r="A269" s="1"/>
      <c r="D269" s="1"/>
      <c r="F269" s="6"/>
    </row>
    <row r="270" spans="1:6">
      <c r="A270" s="1"/>
      <c r="D270" s="1"/>
      <c r="F270" s="6"/>
    </row>
    <row r="271" spans="1:6">
      <c r="A271" s="1"/>
      <c r="D271" s="1"/>
      <c r="F271" s="6"/>
    </row>
    <row r="272" spans="1:6">
      <c r="A272" s="1"/>
      <c r="D272" s="1"/>
      <c r="F272" s="6"/>
    </row>
    <row r="273" spans="1:6">
      <c r="A273" s="1"/>
      <c r="D273" s="1"/>
      <c r="F273" s="6"/>
    </row>
    <row r="274" spans="1:6">
      <c r="A274" s="1"/>
      <c r="D274" s="1"/>
      <c r="F274" s="6"/>
    </row>
    <row r="275" spans="1:6">
      <c r="A275" s="1"/>
      <c r="D275" s="1"/>
      <c r="F275" s="6"/>
    </row>
    <row r="276" spans="1:6">
      <c r="A276" s="1"/>
      <c r="D276" s="1"/>
      <c r="F276" s="6"/>
    </row>
    <row r="277" spans="1:6">
      <c r="A277" s="1"/>
      <c r="D277" s="1"/>
      <c r="F277" s="6"/>
    </row>
    <row r="278" spans="1:6">
      <c r="A278" s="1"/>
      <c r="D278" s="1"/>
      <c r="F278" s="6"/>
    </row>
    <row r="279" spans="1:6">
      <c r="A279" s="1"/>
      <c r="D279" s="1"/>
      <c r="F279" s="6"/>
    </row>
    <row r="280" spans="1:6">
      <c r="A280" s="1"/>
      <c r="D280" s="1"/>
      <c r="F280" s="6"/>
    </row>
    <row r="281" spans="1:6">
      <c r="A281" s="1"/>
      <c r="D281" s="1"/>
      <c r="F281" s="6"/>
    </row>
    <row r="282" spans="1:6">
      <c r="A282" s="1"/>
      <c r="D282" s="1"/>
      <c r="F282" s="6"/>
    </row>
    <row r="283" spans="1:6">
      <c r="A283" s="1"/>
      <c r="D283" s="1"/>
      <c r="F283" s="6"/>
    </row>
    <row r="284" spans="1:6">
      <c r="A284" s="1"/>
      <c r="D284" s="1"/>
      <c r="F284" s="6"/>
    </row>
    <row r="285" spans="1:6">
      <c r="A285" s="1"/>
      <c r="D285" s="1"/>
      <c r="F285" s="6"/>
    </row>
    <row r="286" spans="1:6">
      <c r="A286" s="1"/>
      <c r="D286" s="1"/>
      <c r="F286" s="6"/>
    </row>
    <row r="287" spans="1:6">
      <c r="A287" s="1"/>
      <c r="D287" s="1"/>
      <c r="F287" s="6"/>
    </row>
    <row r="288" spans="1:6">
      <c r="A288" s="1"/>
      <c r="D288" s="1"/>
      <c r="F288" s="6"/>
    </row>
    <row r="289" spans="1:6">
      <c r="A289" s="1"/>
      <c r="D289" s="1"/>
      <c r="F289" s="6"/>
    </row>
    <row r="290" spans="1:6">
      <c r="A290" s="1"/>
      <c r="D290" s="1"/>
      <c r="F290" s="6"/>
    </row>
    <row r="291" spans="1:6">
      <c r="A291" s="1"/>
      <c r="D291" s="1"/>
      <c r="F291" s="6"/>
    </row>
    <row r="292" spans="1:6">
      <c r="A292" s="1"/>
      <c r="D292" s="1"/>
      <c r="F292" s="6"/>
    </row>
    <row r="293" spans="1:6">
      <c r="A293" s="1"/>
      <c r="D293" s="1"/>
      <c r="F293" s="6"/>
    </row>
    <row r="294" spans="1:6">
      <c r="A294" s="1"/>
      <c r="D294" s="1"/>
      <c r="F294" s="6"/>
    </row>
    <row r="295" spans="1:6">
      <c r="A295" s="1"/>
      <c r="D295" s="1"/>
      <c r="F295" s="6"/>
    </row>
    <row r="296" spans="1:6">
      <c r="A296" s="1"/>
      <c r="D296" s="1"/>
      <c r="F296" s="6"/>
    </row>
    <row r="297" spans="1:6">
      <c r="A297" s="1"/>
      <c r="D297" s="1"/>
      <c r="F297" s="6"/>
    </row>
    <row r="298" spans="1:6">
      <c r="A298" s="1"/>
      <c r="D298" s="1"/>
      <c r="F298" s="6"/>
    </row>
    <row r="299" spans="1:6">
      <c r="A299" s="1"/>
      <c r="D299" s="1"/>
      <c r="F299" s="6"/>
    </row>
    <row r="300" spans="1:6">
      <c r="A300" s="1"/>
      <c r="D300" s="1"/>
      <c r="F300" s="6"/>
    </row>
    <row r="301" spans="1:6">
      <c r="A301" s="1"/>
      <c r="D301" s="1"/>
      <c r="F301" s="6"/>
    </row>
    <row r="302" spans="1:6">
      <c r="A302" s="1"/>
      <c r="D302" s="1"/>
      <c r="F302" s="6"/>
    </row>
    <row r="303" spans="1:6">
      <c r="A303" s="1"/>
      <c r="D303" s="1"/>
      <c r="F303" s="6"/>
    </row>
    <row r="304" spans="1:6">
      <c r="A304" s="1"/>
      <c r="D304" s="1"/>
      <c r="F304" s="6"/>
    </row>
    <row r="305" spans="1:6">
      <c r="A305" s="1"/>
      <c r="D305" s="1"/>
      <c r="F305" s="6"/>
    </row>
    <row r="306" spans="1:6">
      <c r="A306" s="1"/>
      <c r="D306" s="1"/>
      <c r="F306" s="6"/>
    </row>
    <row r="307" spans="1:6">
      <c r="A307" s="1"/>
      <c r="D307" s="1"/>
      <c r="F307" s="6"/>
    </row>
    <row r="308" spans="1:6">
      <c r="A308" s="1"/>
      <c r="D308" s="1"/>
      <c r="F308" s="6"/>
    </row>
    <row r="309" spans="1:6">
      <c r="A309" s="1"/>
      <c r="D309" s="1"/>
      <c r="F309" s="6"/>
    </row>
    <row r="310" spans="1:6">
      <c r="A310" s="1"/>
      <c r="D310" s="1"/>
      <c r="F310" s="6"/>
    </row>
    <row r="311" spans="1:6">
      <c r="A311" s="1"/>
      <c r="D311" s="1"/>
      <c r="F311" s="6"/>
    </row>
    <row r="312" spans="1:6">
      <c r="A312" s="1"/>
      <c r="D312" s="1"/>
      <c r="F312" s="6"/>
    </row>
    <row r="313" spans="1:6">
      <c r="A313" s="1"/>
      <c r="D313" s="1"/>
      <c r="F313" s="6"/>
    </row>
    <row r="314" spans="1:6">
      <c r="A314" s="1"/>
      <c r="D314" s="1"/>
      <c r="F314" s="6"/>
    </row>
    <row r="315" spans="1:6">
      <c r="A315" s="1"/>
      <c r="D315" s="1"/>
      <c r="F315" s="6"/>
    </row>
    <row r="316" spans="1:6">
      <c r="A316" s="1"/>
      <c r="D316" s="1"/>
      <c r="F316" s="6"/>
    </row>
    <row r="317" spans="1:6">
      <c r="A317" s="1"/>
      <c r="D317" s="1"/>
      <c r="F317" s="6"/>
    </row>
    <row r="318" spans="1:6">
      <c r="A318" s="1"/>
      <c r="D318" s="1"/>
      <c r="F318" s="6"/>
    </row>
    <row r="319" spans="1:6">
      <c r="A319" s="1"/>
      <c r="D319" s="1"/>
      <c r="F319" s="6"/>
    </row>
    <row r="320" spans="1:6">
      <c r="A320" s="1"/>
      <c r="D320" s="1"/>
      <c r="F320" s="6"/>
    </row>
    <row r="321" spans="1:6">
      <c r="A321" s="1"/>
      <c r="D321" s="1"/>
      <c r="F321" s="6"/>
    </row>
    <row r="322" spans="1:6">
      <c r="A322" s="1"/>
      <c r="D322" s="1"/>
      <c r="F322" s="6"/>
    </row>
    <row r="323" spans="1:6">
      <c r="A323" s="1"/>
      <c r="D323" s="1"/>
      <c r="F323" s="6"/>
    </row>
    <row r="324" spans="1:6">
      <c r="A324" s="1"/>
      <c r="D324" s="1"/>
      <c r="F324" s="6"/>
    </row>
    <row r="325" spans="1:6">
      <c r="A325" s="1"/>
      <c r="D325" s="1"/>
      <c r="F325" s="6"/>
    </row>
    <row r="326" spans="1:6">
      <c r="A326" s="1"/>
      <c r="D326" s="1"/>
      <c r="F326" s="6"/>
    </row>
    <row r="327" spans="1:6">
      <c r="A327" s="1"/>
      <c r="D327" s="1"/>
      <c r="F327" s="6"/>
    </row>
    <row r="328" spans="1:6">
      <c r="A328" s="1"/>
      <c r="D328" s="1"/>
      <c r="F328" s="6"/>
    </row>
    <row r="329" spans="1:6">
      <c r="A329" s="1"/>
      <c r="D329" s="1"/>
      <c r="F329" s="6"/>
    </row>
    <row r="330" spans="1:6">
      <c r="A330" s="1"/>
      <c r="D330" s="1"/>
      <c r="F330" s="6"/>
    </row>
    <row r="331" spans="1:6">
      <c r="A331" s="1"/>
      <c r="D331" s="1"/>
      <c r="F331" s="6"/>
    </row>
    <row r="332" spans="1:6">
      <c r="A332" s="1"/>
      <c r="D332" s="1"/>
      <c r="F332" s="6"/>
    </row>
    <row r="333" spans="1:6">
      <c r="A333" s="1"/>
      <c r="D333" s="1"/>
      <c r="F333" s="6"/>
    </row>
    <row r="334" spans="1:6">
      <c r="A334" s="1"/>
      <c r="D334" s="1"/>
      <c r="F334" s="6"/>
    </row>
    <row r="335" spans="1:6">
      <c r="A335" s="1"/>
      <c r="D335" s="1"/>
      <c r="F335" s="6"/>
    </row>
    <row r="336" spans="1:6">
      <c r="A336" s="1"/>
      <c r="D336" s="1"/>
      <c r="F336" s="6"/>
    </row>
    <row r="337" spans="1:6">
      <c r="A337" s="1"/>
      <c r="D337" s="1"/>
      <c r="F337" s="6"/>
    </row>
    <row r="338" spans="1:6">
      <c r="A338" s="1"/>
      <c r="D338" s="1"/>
      <c r="F338" s="6"/>
    </row>
    <row r="339" spans="1:6">
      <c r="A339" s="1"/>
      <c r="D339" s="1"/>
      <c r="F339" s="6"/>
    </row>
    <row r="340" spans="1:6">
      <c r="A340" s="1"/>
      <c r="D340" s="1"/>
      <c r="F340" s="6"/>
    </row>
    <row r="341" spans="1:6">
      <c r="A341" s="1"/>
      <c r="D341" s="1"/>
      <c r="F341" s="6"/>
    </row>
    <row r="342" spans="1:6">
      <c r="A342" s="1"/>
      <c r="D342" s="1"/>
      <c r="F342" s="6"/>
    </row>
    <row r="343" spans="1:6">
      <c r="A343" s="1"/>
      <c r="D343" s="1"/>
      <c r="F343" s="6"/>
    </row>
    <row r="344" spans="1:6">
      <c r="A344" s="1"/>
      <c r="D344" s="1"/>
      <c r="F344" s="6"/>
    </row>
    <row r="345" spans="1:6">
      <c r="A345" s="1"/>
      <c r="D345" s="1"/>
      <c r="F345" s="6"/>
    </row>
    <row r="346" spans="1:6">
      <c r="A346" s="1"/>
      <c r="D346" s="1"/>
      <c r="F346" s="6"/>
    </row>
    <row r="347" spans="1:6">
      <c r="A347" s="1"/>
      <c r="D347" s="1"/>
      <c r="F347" s="6"/>
    </row>
    <row r="348" spans="1:6">
      <c r="A348" s="1"/>
      <c r="D348" s="1"/>
      <c r="F348" s="6"/>
    </row>
    <row r="349" spans="1:6">
      <c r="A349" s="1"/>
      <c r="D349" s="1"/>
      <c r="F349" s="6"/>
    </row>
    <row r="350" spans="1:6">
      <c r="A350" s="1"/>
      <c r="D350" s="1"/>
      <c r="F350" s="6"/>
    </row>
    <row r="351" spans="1:6">
      <c r="A351" s="1"/>
      <c r="D351" s="1"/>
      <c r="F351" s="6"/>
    </row>
    <row r="352" spans="1:6">
      <c r="A352" s="1"/>
      <c r="D352" s="1"/>
      <c r="F352" s="6"/>
    </row>
    <row r="353" spans="1:6">
      <c r="A353" s="1"/>
      <c r="D353" s="1"/>
      <c r="F353" s="6"/>
    </row>
    <row r="354" spans="1:6">
      <c r="A354" s="1"/>
      <c r="D354" s="1"/>
      <c r="F354" s="6"/>
    </row>
    <row r="355" spans="1:6">
      <c r="A355" s="1"/>
      <c r="D355" s="1"/>
      <c r="F355" s="6"/>
    </row>
    <row r="356" spans="1:6">
      <c r="A356" s="1"/>
      <c r="D356" s="1"/>
      <c r="F356" s="6"/>
    </row>
    <row r="357" spans="1:6">
      <c r="A357" s="1"/>
      <c r="D357" s="1"/>
      <c r="F357" s="6"/>
    </row>
    <row r="358" spans="1:6">
      <c r="A358" s="1"/>
      <c r="D358" s="1"/>
      <c r="F358" s="6"/>
    </row>
    <row r="359" spans="1:6">
      <c r="A359" s="1"/>
      <c r="D359" s="1"/>
      <c r="F359" s="6"/>
    </row>
    <row r="360" spans="1:6">
      <c r="A360" s="1"/>
      <c r="D360" s="1"/>
      <c r="F360" s="6"/>
    </row>
    <row r="361" spans="1:6">
      <c r="A361" s="1"/>
      <c r="D361" s="1"/>
      <c r="F361" s="6"/>
    </row>
    <row r="362" spans="1:6">
      <c r="A362" s="1"/>
      <c r="D362" s="1"/>
      <c r="F362" s="6"/>
    </row>
    <row r="363" spans="1:6">
      <c r="A363" s="1"/>
      <c r="D363" s="1"/>
      <c r="F363" s="6"/>
    </row>
    <row r="364" spans="1:6">
      <c r="A364" s="1"/>
      <c r="D364" s="1"/>
      <c r="F364" s="6"/>
    </row>
    <row r="365" spans="1:6">
      <c r="A365" s="1"/>
      <c r="D365" s="1"/>
      <c r="F365" s="6"/>
    </row>
    <row r="366" spans="1:6">
      <c r="A366" s="1"/>
      <c r="D366" s="1"/>
      <c r="F366" s="6"/>
    </row>
    <row r="367" spans="1:6">
      <c r="A367" s="1"/>
      <c r="D367" s="1"/>
      <c r="F367" s="6"/>
    </row>
    <row r="368" spans="1:6">
      <c r="A368" s="1"/>
      <c r="D368" s="1"/>
      <c r="F368" s="6"/>
    </row>
    <row r="369" spans="1:6">
      <c r="A369" s="1"/>
      <c r="D369" s="1"/>
      <c r="F369" s="6"/>
    </row>
    <row r="370" spans="1:6">
      <c r="A370" s="1"/>
      <c r="D370" s="1"/>
      <c r="F370" s="6"/>
    </row>
    <row r="371" spans="1:6">
      <c r="A371" s="1"/>
      <c r="D371" s="1"/>
      <c r="F371" s="6"/>
    </row>
    <row r="372" spans="1:6">
      <c r="A372" s="1"/>
      <c r="D372" s="1"/>
      <c r="F372" s="6"/>
    </row>
    <row r="373" spans="1:6">
      <c r="A373" s="1"/>
      <c r="D373" s="1"/>
      <c r="F373" s="6"/>
    </row>
    <row r="374" spans="1:6">
      <c r="A374" s="1"/>
      <c r="D374" s="1"/>
      <c r="F374" s="6"/>
    </row>
    <row r="375" spans="1:6">
      <c r="A375" s="1"/>
      <c r="D375" s="1"/>
      <c r="F375" s="6"/>
    </row>
    <row r="376" spans="1:6">
      <c r="A376" s="1"/>
      <c r="D376" s="1"/>
      <c r="F376" s="6"/>
    </row>
    <row r="377" spans="1:6">
      <c r="A377" s="1"/>
      <c r="D377" s="1"/>
      <c r="F377" s="6"/>
    </row>
    <row r="378" spans="1:6">
      <c r="A378" s="1"/>
      <c r="D378" s="1"/>
      <c r="F378" s="6"/>
    </row>
    <row r="379" spans="1:6">
      <c r="A379" s="1"/>
      <c r="D379" s="1"/>
      <c r="F379" s="6"/>
    </row>
    <row r="380" spans="1:6">
      <c r="A380" s="1"/>
      <c r="D380" s="1"/>
      <c r="F380" s="6"/>
    </row>
    <row r="381" spans="1:6">
      <c r="A381" s="1"/>
      <c r="D381" s="1"/>
      <c r="F381" s="6"/>
    </row>
    <row r="382" spans="1:6">
      <c r="A382" s="1"/>
      <c r="D382" s="1"/>
      <c r="F382" s="6"/>
    </row>
    <row r="383" spans="1:6">
      <c r="A383" s="1"/>
      <c r="D383" s="1"/>
      <c r="F383" s="6"/>
    </row>
    <row r="384" spans="1:6">
      <c r="A384" s="1"/>
      <c r="D384" s="1"/>
      <c r="F384" s="6"/>
    </row>
    <row r="385" spans="1:6">
      <c r="A385" s="1"/>
      <c r="D385" s="1"/>
      <c r="F385" s="6"/>
    </row>
    <row r="386" spans="1:6">
      <c r="A386" s="1"/>
      <c r="D386" s="1"/>
      <c r="F386" s="6"/>
    </row>
    <row r="387" spans="1:6">
      <c r="A387" s="1"/>
      <c r="D387" s="1"/>
      <c r="F387" s="6"/>
    </row>
    <row r="388" spans="1:6">
      <c r="A388" s="1"/>
      <c r="D388" s="1"/>
      <c r="F388" s="6"/>
    </row>
    <row r="389" spans="1:6">
      <c r="A389" s="1"/>
      <c r="D389" s="1"/>
      <c r="F389" s="6"/>
    </row>
    <row r="390" spans="1:6">
      <c r="A390" s="1"/>
      <c r="D390" s="1"/>
      <c r="F390" s="6"/>
    </row>
    <row r="391" spans="1:6">
      <c r="A391" s="1"/>
      <c r="D391" s="1"/>
      <c r="F391" s="6"/>
    </row>
    <row r="392" spans="1:6">
      <c r="A392" s="1"/>
      <c r="D392" s="1"/>
      <c r="F392" s="6"/>
    </row>
    <row r="393" spans="1:6">
      <c r="A393" s="1"/>
      <c r="D393" s="1"/>
      <c r="F393" s="6"/>
    </row>
    <row r="394" spans="1:6">
      <c r="A394" s="1"/>
      <c r="D394" s="1"/>
      <c r="F394" s="6"/>
    </row>
    <row r="395" spans="1:6">
      <c r="A395" s="1"/>
      <c r="D395" s="1"/>
      <c r="F395" s="6"/>
    </row>
    <row r="396" spans="1:6">
      <c r="A396" s="1"/>
      <c r="D396" s="1"/>
      <c r="F396" s="6"/>
    </row>
    <row r="397" spans="1:6">
      <c r="A397" s="1"/>
      <c r="D397" s="1"/>
      <c r="F397" s="6"/>
    </row>
    <row r="398" spans="1:6">
      <c r="A398" s="1"/>
      <c r="D398" s="1"/>
      <c r="F398" s="6"/>
    </row>
    <row r="399" spans="1:6">
      <c r="A399" s="1"/>
      <c r="D399" s="1"/>
      <c r="F399" s="6"/>
    </row>
    <row r="400" spans="1:6">
      <c r="A400" s="1"/>
      <c r="D400" s="1"/>
      <c r="F400" s="6"/>
    </row>
    <row r="401" spans="1:6">
      <c r="A401" s="1"/>
      <c r="D401" s="1"/>
      <c r="F401" s="6"/>
    </row>
    <row r="402" spans="1:6">
      <c r="A402" s="1"/>
      <c r="D402" s="1"/>
      <c r="F402" s="6"/>
    </row>
    <row r="403" spans="1:6">
      <c r="A403" s="1"/>
      <c r="D403" s="1"/>
      <c r="F403" s="6"/>
    </row>
    <row r="404" spans="1:6">
      <c r="A404" s="1"/>
      <c r="D404" s="1"/>
      <c r="F404" s="6"/>
    </row>
    <row r="405" spans="1:6">
      <c r="A405" s="1"/>
      <c r="D405" s="1"/>
      <c r="F405" s="6"/>
    </row>
    <row r="406" spans="1:6">
      <c r="A406" s="1"/>
      <c r="D406" s="1"/>
      <c r="F406" s="6"/>
    </row>
    <row r="407" spans="1:6">
      <c r="A407" s="1"/>
      <c r="D407" s="1"/>
      <c r="F407" s="6"/>
    </row>
    <row r="408" spans="1:6">
      <c r="A408" s="1"/>
      <c r="D408" s="1"/>
      <c r="F408" s="6"/>
    </row>
    <row r="409" spans="1:6">
      <c r="A409" s="1"/>
      <c r="D409" s="1"/>
      <c r="F409" s="6"/>
    </row>
    <row r="410" spans="1:6">
      <c r="A410" s="1"/>
      <c r="D410" s="1"/>
      <c r="F410" s="6"/>
    </row>
    <row r="411" spans="1:6">
      <c r="A411" s="1"/>
      <c r="D411" s="1"/>
      <c r="F411" s="6"/>
    </row>
    <row r="412" spans="1:6">
      <c r="A412" s="1"/>
      <c r="D412" s="1"/>
      <c r="F412" s="6"/>
    </row>
    <row r="413" spans="1:6">
      <c r="A413" s="1"/>
      <c r="D413" s="1"/>
      <c r="F413" s="6"/>
    </row>
    <row r="414" spans="1:6">
      <c r="A414" s="1"/>
      <c r="D414" s="1"/>
      <c r="F414" s="6"/>
    </row>
    <row r="415" spans="1:6">
      <c r="A415" s="1"/>
      <c r="D415" s="1"/>
      <c r="F415" s="6"/>
    </row>
    <row r="416" spans="1:6">
      <c r="A416" s="1"/>
      <c r="D416" s="1"/>
      <c r="F416" s="6"/>
    </row>
    <row r="417" spans="1:6">
      <c r="A417" s="1"/>
      <c r="D417" s="1"/>
      <c r="F417" s="6"/>
    </row>
    <row r="418" spans="1:6">
      <c r="A418" s="1"/>
      <c r="D418" s="1"/>
      <c r="F418" s="6"/>
    </row>
    <row r="419" spans="1:6">
      <c r="A419" s="1"/>
      <c r="D419" s="1"/>
      <c r="F419" s="6"/>
    </row>
    <row r="420" spans="1:6">
      <c r="A420" s="1"/>
      <c r="D420" s="1"/>
      <c r="F420" s="6"/>
    </row>
    <row r="421" spans="1:6">
      <c r="A421" s="1"/>
      <c r="D421" s="1"/>
      <c r="F421" s="6"/>
    </row>
    <row r="422" spans="1:6">
      <c r="A422" s="1"/>
      <c r="D422" s="1"/>
      <c r="F422" s="6"/>
    </row>
    <row r="423" spans="1:6">
      <c r="A423" s="1"/>
      <c r="D423" s="1"/>
      <c r="F423" s="6"/>
    </row>
    <row r="424" spans="1:6">
      <c r="A424" s="1"/>
      <c r="D424" s="1"/>
      <c r="F424" s="6"/>
    </row>
    <row r="425" spans="1:6">
      <c r="A425" s="1"/>
      <c r="D425" s="1"/>
      <c r="F425" s="6"/>
    </row>
    <row r="426" spans="1:6">
      <c r="A426" s="1"/>
      <c r="D426" s="1"/>
      <c r="F426" s="6"/>
    </row>
    <row r="427" spans="1:6">
      <c r="A427" s="1"/>
      <c r="D427" s="1"/>
      <c r="F427" s="6"/>
    </row>
    <row r="428" spans="1:6">
      <c r="A428" s="1"/>
      <c r="D428" s="1"/>
      <c r="F428" s="6"/>
    </row>
    <row r="429" spans="1:6">
      <c r="A429" s="1"/>
      <c r="D429" s="1"/>
      <c r="F429" s="6"/>
    </row>
    <row r="430" spans="1:6">
      <c r="A430" s="1"/>
      <c r="D430" s="1"/>
      <c r="F430" s="6"/>
    </row>
    <row r="431" spans="1:6">
      <c r="A431" s="1"/>
      <c r="D431" s="1"/>
      <c r="F431" s="6"/>
    </row>
    <row r="432" spans="1:6">
      <c r="A432" s="1"/>
      <c r="D432" s="1"/>
      <c r="F432" s="6"/>
    </row>
    <row r="433" spans="1:6">
      <c r="A433" s="1"/>
      <c r="D433" s="1"/>
      <c r="F433" s="6"/>
    </row>
    <row r="434" spans="1:6">
      <c r="A434" s="1"/>
      <c r="D434" s="1"/>
      <c r="F434" s="6"/>
    </row>
    <row r="435" spans="1:6">
      <c r="A435" s="1"/>
      <c r="D435" s="1"/>
      <c r="F435" s="6"/>
    </row>
    <row r="436" spans="1:6">
      <c r="A436" s="1"/>
      <c r="D436" s="1"/>
      <c r="F436" s="6"/>
    </row>
    <row r="437" spans="1:6">
      <c r="A437" s="1"/>
      <c r="D437" s="1"/>
      <c r="F437" s="6"/>
    </row>
    <row r="438" spans="1:6">
      <c r="A438" s="1"/>
      <c r="D438" s="1"/>
      <c r="F438" s="6"/>
    </row>
    <row r="439" spans="1:6">
      <c r="A439" s="1"/>
      <c r="D439" s="1"/>
      <c r="F439" s="6"/>
    </row>
    <row r="440" spans="1:6">
      <c r="A440" s="1"/>
      <c r="D440" s="1"/>
      <c r="F440" s="6"/>
    </row>
    <row r="441" spans="1:6">
      <c r="A441" s="1"/>
      <c r="D441" s="1"/>
      <c r="F441" s="6"/>
    </row>
    <row r="442" spans="1:6">
      <c r="A442" s="1"/>
      <c r="D442" s="1"/>
      <c r="F442" s="6"/>
    </row>
    <row r="443" spans="1:6">
      <c r="A443" s="1"/>
      <c r="D443" s="1"/>
      <c r="F443" s="6"/>
    </row>
    <row r="444" spans="1:6">
      <c r="A444" s="1"/>
      <c r="D444" s="1"/>
      <c r="F444" s="6"/>
    </row>
    <row r="445" spans="1:6">
      <c r="A445" s="1"/>
      <c r="D445" s="1"/>
      <c r="F445" s="6"/>
    </row>
    <row r="446" spans="1:6">
      <c r="A446" s="1"/>
      <c r="D446" s="1"/>
      <c r="F446" s="6"/>
    </row>
    <row r="447" spans="1:6">
      <c r="A447" s="1"/>
      <c r="D447" s="1"/>
      <c r="F447" s="6"/>
    </row>
    <row r="448" spans="1:6">
      <c r="A448" s="1"/>
      <c r="D448" s="1"/>
      <c r="F448" s="6"/>
    </row>
    <row r="449" spans="1:6">
      <c r="A449" s="1"/>
      <c r="D449" s="1"/>
      <c r="F449" s="6"/>
    </row>
    <row r="450" spans="1:6">
      <c r="A450" s="1"/>
      <c r="D450" s="1"/>
      <c r="F450" s="6"/>
    </row>
    <row r="451" spans="1:6">
      <c r="A451" s="1"/>
      <c r="D451" s="1"/>
      <c r="F451" s="6"/>
    </row>
    <row r="452" spans="1:6">
      <c r="A452" s="1"/>
      <c r="D452" s="1"/>
      <c r="F452" s="6"/>
    </row>
    <row r="453" spans="1:6">
      <c r="A453" s="1"/>
      <c r="D453" s="1"/>
      <c r="F453" s="6"/>
    </row>
    <row r="454" spans="1:6">
      <c r="A454" s="1"/>
      <c r="D454" s="1"/>
      <c r="F454" s="6"/>
    </row>
    <row r="455" spans="1:6">
      <c r="A455" s="1"/>
      <c r="D455" s="1"/>
      <c r="F455" s="6"/>
    </row>
    <row r="456" spans="1:6">
      <c r="A456" s="1"/>
      <c r="D456" s="1"/>
      <c r="F456" s="6"/>
    </row>
    <row r="457" spans="1:6">
      <c r="A457" s="1"/>
      <c r="D457" s="1"/>
      <c r="F457" s="6"/>
    </row>
    <row r="458" spans="1:6">
      <c r="A458" s="1"/>
      <c r="D458" s="1"/>
      <c r="F458" s="6"/>
    </row>
    <row r="459" spans="1:6">
      <c r="A459" s="1"/>
      <c r="D459" s="1"/>
      <c r="F459" s="6"/>
    </row>
    <row r="460" spans="1:6">
      <c r="A460" s="1"/>
      <c r="D460" s="1"/>
      <c r="F460" s="6"/>
    </row>
    <row r="461" spans="1:6">
      <c r="A461" s="1"/>
      <c r="D461" s="1"/>
      <c r="F461" s="6"/>
    </row>
    <row r="462" spans="1:6">
      <c r="A462" s="1"/>
      <c r="D462" s="1"/>
      <c r="F462" s="6"/>
    </row>
    <row r="463" spans="1:6">
      <c r="A463" s="1"/>
      <c r="D463" s="1"/>
      <c r="F463" s="6"/>
    </row>
    <row r="464" spans="1:6">
      <c r="A464" s="1"/>
      <c r="D464" s="1"/>
      <c r="F464" s="6"/>
    </row>
    <row r="465" spans="1:6">
      <c r="A465" s="1"/>
      <c r="D465" s="1"/>
      <c r="F465" s="6"/>
    </row>
    <row r="466" spans="1:6">
      <c r="A466" s="1"/>
      <c r="D466" s="1"/>
      <c r="F466" s="6"/>
    </row>
    <row r="467" spans="1:6">
      <c r="A467" s="1"/>
      <c r="D467" s="1"/>
      <c r="F467" s="6"/>
    </row>
    <row r="468" spans="1:6">
      <c r="A468" s="1"/>
      <c r="D468" s="1"/>
      <c r="F468" s="6"/>
    </row>
    <row r="469" spans="1:6">
      <c r="A469" s="1"/>
      <c r="D469" s="1"/>
      <c r="F469" s="6"/>
    </row>
    <row r="470" spans="1:6">
      <c r="A470" s="1"/>
      <c r="D470" s="1"/>
      <c r="F470" s="6"/>
    </row>
    <row r="471" spans="1:6">
      <c r="A471" s="1"/>
      <c r="D471" s="1"/>
      <c r="F471" s="6"/>
    </row>
    <row r="472" spans="1:6">
      <c r="A472" s="1"/>
      <c r="D472" s="1"/>
      <c r="F472" s="6"/>
    </row>
    <row r="473" spans="1:6">
      <c r="A473" s="1"/>
      <c r="D473" s="1"/>
      <c r="F473" s="6"/>
    </row>
    <row r="474" spans="1:6">
      <c r="A474" s="1"/>
      <c r="D474" s="1"/>
      <c r="F474" s="6"/>
    </row>
    <row r="475" spans="1:6">
      <c r="A475" s="1"/>
      <c r="D475" s="1"/>
      <c r="F475" s="6"/>
    </row>
    <row r="476" spans="1:6">
      <c r="A476" s="1"/>
      <c r="D476" s="1"/>
      <c r="F476" s="6"/>
    </row>
    <row r="477" spans="1:6">
      <c r="A477" s="1"/>
      <c r="D477" s="1"/>
      <c r="F477" s="6"/>
    </row>
    <row r="478" spans="1:6">
      <c r="A478" s="1"/>
      <c r="D478" s="1"/>
      <c r="F478" s="6"/>
    </row>
    <row r="479" spans="1:6">
      <c r="A479" s="1"/>
      <c r="D479" s="1"/>
      <c r="F479" s="6"/>
    </row>
    <row r="480" spans="1:6">
      <c r="A480" s="1"/>
      <c r="D480" s="1"/>
      <c r="F480" s="6"/>
    </row>
    <row r="481" spans="1:6">
      <c r="A481" s="1"/>
      <c r="D481" s="1"/>
      <c r="F481" s="6"/>
    </row>
    <row r="482" spans="1:6">
      <c r="A482" s="1"/>
      <c r="D482" s="1"/>
      <c r="F482" s="6"/>
    </row>
    <row r="483" spans="1:6">
      <c r="A483" s="1"/>
      <c r="D483" s="1"/>
      <c r="F483" s="6"/>
    </row>
    <row r="484" spans="1:6">
      <c r="A484" s="1"/>
      <c r="D484" s="1"/>
      <c r="F484" s="6"/>
    </row>
    <row r="485" spans="1:6">
      <c r="A485" s="1"/>
      <c r="D485" s="1"/>
      <c r="F485" s="6"/>
    </row>
    <row r="486" spans="1:6">
      <c r="A486" s="1"/>
      <c r="D486" s="1"/>
      <c r="F486" s="6"/>
    </row>
    <row r="487" spans="1:6">
      <c r="A487" s="1"/>
      <c r="D487" s="1"/>
      <c r="F487" s="6"/>
    </row>
    <row r="488" spans="1:6">
      <c r="A488" s="1"/>
      <c r="D488" s="1"/>
      <c r="F488" s="6"/>
    </row>
    <row r="489" spans="1:6">
      <c r="A489" s="1"/>
      <c r="D489" s="1"/>
      <c r="F489" s="6"/>
    </row>
    <row r="490" spans="1:6">
      <c r="A490" s="1"/>
      <c r="D490" s="1"/>
      <c r="F490" s="6"/>
    </row>
    <row r="491" spans="1:6">
      <c r="A491" s="1"/>
      <c r="D491" s="1"/>
      <c r="F491" s="6"/>
    </row>
    <row r="492" spans="1:6">
      <c r="A492" s="1"/>
      <c r="D492" s="1"/>
      <c r="F492" s="6"/>
    </row>
    <row r="493" spans="1:6">
      <c r="A493" s="1"/>
      <c r="D493" s="1"/>
      <c r="F493" s="6"/>
    </row>
    <row r="494" spans="1:6">
      <c r="A494" s="1"/>
      <c r="D494" s="1"/>
      <c r="F494" s="6"/>
    </row>
    <row r="495" spans="1:6">
      <c r="A495" s="1"/>
      <c r="D495" s="1"/>
      <c r="F495" s="6"/>
    </row>
    <row r="496" spans="1:6">
      <c r="A496" s="1"/>
      <c r="D496" s="1"/>
      <c r="F496" s="6"/>
    </row>
    <row r="497" spans="1:6">
      <c r="A497" s="1"/>
      <c r="D497" s="1"/>
      <c r="F497" s="6"/>
    </row>
    <row r="498" spans="1:6">
      <c r="A498" s="1"/>
      <c r="D498" s="1"/>
      <c r="F498" s="6"/>
    </row>
    <row r="499" spans="1:6">
      <c r="A499" s="1"/>
      <c r="D499" s="1"/>
      <c r="F499" s="6"/>
    </row>
    <row r="500" spans="1:6">
      <c r="A500" s="1"/>
      <c r="D500" s="1"/>
      <c r="F500" s="6"/>
    </row>
    <row r="501" spans="1:6">
      <c r="A501" s="1"/>
      <c r="D501" s="1"/>
      <c r="F501" s="6"/>
    </row>
    <row r="502" spans="1:6">
      <c r="A502" s="1"/>
      <c r="D502" s="1"/>
      <c r="F502" s="6"/>
    </row>
    <row r="503" spans="1:6">
      <c r="A503" s="1"/>
      <c r="D503" s="1"/>
      <c r="F503" s="6"/>
    </row>
    <row r="504" spans="1:6">
      <c r="A504" s="1"/>
      <c r="D504" s="1"/>
      <c r="F504" s="6"/>
    </row>
    <row r="505" spans="1:6">
      <c r="A505" s="1"/>
      <c r="D505" s="1"/>
      <c r="F505" s="6"/>
    </row>
    <row r="506" spans="1:6">
      <c r="A506" s="1"/>
      <c r="D506" s="1"/>
      <c r="F506" s="6"/>
    </row>
    <row r="507" spans="1:6">
      <c r="A507" s="1"/>
      <c r="D507" s="1"/>
      <c r="F507" s="6"/>
    </row>
    <row r="508" spans="1:6">
      <c r="A508" s="1"/>
      <c r="D508" s="1"/>
      <c r="F508" s="6"/>
    </row>
    <row r="509" spans="1:6">
      <c r="A509" s="1"/>
      <c r="D509" s="1"/>
      <c r="F509" s="6"/>
    </row>
    <row r="510" spans="1:6">
      <c r="A510" s="1"/>
      <c r="D510" s="1"/>
      <c r="F510" s="6"/>
    </row>
    <row r="511" spans="1:6">
      <c r="A511" s="1"/>
      <c r="D511" s="1"/>
      <c r="F511" s="6"/>
    </row>
    <row r="512" spans="1:6">
      <c r="A512" s="1"/>
      <c r="D512" s="1"/>
      <c r="F512" s="6"/>
    </row>
    <row r="513" spans="1:6">
      <c r="A513" s="1"/>
      <c r="D513" s="1"/>
      <c r="F513" s="6"/>
    </row>
    <row r="514" spans="1:6">
      <c r="A514" s="1"/>
      <c r="D514" s="1"/>
      <c r="F514" s="6"/>
    </row>
    <row r="515" spans="1:6">
      <c r="A515" s="1"/>
      <c r="D515" s="1"/>
      <c r="F515" s="6"/>
    </row>
    <row r="516" spans="1:6">
      <c r="A516" s="1"/>
      <c r="D516" s="1"/>
      <c r="F516" s="6"/>
    </row>
    <row r="517" spans="1:6">
      <c r="A517" s="1"/>
      <c r="D517" s="1"/>
      <c r="F517" s="6"/>
    </row>
    <row r="518" spans="1:6">
      <c r="A518" s="1"/>
      <c r="D518" s="1"/>
      <c r="F518" s="6"/>
    </row>
    <row r="519" spans="1:6">
      <c r="A519" s="1"/>
      <c r="D519" s="1"/>
      <c r="F519" s="6"/>
    </row>
    <row r="520" spans="1:6">
      <c r="A520" s="1"/>
      <c r="D520" s="1"/>
      <c r="F520" s="6"/>
    </row>
    <row r="521" spans="1:6">
      <c r="A521" s="1"/>
      <c r="D521" s="1"/>
      <c r="F521" s="6"/>
    </row>
    <row r="522" spans="1:6">
      <c r="A522" s="1"/>
      <c r="D522" s="1"/>
      <c r="F522" s="6"/>
    </row>
    <row r="523" spans="1:6">
      <c r="A523" s="1"/>
      <c r="D523" s="1"/>
      <c r="F523" s="6"/>
    </row>
    <row r="524" spans="1:6">
      <c r="A524" s="1"/>
      <c r="D524" s="1"/>
      <c r="F524" s="6"/>
    </row>
    <row r="525" spans="1:6">
      <c r="A525" s="1"/>
      <c r="D525" s="1"/>
      <c r="F525" s="6"/>
    </row>
    <row r="526" spans="1:6">
      <c r="A526" s="1"/>
      <c r="D526" s="1"/>
      <c r="F526" s="6"/>
    </row>
    <row r="527" spans="1:6">
      <c r="A527" s="1"/>
      <c r="D527" s="1"/>
      <c r="F527" s="6"/>
    </row>
    <row r="528" spans="1:6">
      <c r="A528" s="1"/>
      <c r="D528" s="1"/>
      <c r="F528" s="6"/>
    </row>
    <row r="529" spans="1:6">
      <c r="A529" s="1"/>
      <c r="D529" s="1"/>
      <c r="F529" s="6"/>
    </row>
    <row r="530" spans="1:6">
      <c r="A530" s="1"/>
      <c r="D530" s="1"/>
      <c r="F530" s="6"/>
    </row>
    <row r="531" spans="1:6">
      <c r="A531" s="1"/>
      <c r="D531" s="1"/>
      <c r="F531" s="6"/>
    </row>
    <row r="532" spans="1:6">
      <c r="A532" s="1"/>
      <c r="D532" s="1"/>
      <c r="F532" s="6"/>
    </row>
    <row r="533" spans="1:6">
      <c r="A533" s="1"/>
      <c r="D533" s="1"/>
      <c r="F533" s="6"/>
    </row>
    <row r="534" spans="1:6">
      <c r="A534" s="1"/>
      <c r="D534" s="1"/>
      <c r="F534" s="6"/>
    </row>
    <row r="535" spans="1:6">
      <c r="A535" s="1"/>
      <c r="D535" s="1"/>
      <c r="F535" s="6"/>
    </row>
    <row r="536" spans="1:6">
      <c r="A536" s="1"/>
      <c r="D536" s="1"/>
      <c r="F536" s="6"/>
    </row>
    <row r="537" spans="1:6">
      <c r="A537" s="1"/>
      <c r="D537" s="1"/>
      <c r="F537" s="6"/>
    </row>
    <row r="538" spans="1:6">
      <c r="A538" s="1"/>
      <c r="D538" s="1"/>
      <c r="F538" s="6"/>
    </row>
    <row r="539" spans="1:6">
      <c r="A539" s="1"/>
      <c r="D539" s="1"/>
      <c r="F539" s="6"/>
    </row>
    <row r="540" spans="1:6">
      <c r="A540" s="1"/>
      <c r="D540" s="1"/>
      <c r="F540" s="6"/>
    </row>
    <row r="541" spans="1:6">
      <c r="A541" s="1"/>
      <c r="D541" s="1"/>
      <c r="F541" s="6"/>
    </row>
    <row r="542" spans="1:6">
      <c r="A542" s="1"/>
      <c r="D542" s="1"/>
      <c r="F542" s="6"/>
    </row>
    <row r="543" spans="1:6">
      <c r="A543" s="1"/>
      <c r="D543" s="1"/>
      <c r="F543" s="6"/>
    </row>
    <row r="544" spans="1:6">
      <c r="A544" s="1"/>
      <c r="D544" s="1"/>
      <c r="F544" s="6"/>
    </row>
    <row r="545" spans="1:6">
      <c r="A545" s="1"/>
      <c r="D545" s="1"/>
      <c r="F545" s="6"/>
    </row>
    <row r="546" spans="1:6">
      <c r="A546" s="1"/>
      <c r="D546" s="1"/>
      <c r="F546" s="6"/>
    </row>
    <row r="547" spans="1:6">
      <c r="A547" s="1"/>
      <c r="D547" s="1"/>
      <c r="F547" s="6"/>
    </row>
    <row r="548" spans="1:6">
      <c r="A548" s="1"/>
      <c r="D548" s="1"/>
      <c r="F548" s="6"/>
    </row>
    <row r="549" spans="1:6">
      <c r="A549" s="1"/>
      <c r="D549" s="1"/>
      <c r="F549" s="6"/>
    </row>
    <row r="550" spans="1:6">
      <c r="A550" s="1"/>
      <c r="D550" s="1"/>
      <c r="F550" s="6"/>
    </row>
    <row r="551" spans="1:6">
      <c r="A551" s="1"/>
      <c r="D551" s="1"/>
      <c r="F551" s="6"/>
    </row>
    <row r="552" spans="1:6">
      <c r="A552" s="1"/>
      <c r="D552" s="1"/>
      <c r="F552" s="6"/>
    </row>
    <row r="553" spans="1:6">
      <c r="A553" s="1"/>
      <c r="D553" s="1"/>
      <c r="F553" s="6"/>
    </row>
    <row r="554" spans="1:6">
      <c r="A554" s="1"/>
      <c r="D554" s="1"/>
      <c r="F554" s="6"/>
    </row>
    <row r="555" spans="1:6">
      <c r="A555" s="1"/>
      <c r="D555" s="1"/>
      <c r="F555" s="6"/>
    </row>
    <row r="556" spans="1:6">
      <c r="A556" s="1"/>
      <c r="D556" s="1"/>
      <c r="F556" s="6"/>
    </row>
    <row r="557" spans="1:6">
      <c r="A557" s="1"/>
      <c r="D557" s="1"/>
      <c r="F557" s="6"/>
    </row>
    <row r="558" spans="1:6">
      <c r="A558" s="1"/>
      <c r="D558" s="1"/>
      <c r="F558" s="6"/>
    </row>
    <row r="559" spans="1:6">
      <c r="A559" s="1"/>
      <c r="D559" s="1"/>
      <c r="F559" s="6"/>
    </row>
    <row r="560" spans="1:6">
      <c r="A560" s="1"/>
      <c r="D560" s="1"/>
      <c r="F560" s="6"/>
    </row>
    <row r="561" spans="1:6">
      <c r="A561" s="1"/>
      <c r="D561" s="1"/>
      <c r="F561" s="6"/>
    </row>
    <row r="562" spans="1:6">
      <c r="A562" s="1"/>
      <c r="D562" s="1"/>
      <c r="F562" s="6"/>
    </row>
    <row r="563" spans="1:6">
      <c r="A563" s="1"/>
      <c r="D563" s="1"/>
      <c r="F563" s="6"/>
    </row>
    <row r="564" spans="1:6">
      <c r="A564" s="1"/>
      <c r="D564" s="1"/>
      <c r="F564" s="6"/>
    </row>
    <row r="565" spans="1:6">
      <c r="A565" s="1"/>
      <c r="D565" s="1"/>
      <c r="F565" s="6"/>
    </row>
    <row r="566" spans="1:6">
      <c r="A566" s="1"/>
      <c r="D566" s="1"/>
      <c r="F566" s="6"/>
    </row>
    <row r="567" spans="1:6">
      <c r="A567" s="1"/>
      <c r="D567" s="1"/>
      <c r="F567" s="6"/>
    </row>
    <row r="568" spans="1:6">
      <c r="A568" s="1"/>
      <c r="D568" s="1"/>
      <c r="F568" s="6"/>
    </row>
    <row r="569" spans="1:6">
      <c r="A569" s="1"/>
      <c r="D569" s="1"/>
      <c r="F569" s="6"/>
    </row>
    <row r="570" spans="1:6">
      <c r="A570" s="1"/>
      <c r="D570" s="1"/>
      <c r="F570" s="6"/>
    </row>
    <row r="571" spans="1:6">
      <c r="A571" s="1"/>
      <c r="D571" s="1"/>
      <c r="F571" s="6"/>
    </row>
    <row r="572" spans="1:6">
      <c r="A572" s="1"/>
      <c r="D572" s="1"/>
      <c r="F572" s="6"/>
    </row>
    <row r="573" spans="1:6">
      <c r="A573" s="1"/>
      <c r="D573" s="1"/>
      <c r="F573" s="6"/>
    </row>
    <row r="574" spans="1:6">
      <c r="A574" s="1"/>
      <c r="D574" s="1"/>
      <c r="F574" s="6"/>
    </row>
    <row r="575" spans="1:6">
      <c r="A575" s="1"/>
      <c r="D575" s="1"/>
      <c r="F575" s="6"/>
    </row>
    <row r="576" spans="1:6">
      <c r="A576" s="1"/>
      <c r="D576" s="1"/>
      <c r="F576" s="6"/>
    </row>
    <row r="577" spans="1:6">
      <c r="A577" s="1"/>
      <c r="D577" s="1"/>
      <c r="F577" s="6"/>
    </row>
    <row r="578" spans="1:6">
      <c r="A578" s="1"/>
      <c r="D578" s="1"/>
      <c r="F578" s="6"/>
    </row>
    <row r="579" spans="1:6">
      <c r="A579" s="1"/>
      <c r="D579" s="1"/>
      <c r="F579" s="6"/>
    </row>
    <row r="580" spans="1:6">
      <c r="A580" s="1"/>
      <c r="D580" s="1"/>
      <c r="F580" s="6"/>
    </row>
    <row r="581" spans="1:6">
      <c r="A581" s="1"/>
      <c r="D581" s="1"/>
      <c r="F581" s="6"/>
    </row>
    <row r="582" spans="1:6">
      <c r="A582" s="1"/>
      <c r="D582" s="1"/>
      <c r="F582" s="6"/>
    </row>
    <row r="583" spans="1:6">
      <c r="A583" s="1"/>
      <c r="D583" s="1"/>
      <c r="F583" s="6"/>
    </row>
    <row r="584" spans="1:6">
      <c r="A584" s="1"/>
      <c r="D584" s="1"/>
      <c r="F584" s="6"/>
    </row>
    <row r="585" spans="1:6">
      <c r="A585" s="1"/>
      <c r="D585" s="1"/>
      <c r="F585" s="6"/>
    </row>
    <row r="586" spans="1:6">
      <c r="A586" s="1"/>
      <c r="D586" s="1"/>
      <c r="F586" s="6"/>
    </row>
    <row r="587" spans="1:6">
      <c r="A587" s="1"/>
      <c r="D587" s="1"/>
      <c r="F587" s="6"/>
    </row>
    <row r="588" spans="1:6">
      <c r="A588" s="1"/>
      <c r="D588" s="1"/>
      <c r="F588" s="6"/>
    </row>
    <row r="589" spans="1:6">
      <c r="A589" s="1"/>
      <c r="D589" s="1"/>
      <c r="F589" s="6"/>
    </row>
    <row r="590" spans="1:6">
      <c r="A590" s="1"/>
      <c r="D590" s="1"/>
      <c r="F590" s="6"/>
    </row>
    <row r="591" spans="1:6">
      <c r="A591" s="1"/>
      <c r="D591" s="1"/>
      <c r="F591" s="6"/>
    </row>
    <row r="592" spans="1:6">
      <c r="A592" s="1"/>
      <c r="D592" s="1"/>
      <c r="F592" s="6"/>
    </row>
    <row r="593" spans="1:6">
      <c r="A593" s="1"/>
      <c r="D593" s="1"/>
      <c r="F593" s="6"/>
    </row>
    <row r="594" spans="1:6">
      <c r="A594" s="1"/>
      <c r="D594" s="1"/>
      <c r="F594" s="6"/>
    </row>
    <row r="595" spans="1:6">
      <c r="A595" s="1"/>
      <c r="D595" s="1"/>
      <c r="F595" s="6"/>
    </row>
    <row r="596" spans="1:6">
      <c r="A596" s="1"/>
      <c r="D596" s="1"/>
      <c r="F596" s="6"/>
    </row>
    <row r="597" spans="1:6">
      <c r="A597" s="1"/>
      <c r="D597" s="1"/>
      <c r="F597" s="6"/>
    </row>
    <row r="598" spans="1:6">
      <c r="A598" s="1"/>
      <c r="D598" s="1"/>
      <c r="F598" s="6"/>
    </row>
    <row r="599" spans="1:6">
      <c r="A599" s="1"/>
      <c r="D599" s="1"/>
      <c r="F599" s="6"/>
    </row>
    <row r="600" spans="1:6">
      <c r="A600" s="1"/>
      <c r="D600" s="1"/>
      <c r="F600" s="6"/>
    </row>
    <row r="601" spans="1:6">
      <c r="A601" s="1"/>
      <c r="D601" s="1"/>
      <c r="F601" s="6"/>
    </row>
    <row r="602" spans="1:6">
      <c r="A602" s="1"/>
      <c r="D602" s="1"/>
      <c r="F602" s="6"/>
    </row>
    <row r="603" spans="1:6">
      <c r="A603" s="1"/>
      <c r="D603" s="1"/>
      <c r="F603" s="6"/>
    </row>
    <row r="604" spans="1:6">
      <c r="A604" s="1"/>
      <c r="D604" s="1"/>
      <c r="F604" s="6"/>
    </row>
    <row r="605" spans="1:6">
      <c r="A605" s="1"/>
      <c r="D605" s="1"/>
      <c r="F605" s="6"/>
    </row>
    <row r="606" spans="1:6">
      <c r="A606" s="1"/>
      <c r="D606" s="1"/>
      <c r="F606" s="6"/>
    </row>
    <row r="607" spans="1:6">
      <c r="A607" s="1"/>
      <c r="D607" s="1"/>
      <c r="F607" s="6"/>
    </row>
    <row r="608" spans="1:6">
      <c r="A608" s="1"/>
      <c r="D608" s="1"/>
      <c r="F608" s="6"/>
    </row>
    <row r="609" spans="1:6">
      <c r="A609" s="1"/>
      <c r="D609" s="1"/>
      <c r="F609" s="6"/>
    </row>
    <row r="610" spans="1:6">
      <c r="A610" s="1"/>
      <c r="D610" s="1"/>
      <c r="F610" s="6"/>
    </row>
    <row r="611" spans="1:6">
      <c r="A611" s="1"/>
      <c r="D611" s="1"/>
      <c r="F611" s="6"/>
    </row>
    <row r="612" spans="1:6">
      <c r="A612" s="1"/>
      <c r="D612" s="1"/>
      <c r="F612" s="6"/>
    </row>
    <row r="613" spans="1:6">
      <c r="A613" s="1"/>
      <c r="D613" s="1"/>
      <c r="F613" s="6"/>
    </row>
    <row r="614" spans="1:6">
      <c r="A614" s="1"/>
      <c r="D614" s="1"/>
      <c r="F614" s="6"/>
    </row>
    <row r="615" spans="1:6">
      <c r="A615" s="1"/>
      <c r="D615" s="1"/>
      <c r="F615" s="6"/>
    </row>
    <row r="616" spans="1:6">
      <c r="A616" s="1"/>
      <c r="D616" s="1"/>
      <c r="F616" s="6"/>
    </row>
    <row r="617" spans="1:6">
      <c r="A617" s="1"/>
      <c r="D617" s="1"/>
      <c r="F617" s="6"/>
    </row>
    <row r="618" spans="1:6">
      <c r="A618" s="1"/>
      <c r="D618" s="1"/>
      <c r="F618" s="6"/>
    </row>
    <row r="619" spans="1:6">
      <c r="A619" s="1"/>
      <c r="D619" s="1"/>
      <c r="F619" s="6"/>
    </row>
    <row r="620" spans="1:6">
      <c r="A620" s="1"/>
      <c r="D620" s="1"/>
      <c r="F620" s="6"/>
    </row>
    <row r="621" spans="1:6">
      <c r="A621" s="1"/>
      <c r="D621" s="1"/>
      <c r="F621" s="6"/>
    </row>
    <row r="622" spans="1:6">
      <c r="A622" s="1"/>
      <c r="D622" s="1"/>
      <c r="F622" s="6"/>
    </row>
    <row r="623" spans="1:6">
      <c r="A623" s="1"/>
      <c r="D623" s="1"/>
      <c r="F623" s="6"/>
    </row>
    <row r="624" spans="1:6">
      <c r="A624" s="1"/>
      <c r="D624" s="1"/>
      <c r="F624" s="6"/>
    </row>
    <row r="625" spans="1:6">
      <c r="A625" s="1"/>
      <c r="D625" s="1"/>
      <c r="F625" s="6"/>
    </row>
    <row r="626" spans="1:6">
      <c r="A626" s="1"/>
      <c r="D626" s="1"/>
      <c r="F626" s="6"/>
    </row>
    <row r="627" spans="1:6">
      <c r="A627" s="1"/>
      <c r="D627" s="1"/>
      <c r="F627" s="6"/>
    </row>
    <row r="628" spans="1:6">
      <c r="A628" s="1"/>
      <c r="D628" s="1"/>
      <c r="F628" s="6"/>
    </row>
    <row r="629" spans="1:6">
      <c r="A629" s="1"/>
      <c r="D629" s="1"/>
      <c r="F629" s="6"/>
    </row>
    <row r="630" spans="1:6">
      <c r="A630" s="1"/>
      <c r="D630" s="1"/>
      <c r="F630" s="6"/>
    </row>
    <row r="631" spans="1:6">
      <c r="A631" s="1"/>
      <c r="D631" s="1"/>
      <c r="F631" s="6"/>
    </row>
    <row r="632" spans="1:6">
      <c r="A632" s="1"/>
      <c r="D632" s="1"/>
      <c r="F632" s="6"/>
    </row>
    <row r="633" spans="1:6">
      <c r="A633" s="1"/>
      <c r="D633" s="1"/>
      <c r="F633" s="6"/>
    </row>
    <row r="634" spans="1:6">
      <c r="A634" s="1"/>
      <c r="D634" s="1"/>
      <c r="F634" s="6"/>
    </row>
    <row r="635" spans="1:6">
      <c r="A635" s="1"/>
      <c r="D635" s="1"/>
      <c r="F635" s="6"/>
    </row>
    <row r="636" spans="1:6">
      <c r="A636" s="1"/>
      <c r="D636" s="1"/>
      <c r="F636" s="6"/>
    </row>
    <row r="637" spans="1:6">
      <c r="A637" s="1"/>
      <c r="D637" s="1"/>
      <c r="F637" s="6"/>
    </row>
    <row r="638" spans="1:6">
      <c r="A638" s="1"/>
      <c r="D638" s="1"/>
      <c r="F638" s="6"/>
    </row>
    <row r="639" spans="1:6">
      <c r="A639" s="1"/>
      <c r="D639" s="1"/>
      <c r="F639" s="6"/>
    </row>
    <row r="640" spans="1:6">
      <c r="A640" s="1"/>
      <c r="D640" s="1"/>
      <c r="F640" s="6"/>
    </row>
    <row r="641" spans="1:6">
      <c r="A641" s="1"/>
      <c r="D641" s="1"/>
      <c r="F641" s="6"/>
    </row>
    <row r="642" spans="1:6">
      <c r="A642" s="1"/>
      <c r="D642" s="1"/>
      <c r="F642" s="6"/>
    </row>
    <row r="643" spans="1:6">
      <c r="A643" s="1"/>
      <c r="D643" s="1"/>
      <c r="F643" s="6"/>
    </row>
    <row r="644" spans="1:6">
      <c r="A644" s="1"/>
      <c r="D644" s="1"/>
      <c r="F644" s="6"/>
    </row>
    <row r="645" spans="1:6">
      <c r="A645" s="1"/>
      <c r="D645" s="1"/>
      <c r="F645" s="6"/>
    </row>
    <row r="646" spans="1:6">
      <c r="A646" s="1"/>
      <c r="D646" s="1"/>
      <c r="F646" s="6"/>
    </row>
    <row r="647" spans="1:6">
      <c r="A647" s="1"/>
      <c r="D647" s="1"/>
      <c r="F647" s="6"/>
    </row>
    <row r="648" spans="1:6">
      <c r="A648" s="1"/>
      <c r="D648" s="1"/>
      <c r="F648" s="6"/>
    </row>
    <row r="649" spans="1:6">
      <c r="A649" s="1"/>
      <c r="D649" s="1"/>
      <c r="F649" s="6"/>
    </row>
    <row r="650" spans="1:6">
      <c r="A650" s="1"/>
      <c r="D650" s="1"/>
      <c r="F650" s="6"/>
    </row>
    <row r="651" spans="1:6">
      <c r="A651" s="1"/>
      <c r="D651" s="1"/>
      <c r="F651" s="6"/>
    </row>
    <row r="652" spans="1:6">
      <c r="A652" s="1"/>
      <c r="D652" s="1"/>
      <c r="F652" s="6"/>
    </row>
    <row r="653" spans="1:6">
      <c r="A653" s="1"/>
      <c r="D653" s="1"/>
      <c r="F653" s="6"/>
    </row>
    <row r="654" spans="1:6">
      <c r="A654" s="1"/>
      <c r="D654" s="1"/>
      <c r="F654" s="6"/>
    </row>
    <row r="655" spans="1:6">
      <c r="A655" s="1"/>
      <c r="D655" s="1"/>
      <c r="F655" s="6"/>
    </row>
    <row r="656" spans="1:6">
      <c r="A656" s="1"/>
      <c r="D656" s="1"/>
      <c r="F656" s="6"/>
    </row>
    <row r="657" spans="1:6">
      <c r="A657" s="1"/>
      <c r="D657" s="1"/>
      <c r="F657" s="6"/>
    </row>
    <row r="658" spans="1:6">
      <c r="A658" s="1"/>
      <c r="D658" s="1"/>
      <c r="F658" s="6"/>
    </row>
    <row r="659" spans="1:6">
      <c r="A659" s="1"/>
      <c r="D659" s="1"/>
      <c r="F659" s="6"/>
    </row>
    <row r="660" spans="1:6">
      <c r="A660" s="1"/>
      <c r="D660" s="1"/>
      <c r="F660" s="6"/>
    </row>
    <row r="661" spans="1:6">
      <c r="A661" s="1"/>
      <c r="D661" s="1"/>
      <c r="F661" s="6"/>
    </row>
    <row r="662" spans="1:6">
      <c r="A662" s="1"/>
      <c r="D662" s="1"/>
      <c r="F662" s="6"/>
    </row>
    <row r="663" spans="1:6">
      <c r="A663" s="1"/>
      <c r="D663" s="1"/>
      <c r="F663" s="6"/>
    </row>
    <row r="664" spans="1:6">
      <c r="A664" s="1"/>
      <c r="D664" s="1"/>
      <c r="F664" s="6"/>
    </row>
    <row r="665" spans="1:6">
      <c r="A665" s="1"/>
      <c r="D665" s="1"/>
      <c r="F665" s="6"/>
    </row>
    <row r="666" spans="1:6">
      <c r="A666" s="1"/>
      <c r="D666" s="1"/>
      <c r="F666" s="6"/>
    </row>
    <row r="667" spans="1:6">
      <c r="A667" s="1"/>
      <c r="D667" s="1"/>
      <c r="F667" s="6"/>
    </row>
    <row r="668" spans="1:6">
      <c r="A668" s="1"/>
      <c r="D668" s="1"/>
      <c r="F668" s="6"/>
    </row>
    <row r="669" spans="1:6">
      <c r="A669" s="1"/>
      <c r="D669" s="1"/>
      <c r="F669" s="6"/>
    </row>
    <row r="670" spans="1:6">
      <c r="A670" s="1"/>
      <c r="D670" s="1"/>
      <c r="F670" s="6"/>
    </row>
    <row r="671" spans="1:6">
      <c r="A671" s="1"/>
      <c r="D671" s="1"/>
      <c r="F671" s="6"/>
    </row>
    <row r="672" spans="1:6">
      <c r="A672" s="1"/>
      <c r="D672" s="1"/>
      <c r="F672" s="6"/>
    </row>
    <row r="673" spans="1:4">
      <c r="A673" s="1"/>
      <c r="D673" s="1"/>
    </row>
    <row r="674" spans="1:4">
      <c r="A674" s="1"/>
      <c r="D674" s="1"/>
    </row>
    <row r="675" spans="1:4">
      <c r="A675" s="1"/>
      <c r="D675" s="1"/>
    </row>
    <row r="676" spans="1:4">
      <c r="A676" s="1"/>
      <c r="D676" s="1"/>
    </row>
    <row r="677" spans="1:4">
      <c r="A677" s="1"/>
      <c r="D677" s="1"/>
    </row>
    <row r="678" spans="1:4">
      <c r="A678" s="1"/>
      <c r="D678" s="1"/>
    </row>
    <row r="679" spans="1:4">
      <c r="A679" s="1"/>
      <c r="D679" s="1"/>
    </row>
    <row r="680" spans="1:4">
      <c r="A680" s="1"/>
      <c r="D680" s="1"/>
    </row>
    <row r="681" spans="1:4">
      <c r="A681" s="1"/>
      <c r="D681" s="1"/>
    </row>
    <row r="682" spans="1:4">
      <c r="A682" s="1"/>
      <c r="D682" s="1"/>
    </row>
    <row r="683" spans="1:4">
      <c r="A683" s="1"/>
      <c r="D683" s="1"/>
    </row>
    <row r="684" spans="1:4">
      <c r="A684" s="1"/>
      <c r="D684" s="1"/>
    </row>
    <row r="685" spans="1:4">
      <c r="A685" s="1"/>
      <c r="D685" s="1"/>
    </row>
    <row r="686" spans="1:4">
      <c r="A686" s="1"/>
      <c r="D686" s="1"/>
    </row>
    <row r="687" spans="1:4">
      <c r="A687" s="1"/>
      <c r="D687" s="1"/>
    </row>
    <row r="688" spans="1:4">
      <c r="A688" s="1"/>
      <c r="D688" s="1"/>
    </row>
    <row r="689" spans="1:4">
      <c r="A689" s="1"/>
      <c r="D689" s="1"/>
    </row>
    <row r="690" spans="1:4">
      <c r="A690" s="1"/>
      <c r="D690" s="1"/>
    </row>
    <row r="691" spans="1:4">
      <c r="A691" s="1"/>
      <c r="D691" s="1"/>
    </row>
    <row r="692" spans="1:4">
      <c r="A692" s="1"/>
      <c r="D692" s="1"/>
    </row>
    <row r="693" spans="1:4">
      <c r="A693" s="1"/>
      <c r="D693" s="1"/>
    </row>
    <row r="694" spans="1:4">
      <c r="A694" s="1"/>
      <c r="D694" s="1"/>
    </row>
    <row r="695" spans="1:4">
      <c r="A695" s="1"/>
      <c r="D695" s="1"/>
    </row>
    <row r="696" spans="1:4">
      <c r="A696" s="1"/>
      <c r="D696" s="1"/>
    </row>
    <row r="697" spans="1:4">
      <c r="A697" s="1"/>
      <c r="D697" s="1"/>
    </row>
    <row r="698" spans="1:4">
      <c r="A698" s="1"/>
      <c r="D698" s="1"/>
    </row>
    <row r="699" spans="1:4">
      <c r="A699" s="1"/>
      <c r="D699" s="1"/>
    </row>
    <row r="700" spans="1:4">
      <c r="A700" s="1"/>
      <c r="D700" s="1"/>
    </row>
    <row r="701" spans="1:4">
      <c r="A701" s="1"/>
      <c r="D701" s="1"/>
    </row>
    <row r="702" spans="1:4">
      <c r="A702" s="1"/>
      <c r="D702" s="1"/>
    </row>
    <row r="703" spans="1:4">
      <c r="A703" s="1"/>
      <c r="D703" s="1"/>
    </row>
    <row r="704" spans="1:4">
      <c r="A704" s="1"/>
      <c r="D704" s="1"/>
    </row>
    <row r="705" spans="1:4">
      <c r="A705" s="1"/>
      <c r="D705" s="1"/>
    </row>
    <row r="706" spans="1:4">
      <c r="A706" s="1"/>
      <c r="D706" s="1"/>
    </row>
    <row r="707" spans="1:4">
      <c r="A707" s="1"/>
      <c r="D707" s="1"/>
    </row>
    <row r="708" spans="1:4">
      <c r="A708" s="1"/>
      <c r="D708" s="1"/>
    </row>
    <row r="709" spans="1:4">
      <c r="A709" s="1"/>
      <c r="D709" s="1"/>
    </row>
    <row r="710" spans="1:4">
      <c r="A710" s="1"/>
      <c r="D710" s="1"/>
    </row>
    <row r="711" spans="1:4">
      <c r="A711" s="1"/>
      <c r="D711" s="1"/>
    </row>
    <row r="712" spans="1:4">
      <c r="A712" s="1"/>
      <c r="D712" s="1"/>
    </row>
    <row r="713" spans="1:4">
      <c r="A713" s="1"/>
      <c r="D713" s="1"/>
    </row>
    <row r="714" spans="1:4">
      <c r="A714" s="1"/>
      <c r="D714" s="1"/>
    </row>
    <row r="715" spans="1:4">
      <c r="A715" s="1"/>
      <c r="D715" s="1"/>
    </row>
    <row r="716" spans="1:4">
      <c r="A716" s="1"/>
      <c r="D716" s="1"/>
    </row>
    <row r="717" spans="1:4">
      <c r="A717" s="1"/>
      <c r="D717" s="1"/>
    </row>
    <row r="718" spans="1:4">
      <c r="A718" s="1"/>
      <c r="D718" s="1"/>
    </row>
    <row r="719" spans="1:4">
      <c r="A719" s="1"/>
      <c r="D719" s="1"/>
    </row>
    <row r="720" spans="1:4">
      <c r="A720" s="1"/>
      <c r="D720" s="1"/>
    </row>
    <row r="721" spans="1:4">
      <c r="A721" s="1"/>
      <c r="D721" s="1"/>
    </row>
    <row r="722" spans="1:4">
      <c r="A722" s="1"/>
      <c r="D722" s="1"/>
    </row>
    <row r="723" spans="1:4">
      <c r="A723" s="1"/>
      <c r="D723" s="1"/>
    </row>
    <row r="724" spans="1:4">
      <c r="A724" s="1"/>
      <c r="D724" s="1"/>
    </row>
    <row r="725" spans="1:4">
      <c r="A725" s="1"/>
      <c r="D725" s="1"/>
    </row>
    <row r="726" spans="1:4">
      <c r="A726" s="1"/>
      <c r="D726" s="1"/>
    </row>
    <row r="727" spans="1:4">
      <c r="A727" s="1"/>
      <c r="D727" s="1"/>
    </row>
    <row r="728" spans="1:4">
      <c r="A728" s="1"/>
      <c r="D728" s="1"/>
    </row>
    <row r="729" spans="1:4">
      <c r="A729" s="1"/>
      <c r="D729" s="1"/>
    </row>
    <row r="730" spans="1:4">
      <c r="A730" s="1"/>
      <c r="D730" s="1"/>
    </row>
    <row r="731" spans="1:4">
      <c r="A731" s="1"/>
      <c r="D731" s="1"/>
    </row>
    <row r="732" spans="1:4">
      <c r="A732" s="1"/>
      <c r="D732" s="1"/>
    </row>
    <row r="733" spans="1:4">
      <c r="A733" s="1"/>
      <c r="D733" s="1"/>
    </row>
    <row r="734" spans="1:4">
      <c r="A734" s="1"/>
      <c r="D734" s="1"/>
    </row>
    <row r="735" spans="1:4">
      <c r="A735" s="1"/>
      <c r="D735" s="1"/>
    </row>
    <row r="736" spans="1:4">
      <c r="A736" s="1"/>
      <c r="D736" s="1"/>
    </row>
    <row r="737" spans="1:4">
      <c r="A737" s="1"/>
      <c r="D737" s="1"/>
    </row>
    <row r="738" spans="1:4">
      <c r="A738" s="1"/>
      <c r="D738" s="1"/>
    </row>
    <row r="739" spans="1:4">
      <c r="A739" s="1"/>
      <c r="D739" s="1"/>
    </row>
    <row r="740" spans="1:4">
      <c r="A740" s="1"/>
      <c r="D740" s="1"/>
    </row>
    <row r="741" spans="1:4">
      <c r="A741" s="1"/>
      <c r="D741" s="1"/>
    </row>
    <row r="742" spans="1:4">
      <c r="A742" s="1"/>
      <c r="D742" s="1"/>
    </row>
    <row r="743" spans="1:4">
      <c r="A743" s="1"/>
      <c r="D743" s="1"/>
    </row>
    <row r="744" spans="1:4">
      <c r="A744" s="1"/>
      <c r="D744" s="1"/>
    </row>
    <row r="745" spans="1:4">
      <c r="A745" s="1"/>
      <c r="D745" s="1"/>
    </row>
    <row r="746" spans="1:4">
      <c r="A746" s="1"/>
      <c r="D746" s="1"/>
    </row>
    <row r="747" spans="1:4">
      <c r="A747" s="1"/>
      <c r="D747" s="1"/>
    </row>
    <row r="748" spans="1:4">
      <c r="A748" s="1"/>
      <c r="D748" s="1"/>
    </row>
    <row r="749" spans="1:4">
      <c r="A749" s="1"/>
      <c r="D749" s="1"/>
    </row>
    <row r="750" spans="1:4">
      <c r="A750" s="1"/>
      <c r="D750" s="1"/>
    </row>
    <row r="751" spans="1:4">
      <c r="A751" s="1"/>
      <c r="D751" s="1"/>
    </row>
    <row r="752" spans="1:4">
      <c r="A752" s="1"/>
      <c r="D752" s="1"/>
    </row>
    <row r="753" spans="1:4">
      <c r="A753" s="1"/>
      <c r="D753" s="1"/>
    </row>
    <row r="754" spans="1:4">
      <c r="A754" s="1"/>
      <c r="D754" s="1"/>
    </row>
    <row r="755" spans="1:4">
      <c r="A755" s="1"/>
      <c r="D755" s="1"/>
    </row>
    <row r="756" spans="1:4">
      <c r="A756" s="1"/>
      <c r="D756" s="1"/>
    </row>
    <row r="757" spans="1:4">
      <c r="A757" s="1"/>
      <c r="D757" s="1"/>
    </row>
    <row r="758" spans="1:4">
      <c r="A758" s="1"/>
      <c r="D758" s="1"/>
    </row>
    <row r="759" spans="1:4">
      <c r="A759" s="1"/>
      <c r="D759" s="1"/>
    </row>
    <row r="760" spans="1:4">
      <c r="A760" s="1"/>
      <c r="D760" s="1"/>
    </row>
    <row r="761" spans="1:4">
      <c r="A761" s="1"/>
      <c r="D761" s="1"/>
    </row>
    <row r="762" spans="1:4">
      <c r="A762" s="1"/>
      <c r="D762" s="1"/>
    </row>
    <row r="763" spans="1:4">
      <c r="A763" s="1"/>
      <c r="D763" s="1"/>
    </row>
    <row r="764" spans="1:4">
      <c r="A764" s="1"/>
      <c r="D764" s="1"/>
    </row>
    <row r="765" spans="1:4">
      <c r="A765" s="1"/>
      <c r="D765" s="1"/>
    </row>
    <row r="766" spans="1:4">
      <c r="A766" s="1"/>
      <c r="D766" s="1"/>
    </row>
    <row r="767" spans="1:4">
      <c r="A767" s="1"/>
      <c r="D767" s="1"/>
    </row>
    <row r="768" spans="1:4">
      <c r="A768" s="1"/>
      <c r="D768" s="1"/>
    </row>
    <row r="769" spans="1:4">
      <c r="A769" s="1"/>
      <c r="D769" s="1"/>
    </row>
    <row r="770" spans="1:4">
      <c r="A770" s="1"/>
      <c r="D770" s="1"/>
    </row>
    <row r="771" spans="1:4">
      <c r="A771" s="1"/>
      <c r="D771" s="1"/>
    </row>
    <row r="772" spans="1:4">
      <c r="A772" s="1"/>
      <c r="D772" s="1"/>
    </row>
    <row r="773" spans="1:4">
      <c r="A773" s="1"/>
      <c r="D773" s="1"/>
    </row>
    <row r="774" spans="1:4">
      <c r="A774" s="1"/>
      <c r="D774" s="1"/>
    </row>
    <row r="775" spans="1:4">
      <c r="A775" s="1"/>
      <c r="D775" s="1"/>
    </row>
    <row r="776" spans="1:4">
      <c r="A776" s="1"/>
      <c r="D776" s="1"/>
    </row>
    <row r="777" spans="1:4">
      <c r="A777" s="1"/>
      <c r="D777" s="1"/>
    </row>
    <row r="778" spans="1:4">
      <c r="A778" s="1"/>
      <c r="D778" s="1"/>
    </row>
    <row r="779" spans="1:4">
      <c r="A779" s="1"/>
      <c r="D779" s="1"/>
    </row>
    <row r="780" spans="1:4">
      <c r="A780" s="1"/>
      <c r="D780" s="1"/>
    </row>
    <row r="781" spans="1:4">
      <c r="A781" s="1"/>
      <c r="D781" s="1"/>
    </row>
    <row r="782" spans="1:4">
      <c r="A782" s="1"/>
      <c r="D782" s="1"/>
    </row>
    <row r="783" spans="1:4">
      <c r="A783" s="1"/>
      <c r="D783" s="1"/>
    </row>
    <row r="784" spans="1:4">
      <c r="A784" s="1"/>
      <c r="D784" s="1"/>
    </row>
    <row r="785" spans="1:4">
      <c r="A785" s="1"/>
      <c r="D785" s="1"/>
    </row>
    <row r="786" spans="1:4">
      <c r="A786" s="1"/>
      <c r="D786" s="1"/>
    </row>
    <row r="787" spans="1:4">
      <c r="A787" s="1"/>
      <c r="D787" s="1"/>
    </row>
    <row r="788" spans="1:4">
      <c r="A788" s="1"/>
      <c r="D788" s="1"/>
    </row>
    <row r="789" spans="1:4">
      <c r="A789" s="1"/>
      <c r="D789" s="1"/>
    </row>
    <row r="790" spans="1:4">
      <c r="A790" s="1"/>
      <c r="D790" s="1"/>
    </row>
    <row r="791" spans="1:4">
      <c r="A791" s="1"/>
      <c r="D791" s="1"/>
    </row>
    <row r="792" spans="1:4">
      <c r="A792" s="1"/>
      <c r="D792" s="1"/>
    </row>
    <row r="793" spans="1:4">
      <c r="A793" s="1"/>
      <c r="D793" s="1"/>
    </row>
    <row r="794" spans="1:4">
      <c r="A794" s="1"/>
      <c r="D794" s="1"/>
    </row>
    <row r="795" spans="1:4">
      <c r="A795" s="1"/>
      <c r="D795" s="1"/>
    </row>
    <row r="796" spans="1:4">
      <c r="A796" s="1"/>
      <c r="D796" s="1"/>
    </row>
    <row r="797" spans="1:4">
      <c r="A797" s="1"/>
      <c r="D797" s="1"/>
    </row>
    <row r="798" spans="1:4">
      <c r="A798" s="1"/>
      <c r="D798" s="1"/>
    </row>
    <row r="799" spans="1:4">
      <c r="A799" s="1"/>
      <c r="D799" s="1"/>
    </row>
    <row r="800" spans="1:4">
      <c r="A800" s="1"/>
      <c r="D800" s="1"/>
    </row>
    <row r="801" spans="1:4">
      <c r="A801" s="1"/>
      <c r="D801" s="1"/>
    </row>
    <row r="802" spans="1:4">
      <c r="A802" s="1"/>
      <c r="D802" s="1"/>
    </row>
    <row r="803" spans="1:4">
      <c r="A803" s="1"/>
      <c r="D803" s="1"/>
    </row>
    <row r="804" spans="1:4">
      <c r="A804" s="1"/>
      <c r="D804" s="1"/>
    </row>
    <row r="805" spans="1:4">
      <c r="A805" s="1"/>
      <c r="D805" s="1"/>
    </row>
    <row r="806" spans="1:4">
      <c r="A806" s="1"/>
      <c r="D806" s="1"/>
    </row>
    <row r="807" spans="1:4">
      <c r="A807" s="1"/>
      <c r="D807" s="1"/>
    </row>
    <row r="808" spans="1:4">
      <c r="A808" s="1"/>
      <c r="D808" s="1"/>
    </row>
    <row r="809" spans="1:4">
      <c r="A809" s="1"/>
      <c r="D809" s="1"/>
    </row>
    <row r="810" spans="1:4">
      <c r="A810" s="1"/>
      <c r="D810" s="1"/>
    </row>
    <row r="811" spans="1:4">
      <c r="A811" s="1"/>
      <c r="D811" s="1"/>
    </row>
    <row r="812" spans="1:4">
      <c r="A812" s="1"/>
      <c r="D812" s="1"/>
    </row>
    <row r="813" spans="1:4">
      <c r="A813" s="1"/>
      <c r="D813" s="1"/>
    </row>
    <row r="814" spans="1:4">
      <c r="A814" s="1"/>
      <c r="D814" s="1"/>
    </row>
    <row r="815" spans="1:4">
      <c r="A815" s="1"/>
      <c r="D815" s="1"/>
    </row>
    <row r="816" spans="1:4">
      <c r="A816" s="1"/>
      <c r="D816" s="1"/>
    </row>
    <row r="817" spans="1:4">
      <c r="A817" s="1"/>
      <c r="D817" s="1"/>
    </row>
    <row r="818" spans="1:4">
      <c r="A818" s="1"/>
      <c r="D818" s="1"/>
    </row>
    <row r="819" spans="1:4">
      <c r="A819" s="1"/>
      <c r="D819" s="1"/>
    </row>
    <row r="820" spans="1:4">
      <c r="A820" s="1"/>
      <c r="D820" s="1"/>
    </row>
    <row r="821" spans="1:4">
      <c r="A821" s="1"/>
      <c r="D821" s="1"/>
    </row>
    <row r="822" spans="1:4">
      <c r="A822" s="1"/>
      <c r="D822" s="1"/>
    </row>
    <row r="823" spans="1:4">
      <c r="A823" s="1"/>
      <c r="D823" s="1"/>
    </row>
    <row r="824" spans="1:4">
      <c r="A824" s="1"/>
      <c r="D824" s="1"/>
    </row>
    <row r="825" spans="1:4">
      <c r="A825" s="1"/>
      <c r="D825" s="1"/>
    </row>
    <row r="826" spans="1:4">
      <c r="A826" s="1"/>
      <c r="D826" s="1"/>
    </row>
    <row r="827" spans="1:4">
      <c r="A827" s="1"/>
      <c r="D827" s="1"/>
    </row>
    <row r="828" spans="1:4">
      <c r="A828" s="1"/>
      <c r="D828" s="1"/>
    </row>
    <row r="829" spans="1:4">
      <c r="A829" s="1"/>
      <c r="D829" s="1"/>
    </row>
    <row r="830" spans="1:4">
      <c r="A830" s="1"/>
      <c r="D830" s="1"/>
    </row>
    <row r="831" spans="1:4">
      <c r="A831" s="1"/>
      <c r="D831" s="1"/>
    </row>
    <row r="832" spans="1:4">
      <c r="A832" s="1"/>
      <c r="D832" s="1"/>
    </row>
    <row r="833" spans="1:4">
      <c r="A833" s="1"/>
      <c r="D833" s="1"/>
    </row>
    <row r="834" spans="1:4">
      <c r="A834" s="1"/>
      <c r="D834" s="1"/>
    </row>
    <row r="835" spans="1:4">
      <c r="A835" s="1"/>
      <c r="D835" s="1"/>
    </row>
    <row r="836" spans="1:4">
      <c r="A836" s="1"/>
      <c r="D836" s="1"/>
    </row>
    <row r="837" spans="1:4">
      <c r="A837" s="1"/>
      <c r="D837" s="1"/>
    </row>
    <row r="838" spans="1:4">
      <c r="A838" s="1"/>
      <c r="D838" s="1"/>
    </row>
    <row r="839" spans="1:4">
      <c r="A839" s="1"/>
      <c r="D839" s="1"/>
    </row>
    <row r="840" spans="1:4">
      <c r="A840" s="1"/>
      <c r="D840" s="1"/>
    </row>
    <row r="841" spans="1:4">
      <c r="A841" s="1"/>
      <c r="D841" s="1"/>
    </row>
    <row r="842" spans="1:4">
      <c r="A842" s="1"/>
      <c r="D842" s="1"/>
    </row>
    <row r="843" spans="1:4">
      <c r="A843" s="1"/>
      <c r="D843" s="1"/>
    </row>
    <row r="844" spans="1:4">
      <c r="A844" s="1"/>
      <c r="D844" s="1"/>
    </row>
    <row r="845" spans="1:4">
      <c r="A845" s="1"/>
      <c r="D845" s="1"/>
    </row>
    <row r="846" spans="1:4">
      <c r="A846" s="1"/>
      <c r="D846" s="1"/>
    </row>
    <row r="847" spans="1:4">
      <c r="A847" s="1"/>
      <c r="D847" s="1"/>
    </row>
    <row r="848" spans="1:4">
      <c r="A848" s="1"/>
      <c r="D848" s="1"/>
    </row>
    <row r="849" spans="1:4">
      <c r="A849" s="1"/>
      <c r="D849" s="1"/>
    </row>
    <row r="850" spans="1:4">
      <c r="A850" s="1"/>
      <c r="D850" s="1"/>
    </row>
    <row r="851" spans="1:4">
      <c r="A851" s="1"/>
      <c r="D851" s="1"/>
    </row>
    <row r="852" spans="1:4">
      <c r="A852" s="1"/>
      <c r="D852" s="1"/>
    </row>
    <row r="853" spans="1:4">
      <c r="A853" s="1"/>
      <c r="D853" s="1"/>
    </row>
    <row r="854" spans="1:4">
      <c r="A854" s="1"/>
      <c r="D854" s="1"/>
    </row>
    <row r="855" spans="1:4">
      <c r="A855" s="1"/>
      <c r="D855" s="1"/>
    </row>
    <row r="856" spans="1:4">
      <c r="A856" s="1"/>
      <c r="D856" s="1"/>
    </row>
    <row r="857" spans="1:4">
      <c r="A857" s="1"/>
      <c r="D857" s="1"/>
    </row>
    <row r="858" spans="1:4">
      <c r="A858" s="1"/>
      <c r="D858" s="1"/>
    </row>
    <row r="859" spans="1:4">
      <c r="A859" s="1"/>
      <c r="D859" s="1"/>
    </row>
    <row r="860" spans="1:4">
      <c r="A860" s="1"/>
      <c r="D860" s="1"/>
    </row>
    <row r="861" spans="1:4">
      <c r="A861" s="1"/>
      <c r="D861" s="1"/>
    </row>
    <row r="862" spans="1:4">
      <c r="A862" s="1"/>
      <c r="D862" s="1"/>
    </row>
    <row r="863" spans="1:4">
      <c r="A863" s="1"/>
      <c r="D863" s="1"/>
    </row>
    <row r="864" spans="1:4">
      <c r="A864" s="1"/>
      <c r="D864" s="1"/>
    </row>
    <row r="865" spans="1:4">
      <c r="A865" s="1"/>
      <c r="D865" s="1"/>
    </row>
    <row r="866" spans="1:4">
      <c r="A866" s="1"/>
      <c r="D866" s="1"/>
    </row>
    <row r="867" spans="1:4">
      <c r="A867" s="1"/>
      <c r="D867" s="1"/>
    </row>
    <row r="868" spans="1:4">
      <c r="A868" s="1"/>
      <c r="D868" s="1"/>
    </row>
    <row r="869" spans="1:4">
      <c r="A869" s="1"/>
      <c r="D869" s="1"/>
    </row>
    <row r="870" spans="1:4">
      <c r="A870" s="1"/>
      <c r="D870" s="1"/>
    </row>
    <row r="871" spans="1:4">
      <c r="A871" s="1"/>
      <c r="D871" s="1"/>
    </row>
    <row r="872" spans="1:4">
      <c r="A872" s="1"/>
      <c r="D872" s="1"/>
    </row>
    <row r="873" spans="1:4">
      <c r="A873" s="1"/>
      <c r="D873" s="1"/>
    </row>
    <row r="874" spans="1:4">
      <c r="A874" s="1"/>
      <c r="D874" s="1"/>
    </row>
    <row r="875" spans="1:4">
      <c r="A875" s="1"/>
      <c r="D875" s="1"/>
    </row>
    <row r="876" spans="1:4">
      <c r="A876" s="1"/>
      <c r="D876" s="1"/>
    </row>
    <row r="877" spans="1:4">
      <c r="A877" s="1"/>
      <c r="D877" s="1"/>
    </row>
    <row r="878" spans="1:4">
      <c r="A878" s="1"/>
      <c r="D878" s="1"/>
    </row>
    <row r="879" spans="1:4">
      <c r="A879" s="1"/>
      <c r="D879" s="1"/>
    </row>
    <row r="880" spans="1:4">
      <c r="A880" s="1"/>
      <c r="D880" s="1"/>
    </row>
    <row r="881" spans="1:4">
      <c r="A881" s="1"/>
      <c r="D881" s="1"/>
    </row>
    <row r="882" spans="1:4">
      <c r="A882" s="1"/>
      <c r="D882" s="1"/>
    </row>
    <row r="883" spans="1:4">
      <c r="A883" s="1"/>
      <c r="D883" s="1"/>
    </row>
    <row r="884" spans="1:4">
      <c r="A884" s="1"/>
      <c r="D884" s="1"/>
    </row>
    <row r="885" spans="1:4">
      <c r="A885" s="1"/>
      <c r="D885" s="1"/>
    </row>
    <row r="886" spans="1:4">
      <c r="A886" s="1"/>
      <c r="D886" s="1"/>
    </row>
    <row r="887" spans="1:4">
      <c r="A887" s="1"/>
      <c r="D887" s="1"/>
    </row>
    <row r="888" spans="1:4">
      <c r="A888" s="1"/>
      <c r="D888" s="1"/>
    </row>
    <row r="889" spans="1:4">
      <c r="A889" s="1"/>
      <c r="D889" s="1"/>
    </row>
    <row r="890" spans="1:4">
      <c r="A890" s="1"/>
      <c r="D890" s="1"/>
    </row>
    <row r="891" spans="1:4">
      <c r="A891" s="1"/>
      <c r="D891" s="1"/>
    </row>
    <row r="892" spans="1:4">
      <c r="A892" s="1"/>
      <c r="D892" s="1"/>
    </row>
    <row r="893" spans="1:4">
      <c r="A893" s="1"/>
      <c r="D893" s="1"/>
    </row>
    <row r="894" spans="1:4">
      <c r="A894" s="1"/>
      <c r="D894" s="1"/>
    </row>
    <row r="895" spans="1:4">
      <c r="A895" s="1"/>
      <c r="D895" s="1"/>
    </row>
    <row r="896" spans="1:4">
      <c r="A896" s="1"/>
      <c r="D896" s="1"/>
    </row>
    <row r="897" spans="1:4">
      <c r="A897" s="1"/>
      <c r="D897" s="1"/>
    </row>
    <row r="898" spans="1:4">
      <c r="A898" s="1"/>
      <c r="D898" s="1"/>
    </row>
    <row r="899" spans="1:4">
      <c r="A899" s="1"/>
      <c r="D899" s="1"/>
    </row>
    <row r="900" spans="1:4">
      <c r="A900" s="1"/>
      <c r="D900" s="1"/>
    </row>
    <row r="901" spans="1:4">
      <c r="A901" s="1"/>
      <c r="D901" s="1"/>
    </row>
    <row r="902" spans="1:4">
      <c r="A902" s="1"/>
      <c r="D902" s="1"/>
    </row>
    <row r="903" spans="1:4">
      <c r="A903" s="1"/>
      <c r="D903" s="1"/>
    </row>
    <row r="904" spans="1:4">
      <c r="A904" s="1"/>
      <c r="D904" s="1"/>
    </row>
    <row r="905" spans="1:4">
      <c r="A905" s="1"/>
      <c r="D905" s="1"/>
    </row>
    <row r="906" spans="1:4">
      <c r="A906" s="1"/>
      <c r="D906" s="1"/>
    </row>
    <row r="907" spans="1:4">
      <c r="A907" s="1"/>
      <c r="D907" s="1"/>
    </row>
    <row r="908" spans="1:4">
      <c r="A908" s="1"/>
      <c r="D908" s="1"/>
    </row>
    <row r="909" spans="1:4">
      <c r="A909" s="1"/>
      <c r="D909" s="1"/>
    </row>
    <row r="910" spans="1:4">
      <c r="A910" s="1"/>
      <c r="D910" s="1"/>
    </row>
    <row r="911" spans="1:4">
      <c r="A911" s="1"/>
      <c r="D911" s="1"/>
    </row>
    <row r="912" spans="1:4">
      <c r="A912" s="1"/>
      <c r="D912" s="1"/>
    </row>
    <row r="913" spans="1:4">
      <c r="A913" s="1"/>
      <c r="D913" s="1"/>
    </row>
    <row r="914" spans="1:4">
      <c r="A914" s="1"/>
      <c r="D914" s="1"/>
    </row>
    <row r="915" spans="1:4">
      <c r="A915" s="1"/>
      <c r="D915" s="1"/>
    </row>
    <row r="916" spans="1:4">
      <c r="A916" s="1"/>
      <c r="D916" s="1"/>
    </row>
    <row r="917" spans="1:4">
      <c r="A917" s="1"/>
      <c r="D917" s="1"/>
    </row>
    <row r="918" spans="1:4">
      <c r="A918" s="1"/>
      <c r="D918" s="1"/>
    </row>
    <row r="919" spans="1:4">
      <c r="A919" s="1"/>
      <c r="D919" s="1"/>
    </row>
    <row r="920" spans="1:4">
      <c r="A920" s="1"/>
      <c r="D920" s="1"/>
    </row>
    <row r="921" spans="1:4">
      <c r="A921" s="1"/>
      <c r="D921" s="1"/>
    </row>
    <row r="922" spans="1:4">
      <c r="A922" s="1"/>
      <c r="D922" s="1"/>
    </row>
    <row r="923" spans="1:4">
      <c r="A923" s="1"/>
      <c r="D923" s="1"/>
    </row>
    <row r="924" spans="1:4">
      <c r="A924" s="1"/>
      <c r="D924" s="1"/>
    </row>
    <row r="925" spans="1:4">
      <c r="A925" s="1"/>
      <c r="D925" s="1"/>
    </row>
    <row r="926" spans="1:4">
      <c r="A926" s="1"/>
      <c r="D926" s="1"/>
    </row>
    <row r="927" spans="1:4">
      <c r="A927" s="1"/>
      <c r="D927" s="1"/>
    </row>
    <row r="928" spans="1:4">
      <c r="A928" s="1"/>
      <c r="D928" s="1"/>
    </row>
    <row r="929" spans="1:4">
      <c r="A929" s="1"/>
      <c r="D929" s="1"/>
    </row>
    <row r="930" spans="1:4">
      <c r="A930" s="1"/>
      <c r="D930" s="1"/>
    </row>
    <row r="931" spans="1:4">
      <c r="A931" s="1"/>
      <c r="D931" s="1"/>
    </row>
    <row r="932" spans="1:4">
      <c r="A932" s="1"/>
      <c r="D932" s="1"/>
    </row>
    <row r="933" spans="1:4">
      <c r="A933" s="1"/>
      <c r="D933" s="1"/>
    </row>
    <row r="934" spans="1:4">
      <c r="A934" s="1"/>
      <c r="D934" s="1"/>
    </row>
    <row r="935" spans="1:4">
      <c r="A935" s="1"/>
      <c r="D935" s="1"/>
    </row>
    <row r="936" spans="1:4">
      <c r="A936" s="1"/>
      <c r="D936" s="1"/>
    </row>
    <row r="937" spans="1:4">
      <c r="A937" s="1"/>
      <c r="D937" s="1"/>
    </row>
    <row r="938" spans="1:4">
      <c r="A938" s="1"/>
      <c r="D938" s="1"/>
    </row>
    <row r="939" spans="1:4">
      <c r="A939" s="1"/>
      <c r="D939" s="1"/>
    </row>
    <row r="940" spans="1:4">
      <c r="A940" s="1"/>
      <c r="D940" s="1"/>
    </row>
    <row r="941" spans="1:4">
      <c r="A941" s="1"/>
      <c r="D941" s="1"/>
    </row>
    <row r="942" spans="1:4">
      <c r="A942" s="1"/>
      <c r="D942" s="1"/>
    </row>
    <row r="943" spans="1:4">
      <c r="A943" s="1"/>
      <c r="D943" s="1"/>
    </row>
    <row r="944" spans="1:4">
      <c r="A944" s="1"/>
      <c r="D944" s="1"/>
    </row>
    <row r="945" spans="1:4">
      <c r="A945" s="1"/>
      <c r="D945" s="1"/>
    </row>
    <row r="946" spans="1:4">
      <c r="A946" s="1"/>
      <c r="D946" s="1"/>
    </row>
    <row r="947" spans="1:4">
      <c r="A947" s="1"/>
      <c r="D947" s="1"/>
    </row>
    <row r="948" spans="1:4">
      <c r="A948" s="1"/>
      <c r="D948" s="1"/>
    </row>
    <row r="949" spans="1:4">
      <c r="A949" s="1"/>
      <c r="D949" s="1"/>
    </row>
    <row r="950" spans="1:4">
      <c r="A950" s="1"/>
      <c r="D950" s="1"/>
    </row>
    <row r="951" spans="1:4">
      <c r="A951" s="1"/>
      <c r="D951" s="1"/>
    </row>
    <row r="952" spans="1:4">
      <c r="A952" s="1"/>
      <c r="D952" s="1"/>
    </row>
    <row r="953" spans="1:4">
      <c r="A953" s="1"/>
      <c r="D953" s="1"/>
    </row>
    <row r="954" spans="1:4">
      <c r="A954" s="1"/>
      <c r="D954" s="1"/>
    </row>
    <row r="955" spans="1:4">
      <c r="A955" s="1"/>
      <c r="D955" s="1"/>
    </row>
    <row r="956" spans="1:4">
      <c r="A956" s="1"/>
      <c r="D956" s="1"/>
    </row>
    <row r="957" spans="1:4">
      <c r="A957" s="1"/>
      <c r="D957" s="1"/>
    </row>
    <row r="958" spans="1:4">
      <c r="A958" s="1"/>
      <c r="D958" s="1"/>
    </row>
    <row r="959" spans="1:4">
      <c r="A959" s="1"/>
      <c r="D959" s="1"/>
    </row>
    <row r="960" spans="1:4">
      <c r="A960" s="1"/>
      <c r="D960" s="1"/>
    </row>
    <row r="961" spans="1:4">
      <c r="A961" s="1"/>
      <c r="D961" s="1"/>
    </row>
    <row r="962" spans="1:4">
      <c r="A962" s="1"/>
      <c r="D962" s="1"/>
    </row>
    <row r="963" spans="1:4">
      <c r="A963" s="1"/>
      <c r="D963" s="1"/>
    </row>
    <row r="964" spans="1:4">
      <c r="A964" s="1"/>
      <c r="D964" s="1"/>
    </row>
    <row r="965" spans="1:4">
      <c r="A965" s="1"/>
      <c r="D965" s="1"/>
    </row>
    <row r="966" spans="1:4">
      <c r="A966" s="1"/>
      <c r="D966" s="1"/>
    </row>
    <row r="967" spans="1:4">
      <c r="A967" s="1"/>
      <c r="D967" s="1"/>
    </row>
    <row r="968" spans="1:4">
      <c r="A968" s="1"/>
      <c r="D968" s="1"/>
    </row>
    <row r="969" spans="1:4">
      <c r="A969" s="1"/>
      <c r="D969" s="1"/>
    </row>
    <row r="970" spans="1:4">
      <c r="A970" s="1"/>
      <c r="D970" s="1"/>
    </row>
    <row r="971" spans="1:4">
      <c r="A971" s="1"/>
      <c r="D971" s="1"/>
    </row>
    <row r="972" spans="1:4">
      <c r="A972" s="1"/>
      <c r="D972" s="1"/>
    </row>
    <row r="973" spans="1:4">
      <c r="A973" s="1"/>
      <c r="D973" s="1"/>
    </row>
    <row r="974" spans="1:4">
      <c r="A974" s="1"/>
      <c r="D974" s="1"/>
    </row>
    <row r="975" spans="1:4">
      <c r="A975" s="1"/>
      <c r="D975" s="1"/>
    </row>
    <row r="976" spans="1:4">
      <c r="A976" s="1"/>
      <c r="D976" s="1"/>
    </row>
    <row r="977" spans="1:4">
      <c r="A977" s="1"/>
      <c r="D977" s="1"/>
    </row>
    <row r="978" spans="1:4">
      <c r="A978" s="1"/>
      <c r="D978" s="1"/>
    </row>
    <row r="979" spans="1:4">
      <c r="A979" s="1"/>
      <c r="D979" s="1"/>
    </row>
    <row r="980" spans="1:4">
      <c r="A980" s="1"/>
      <c r="D980" s="1"/>
    </row>
    <row r="981" spans="1:4">
      <c r="A981" s="1"/>
      <c r="D981" s="1"/>
    </row>
    <row r="982" spans="1:4">
      <c r="A982" s="1"/>
      <c r="D982" s="1"/>
    </row>
    <row r="983" spans="1:4">
      <c r="A983" s="1"/>
      <c r="D983" s="1"/>
    </row>
    <row r="984" spans="1:4">
      <c r="A984" s="1"/>
      <c r="D984" s="1"/>
    </row>
    <row r="985" spans="1:4">
      <c r="A985" s="1"/>
      <c r="D985" s="1"/>
    </row>
    <row r="986" spans="1:4">
      <c r="A986" s="1"/>
      <c r="D986" s="1"/>
    </row>
    <row r="987" spans="1:4">
      <c r="A987" s="1"/>
      <c r="D987" s="1"/>
    </row>
    <row r="988" spans="1:4">
      <c r="A988" s="1"/>
      <c r="D988" s="1"/>
    </row>
    <row r="989" spans="1:4">
      <c r="A989" s="1"/>
      <c r="D989" s="1"/>
    </row>
    <row r="990" spans="1:4">
      <c r="A990" s="1"/>
      <c r="D990" s="1"/>
    </row>
    <row r="991" spans="1:4">
      <c r="A991" s="1"/>
      <c r="D991" s="1"/>
    </row>
    <row r="992" spans="1:4">
      <c r="A992" s="1"/>
      <c r="D992" s="1"/>
    </row>
    <row r="993" spans="1:4">
      <c r="A993" s="1"/>
      <c r="D993" s="1"/>
    </row>
    <row r="994" spans="1:4">
      <c r="A994" s="1"/>
      <c r="D994" s="1"/>
    </row>
    <row r="995" spans="1:4">
      <c r="A995" s="1"/>
      <c r="D995" s="1"/>
    </row>
    <row r="996" spans="1:4">
      <c r="A996" s="1"/>
      <c r="D996" s="1"/>
    </row>
    <row r="997" spans="1:4">
      <c r="A997" s="1"/>
      <c r="D997" s="1"/>
    </row>
    <row r="998" spans="1:4">
      <c r="A998" s="1"/>
      <c r="D998" s="1"/>
    </row>
    <row r="999" spans="1:4">
      <c r="A999" s="1"/>
      <c r="D999" s="1"/>
    </row>
    <row r="1000" spans="1:4">
      <c r="A1000" s="1"/>
      <c r="D1000" s="1"/>
    </row>
    <row r="1001" spans="1:4">
      <c r="A1001" s="1"/>
      <c r="D1001" s="1"/>
    </row>
    <row r="1002" spans="1:4">
      <c r="A1002" s="1"/>
      <c r="D1002" s="1"/>
    </row>
    <row r="1003" spans="1:4">
      <c r="A1003" s="1"/>
      <c r="D1003" s="1"/>
    </row>
    <row r="1004" spans="1:4">
      <c r="A1004" s="1"/>
      <c r="D1004" s="1"/>
    </row>
    <row r="1005" spans="1:4">
      <c r="A1005" s="1"/>
      <c r="D1005" s="1"/>
    </row>
    <row r="1006" spans="1:4">
      <c r="A1006" s="1"/>
      <c r="D1006" s="1"/>
    </row>
    <row r="1007" spans="1:4">
      <c r="A1007" s="1"/>
      <c r="D1007" s="1"/>
    </row>
    <row r="1008" spans="1:4">
      <c r="A1008" s="1"/>
      <c r="D1008" s="1"/>
    </row>
    <row r="1009" spans="1:4">
      <c r="A1009" s="1"/>
      <c r="D1009" s="1"/>
    </row>
    <row r="1010" spans="1:4">
      <c r="A1010" s="1"/>
      <c r="D1010" s="1"/>
    </row>
    <row r="1011" spans="1:4">
      <c r="A1011" s="1"/>
      <c r="D1011" s="1"/>
    </row>
    <row r="1012" spans="1:4">
      <c r="A1012" s="1"/>
      <c r="D1012" s="1"/>
    </row>
    <row r="1013" spans="1:4">
      <c r="A1013" s="1"/>
      <c r="D1013" s="1"/>
    </row>
    <row r="1014" spans="1:4">
      <c r="A1014" s="1"/>
      <c r="D1014" s="1"/>
    </row>
    <row r="1015" spans="1:4">
      <c r="A1015" s="1"/>
      <c r="D1015" s="1"/>
    </row>
    <row r="1016" spans="1:4">
      <c r="A1016" s="1"/>
      <c r="D1016" s="1"/>
    </row>
    <row r="1017" spans="1:4">
      <c r="A1017" s="1"/>
      <c r="D1017" s="1"/>
    </row>
    <row r="1018" spans="1:4">
      <c r="A1018" s="1"/>
      <c r="D1018" s="1"/>
    </row>
    <row r="1019" spans="1:4">
      <c r="A1019" s="1"/>
      <c r="D1019" s="1"/>
    </row>
    <row r="1020" spans="1:4">
      <c r="A1020" s="1"/>
      <c r="D1020" s="1"/>
    </row>
    <row r="1021" spans="1:4">
      <c r="A1021" s="1"/>
      <c r="D1021" s="1"/>
    </row>
    <row r="1022" spans="1:4">
      <c r="A1022" s="1"/>
      <c r="D1022" s="1"/>
    </row>
    <row r="1023" spans="1:4">
      <c r="A1023" s="1"/>
      <c r="D1023" s="1"/>
    </row>
    <row r="1024" spans="1:4">
      <c r="A1024" s="1"/>
      <c r="D1024" s="1"/>
    </row>
    <row r="1025" spans="1:4">
      <c r="A1025" s="1"/>
      <c r="D1025" s="1"/>
    </row>
    <row r="1026" spans="1:4">
      <c r="A1026" s="1"/>
      <c r="D1026" s="1"/>
    </row>
    <row r="1027" spans="1:4">
      <c r="A1027" s="1"/>
      <c r="D1027" s="1"/>
    </row>
    <row r="1028" spans="1:4">
      <c r="A1028" s="1"/>
      <c r="D1028" s="1"/>
    </row>
    <row r="1029" spans="1:4">
      <c r="A1029" s="1"/>
      <c r="D1029" s="1"/>
    </row>
    <row r="1030" spans="1:4">
      <c r="A1030" s="1"/>
      <c r="D1030" s="1"/>
    </row>
    <row r="1031" spans="1:4">
      <c r="A1031" s="1"/>
      <c r="D1031" s="1"/>
    </row>
    <row r="1032" spans="1:4">
      <c r="A1032" s="1"/>
      <c r="D1032" s="1"/>
    </row>
    <row r="1033" spans="1:4">
      <c r="A1033" s="1"/>
      <c r="D1033" s="1"/>
    </row>
    <row r="1034" spans="1:4">
      <c r="A1034" s="1"/>
      <c r="D1034" s="1"/>
    </row>
    <row r="1035" spans="1:4">
      <c r="A1035" s="1"/>
      <c r="D1035" s="1"/>
    </row>
    <row r="1036" spans="1:4">
      <c r="A1036" s="1"/>
      <c r="D1036" s="1"/>
    </row>
    <row r="1037" spans="1:4">
      <c r="A1037" s="1"/>
      <c r="D1037" s="1"/>
    </row>
    <row r="1038" spans="1:4">
      <c r="A1038" s="1"/>
      <c r="D1038" s="1"/>
    </row>
    <row r="1039" spans="1:4">
      <c r="A1039" s="1"/>
      <c r="D1039" s="1"/>
    </row>
    <row r="1040" spans="1:4">
      <c r="A1040" s="1"/>
      <c r="D1040" s="1"/>
    </row>
    <row r="1041" spans="1:4">
      <c r="A1041" s="1"/>
      <c r="D1041" s="1"/>
    </row>
    <row r="1042" spans="1:4">
      <c r="A1042" s="1"/>
      <c r="D1042" s="1"/>
    </row>
    <row r="1043" spans="1:4">
      <c r="A1043" s="1"/>
      <c r="D1043" s="1"/>
    </row>
    <row r="1044" spans="1:4">
      <c r="A1044" s="1"/>
      <c r="D1044" s="1"/>
    </row>
    <row r="1045" spans="1:4">
      <c r="A1045" s="1"/>
      <c r="D1045" s="1"/>
    </row>
    <row r="1046" spans="1:4">
      <c r="A1046" s="1"/>
      <c r="D1046" s="1"/>
    </row>
    <row r="1047" spans="1:4">
      <c r="A1047" s="1"/>
      <c r="D1047" s="1"/>
    </row>
    <row r="1048" spans="1:4">
      <c r="A1048" s="1"/>
      <c r="D1048" s="1"/>
    </row>
    <row r="1049" spans="1:4">
      <c r="A1049" s="1"/>
      <c r="D1049" s="1"/>
    </row>
    <row r="1050" spans="1:4">
      <c r="A1050" s="1"/>
      <c r="D1050" s="1"/>
    </row>
    <row r="1051" spans="1:4">
      <c r="A1051" s="1"/>
      <c r="D1051" s="1"/>
    </row>
    <row r="1052" spans="1:4">
      <c r="A1052" s="1"/>
      <c r="D1052" s="1"/>
    </row>
    <row r="1053" spans="1:4">
      <c r="A1053" s="1"/>
      <c r="D1053" s="1"/>
    </row>
    <row r="1054" spans="1:4">
      <c r="A1054" s="1"/>
      <c r="D1054" s="1"/>
    </row>
    <row r="1055" spans="1:4">
      <c r="A1055" s="1"/>
      <c r="D1055" s="1"/>
    </row>
    <row r="1056" spans="1:4">
      <c r="A1056" s="1"/>
      <c r="D1056" s="1"/>
    </row>
    <row r="1057" spans="1:4">
      <c r="A1057" s="1"/>
      <c r="D1057" s="1"/>
    </row>
    <row r="1058" spans="1:4">
      <c r="A1058" s="1"/>
      <c r="D1058" s="1"/>
    </row>
    <row r="1059" spans="1:4">
      <c r="A1059" s="1"/>
      <c r="D1059" s="1"/>
    </row>
    <row r="1060" spans="1:4">
      <c r="A1060" s="1"/>
      <c r="D1060" s="1"/>
    </row>
    <row r="1061" spans="1:4">
      <c r="A1061" s="1"/>
      <c r="D1061" s="1"/>
    </row>
    <row r="1062" spans="1:4">
      <c r="A1062" s="1"/>
      <c r="D1062" s="1"/>
    </row>
    <row r="1063" spans="1:4">
      <c r="A1063" s="1"/>
      <c r="D1063" s="1"/>
    </row>
    <row r="1064" spans="1:4">
      <c r="A1064" s="1"/>
      <c r="D1064" s="1"/>
    </row>
    <row r="1065" spans="1:4">
      <c r="A1065" s="1"/>
      <c r="D1065" s="1"/>
    </row>
    <row r="1066" spans="1:4">
      <c r="A1066" s="1"/>
      <c r="D1066" s="1"/>
    </row>
    <row r="1067" spans="1:4">
      <c r="A1067" s="1"/>
      <c r="D1067" s="1"/>
    </row>
    <row r="1068" spans="1:4">
      <c r="A1068" s="1"/>
      <c r="D1068" s="1"/>
    </row>
    <row r="1069" spans="1:4">
      <c r="A1069" s="1"/>
      <c r="D1069" s="1"/>
    </row>
    <row r="1070" spans="1:4">
      <c r="A1070" s="1"/>
      <c r="D1070" s="1"/>
    </row>
    <row r="1071" spans="1:4">
      <c r="A1071" s="1"/>
      <c r="D1071" s="1"/>
    </row>
    <row r="1072" spans="1:4">
      <c r="A1072" s="1"/>
      <c r="D1072" s="1"/>
    </row>
    <row r="1073" spans="1:4">
      <c r="A1073" s="1"/>
      <c r="D1073" s="1"/>
    </row>
    <row r="1074" spans="1:4">
      <c r="A1074" s="1"/>
      <c r="D1074" s="1"/>
    </row>
    <row r="1075" spans="1:4">
      <c r="A1075" s="1"/>
      <c r="D1075" s="1"/>
    </row>
    <row r="1076" spans="1:4">
      <c r="A1076" s="1"/>
      <c r="D1076" s="1"/>
    </row>
    <row r="1077" spans="1:4">
      <c r="A1077" s="1"/>
      <c r="D1077" s="1"/>
    </row>
    <row r="1078" spans="1:4">
      <c r="A1078" s="1"/>
      <c r="D1078" s="1"/>
    </row>
    <row r="1079" spans="1:4">
      <c r="A1079" s="1"/>
      <c r="D1079" s="1"/>
    </row>
    <row r="1080" spans="1:4">
      <c r="A1080" s="1"/>
      <c r="D1080" s="1"/>
    </row>
    <row r="1081" spans="1:4">
      <c r="A1081" s="1"/>
      <c r="D1081" s="1"/>
    </row>
    <row r="1082" spans="1:4">
      <c r="A1082" s="1"/>
      <c r="D1082" s="1"/>
    </row>
    <row r="1083" spans="1:4">
      <c r="A1083" s="1"/>
      <c r="D1083" s="1"/>
    </row>
    <row r="1084" spans="1:4">
      <c r="A1084" s="1"/>
      <c r="D1084" s="1"/>
    </row>
    <row r="1085" spans="1:4">
      <c r="A1085" s="1"/>
      <c r="D1085" s="1"/>
    </row>
    <row r="1086" spans="1:4">
      <c r="A1086" s="1"/>
      <c r="D1086" s="1"/>
    </row>
    <row r="1087" spans="1:4">
      <c r="A1087" s="1"/>
      <c r="D1087" s="1"/>
    </row>
    <row r="1088" spans="1:4">
      <c r="A1088" s="1"/>
      <c r="D1088" s="1"/>
    </row>
    <row r="1089" spans="1:4">
      <c r="A1089" s="1"/>
      <c r="D1089" s="1"/>
    </row>
    <row r="1090" spans="1:4">
      <c r="A1090" s="1"/>
      <c r="D1090" s="1"/>
    </row>
    <row r="1091" spans="1:4">
      <c r="A1091" s="1"/>
      <c r="D1091" s="1"/>
    </row>
    <row r="1092" spans="1:4">
      <c r="A1092" s="1"/>
      <c r="D1092" s="1"/>
    </row>
    <row r="1093" spans="1:4">
      <c r="A1093" s="1"/>
      <c r="D1093" s="1"/>
    </row>
    <row r="1094" spans="1:4">
      <c r="A1094" s="1"/>
      <c r="D1094" s="1"/>
    </row>
    <row r="1095" spans="1:4">
      <c r="A1095" s="1"/>
      <c r="D1095" s="1"/>
    </row>
    <row r="1096" spans="1:4">
      <c r="A1096" s="1"/>
      <c r="D1096" s="1"/>
    </row>
    <row r="1097" spans="1:4">
      <c r="A1097" s="1"/>
      <c r="D1097" s="1"/>
    </row>
    <row r="1098" spans="1:4">
      <c r="A1098" s="1"/>
      <c r="D1098" s="1"/>
    </row>
    <row r="1099" spans="1:4">
      <c r="A1099" s="1"/>
      <c r="D1099" s="1"/>
    </row>
    <row r="1100" spans="1:4">
      <c r="A1100" s="1"/>
      <c r="D1100" s="1"/>
    </row>
    <row r="1101" spans="1:4">
      <c r="A1101" s="1"/>
      <c r="D1101" s="1"/>
    </row>
    <row r="1102" spans="1:4">
      <c r="A1102" s="1"/>
      <c r="D1102" s="1"/>
    </row>
    <row r="1103" spans="1:4">
      <c r="A1103" s="1"/>
      <c r="D1103" s="1"/>
    </row>
    <row r="1104" spans="1:4">
      <c r="A1104" s="1"/>
      <c r="D1104" s="1"/>
    </row>
    <row r="1105" spans="1:4">
      <c r="A1105" s="1"/>
      <c r="D1105" s="1"/>
    </row>
    <row r="1106" spans="1:4">
      <c r="A1106" s="1"/>
      <c r="D1106" s="1"/>
    </row>
    <row r="1107" spans="1:4">
      <c r="A1107" s="1"/>
      <c r="D1107" s="1"/>
    </row>
    <row r="1108" spans="1:4">
      <c r="A1108" s="1"/>
      <c r="D1108" s="1"/>
    </row>
    <row r="1109" spans="1:4">
      <c r="A1109" s="1"/>
      <c r="D1109" s="1"/>
    </row>
    <row r="1110" spans="1:4">
      <c r="A1110" s="1"/>
      <c r="D1110" s="1"/>
    </row>
    <row r="1111" spans="1:4">
      <c r="A1111" s="1"/>
      <c r="D1111" s="1"/>
    </row>
    <row r="1112" spans="1:4">
      <c r="A1112" s="1"/>
      <c r="D1112" s="1"/>
    </row>
    <row r="1113" spans="1:4">
      <c r="A1113" s="1"/>
      <c r="D1113" s="1"/>
    </row>
    <row r="1114" spans="1:4">
      <c r="A1114" s="1"/>
      <c r="D1114" s="1"/>
    </row>
    <row r="1115" spans="1:4">
      <c r="A1115" s="1"/>
      <c r="D1115" s="1"/>
    </row>
    <row r="1116" spans="1:4">
      <c r="A1116" s="1"/>
      <c r="D1116" s="1"/>
    </row>
    <row r="1117" spans="1:4">
      <c r="A1117" s="1"/>
      <c r="D1117" s="1"/>
    </row>
    <row r="1118" spans="1:4">
      <c r="A1118" s="1"/>
      <c r="D1118" s="1"/>
    </row>
    <row r="1119" spans="1:4">
      <c r="A1119" s="1"/>
      <c r="D1119" s="1"/>
    </row>
    <row r="1120" spans="1:4">
      <c r="A1120" s="1"/>
      <c r="D1120" s="1"/>
    </row>
    <row r="1121" spans="1:4">
      <c r="A1121" s="1"/>
      <c r="D1121" s="1"/>
    </row>
    <row r="1122" spans="1:4">
      <c r="A1122" s="1"/>
      <c r="D1122" s="1"/>
    </row>
    <row r="1123" spans="1:4">
      <c r="A1123" s="1"/>
      <c r="D1123" s="1"/>
    </row>
    <row r="1124" spans="1:4">
      <c r="A1124" s="1"/>
      <c r="D1124" s="1"/>
    </row>
    <row r="1125" spans="1:4">
      <c r="A1125" s="1"/>
      <c r="D1125" s="1"/>
    </row>
    <row r="1126" spans="1:4">
      <c r="A1126" s="1"/>
      <c r="D1126" s="1"/>
    </row>
    <row r="1127" spans="1:4">
      <c r="A1127" s="1"/>
      <c r="D1127" s="1"/>
    </row>
    <row r="1128" spans="1:4">
      <c r="A1128" s="1"/>
      <c r="D1128" s="1"/>
    </row>
    <row r="1129" spans="1:4">
      <c r="A1129" s="1"/>
      <c r="D1129" s="1"/>
    </row>
    <row r="1130" spans="1:4">
      <c r="A1130" s="1"/>
      <c r="D1130" s="1"/>
    </row>
    <row r="1131" spans="1:4">
      <c r="A1131" s="1"/>
      <c r="D1131" s="1"/>
    </row>
    <row r="1132" spans="1:4">
      <c r="A1132" s="1"/>
      <c r="D1132" s="1"/>
    </row>
    <row r="1133" spans="1:4">
      <c r="A1133" s="1"/>
      <c r="D1133" s="1"/>
    </row>
    <row r="1134" spans="1:4">
      <c r="A1134" s="1"/>
      <c r="D1134" s="1"/>
    </row>
    <row r="1135" spans="1:4">
      <c r="A1135" s="1"/>
      <c r="D1135" s="1"/>
    </row>
    <row r="1136" spans="1:4">
      <c r="A1136" s="1"/>
      <c r="D1136" s="1"/>
    </row>
    <row r="1137" spans="1:4">
      <c r="A1137" s="1"/>
      <c r="D1137" s="1"/>
    </row>
    <row r="1138" spans="1:4">
      <c r="A1138" s="1"/>
      <c r="D1138" s="1"/>
    </row>
    <row r="1139" spans="1:4">
      <c r="A1139" s="1"/>
      <c r="D1139" s="1"/>
    </row>
    <row r="1140" spans="1:4">
      <c r="A1140" s="1"/>
      <c r="D1140" s="1"/>
    </row>
    <row r="1141" spans="1:4">
      <c r="A1141" s="1"/>
      <c r="D1141" s="1"/>
    </row>
    <row r="1142" spans="1:4">
      <c r="A1142" s="1"/>
      <c r="D1142" s="1"/>
    </row>
    <row r="1143" spans="1:4">
      <c r="A1143" s="1"/>
      <c r="D1143" s="1"/>
    </row>
    <row r="1144" spans="1:4">
      <c r="A1144" s="1"/>
      <c r="D1144" s="1"/>
    </row>
    <row r="1145" spans="1:4">
      <c r="A1145" s="1"/>
      <c r="D1145" s="1"/>
    </row>
    <row r="1146" spans="1:4">
      <c r="A1146" s="1"/>
      <c r="D1146" s="1"/>
    </row>
    <row r="1147" spans="1:4">
      <c r="A1147" s="1"/>
      <c r="D1147" s="1"/>
    </row>
    <row r="1148" spans="1:4">
      <c r="A1148" s="1"/>
      <c r="D1148" s="1"/>
    </row>
    <row r="1149" spans="1:4">
      <c r="A1149" s="1"/>
      <c r="D1149" s="1"/>
    </row>
    <row r="1150" spans="1:4">
      <c r="A1150" s="1"/>
      <c r="D1150" s="1"/>
    </row>
    <row r="1151" spans="1:4">
      <c r="A1151" s="1"/>
      <c r="D1151" s="1"/>
    </row>
    <row r="1152" spans="1:4">
      <c r="A1152" s="1"/>
      <c r="D1152" s="1"/>
    </row>
    <row r="1153" spans="1:4">
      <c r="A1153" s="1"/>
      <c r="D1153" s="1"/>
    </row>
    <row r="1154" spans="1:4">
      <c r="A1154" s="1"/>
      <c r="D1154" s="1"/>
    </row>
    <row r="1155" spans="1:4">
      <c r="A1155" s="1"/>
      <c r="D1155" s="1"/>
    </row>
    <row r="1156" spans="1:4">
      <c r="A1156" s="1"/>
      <c r="D1156" s="1"/>
    </row>
    <row r="1157" spans="1:4">
      <c r="A1157" s="1"/>
      <c r="D1157" s="1"/>
    </row>
    <row r="1158" spans="1:4">
      <c r="A1158" s="1"/>
      <c r="D1158" s="1"/>
    </row>
    <row r="1159" spans="1:4">
      <c r="A1159" s="1"/>
      <c r="D1159" s="1"/>
    </row>
    <row r="1160" spans="1:4">
      <c r="A1160" s="1"/>
      <c r="D1160" s="1"/>
    </row>
    <row r="1161" spans="1:4">
      <c r="A1161" s="1"/>
      <c r="D1161" s="1"/>
    </row>
    <row r="1162" spans="1:4">
      <c r="A1162" s="1"/>
      <c r="D1162" s="1"/>
    </row>
    <row r="1163" spans="1:4">
      <c r="A1163" s="1"/>
      <c r="D1163" s="1"/>
    </row>
    <row r="1164" spans="1:4">
      <c r="A1164" s="1"/>
      <c r="D1164" s="1"/>
    </row>
    <row r="1165" spans="1:4">
      <c r="A1165" s="1"/>
      <c r="D1165" s="1"/>
    </row>
    <row r="1166" spans="1:4">
      <c r="A1166" s="1"/>
      <c r="D1166" s="1"/>
    </row>
    <row r="1167" spans="1:4">
      <c r="A1167" s="1"/>
      <c r="D1167" s="1"/>
    </row>
    <row r="1168" spans="1:4">
      <c r="A1168" s="1"/>
      <c r="D1168" s="1"/>
    </row>
    <row r="1169" spans="1:4">
      <c r="A1169" s="1"/>
      <c r="D1169" s="1"/>
    </row>
    <row r="1170" spans="1:4">
      <c r="A1170" s="1"/>
      <c r="D1170" s="1"/>
    </row>
    <row r="1171" spans="1:4">
      <c r="A1171" s="1"/>
      <c r="D1171" s="1"/>
    </row>
    <row r="1172" spans="1:4">
      <c r="A1172" s="1"/>
      <c r="D1172" s="1"/>
    </row>
    <row r="1173" spans="1:4">
      <c r="A1173" s="1"/>
      <c r="D1173" s="1"/>
    </row>
    <row r="1174" spans="1:4">
      <c r="A1174" s="1"/>
      <c r="D1174" s="1"/>
    </row>
    <row r="1175" spans="1:4">
      <c r="A1175" s="1"/>
      <c r="D1175" s="1"/>
    </row>
    <row r="1176" spans="1:4">
      <c r="A1176" s="1"/>
      <c r="D1176" s="1"/>
    </row>
    <row r="1177" spans="1:4">
      <c r="A1177" s="1"/>
      <c r="D1177" s="1"/>
    </row>
    <row r="1178" spans="1:4">
      <c r="A1178" s="1"/>
      <c r="D1178" s="1"/>
    </row>
    <row r="1179" spans="1:4">
      <c r="A1179" s="1"/>
      <c r="D1179" s="1"/>
    </row>
    <row r="1180" spans="1:4">
      <c r="A1180" s="1"/>
      <c r="D1180" s="1"/>
    </row>
    <row r="1181" spans="1:4">
      <c r="A1181" s="1"/>
      <c r="D1181" s="1"/>
    </row>
    <row r="1182" spans="1:4">
      <c r="A1182" s="1"/>
      <c r="D1182" s="1"/>
    </row>
    <row r="1183" spans="1:4">
      <c r="A1183" s="1"/>
      <c r="D1183" s="1"/>
    </row>
    <row r="1184" spans="1:4">
      <c r="A1184" s="1"/>
      <c r="D1184" s="1"/>
    </row>
    <row r="1185" spans="1:4">
      <c r="A1185" s="1"/>
      <c r="D1185" s="1"/>
    </row>
    <row r="1186" spans="1:4">
      <c r="A1186" s="1"/>
      <c r="D1186" s="1"/>
    </row>
    <row r="1187" spans="1:4">
      <c r="A1187" s="1"/>
      <c r="D1187" s="1"/>
    </row>
    <row r="1188" spans="1:4">
      <c r="A1188" s="1"/>
      <c r="D1188" s="1"/>
    </row>
    <row r="1189" spans="1:4">
      <c r="A1189" s="1"/>
      <c r="D1189" s="1"/>
    </row>
    <row r="1190" spans="1:4">
      <c r="A1190" s="1"/>
      <c r="D1190" s="1"/>
    </row>
    <row r="1191" spans="1:4">
      <c r="A1191" s="1"/>
      <c r="D1191" s="1"/>
    </row>
    <row r="1192" spans="1:4">
      <c r="A1192" s="1"/>
      <c r="D1192" s="1"/>
    </row>
    <row r="1193" spans="1:4">
      <c r="A1193" s="1"/>
      <c r="D1193" s="1"/>
    </row>
    <row r="1194" spans="1:4">
      <c r="A1194" s="1"/>
      <c r="D1194" s="1"/>
    </row>
    <row r="1195" spans="1:4">
      <c r="A1195" s="1"/>
      <c r="D1195" s="1"/>
    </row>
    <row r="1196" spans="1:4">
      <c r="A1196" s="1"/>
      <c r="D1196" s="1"/>
    </row>
    <row r="1197" spans="1:4">
      <c r="A1197" s="1"/>
      <c r="D1197" s="1"/>
    </row>
    <row r="1198" spans="1:4">
      <c r="A1198" s="1"/>
      <c r="D1198" s="1"/>
    </row>
    <row r="1199" spans="1:4">
      <c r="A1199" s="1"/>
      <c r="D1199" s="1"/>
    </row>
    <row r="1200" spans="1:4">
      <c r="A1200" s="1"/>
      <c r="D1200" s="1"/>
    </row>
    <row r="1201" spans="1:4">
      <c r="A1201" s="1"/>
      <c r="D1201" s="1"/>
    </row>
    <row r="1202" spans="1:4">
      <c r="A1202" s="1"/>
      <c r="D1202" s="1"/>
    </row>
    <row r="1203" spans="1:4">
      <c r="A1203" s="1"/>
      <c r="D1203" s="1"/>
    </row>
    <row r="1204" spans="1:4">
      <c r="A1204" s="1"/>
      <c r="D1204" s="1"/>
    </row>
    <row r="1205" spans="1:4">
      <c r="A1205" s="1"/>
      <c r="D1205" s="1"/>
    </row>
    <row r="1206" spans="1:4">
      <c r="A1206" s="1"/>
      <c r="D1206" s="1"/>
    </row>
    <row r="1207" spans="1:4">
      <c r="A1207" s="1"/>
      <c r="D1207" s="1"/>
    </row>
    <row r="1208" spans="1:4">
      <c r="A1208" s="1"/>
      <c r="D1208" s="1"/>
    </row>
    <row r="1209" spans="1:4">
      <c r="A1209" s="1"/>
      <c r="D1209" s="1"/>
    </row>
    <row r="1210" spans="1:4">
      <c r="A1210" s="1"/>
      <c r="D1210" s="1"/>
    </row>
    <row r="1211" spans="1:4">
      <c r="A1211" s="1"/>
      <c r="D1211" s="1"/>
    </row>
    <row r="1212" spans="1:4">
      <c r="A1212" s="1"/>
      <c r="D1212" s="1"/>
    </row>
    <row r="1213" spans="1:4">
      <c r="A1213" s="1"/>
      <c r="D1213" s="1"/>
    </row>
    <row r="1214" spans="1:4">
      <c r="A1214" s="1"/>
      <c r="D1214" s="1"/>
    </row>
    <row r="1215" spans="1:4">
      <c r="A1215" s="1"/>
      <c r="D1215" s="1"/>
    </row>
    <row r="1216" spans="1:4">
      <c r="A1216" s="1"/>
      <c r="D1216" s="1"/>
    </row>
    <row r="1217" spans="1:4">
      <c r="A1217" s="1"/>
      <c r="D1217" s="1"/>
    </row>
    <row r="1218" spans="1:4">
      <c r="A1218" s="1"/>
      <c r="D1218" s="1"/>
    </row>
    <row r="1219" spans="1:4">
      <c r="A1219" s="1"/>
      <c r="D1219" s="1"/>
    </row>
    <row r="1220" spans="1:4">
      <c r="A1220" s="1"/>
      <c r="D1220" s="1"/>
    </row>
    <row r="1221" spans="1:4">
      <c r="A1221" s="1"/>
      <c r="D1221" s="1"/>
    </row>
    <row r="1222" spans="1:4">
      <c r="A1222" s="1"/>
      <c r="D1222" s="1"/>
    </row>
    <row r="1223" spans="1:4">
      <c r="A1223" s="1"/>
      <c r="D1223" s="1"/>
    </row>
    <row r="1224" spans="1:4">
      <c r="A1224" s="1"/>
      <c r="D1224" s="1"/>
    </row>
    <row r="1225" spans="1:4">
      <c r="A1225" s="1"/>
      <c r="D1225" s="1"/>
    </row>
    <row r="1226" spans="1:4">
      <c r="A1226" s="1"/>
      <c r="D1226" s="1"/>
    </row>
    <row r="1227" spans="1:4">
      <c r="A1227" s="1"/>
      <c r="D1227" s="1"/>
    </row>
    <row r="1228" spans="1:4">
      <c r="A1228" s="1"/>
      <c r="D1228" s="1"/>
    </row>
    <row r="1229" spans="1:4">
      <c r="A1229" s="1"/>
      <c r="D1229" s="1"/>
    </row>
    <row r="1230" spans="1:4">
      <c r="A1230" s="1"/>
      <c r="D1230" s="1"/>
    </row>
    <row r="1231" spans="1:4">
      <c r="A1231" s="1"/>
      <c r="D1231" s="1"/>
    </row>
    <row r="1232" spans="1:4">
      <c r="A1232" s="1"/>
      <c r="D1232" s="1"/>
    </row>
    <row r="1233" spans="1:4">
      <c r="A1233" s="1"/>
      <c r="D1233" s="1"/>
    </row>
    <row r="1234" spans="1:4">
      <c r="A1234" s="1"/>
      <c r="D1234" s="1"/>
    </row>
    <row r="1235" spans="1:4">
      <c r="A1235" s="1"/>
      <c r="D1235" s="1"/>
    </row>
    <row r="1236" spans="1:4">
      <c r="A1236" s="1"/>
      <c r="D1236" s="1"/>
    </row>
    <row r="1237" spans="1:4">
      <c r="A1237" s="1"/>
      <c r="D1237" s="1"/>
    </row>
    <row r="1238" spans="1:4">
      <c r="A1238" s="1"/>
      <c r="D1238" s="1"/>
    </row>
    <row r="1239" spans="1:4">
      <c r="A1239" s="1"/>
      <c r="D1239" s="1"/>
    </row>
    <row r="1240" spans="1:4">
      <c r="A1240" s="1"/>
      <c r="D1240" s="1"/>
    </row>
    <row r="1241" spans="1:4">
      <c r="A1241" s="1"/>
      <c r="D1241" s="1"/>
    </row>
    <row r="1242" spans="1:4">
      <c r="A1242" s="1"/>
      <c r="D1242" s="1"/>
    </row>
    <row r="1243" spans="1:4">
      <c r="A1243" s="1"/>
      <c r="D1243" s="1"/>
    </row>
    <row r="1244" spans="1:4">
      <c r="A1244" s="1"/>
      <c r="D1244" s="1"/>
    </row>
    <row r="1245" spans="1:4">
      <c r="A1245" s="1"/>
      <c r="D1245" s="1"/>
    </row>
    <row r="1246" spans="1:4">
      <c r="A1246" s="1"/>
      <c r="D1246" s="1"/>
    </row>
    <row r="1247" spans="1:4">
      <c r="A1247" s="1"/>
      <c r="D1247" s="1"/>
    </row>
    <row r="1248" spans="1:4">
      <c r="A1248" s="1"/>
      <c r="D1248" s="1"/>
    </row>
    <row r="1249" spans="1:4">
      <c r="A1249" s="1"/>
      <c r="D1249" s="1"/>
    </row>
    <row r="1250" spans="1:4">
      <c r="A1250" s="1"/>
      <c r="D1250" s="1"/>
    </row>
    <row r="1251" spans="1:4">
      <c r="A1251" s="1"/>
      <c r="D1251" s="1"/>
    </row>
    <row r="1252" spans="1:4">
      <c r="A1252" s="1"/>
      <c r="D1252" s="1"/>
    </row>
    <row r="1253" spans="1:4">
      <c r="A1253" s="1"/>
      <c r="D1253" s="1"/>
    </row>
    <row r="1254" spans="1:4">
      <c r="A1254" s="1"/>
      <c r="D1254" s="1"/>
    </row>
    <row r="1255" spans="1:4">
      <c r="A1255" s="1"/>
      <c r="D1255" s="1"/>
    </row>
    <row r="1256" spans="1:4">
      <c r="A1256" s="1"/>
      <c r="D1256" s="1"/>
    </row>
    <row r="1257" spans="1:4">
      <c r="A1257" s="1"/>
      <c r="D1257" s="1"/>
    </row>
    <row r="1258" spans="1:4">
      <c r="A1258" s="1"/>
      <c r="D1258" s="1"/>
    </row>
    <row r="1259" spans="1:4">
      <c r="A1259" s="1"/>
      <c r="D1259" s="1"/>
    </row>
    <row r="1260" spans="1:4">
      <c r="A1260" s="1"/>
      <c r="D1260" s="1"/>
    </row>
    <row r="1261" spans="1:4">
      <c r="A1261" s="1"/>
      <c r="D1261" s="1"/>
    </row>
    <row r="1262" spans="1:4">
      <c r="A1262" s="1"/>
      <c r="D1262" s="1"/>
    </row>
    <row r="1263" spans="1:4">
      <c r="A1263" s="1"/>
      <c r="D1263" s="1"/>
    </row>
    <row r="1264" spans="1:4">
      <c r="A1264" s="1"/>
      <c r="D1264" s="1"/>
    </row>
    <row r="1265" spans="1:4">
      <c r="A1265" s="1"/>
      <c r="D1265" s="1"/>
    </row>
    <row r="1266" spans="1:4">
      <c r="A1266" s="1"/>
      <c r="D1266" s="1"/>
    </row>
    <row r="1267" spans="1:4">
      <c r="A1267" s="1"/>
      <c r="D1267" s="1"/>
    </row>
    <row r="1268" spans="1:4">
      <c r="A1268" s="1"/>
      <c r="D1268" s="1"/>
    </row>
    <row r="1269" spans="1:4">
      <c r="A1269" s="1"/>
      <c r="D1269" s="1"/>
    </row>
    <row r="1270" spans="1:4">
      <c r="A1270" s="1"/>
      <c r="D1270" s="1"/>
    </row>
    <row r="1271" spans="1:4">
      <c r="A1271" s="1"/>
      <c r="D1271" s="1"/>
    </row>
    <row r="1272" spans="1:4">
      <c r="A1272" s="1"/>
      <c r="D1272" s="1"/>
    </row>
    <row r="1273" spans="1:4">
      <c r="A1273" s="1"/>
      <c r="D1273" s="1"/>
    </row>
    <row r="1274" spans="1:4">
      <c r="A1274" s="1"/>
      <c r="D1274" s="1"/>
    </row>
    <row r="1275" spans="1:4">
      <c r="A1275" s="1"/>
      <c r="D1275" s="1"/>
    </row>
    <row r="1276" spans="1:4">
      <c r="A1276" s="1"/>
      <c r="D1276" s="1"/>
    </row>
    <row r="1277" spans="1:4">
      <c r="A1277" s="1"/>
      <c r="D1277" s="1"/>
    </row>
    <row r="1278" spans="1:4">
      <c r="A1278" s="1"/>
      <c r="D1278" s="1"/>
    </row>
    <row r="1279" spans="1:4">
      <c r="A1279" s="1"/>
      <c r="D1279" s="1"/>
    </row>
    <row r="1280" spans="1:4">
      <c r="A1280" s="1"/>
      <c r="D1280" s="1"/>
    </row>
    <row r="1281" spans="1:4">
      <c r="A1281" s="1"/>
      <c r="D1281" s="1"/>
    </row>
    <row r="1282" spans="1:4">
      <c r="A1282" s="1"/>
      <c r="D1282" s="1"/>
    </row>
    <row r="1283" spans="1:4">
      <c r="A1283" s="1"/>
      <c r="D1283" s="1"/>
    </row>
    <row r="1284" spans="1:4">
      <c r="A1284" s="1"/>
      <c r="D1284" s="1"/>
    </row>
    <row r="1285" spans="1:4">
      <c r="A1285" s="1"/>
      <c r="D1285" s="1"/>
    </row>
    <row r="1286" spans="1:4">
      <c r="A1286" s="1"/>
      <c r="D1286" s="1"/>
    </row>
    <row r="1287" spans="1:4">
      <c r="A1287" s="1"/>
      <c r="D1287" s="1"/>
    </row>
    <row r="1288" spans="1:4">
      <c r="A1288" s="1"/>
      <c r="D1288" s="1"/>
    </row>
    <row r="1289" spans="1:4">
      <c r="A1289" s="1"/>
      <c r="D1289" s="1"/>
    </row>
    <row r="1290" spans="1:4">
      <c r="A1290" s="1"/>
      <c r="D1290" s="1"/>
    </row>
    <row r="1291" spans="1:4">
      <c r="A1291" s="1"/>
      <c r="D1291" s="1"/>
    </row>
    <row r="1292" spans="1:4">
      <c r="A1292" s="1"/>
      <c r="D1292" s="1"/>
    </row>
    <row r="1293" spans="1:4">
      <c r="A1293" s="1"/>
      <c r="D1293" s="1"/>
    </row>
    <row r="1294" spans="1:4">
      <c r="A1294" s="1"/>
      <c r="D1294" s="1"/>
    </row>
    <row r="1295" spans="1:4">
      <c r="A1295" s="1"/>
      <c r="D1295" s="1"/>
    </row>
    <row r="1296" spans="1:4">
      <c r="A1296" s="1"/>
      <c r="D1296" s="1"/>
    </row>
    <row r="1297" spans="1:4">
      <c r="A1297" s="1"/>
      <c r="D1297" s="1"/>
    </row>
    <row r="1298" spans="1:4">
      <c r="A1298" s="1"/>
      <c r="D1298" s="1"/>
    </row>
    <row r="1299" spans="1:4">
      <c r="A1299" s="1"/>
      <c r="D1299" s="1"/>
    </row>
    <row r="1300" spans="1:4">
      <c r="A1300" s="1"/>
      <c r="D1300" s="1"/>
    </row>
    <row r="1301" spans="1:4">
      <c r="A1301" s="1"/>
      <c r="D1301" s="1"/>
    </row>
    <row r="1302" spans="1:4">
      <c r="A1302" s="1"/>
      <c r="D1302" s="1"/>
    </row>
    <row r="1303" spans="1:4">
      <c r="A1303" s="1"/>
      <c r="D1303" s="1"/>
    </row>
    <row r="1304" spans="1:4">
      <c r="A1304" s="1"/>
      <c r="D1304" s="1"/>
    </row>
    <row r="1305" spans="1:4">
      <c r="A1305" s="1"/>
      <c r="D1305" s="1"/>
    </row>
    <row r="1306" spans="1:4">
      <c r="A1306" s="1"/>
      <c r="D1306" s="1"/>
    </row>
    <row r="1307" spans="1:4">
      <c r="A1307" s="1"/>
      <c r="D1307" s="1"/>
    </row>
    <row r="1308" spans="1:4">
      <c r="A1308" s="1"/>
      <c r="D1308" s="1"/>
    </row>
    <row r="1309" spans="1:4">
      <c r="A1309" s="1"/>
      <c r="D1309" s="1"/>
    </row>
    <row r="1310" spans="1:4">
      <c r="A1310" s="1"/>
      <c r="D1310" s="1"/>
    </row>
    <row r="1311" spans="1:4">
      <c r="A1311" s="1"/>
      <c r="D1311" s="1"/>
    </row>
    <row r="1312" spans="1:4">
      <c r="A1312" s="1"/>
      <c r="D1312" s="1"/>
    </row>
    <row r="1313" spans="1:4">
      <c r="A1313" s="1"/>
      <c r="D1313" s="1"/>
    </row>
    <row r="1314" spans="1:4">
      <c r="A1314" s="1"/>
      <c r="D1314" s="1"/>
    </row>
    <row r="1315" spans="1:4">
      <c r="A1315" s="1"/>
      <c r="D1315" s="1"/>
    </row>
    <row r="1316" spans="1:4">
      <c r="A1316" s="1"/>
      <c r="D1316" s="1"/>
    </row>
    <row r="1317" spans="1:4">
      <c r="A1317" s="1"/>
      <c r="D1317" s="1"/>
    </row>
    <row r="1318" spans="1:4">
      <c r="A1318" s="1"/>
      <c r="D1318" s="1"/>
    </row>
    <row r="1319" spans="1:4">
      <c r="A1319" s="1"/>
      <c r="D1319" s="1"/>
    </row>
    <row r="1320" spans="1:4">
      <c r="A1320" s="1"/>
      <c r="D1320" s="1"/>
    </row>
    <row r="1321" spans="1:4">
      <c r="A1321" s="1"/>
      <c r="D1321" s="1"/>
    </row>
    <row r="1322" spans="1:4">
      <c r="A1322" s="1"/>
      <c r="D1322" s="1"/>
    </row>
    <row r="1323" spans="1:4">
      <c r="A1323" s="1"/>
      <c r="D1323" s="1"/>
    </row>
    <row r="1324" spans="1:4">
      <c r="A1324" s="1"/>
      <c r="D1324" s="1"/>
    </row>
    <row r="1325" spans="1:4">
      <c r="A1325" s="1"/>
      <c r="D1325" s="1"/>
    </row>
    <row r="1326" spans="1:4">
      <c r="A1326" s="1"/>
      <c r="D1326" s="1"/>
    </row>
    <row r="1327" spans="1:4">
      <c r="A1327" s="1"/>
      <c r="D1327" s="1"/>
    </row>
    <row r="1328" spans="1:4">
      <c r="A1328" s="1"/>
      <c r="D1328" s="1"/>
    </row>
    <row r="1329" spans="1:4">
      <c r="A1329" s="1"/>
      <c r="D1329" s="1"/>
    </row>
    <row r="1330" spans="1:4">
      <c r="A1330" s="1"/>
      <c r="D1330" s="1"/>
    </row>
    <row r="1331" spans="1:4">
      <c r="A1331" s="1"/>
      <c r="D1331" s="1"/>
    </row>
    <row r="1332" spans="1:4">
      <c r="A1332" s="1"/>
      <c r="D1332" s="1"/>
    </row>
    <row r="1333" spans="1:4">
      <c r="A1333" s="1"/>
      <c r="D1333" s="1"/>
    </row>
    <row r="1334" spans="1:4">
      <c r="A1334" s="1"/>
      <c r="D1334" s="1"/>
    </row>
    <row r="1335" spans="1:4">
      <c r="A1335" s="1"/>
      <c r="D1335" s="1"/>
    </row>
    <row r="1336" spans="1:4">
      <c r="A1336" s="1"/>
      <c r="D1336" s="1"/>
    </row>
    <row r="1337" spans="1:4">
      <c r="A1337" s="1"/>
      <c r="D1337" s="1"/>
    </row>
    <row r="1338" spans="1:4">
      <c r="A1338" s="1"/>
      <c r="D1338" s="1"/>
    </row>
    <row r="1339" spans="1:4">
      <c r="A1339" s="1"/>
      <c r="D1339" s="1"/>
    </row>
    <row r="1340" spans="1:4">
      <c r="A1340" s="1"/>
      <c r="D1340" s="1"/>
    </row>
    <row r="1341" spans="1:4">
      <c r="A1341" s="1"/>
      <c r="D1341" s="1"/>
    </row>
    <row r="1342" spans="1:4">
      <c r="A1342" s="1"/>
      <c r="D1342" s="1"/>
    </row>
    <row r="1343" spans="1:4">
      <c r="A1343" s="1"/>
      <c r="D1343" s="1"/>
    </row>
    <row r="1344" spans="1:4">
      <c r="A1344" s="1"/>
      <c r="D1344" s="1"/>
    </row>
    <row r="1345" spans="1:4">
      <c r="A1345" s="1"/>
      <c r="D1345" s="1"/>
    </row>
    <row r="1346" spans="1:4">
      <c r="A1346" s="1"/>
      <c r="D1346" s="1"/>
    </row>
    <row r="1347" spans="1:4">
      <c r="A1347" s="1"/>
      <c r="D1347" s="1"/>
    </row>
    <row r="1348" spans="1:4">
      <c r="A1348" s="1"/>
      <c r="D1348" s="1"/>
    </row>
    <row r="1349" spans="1:4">
      <c r="A1349" s="1"/>
      <c r="D1349" s="1"/>
    </row>
    <row r="1350" spans="1:4">
      <c r="A1350" s="1"/>
      <c r="D1350" s="1"/>
    </row>
    <row r="1351" spans="1:4">
      <c r="A1351" s="1"/>
      <c r="D1351" s="1"/>
    </row>
    <row r="1352" spans="1:4">
      <c r="A1352" s="1"/>
      <c r="D1352" s="1"/>
    </row>
    <row r="1353" spans="1:4">
      <c r="A1353" s="1"/>
      <c r="D1353" s="1"/>
    </row>
    <row r="1354" spans="1:4">
      <c r="A1354" s="1"/>
      <c r="D1354" s="1"/>
    </row>
    <row r="1355" spans="1:4">
      <c r="A1355" s="1"/>
      <c r="D1355" s="1"/>
    </row>
    <row r="1356" spans="1:4">
      <c r="A1356" s="1"/>
      <c r="D1356" s="1"/>
    </row>
    <row r="1357" spans="1:4">
      <c r="A1357" s="1"/>
      <c r="D1357" s="1"/>
    </row>
    <row r="1358" spans="1:4">
      <c r="A1358" s="1"/>
      <c r="D1358" s="1"/>
    </row>
    <row r="1359" spans="1:4">
      <c r="A1359" s="1"/>
      <c r="D1359" s="1"/>
    </row>
    <row r="1360" spans="1:4">
      <c r="A1360" s="1"/>
      <c r="D1360" s="1"/>
    </row>
    <row r="1361" spans="1:4">
      <c r="A1361" s="1"/>
      <c r="D1361" s="1"/>
    </row>
    <row r="1362" spans="1:4">
      <c r="A1362" s="1"/>
      <c r="D1362" s="1"/>
    </row>
    <row r="1363" spans="1:4">
      <c r="A1363" s="1"/>
      <c r="D1363" s="1"/>
    </row>
    <row r="1364" spans="1:4">
      <c r="A1364" s="1"/>
      <c r="D1364" s="1"/>
    </row>
    <row r="1365" spans="1:4">
      <c r="A1365" s="1"/>
      <c r="D1365" s="1"/>
    </row>
    <row r="1366" spans="1:4">
      <c r="A1366" s="1"/>
      <c r="D1366" s="1"/>
    </row>
    <row r="1367" spans="1:4">
      <c r="A1367" s="1"/>
      <c r="D1367" s="1"/>
    </row>
    <row r="1368" spans="1:4">
      <c r="A1368" s="1"/>
      <c r="D1368" s="1"/>
    </row>
    <row r="1369" spans="1:4">
      <c r="A1369" s="1"/>
      <c r="D1369" s="1"/>
    </row>
    <row r="1370" spans="1:4">
      <c r="A1370" s="1"/>
      <c r="D1370" s="1"/>
    </row>
    <row r="1371" spans="1:4">
      <c r="A1371" s="1"/>
      <c r="D1371" s="1"/>
    </row>
    <row r="1372" spans="1:4">
      <c r="A1372" s="1"/>
      <c r="D1372" s="1"/>
    </row>
    <row r="1373" spans="1:4">
      <c r="A1373" s="1"/>
      <c r="D1373" s="1"/>
    </row>
    <row r="1374" spans="1:4">
      <c r="A1374" s="1"/>
      <c r="D1374" s="1"/>
    </row>
    <row r="1375" spans="1:4">
      <c r="A1375" s="1"/>
      <c r="D1375" s="1"/>
    </row>
    <row r="1376" spans="1:4">
      <c r="A1376" s="1"/>
      <c r="D1376" s="1"/>
    </row>
    <row r="1377" spans="1:4">
      <c r="A1377" s="1"/>
      <c r="D1377" s="1"/>
    </row>
    <row r="1378" spans="1:4">
      <c r="A1378" s="1"/>
      <c r="D1378" s="1"/>
    </row>
    <row r="1379" spans="1:4">
      <c r="A1379" s="1"/>
      <c r="D1379" s="1"/>
    </row>
    <row r="1380" spans="1:4">
      <c r="A1380" s="1"/>
      <c r="D1380" s="1"/>
    </row>
    <row r="1381" spans="1:4">
      <c r="A1381" s="1"/>
      <c r="D1381" s="1"/>
    </row>
    <row r="1382" spans="1:4">
      <c r="A1382" s="1"/>
      <c r="D1382" s="1"/>
    </row>
    <row r="1383" spans="1:4">
      <c r="A1383" s="1"/>
      <c r="D1383" s="1"/>
    </row>
    <row r="1384" spans="1:4">
      <c r="A1384" s="1"/>
      <c r="D1384" s="1"/>
    </row>
    <row r="1385" spans="1:4">
      <c r="A1385" s="1"/>
      <c r="D1385" s="1"/>
    </row>
    <row r="1386" spans="1:4">
      <c r="A1386" s="1"/>
      <c r="D1386" s="1"/>
    </row>
    <row r="1387" spans="1:4">
      <c r="A1387" s="1"/>
      <c r="D1387" s="1"/>
    </row>
    <row r="1388" spans="1:4">
      <c r="A1388" s="1"/>
      <c r="D1388" s="1"/>
    </row>
    <row r="1389" spans="1:4">
      <c r="A1389" s="1"/>
      <c r="D1389" s="1"/>
    </row>
    <row r="1390" spans="1:4">
      <c r="A1390" s="1"/>
      <c r="D1390" s="1"/>
    </row>
    <row r="1391" spans="1:4">
      <c r="A1391" s="1"/>
      <c r="D1391" s="1"/>
    </row>
    <row r="1392" spans="1:4">
      <c r="A1392" s="1"/>
      <c r="D1392" s="1"/>
    </row>
    <row r="1393" spans="1:4">
      <c r="A1393" s="1"/>
      <c r="D1393" s="1"/>
    </row>
    <row r="1394" spans="1:4">
      <c r="A1394" s="1"/>
      <c r="D1394" s="1"/>
    </row>
    <row r="1395" spans="1:4">
      <c r="A1395" s="1"/>
      <c r="D1395" s="1"/>
    </row>
    <row r="1396" spans="1:4">
      <c r="A1396" s="1"/>
      <c r="D1396" s="1"/>
    </row>
    <row r="1397" spans="1:4">
      <c r="A1397" s="1"/>
      <c r="D1397" s="1"/>
    </row>
    <row r="1398" spans="1:4">
      <c r="A1398" s="1"/>
      <c r="D1398" s="1"/>
    </row>
    <row r="1399" spans="1:4">
      <c r="A1399" s="1"/>
      <c r="D1399" s="1"/>
    </row>
    <row r="1400" spans="1:4">
      <c r="A1400" s="1"/>
      <c r="D1400" s="1"/>
    </row>
    <row r="1401" spans="1:4">
      <c r="A1401" s="1"/>
      <c r="D1401" s="1"/>
    </row>
    <row r="1402" spans="1:4">
      <c r="A1402" s="1"/>
      <c r="D1402" s="1"/>
    </row>
    <row r="1403" spans="1:4">
      <c r="A1403" s="1"/>
      <c r="D1403" s="1"/>
    </row>
    <row r="1404" spans="1:4">
      <c r="A1404" s="1"/>
      <c r="D1404" s="1"/>
    </row>
    <row r="1405" spans="1:4">
      <c r="A1405" s="1"/>
      <c r="D1405" s="1"/>
    </row>
    <row r="1406" spans="1:4">
      <c r="A1406" s="1"/>
      <c r="D1406" s="1"/>
    </row>
    <row r="1407" spans="1:4">
      <c r="A1407" s="1"/>
      <c r="D1407" s="1"/>
    </row>
    <row r="1408" spans="1:4">
      <c r="A1408" s="1"/>
      <c r="D1408" s="1"/>
    </row>
    <row r="1409" spans="1:4">
      <c r="A1409" s="1"/>
      <c r="D1409" s="1"/>
    </row>
    <row r="1410" spans="1:4">
      <c r="A1410" s="1"/>
      <c r="D1410" s="1"/>
    </row>
    <row r="1411" spans="1:4">
      <c r="A1411" s="1"/>
      <c r="D1411" s="1"/>
    </row>
    <row r="1412" spans="1:4">
      <c r="A1412" s="1"/>
      <c r="D1412" s="1"/>
    </row>
    <row r="1413" spans="1:4">
      <c r="A1413" s="1"/>
      <c r="D1413" s="1"/>
    </row>
    <row r="1414" spans="1:4">
      <c r="A1414" s="1"/>
      <c r="D1414" s="1"/>
    </row>
    <row r="1415" spans="1:4">
      <c r="A1415" s="1"/>
      <c r="D1415" s="1"/>
    </row>
    <row r="1416" spans="1:4">
      <c r="A1416" s="1"/>
      <c r="D1416" s="1"/>
    </row>
    <row r="1417" spans="1:4">
      <c r="A1417" s="1"/>
      <c r="D1417" s="1"/>
    </row>
    <row r="1418" spans="1:4">
      <c r="A1418" s="1"/>
      <c r="D1418" s="1"/>
    </row>
    <row r="1419" spans="1:4">
      <c r="A1419" s="1"/>
      <c r="D1419" s="1"/>
    </row>
    <row r="1420" spans="1:4">
      <c r="A1420" s="1"/>
      <c r="D1420" s="1"/>
    </row>
    <row r="1421" spans="1:4">
      <c r="A1421" s="1"/>
      <c r="D1421" s="1"/>
    </row>
    <row r="1422" spans="1:4">
      <c r="A1422" s="1"/>
      <c r="D1422" s="1"/>
    </row>
    <row r="1423" spans="1:4">
      <c r="A1423" s="1"/>
      <c r="D1423" s="1"/>
    </row>
    <row r="1424" spans="1:4">
      <c r="A1424" s="1"/>
      <c r="D1424" s="1"/>
    </row>
    <row r="1425" spans="1:4">
      <c r="A1425" s="1"/>
      <c r="D1425" s="1"/>
    </row>
    <row r="1426" spans="1:4">
      <c r="A1426" s="1"/>
      <c r="D1426" s="1"/>
    </row>
    <row r="1427" spans="1:4">
      <c r="A1427" s="1"/>
      <c r="D1427" s="1"/>
    </row>
    <row r="1428" spans="1:4">
      <c r="A1428" s="1"/>
      <c r="D1428" s="1"/>
    </row>
    <row r="1429" spans="1:4">
      <c r="A1429" s="1"/>
      <c r="D1429" s="1"/>
    </row>
    <row r="1430" spans="1:4">
      <c r="A1430" s="1"/>
      <c r="D1430" s="1"/>
    </row>
    <row r="1431" spans="1:4">
      <c r="A1431" s="1"/>
      <c r="D1431" s="1"/>
    </row>
    <row r="1432" spans="1:4">
      <c r="A1432" s="1"/>
      <c r="D1432" s="1"/>
    </row>
    <row r="1433" spans="1:4">
      <c r="A1433" s="1"/>
      <c r="D1433" s="1"/>
    </row>
    <row r="1434" spans="1:4">
      <c r="A1434" s="1"/>
      <c r="D1434" s="1"/>
    </row>
    <row r="1435" spans="1:4">
      <c r="A1435" s="1"/>
      <c r="D1435" s="1"/>
    </row>
    <row r="1436" spans="1:4">
      <c r="A1436" s="1"/>
      <c r="D1436" s="1"/>
    </row>
    <row r="1437" spans="1:4">
      <c r="A1437" s="1"/>
      <c r="D1437" s="1"/>
    </row>
    <row r="1438" spans="1:4">
      <c r="A1438" s="1"/>
      <c r="D1438" s="1"/>
    </row>
    <row r="1439" spans="1:4">
      <c r="A1439" s="1"/>
      <c r="D1439" s="1"/>
    </row>
    <row r="1440" spans="1:4">
      <c r="A1440" s="1"/>
      <c r="D1440" s="1"/>
    </row>
    <row r="1441" spans="1:4">
      <c r="A1441" s="1"/>
      <c r="D1441" s="1"/>
    </row>
    <row r="1442" spans="1:4">
      <c r="A1442" s="1"/>
      <c r="D1442" s="1"/>
    </row>
    <row r="1443" spans="1:4">
      <c r="A1443" s="1"/>
      <c r="D1443" s="1"/>
    </row>
    <row r="1444" spans="1:4">
      <c r="A1444" s="1"/>
      <c r="D1444" s="1"/>
    </row>
    <row r="1445" spans="1:4">
      <c r="A1445" s="1"/>
      <c r="D1445" s="1"/>
    </row>
    <row r="1446" spans="1:4">
      <c r="A1446" s="1"/>
      <c r="D1446" s="1"/>
    </row>
    <row r="1447" spans="1:4">
      <c r="A1447" s="1"/>
      <c r="D1447" s="1"/>
    </row>
    <row r="1448" spans="1:4">
      <c r="A1448" s="1"/>
      <c r="D1448" s="1"/>
    </row>
    <row r="1449" spans="1:4">
      <c r="A1449" s="1"/>
      <c r="D1449" s="1"/>
    </row>
    <row r="1450" spans="1:4">
      <c r="A1450" s="1"/>
      <c r="D1450" s="1"/>
    </row>
    <row r="1451" spans="1:4">
      <c r="A1451" s="1"/>
      <c r="D1451" s="1"/>
    </row>
    <row r="1452" spans="1:4">
      <c r="A1452" s="1"/>
      <c r="D1452" s="1"/>
    </row>
    <row r="1453" spans="1:4">
      <c r="A1453" s="1"/>
      <c r="D1453" s="1"/>
    </row>
    <row r="1454" spans="1:4">
      <c r="A1454" s="1"/>
      <c r="D1454" s="1"/>
    </row>
    <row r="1455" spans="1:4">
      <c r="A1455" s="1"/>
      <c r="D1455" s="1"/>
    </row>
    <row r="1456" spans="1:4">
      <c r="A1456" s="1"/>
      <c r="D1456" s="1"/>
    </row>
    <row r="1457" spans="1:4">
      <c r="A1457" s="1"/>
      <c r="D1457" s="1"/>
    </row>
    <row r="1458" spans="1:4">
      <c r="A1458" s="1"/>
      <c r="D1458" s="1"/>
    </row>
    <row r="1459" spans="1:4">
      <c r="A1459" s="1"/>
      <c r="D1459" s="1"/>
    </row>
    <row r="1460" spans="1:4">
      <c r="A1460" s="1"/>
      <c r="D1460" s="1"/>
    </row>
    <row r="1461" spans="1:4">
      <c r="A1461" s="1"/>
      <c r="D1461" s="1"/>
    </row>
    <row r="1462" spans="1:4">
      <c r="A1462" s="1"/>
      <c r="D1462" s="1"/>
    </row>
    <row r="1463" spans="1:4">
      <c r="A1463" s="1"/>
      <c r="D1463" s="1"/>
    </row>
    <row r="1464" spans="1:4">
      <c r="A1464" s="1"/>
      <c r="D1464" s="1"/>
    </row>
    <row r="1465" spans="1:4">
      <c r="A1465" s="1"/>
      <c r="D1465" s="1"/>
    </row>
    <row r="1466" spans="1:4">
      <c r="A1466" s="1"/>
      <c r="D1466" s="1"/>
    </row>
    <row r="1467" spans="1:4">
      <c r="A1467" s="1"/>
      <c r="D1467" s="1"/>
    </row>
    <row r="1468" spans="1:4">
      <c r="A1468" s="1"/>
      <c r="D1468" s="1"/>
    </row>
    <row r="1469" spans="1:4">
      <c r="A1469" s="1"/>
      <c r="D1469" s="1"/>
    </row>
    <row r="1470" spans="1:4">
      <c r="A1470" s="1"/>
      <c r="D1470" s="1"/>
    </row>
    <row r="1471" spans="1:4">
      <c r="A1471" s="1"/>
      <c r="D1471" s="1"/>
    </row>
    <row r="1472" spans="1:4">
      <c r="A1472" s="1"/>
      <c r="D1472" s="1"/>
    </row>
    <row r="1473" spans="1:4">
      <c r="A1473" s="1"/>
      <c r="D1473" s="1"/>
    </row>
    <row r="1474" spans="1:4">
      <c r="A1474" s="1"/>
      <c r="D1474" s="1"/>
    </row>
    <row r="1475" spans="1:4">
      <c r="A1475" s="1"/>
      <c r="D1475" s="1"/>
    </row>
    <row r="1476" spans="1:4">
      <c r="A1476" s="1"/>
      <c r="D1476" s="1"/>
    </row>
    <row r="1477" spans="1:4">
      <c r="A1477" s="1"/>
      <c r="D1477" s="1"/>
    </row>
    <row r="1478" spans="1:4">
      <c r="A1478" s="1"/>
      <c r="D1478" s="1"/>
    </row>
    <row r="1479" spans="1:4">
      <c r="A1479" s="1"/>
      <c r="D1479" s="1"/>
    </row>
    <row r="1480" spans="1:4">
      <c r="A1480" s="1"/>
      <c r="D1480" s="1"/>
    </row>
    <row r="1481" spans="1:4">
      <c r="A1481" s="1"/>
      <c r="D1481" s="1"/>
    </row>
    <row r="1482" spans="1:4">
      <c r="A1482" s="1"/>
      <c r="D1482" s="1"/>
    </row>
    <row r="1483" spans="1:4">
      <c r="A1483" s="1"/>
      <c r="D1483" s="1"/>
    </row>
    <row r="1484" spans="1:4">
      <c r="A1484" s="1"/>
      <c r="D1484" s="1"/>
    </row>
    <row r="1485" spans="1:4">
      <c r="A1485" s="1"/>
      <c r="D1485" s="1"/>
    </row>
    <row r="1486" spans="1:4">
      <c r="A1486" s="1"/>
      <c r="D1486" s="1"/>
    </row>
    <row r="1487" spans="1:4">
      <c r="A1487" s="1"/>
      <c r="D1487" s="1"/>
    </row>
    <row r="1488" spans="1:4">
      <c r="A1488" s="1"/>
      <c r="D1488" s="1"/>
    </row>
    <row r="1489" spans="1:4">
      <c r="A1489" s="1"/>
      <c r="D1489" s="1"/>
    </row>
    <row r="1490" spans="1:4">
      <c r="A1490" s="1"/>
      <c r="D1490" s="1"/>
    </row>
    <row r="1491" spans="1:4">
      <c r="A1491" s="1"/>
      <c r="D1491" s="1"/>
    </row>
    <row r="1492" spans="1:4">
      <c r="A1492" s="1"/>
      <c r="D1492" s="1"/>
    </row>
    <row r="1493" spans="1:4">
      <c r="A1493" s="1"/>
      <c r="D1493" s="1"/>
    </row>
    <row r="1494" spans="1:4">
      <c r="A1494" s="1"/>
      <c r="D1494" s="1"/>
    </row>
    <row r="1495" spans="1:4">
      <c r="A1495" s="1"/>
      <c r="D1495" s="1"/>
    </row>
    <row r="1496" spans="1:4">
      <c r="A1496" s="1"/>
      <c r="D1496" s="1"/>
    </row>
    <row r="1497" spans="1:4">
      <c r="A1497" s="1"/>
      <c r="D1497" s="1"/>
    </row>
    <row r="1498" spans="1:4">
      <c r="A1498" s="1"/>
      <c r="D1498" s="1"/>
    </row>
    <row r="1499" spans="1:4">
      <c r="A1499" s="1"/>
      <c r="D1499" s="1"/>
    </row>
    <row r="1500" spans="1:4">
      <c r="A1500" s="1"/>
      <c r="D1500" s="1"/>
    </row>
    <row r="1501" spans="1:4">
      <c r="A1501" s="1"/>
      <c r="D1501" s="1"/>
    </row>
    <row r="1502" spans="1:4">
      <c r="A1502" s="1"/>
      <c r="D1502" s="1"/>
    </row>
    <row r="1503" spans="1:4">
      <c r="A1503" s="1"/>
      <c r="D1503" s="1"/>
    </row>
    <row r="1504" spans="1:4">
      <c r="A1504" s="1"/>
      <c r="D1504" s="1"/>
    </row>
    <row r="1505" spans="1:4">
      <c r="A1505" s="1"/>
      <c r="D1505" s="1"/>
    </row>
    <row r="1506" spans="1:4">
      <c r="A1506" s="1"/>
      <c r="D1506" s="1"/>
    </row>
    <row r="1507" spans="1:4">
      <c r="A1507" s="1"/>
      <c r="D1507" s="1"/>
    </row>
    <row r="1508" spans="1:4">
      <c r="A1508" s="1"/>
      <c r="D1508" s="1"/>
    </row>
    <row r="1509" spans="1:4">
      <c r="A1509" s="1"/>
      <c r="D1509" s="1"/>
    </row>
    <row r="1510" spans="1:4">
      <c r="A1510" s="1"/>
      <c r="D1510" s="1"/>
    </row>
    <row r="1511" spans="1:4">
      <c r="A1511" s="1"/>
      <c r="D1511" s="1"/>
    </row>
    <row r="1512" spans="1:4">
      <c r="A1512" s="1"/>
      <c r="D1512" s="1"/>
    </row>
    <row r="1513" spans="1:4">
      <c r="A1513" s="1"/>
      <c r="D1513" s="1"/>
    </row>
    <row r="1514" spans="1:4">
      <c r="A1514" s="1"/>
      <c r="D1514" s="1"/>
    </row>
    <row r="1515" spans="1:4">
      <c r="A1515" s="1"/>
      <c r="D1515" s="1"/>
    </row>
    <row r="1516" spans="1:4">
      <c r="A1516" s="1"/>
      <c r="D1516" s="1"/>
    </row>
    <row r="1517" spans="1:4">
      <c r="A1517" s="1"/>
      <c r="D1517" s="1"/>
    </row>
    <row r="1518" spans="1:4">
      <c r="A1518" s="1"/>
      <c r="D1518" s="1"/>
    </row>
    <row r="1519" spans="1:4">
      <c r="A1519" s="1"/>
      <c r="D1519" s="1"/>
    </row>
    <row r="1520" spans="1:4">
      <c r="A1520" s="1"/>
      <c r="D1520" s="1"/>
    </row>
    <row r="1521" spans="1:4">
      <c r="A1521" s="1"/>
      <c r="D1521" s="1"/>
    </row>
    <row r="1522" spans="1:4">
      <c r="A1522" s="1"/>
      <c r="D1522" s="1"/>
    </row>
    <row r="1523" spans="1:4">
      <c r="A1523" s="1"/>
      <c r="D1523" s="1"/>
    </row>
    <row r="1524" spans="1:4">
      <c r="A1524" s="1"/>
      <c r="D1524" s="1"/>
    </row>
    <row r="1525" spans="1:4">
      <c r="A1525" s="1"/>
      <c r="D1525" s="1"/>
    </row>
    <row r="1526" spans="1:4">
      <c r="A1526" s="1"/>
      <c r="D1526" s="1"/>
    </row>
    <row r="1527" spans="1:4">
      <c r="A1527" s="1"/>
      <c r="D1527" s="1"/>
    </row>
    <row r="1528" spans="1:4">
      <c r="A1528" s="1"/>
      <c r="D1528" s="1"/>
    </row>
    <row r="1529" spans="1:4">
      <c r="A1529" s="1"/>
      <c r="D1529" s="1"/>
    </row>
    <row r="1530" spans="1:4">
      <c r="A1530" s="1"/>
      <c r="D1530" s="1"/>
    </row>
    <row r="1531" spans="1:4">
      <c r="A1531" s="1"/>
      <c r="D1531" s="1"/>
    </row>
    <row r="1532" spans="1:4">
      <c r="A1532" s="1"/>
      <c r="D1532" s="1"/>
    </row>
    <row r="1533" spans="1:4">
      <c r="A1533" s="1"/>
      <c r="D1533" s="1"/>
    </row>
    <row r="1534" spans="1:4">
      <c r="A1534" s="1"/>
      <c r="D1534" s="1"/>
    </row>
    <row r="1535" spans="1:4">
      <c r="A1535" s="1"/>
      <c r="D1535" s="1"/>
    </row>
    <row r="1536" spans="1:4">
      <c r="A1536" s="1"/>
      <c r="D1536" s="1"/>
    </row>
    <row r="1537" spans="1:4">
      <c r="A1537" s="1"/>
      <c r="D1537" s="1"/>
    </row>
    <row r="1538" spans="1:4">
      <c r="A1538" s="1"/>
      <c r="D1538" s="1"/>
    </row>
    <row r="1539" spans="1:4">
      <c r="A1539" s="1"/>
      <c r="D1539" s="1"/>
    </row>
    <row r="1540" spans="1:4">
      <c r="A1540" s="1"/>
      <c r="D1540" s="1"/>
    </row>
    <row r="1541" spans="1:4">
      <c r="A1541" s="1"/>
      <c r="D1541" s="1"/>
    </row>
    <row r="1542" spans="1:4">
      <c r="A1542" s="1"/>
      <c r="D1542" s="1"/>
    </row>
    <row r="1543" spans="1:4">
      <c r="A1543" s="1"/>
      <c r="D1543" s="1"/>
    </row>
    <row r="1544" spans="1:4">
      <c r="A1544" s="1"/>
      <c r="D1544" s="1"/>
    </row>
    <row r="1545" spans="1:4">
      <c r="A1545" s="1"/>
      <c r="D1545" s="1"/>
    </row>
    <row r="1546" spans="1:4">
      <c r="A1546" s="1"/>
      <c r="D1546" s="1"/>
    </row>
    <row r="1547" spans="1:4">
      <c r="A1547" s="1"/>
      <c r="D1547" s="1"/>
    </row>
    <row r="1548" spans="1:4">
      <c r="A1548" s="1"/>
      <c r="D1548" s="1"/>
    </row>
    <row r="1549" spans="1:4">
      <c r="A1549" s="1"/>
      <c r="D1549" s="1"/>
    </row>
    <row r="1550" spans="1:4">
      <c r="A1550" s="1"/>
      <c r="D1550" s="1"/>
    </row>
    <row r="1551" spans="1:4">
      <c r="A1551" s="1"/>
      <c r="D1551" s="1"/>
    </row>
    <row r="1552" spans="1:4">
      <c r="A1552" s="1"/>
      <c r="D1552" s="1"/>
    </row>
    <row r="1553" spans="1:4">
      <c r="A1553" s="1"/>
      <c r="D1553" s="1"/>
    </row>
    <row r="1554" spans="1:4">
      <c r="A1554" s="1"/>
      <c r="D1554" s="1"/>
    </row>
    <row r="1555" spans="1:4">
      <c r="A1555" s="1"/>
      <c r="D1555" s="1"/>
    </row>
    <row r="1556" spans="1:4">
      <c r="A1556" s="1"/>
      <c r="D1556" s="1"/>
    </row>
    <row r="1557" spans="1:4">
      <c r="A1557" s="1"/>
      <c r="D1557" s="1"/>
    </row>
    <row r="1558" spans="1:4">
      <c r="A1558" s="1"/>
      <c r="D1558" s="1"/>
    </row>
    <row r="1559" spans="1:4">
      <c r="A1559" s="1"/>
      <c r="D1559" s="1"/>
    </row>
    <row r="1560" spans="1:4">
      <c r="A1560" s="1"/>
      <c r="D1560" s="1"/>
    </row>
    <row r="1561" spans="1:4">
      <c r="A1561" s="1"/>
      <c r="D1561" s="1"/>
    </row>
    <row r="1562" spans="1:4">
      <c r="A1562" s="1"/>
      <c r="D1562" s="1"/>
    </row>
    <row r="1563" spans="1:4">
      <c r="A1563" s="1"/>
      <c r="D1563" s="1"/>
    </row>
    <row r="1564" spans="1:4">
      <c r="A1564" s="1"/>
      <c r="D1564" s="1"/>
    </row>
    <row r="1565" spans="1:4">
      <c r="A1565" s="1"/>
      <c r="D1565" s="1"/>
    </row>
    <row r="1566" spans="1:4">
      <c r="A1566" s="1"/>
      <c r="D1566" s="1"/>
    </row>
    <row r="1567" spans="1:4">
      <c r="A1567" s="1"/>
      <c r="D1567" s="1"/>
    </row>
    <row r="1568" spans="1:4">
      <c r="A1568" s="1"/>
      <c r="D1568" s="1"/>
    </row>
    <row r="1569" spans="1:4">
      <c r="A1569" s="1"/>
      <c r="D1569" s="1"/>
    </row>
    <row r="1570" spans="1:4">
      <c r="A1570" s="1"/>
      <c r="D1570" s="1"/>
    </row>
    <row r="1571" spans="1:4">
      <c r="A1571" s="1"/>
      <c r="D1571" s="1"/>
    </row>
    <row r="1572" spans="1:4">
      <c r="A1572" s="1"/>
      <c r="D1572" s="1"/>
    </row>
    <row r="1573" spans="1:4">
      <c r="A1573" s="1"/>
      <c r="D1573" s="1"/>
    </row>
    <row r="1574" spans="1:4">
      <c r="A1574" s="1"/>
      <c r="D1574" s="1"/>
    </row>
    <row r="1575" spans="1:4">
      <c r="A1575" s="1"/>
      <c r="D1575" s="1"/>
    </row>
    <row r="1576" spans="1:4">
      <c r="A1576" s="1"/>
      <c r="D1576" s="1"/>
    </row>
    <row r="1577" spans="1:4">
      <c r="A1577" s="1"/>
      <c r="D1577" s="1"/>
    </row>
    <row r="1578" spans="1:4">
      <c r="A1578" s="1"/>
      <c r="D1578" s="1"/>
    </row>
    <row r="1579" spans="1:4">
      <c r="A1579" s="1"/>
      <c r="D1579" s="1"/>
    </row>
    <row r="1580" spans="1:4">
      <c r="A1580" s="1"/>
      <c r="D1580" s="1"/>
    </row>
    <row r="1581" spans="1:4">
      <c r="A1581" s="1"/>
      <c r="D1581" s="1"/>
    </row>
    <row r="1582" spans="1:4">
      <c r="A1582" s="1"/>
      <c r="D1582" s="1"/>
    </row>
    <row r="1583" spans="1:4">
      <c r="A1583" s="1"/>
      <c r="D1583" s="1"/>
    </row>
    <row r="1584" spans="1:4">
      <c r="A1584" s="1"/>
      <c r="D1584" s="1"/>
    </row>
    <row r="1585" spans="1:4">
      <c r="A1585" s="1"/>
      <c r="D1585" s="1"/>
    </row>
    <row r="1586" spans="1:4">
      <c r="A1586" s="1"/>
      <c r="D1586" s="1"/>
    </row>
    <row r="1587" spans="1:4">
      <c r="A1587" s="1"/>
      <c r="D1587" s="1"/>
    </row>
    <row r="1588" spans="1:4">
      <c r="A1588" s="1"/>
      <c r="D1588" s="1"/>
    </row>
    <row r="1589" spans="1:4">
      <c r="A1589" s="1"/>
      <c r="D1589" s="1"/>
    </row>
    <row r="1590" spans="1:4">
      <c r="A1590" s="1"/>
      <c r="D1590" s="1"/>
    </row>
    <row r="1591" spans="1:4">
      <c r="A1591" s="1"/>
      <c r="D1591" s="1"/>
    </row>
    <row r="1592" spans="1:4">
      <c r="A1592" s="1"/>
      <c r="D1592" s="1"/>
    </row>
    <row r="1593" spans="1:4">
      <c r="A1593" s="1"/>
      <c r="D1593" s="1"/>
    </row>
    <row r="1594" spans="1:4">
      <c r="A1594" s="1"/>
      <c r="D1594" s="1"/>
    </row>
    <row r="1595" spans="1:4">
      <c r="A1595" s="1"/>
      <c r="D1595" s="1"/>
    </row>
    <row r="1596" spans="1:4">
      <c r="A1596" s="1"/>
      <c r="D1596" s="1"/>
    </row>
    <row r="1597" spans="1:4">
      <c r="A1597" s="1"/>
      <c r="D1597" s="1"/>
    </row>
    <row r="1598" spans="1:4">
      <c r="A1598" s="1"/>
      <c r="D1598" s="1"/>
    </row>
    <row r="1599" spans="1:4">
      <c r="A1599" s="1"/>
      <c r="D1599" s="1"/>
    </row>
    <row r="1600" spans="1:4">
      <c r="A1600" s="1"/>
      <c r="D1600" s="1"/>
    </row>
    <row r="1601" spans="1:4">
      <c r="A1601" s="1"/>
      <c r="D1601" s="1"/>
    </row>
    <row r="1602" spans="1:4">
      <c r="A1602" s="1"/>
      <c r="D1602" s="1"/>
    </row>
    <row r="1603" spans="1:4">
      <c r="A1603" s="1"/>
      <c r="D1603" s="1"/>
    </row>
    <row r="1604" spans="1:4">
      <c r="A1604" s="1"/>
      <c r="D1604" s="1"/>
    </row>
    <row r="1605" spans="1:4">
      <c r="A1605" s="1"/>
      <c r="D1605" s="1"/>
    </row>
    <row r="1606" spans="1:4">
      <c r="A1606" s="1"/>
      <c r="D1606" s="1"/>
    </row>
    <row r="1607" spans="1:4">
      <c r="A1607" s="1"/>
      <c r="D1607" s="1"/>
    </row>
    <row r="1608" spans="1:4">
      <c r="A1608" s="1"/>
      <c r="D1608" s="1"/>
    </row>
    <row r="1609" spans="1:4">
      <c r="A1609" s="1"/>
      <c r="D1609" s="1"/>
    </row>
    <row r="1610" spans="1:4">
      <c r="A1610" s="1"/>
      <c r="D1610" s="1"/>
    </row>
    <row r="1611" spans="1:4">
      <c r="A1611" s="1"/>
      <c r="D1611" s="1"/>
    </row>
    <row r="1612" spans="1:4">
      <c r="A1612" s="1"/>
      <c r="D1612" s="1"/>
    </row>
    <row r="1613" spans="1:4">
      <c r="A1613" s="1"/>
      <c r="D1613" s="1"/>
    </row>
    <row r="1614" spans="1:4">
      <c r="A1614" s="1"/>
      <c r="D1614" s="1"/>
    </row>
    <row r="1615" spans="1:4">
      <c r="A1615" s="1"/>
      <c r="D1615" s="1"/>
    </row>
    <row r="1616" spans="1:4">
      <c r="A1616" s="1"/>
      <c r="D1616" s="1"/>
    </row>
    <row r="1617" spans="1:4">
      <c r="A1617" s="1"/>
      <c r="D1617" s="1"/>
    </row>
    <row r="1618" spans="1:4">
      <c r="A1618" s="1"/>
      <c r="D1618" s="1"/>
    </row>
    <row r="1619" spans="1:4">
      <c r="A1619" s="1"/>
      <c r="D1619" s="1"/>
    </row>
    <row r="1620" spans="1:4">
      <c r="A1620" s="1"/>
      <c r="D1620" s="1"/>
    </row>
    <row r="1621" spans="1:4">
      <c r="A1621" s="1"/>
      <c r="D1621" s="1"/>
    </row>
    <row r="1622" spans="1:4">
      <c r="A1622" s="1"/>
      <c r="D1622" s="1"/>
    </row>
    <row r="1623" spans="1:4">
      <c r="A1623" s="1"/>
      <c r="D1623" s="1"/>
    </row>
    <row r="1624" spans="1:4">
      <c r="A1624" s="1"/>
      <c r="D1624" s="1"/>
    </row>
    <row r="1625" spans="1:4">
      <c r="A1625" s="1"/>
      <c r="D1625" s="1"/>
    </row>
    <row r="1626" spans="1:4">
      <c r="A1626" s="1"/>
      <c r="D1626" s="1"/>
    </row>
    <row r="1627" spans="1:4">
      <c r="A1627" s="1"/>
      <c r="D1627" s="1"/>
    </row>
    <row r="1628" spans="1:4">
      <c r="A1628" s="1"/>
      <c r="D1628" s="1"/>
    </row>
    <row r="1629" spans="1:4">
      <c r="A1629" s="1"/>
      <c r="D1629" s="1"/>
    </row>
    <row r="1630" spans="1:4">
      <c r="A1630" s="1"/>
      <c r="D1630" s="1"/>
    </row>
    <row r="1631" spans="1:4">
      <c r="A1631" s="1"/>
      <c r="D1631" s="1"/>
    </row>
    <row r="1632" spans="1:4">
      <c r="A1632" s="1"/>
      <c r="D1632" s="1"/>
    </row>
    <row r="1633" spans="1:4">
      <c r="A1633" s="1"/>
      <c r="D1633" s="1"/>
    </row>
    <row r="1634" spans="1:4">
      <c r="A1634" s="1"/>
      <c r="D1634" s="1"/>
    </row>
    <row r="1635" spans="1:4">
      <c r="A1635" s="1"/>
      <c r="D1635" s="1"/>
    </row>
    <row r="1636" spans="1:4">
      <c r="A1636" s="1"/>
      <c r="D1636" s="1"/>
    </row>
    <row r="1637" spans="1:4">
      <c r="A1637" s="1"/>
      <c r="D1637" s="1"/>
    </row>
    <row r="1638" spans="1:4">
      <c r="A1638" s="1"/>
      <c r="D1638" s="1"/>
    </row>
    <row r="1639" spans="1:4">
      <c r="A1639" s="1"/>
      <c r="D1639" s="1"/>
    </row>
    <row r="1640" spans="1:4">
      <c r="A1640" s="1"/>
      <c r="D1640" s="1"/>
    </row>
    <row r="1641" spans="1:4">
      <c r="A1641" s="1"/>
      <c r="D1641" s="1"/>
    </row>
    <row r="1642" spans="1:4">
      <c r="A1642" s="1"/>
      <c r="D1642" s="1"/>
    </row>
    <row r="1643" spans="1:4">
      <c r="A1643" s="1"/>
      <c r="D1643" s="1"/>
    </row>
    <row r="1644" spans="1:4">
      <c r="A1644" s="1"/>
      <c r="D1644" s="1"/>
    </row>
    <row r="1645" spans="1:4">
      <c r="A1645" s="1"/>
      <c r="D1645" s="1"/>
    </row>
    <row r="1646" spans="1:4">
      <c r="A1646" s="1"/>
      <c r="D1646" s="1"/>
    </row>
    <row r="1647" spans="1:4">
      <c r="A1647" s="1"/>
      <c r="D1647" s="1"/>
    </row>
    <row r="1648" spans="1:4">
      <c r="A1648" s="1"/>
      <c r="D1648" s="1"/>
    </row>
    <row r="1649" spans="1:4">
      <c r="A1649" s="1"/>
      <c r="D1649" s="1"/>
    </row>
    <row r="1650" spans="1:4">
      <c r="A1650" s="1"/>
      <c r="D1650" s="1"/>
    </row>
    <row r="1651" spans="1:4">
      <c r="A1651" s="1"/>
      <c r="D1651" s="1"/>
    </row>
    <row r="1652" spans="1:4">
      <c r="A1652" s="1"/>
      <c r="D1652" s="1"/>
    </row>
    <row r="1653" spans="1:4">
      <c r="A1653" s="1"/>
      <c r="D1653" s="1"/>
    </row>
    <row r="1654" spans="1:4">
      <c r="A1654" s="1"/>
      <c r="D1654" s="1"/>
    </row>
    <row r="1655" spans="1:4">
      <c r="A1655" s="1"/>
      <c r="D1655" s="1"/>
    </row>
    <row r="1656" spans="1:4">
      <c r="A1656" s="1"/>
      <c r="D1656" s="1"/>
    </row>
    <row r="1657" spans="1:4">
      <c r="A1657" s="1"/>
      <c r="D1657" s="1"/>
    </row>
    <row r="1658" spans="1:4">
      <c r="A1658" s="1"/>
      <c r="D1658" s="1"/>
    </row>
    <row r="1659" spans="1:4">
      <c r="A1659" s="1"/>
      <c r="D1659" s="1"/>
    </row>
    <row r="1660" spans="1:4">
      <c r="A1660" s="1"/>
      <c r="D1660" s="1"/>
    </row>
    <row r="1661" spans="1:4">
      <c r="A1661" s="1"/>
      <c r="D1661" s="1"/>
    </row>
    <row r="1662" spans="1:4">
      <c r="A1662" s="1"/>
      <c r="D1662" s="1"/>
    </row>
    <row r="1663" spans="1:4">
      <c r="A1663" s="1"/>
      <c r="D1663" s="1"/>
    </row>
    <row r="1664" spans="1:4">
      <c r="A1664" s="1"/>
      <c r="D1664" s="1"/>
    </row>
    <row r="1665" spans="1:4">
      <c r="A1665" s="1"/>
      <c r="D1665" s="1"/>
    </row>
    <row r="1666" spans="1:4">
      <c r="A1666" s="1"/>
      <c r="D1666" s="1"/>
    </row>
    <row r="1667" spans="1:4">
      <c r="A1667" s="1"/>
      <c r="D1667" s="1"/>
    </row>
    <row r="1668" spans="1:4">
      <c r="A1668" s="1"/>
      <c r="D1668" s="1"/>
    </row>
    <row r="1669" spans="1:4">
      <c r="A1669" s="1"/>
      <c r="D1669" s="1"/>
    </row>
    <row r="1670" spans="1:4">
      <c r="A1670" s="1"/>
      <c r="D1670" s="1"/>
    </row>
    <row r="1671" spans="1:4">
      <c r="A1671" s="1"/>
      <c r="D1671" s="1"/>
    </row>
    <row r="1672" spans="1:4">
      <c r="A1672" s="1"/>
      <c r="D1672" s="1"/>
    </row>
    <row r="1673" spans="1:4">
      <c r="A1673" s="1"/>
      <c r="D1673" s="1"/>
    </row>
    <row r="1674" spans="1:4">
      <c r="A1674" s="1"/>
      <c r="D1674" s="1"/>
    </row>
    <row r="1675" spans="1:4">
      <c r="A1675" s="1"/>
      <c r="D1675" s="1"/>
    </row>
    <row r="1676" spans="1:4">
      <c r="A1676" s="1"/>
      <c r="D1676" s="1"/>
    </row>
    <row r="1677" spans="1:4">
      <c r="A1677" s="1"/>
      <c r="D1677" s="1"/>
    </row>
    <row r="1678" spans="1:4">
      <c r="A1678" s="1"/>
      <c r="D1678" s="1"/>
    </row>
    <row r="1679" spans="1:4">
      <c r="A1679" s="1"/>
      <c r="D1679" s="1"/>
    </row>
    <row r="1680" spans="1:4">
      <c r="A1680" s="1"/>
      <c r="D1680" s="1"/>
    </row>
    <row r="1681" spans="1:4">
      <c r="A1681" s="1"/>
      <c r="D1681" s="1"/>
    </row>
    <row r="1682" spans="1:4">
      <c r="A1682" s="1"/>
      <c r="D1682" s="1"/>
    </row>
    <row r="1683" spans="1:4">
      <c r="A1683" s="1"/>
      <c r="D1683" s="1"/>
    </row>
    <row r="1684" spans="1:4">
      <c r="A1684" s="1"/>
      <c r="D1684" s="1"/>
    </row>
    <row r="1685" spans="1:4">
      <c r="A1685" s="1"/>
      <c r="D1685" s="1"/>
    </row>
    <row r="1686" spans="1:4">
      <c r="A1686" s="1"/>
      <c r="D1686" s="1"/>
    </row>
    <row r="1687" spans="1:4">
      <c r="A1687" s="1"/>
      <c r="D1687" s="1"/>
    </row>
    <row r="1688" spans="1:4">
      <c r="A1688" s="1"/>
      <c r="D1688" s="1"/>
    </row>
    <row r="1689" spans="1:4">
      <c r="A1689" s="1"/>
      <c r="D1689" s="1"/>
    </row>
    <row r="1690" spans="1:4">
      <c r="A1690" s="1"/>
      <c r="D1690" s="1"/>
    </row>
    <row r="1691" spans="1:4">
      <c r="A1691" s="1"/>
      <c r="D1691" s="1"/>
    </row>
    <row r="1692" spans="1:4">
      <c r="A1692" s="1"/>
      <c r="D1692" s="1"/>
    </row>
    <row r="1693" spans="1:4">
      <c r="A1693" s="1"/>
      <c r="D1693" s="1"/>
    </row>
    <row r="1694" spans="1:4">
      <c r="A1694" s="1"/>
      <c r="D1694" s="1"/>
    </row>
    <row r="1695" spans="1:4">
      <c r="A1695" s="1"/>
      <c r="D1695" s="1"/>
    </row>
    <row r="1696" spans="1:4">
      <c r="A1696" s="1"/>
      <c r="D1696" s="1"/>
    </row>
    <row r="1697" spans="1:4">
      <c r="A1697" s="1"/>
      <c r="D1697" s="1"/>
    </row>
    <row r="1698" spans="1:4">
      <c r="A1698" s="1"/>
      <c r="D1698" s="1"/>
    </row>
    <row r="1699" spans="1:4">
      <c r="A1699" s="1"/>
      <c r="D1699" s="1"/>
    </row>
    <row r="1700" spans="1:4">
      <c r="A1700" s="1"/>
      <c r="D1700" s="1"/>
    </row>
    <row r="1701" spans="1:4">
      <c r="A1701" s="1"/>
      <c r="D1701" s="1"/>
    </row>
    <row r="1702" spans="1:4">
      <c r="A1702" s="1"/>
      <c r="D1702" s="1"/>
    </row>
    <row r="1703" spans="1:4">
      <c r="A1703" s="1"/>
      <c r="D1703" s="1"/>
    </row>
    <row r="1704" spans="1:4">
      <c r="A1704" s="1"/>
      <c r="D1704" s="1"/>
    </row>
    <row r="1705" spans="1:4">
      <c r="A1705" s="1"/>
      <c r="D1705" s="1"/>
    </row>
    <row r="1706" spans="1:4">
      <c r="A1706" s="1"/>
      <c r="D1706" s="1"/>
    </row>
    <row r="1707" spans="1:4">
      <c r="A1707" s="1"/>
      <c r="D1707" s="1"/>
    </row>
    <row r="1708" spans="1:4">
      <c r="A1708" s="1"/>
      <c r="D1708" s="1"/>
    </row>
    <row r="1709" spans="1:4">
      <c r="A1709" s="1"/>
      <c r="D1709" s="1"/>
    </row>
    <row r="1710" spans="1:4">
      <c r="A1710" s="1"/>
      <c r="D1710" s="1"/>
    </row>
    <row r="1711" spans="1:4">
      <c r="A1711" s="1"/>
      <c r="D1711" s="1"/>
    </row>
    <row r="1712" spans="1:4">
      <c r="A1712" s="1"/>
      <c r="D1712" s="1"/>
    </row>
    <row r="1713" spans="1:4">
      <c r="A1713" s="1"/>
      <c r="D1713" s="1"/>
    </row>
    <row r="1714" spans="1:4">
      <c r="A1714" s="1"/>
      <c r="D1714" s="1"/>
    </row>
    <row r="1715" spans="1:4">
      <c r="A1715" s="1"/>
      <c r="D1715" s="1"/>
    </row>
    <row r="1716" spans="1:4">
      <c r="A1716" s="1"/>
      <c r="D1716" s="1"/>
    </row>
    <row r="1717" spans="1:4">
      <c r="A1717" s="1"/>
      <c r="D1717" s="1"/>
    </row>
    <row r="1718" spans="1:4">
      <c r="A1718" s="1"/>
      <c r="D1718" s="1"/>
    </row>
    <row r="1719" spans="1:4">
      <c r="A1719" s="1"/>
      <c r="D1719" s="1"/>
    </row>
    <row r="1720" spans="1:4">
      <c r="A1720" s="1"/>
      <c r="D1720" s="1"/>
    </row>
    <row r="1721" spans="1:4">
      <c r="A1721" s="1"/>
      <c r="D1721" s="1"/>
    </row>
    <row r="1722" spans="1:4">
      <c r="A1722" s="1"/>
      <c r="D1722" s="1"/>
    </row>
    <row r="1723" spans="1:4">
      <c r="A1723" s="1"/>
      <c r="D1723" s="1"/>
    </row>
    <row r="1724" spans="1:4">
      <c r="A1724" s="1"/>
      <c r="D1724" s="1"/>
    </row>
    <row r="1725" spans="1:4">
      <c r="A1725" s="1"/>
      <c r="D1725" s="1"/>
    </row>
    <row r="1726" spans="1:4">
      <c r="A1726" s="1"/>
      <c r="D1726" s="1"/>
    </row>
    <row r="1727" spans="1:4">
      <c r="A1727" s="1"/>
      <c r="D1727" s="1"/>
    </row>
    <row r="1728" spans="1:4">
      <c r="A1728" s="1"/>
      <c r="D1728" s="1"/>
    </row>
    <row r="1729" spans="1:4">
      <c r="A1729" s="1"/>
      <c r="D1729" s="1"/>
    </row>
    <row r="1730" spans="1:4">
      <c r="A1730" s="1"/>
      <c r="D1730" s="1"/>
    </row>
    <row r="1731" spans="1:4">
      <c r="A1731" s="1"/>
      <c r="D1731" s="1"/>
    </row>
    <row r="1732" spans="1:4">
      <c r="A1732" s="1"/>
      <c r="D1732" s="1"/>
    </row>
    <row r="1733" spans="1:4">
      <c r="A1733" s="1"/>
      <c r="D1733" s="1"/>
    </row>
    <row r="1734" spans="1:4">
      <c r="A1734" s="1"/>
      <c r="D1734" s="1"/>
    </row>
    <row r="1735" spans="1:4">
      <c r="A1735" s="1"/>
      <c r="D1735" s="1"/>
    </row>
    <row r="1736" spans="1:4">
      <c r="A1736" s="1"/>
      <c r="D1736" s="1"/>
    </row>
    <row r="1737" spans="1:4">
      <c r="A1737" s="1"/>
      <c r="D1737" s="1"/>
    </row>
    <row r="1738" spans="1:4">
      <c r="A1738" s="1"/>
      <c r="D1738" s="1"/>
    </row>
    <row r="1739" spans="1:4">
      <c r="A1739" s="1"/>
      <c r="D1739" s="1"/>
    </row>
    <row r="1740" spans="1:4">
      <c r="A1740" s="1"/>
      <c r="D1740" s="1"/>
    </row>
    <row r="1741" spans="1:4">
      <c r="A1741" s="1"/>
      <c r="D1741" s="1"/>
    </row>
    <row r="1742" spans="1:4">
      <c r="A1742" s="1"/>
      <c r="D1742" s="1"/>
    </row>
    <row r="1743" spans="1:4">
      <c r="A1743" s="1"/>
      <c r="D1743" s="1"/>
    </row>
    <row r="1744" spans="1:4">
      <c r="A1744" s="1"/>
      <c r="D1744" s="1"/>
    </row>
    <row r="1745" spans="1:4">
      <c r="A1745" s="1"/>
      <c r="D1745" s="1"/>
    </row>
    <row r="1746" spans="1:4">
      <c r="A1746" s="1"/>
      <c r="D1746" s="1"/>
    </row>
    <row r="1747" spans="1:4">
      <c r="A1747" s="1"/>
      <c r="D1747" s="1"/>
    </row>
    <row r="1748" spans="1:4">
      <c r="A1748" s="1"/>
      <c r="D1748" s="1"/>
    </row>
    <row r="1749" spans="1:4">
      <c r="A1749" s="1"/>
      <c r="D1749" s="1"/>
    </row>
    <row r="1750" spans="1:4">
      <c r="A1750" s="1"/>
      <c r="D1750" s="1"/>
    </row>
    <row r="1751" spans="1:4">
      <c r="A1751" s="1"/>
      <c r="D1751" s="1"/>
    </row>
    <row r="1752" spans="1:4">
      <c r="A1752" s="1"/>
      <c r="D1752" s="1"/>
    </row>
    <row r="1753" spans="1:4">
      <c r="A1753" s="1"/>
      <c r="D1753" s="1"/>
    </row>
    <row r="1754" spans="1:4">
      <c r="A1754" s="1"/>
      <c r="D1754" s="1"/>
    </row>
    <row r="1755" spans="1:4">
      <c r="A1755" s="1"/>
      <c r="D1755" s="1"/>
    </row>
    <row r="1756" spans="1:4">
      <c r="A1756" s="1"/>
      <c r="D1756" s="1"/>
    </row>
    <row r="1757" spans="1:4">
      <c r="A1757" s="1"/>
      <c r="D1757" s="1"/>
    </row>
    <row r="1758" spans="1:4">
      <c r="A1758" s="1"/>
      <c r="D1758" s="1"/>
    </row>
    <row r="1759" spans="1:4">
      <c r="A1759" s="1"/>
      <c r="D1759" s="1"/>
    </row>
    <row r="1760" spans="1:4">
      <c r="A1760" s="1"/>
      <c r="D1760" s="1"/>
    </row>
    <row r="1761" spans="1:4">
      <c r="A1761" s="1"/>
      <c r="D1761" s="1"/>
    </row>
    <row r="1762" spans="1:4">
      <c r="A1762" s="1"/>
      <c r="D1762" s="1"/>
    </row>
    <row r="1763" spans="1:4">
      <c r="A1763" s="1"/>
      <c r="D1763" s="1"/>
    </row>
    <row r="1764" spans="1:4">
      <c r="A1764" s="1"/>
      <c r="D1764" s="1"/>
    </row>
    <row r="1765" spans="1:4">
      <c r="A1765" s="1"/>
      <c r="D1765" s="1"/>
    </row>
    <row r="1766" spans="1:4">
      <c r="A1766" s="1"/>
      <c r="D1766" s="1"/>
    </row>
    <row r="1767" spans="1:4">
      <c r="A1767" s="1"/>
      <c r="D1767" s="1"/>
    </row>
    <row r="1768" spans="1:4">
      <c r="A1768" s="1"/>
      <c r="D1768" s="1"/>
    </row>
    <row r="1769" spans="1:4">
      <c r="A1769" s="1"/>
      <c r="D1769" s="1"/>
    </row>
    <row r="1770" spans="1:4">
      <c r="A1770" s="1"/>
      <c r="D1770" s="1"/>
    </row>
    <row r="1771" spans="1:4">
      <c r="A1771" s="1"/>
      <c r="D1771" s="1"/>
    </row>
    <row r="1772" spans="1:4">
      <c r="A1772" s="1"/>
      <c r="D1772" s="1"/>
    </row>
    <row r="1773" spans="1:4">
      <c r="A1773" s="1"/>
      <c r="D1773" s="1"/>
    </row>
    <row r="1774" spans="1:4">
      <c r="A1774" s="1"/>
      <c r="D1774" s="1"/>
    </row>
    <row r="1775" spans="1:4">
      <c r="A1775" s="1"/>
      <c r="D1775" s="1"/>
    </row>
    <row r="1776" spans="1:4">
      <c r="A1776" s="1"/>
      <c r="D1776" s="1"/>
    </row>
    <row r="1777" spans="1:4">
      <c r="A1777" s="1"/>
      <c r="D1777" s="1"/>
    </row>
    <row r="1778" spans="1:4">
      <c r="A1778" s="1"/>
      <c r="D1778" s="1"/>
    </row>
    <row r="1779" spans="1:4">
      <c r="A1779" s="1"/>
      <c r="D1779" s="1"/>
    </row>
    <row r="1780" spans="1:4">
      <c r="A1780" s="1"/>
      <c r="D1780" s="1"/>
    </row>
    <row r="1781" spans="1:4">
      <c r="A1781" s="1"/>
      <c r="D1781" s="1"/>
    </row>
    <row r="1782" spans="1:4">
      <c r="A1782" s="1"/>
      <c r="D1782" s="1"/>
    </row>
    <row r="1783" spans="1:4">
      <c r="A1783" s="1"/>
      <c r="D1783" s="1"/>
    </row>
    <row r="1784" spans="1:4">
      <c r="A1784" s="1"/>
      <c r="D1784" s="1"/>
    </row>
    <row r="1785" spans="1:4">
      <c r="A1785" s="1"/>
      <c r="D1785" s="1"/>
    </row>
    <row r="1786" spans="1:4">
      <c r="A1786" s="1"/>
      <c r="D1786" s="1"/>
    </row>
    <row r="1787" spans="1:4">
      <c r="A1787" s="1"/>
      <c r="D1787" s="1"/>
    </row>
    <row r="1788" spans="1:4">
      <c r="A1788" s="1"/>
      <c r="D1788" s="1"/>
    </row>
    <row r="1789" spans="1:4">
      <c r="A1789" s="1"/>
      <c r="D1789" s="1"/>
    </row>
    <row r="1790" spans="1:4">
      <c r="A1790" s="1"/>
      <c r="D1790" s="1"/>
    </row>
    <row r="1791" spans="1:4">
      <c r="A1791" s="1"/>
      <c r="D1791" s="1"/>
    </row>
    <row r="1792" spans="1:4">
      <c r="A1792" s="1"/>
      <c r="D1792" s="1"/>
    </row>
    <row r="1793" spans="1:4">
      <c r="A1793" s="1"/>
      <c r="D1793" s="1"/>
    </row>
    <row r="1794" spans="1:4">
      <c r="A1794" s="1"/>
      <c r="D1794" s="1"/>
    </row>
    <row r="1795" spans="1:4">
      <c r="A1795" s="1"/>
      <c r="D1795" s="1"/>
    </row>
    <row r="1796" spans="1:4">
      <c r="A1796" s="1"/>
      <c r="D1796" s="1"/>
    </row>
    <row r="1797" spans="1:4">
      <c r="A1797" s="1"/>
      <c r="D1797" s="1"/>
    </row>
    <row r="1798" spans="1:4">
      <c r="A1798" s="1"/>
      <c r="D1798" s="1"/>
    </row>
    <row r="1799" spans="1:4">
      <c r="A1799" s="1"/>
      <c r="D1799" s="1"/>
    </row>
    <row r="1800" spans="1:4">
      <c r="A1800" s="1"/>
      <c r="D1800" s="1"/>
    </row>
    <row r="1801" spans="1:4">
      <c r="A1801" s="1"/>
      <c r="D1801" s="1"/>
    </row>
    <row r="1802" spans="1:4">
      <c r="A1802" s="1"/>
      <c r="D1802" s="1"/>
    </row>
    <row r="1803" spans="1:4">
      <c r="A1803" s="1"/>
      <c r="D1803" s="1"/>
    </row>
    <row r="1804" spans="1:4">
      <c r="A1804" s="1"/>
      <c r="D1804" s="1"/>
    </row>
    <row r="1805" spans="1:4">
      <c r="A1805" s="1"/>
      <c r="D1805" s="1"/>
    </row>
    <row r="1806" spans="1:4">
      <c r="A1806" s="1"/>
      <c r="D1806" s="1"/>
    </row>
    <row r="1807" spans="1:4">
      <c r="A1807" s="1"/>
      <c r="D1807" s="1"/>
    </row>
    <row r="1808" spans="1:4">
      <c r="A1808" s="1"/>
      <c r="D1808" s="1"/>
    </row>
    <row r="1809" spans="1:4">
      <c r="A1809" s="1"/>
      <c r="D1809" s="1"/>
    </row>
    <row r="1810" spans="1:4">
      <c r="A1810" s="1"/>
      <c r="D1810" s="1"/>
    </row>
    <row r="1811" spans="1:4">
      <c r="A1811" s="1"/>
      <c r="D1811" s="1"/>
    </row>
    <row r="1812" spans="1:4">
      <c r="A1812" s="1"/>
      <c r="D1812" s="1"/>
    </row>
    <row r="1813" spans="1:4">
      <c r="A1813" s="1"/>
      <c r="D1813" s="1"/>
    </row>
    <row r="1814" spans="1:4">
      <c r="A1814" s="1"/>
      <c r="D1814" s="1"/>
    </row>
    <row r="1815" spans="1:4">
      <c r="A1815" s="1"/>
      <c r="D1815" s="1"/>
    </row>
    <row r="1816" spans="1:4">
      <c r="A1816" s="1"/>
      <c r="D1816" s="1"/>
    </row>
    <row r="1817" spans="1:4">
      <c r="A1817" s="1"/>
      <c r="D1817" s="1"/>
    </row>
    <row r="1818" spans="1:4">
      <c r="A1818" s="1"/>
      <c r="D1818" s="1"/>
    </row>
    <row r="1819" spans="1:4">
      <c r="A1819" s="1"/>
      <c r="D1819" s="1"/>
    </row>
    <row r="1820" spans="1:4">
      <c r="A1820" s="1"/>
      <c r="D1820" s="1"/>
    </row>
    <row r="1821" spans="1:4">
      <c r="A1821" s="1"/>
      <c r="D1821" s="1"/>
    </row>
    <row r="1822" spans="1:4">
      <c r="A1822" s="1"/>
      <c r="D1822" s="1"/>
    </row>
    <row r="1823" spans="1:4">
      <c r="A1823" s="1"/>
      <c r="D1823" s="1"/>
    </row>
    <row r="1824" spans="1:4">
      <c r="A1824" s="1"/>
      <c r="D1824" s="1"/>
    </row>
    <row r="1825" spans="1:4">
      <c r="A1825" s="1"/>
      <c r="D1825" s="1"/>
    </row>
    <row r="1826" spans="1:4">
      <c r="A1826" s="1"/>
      <c r="D1826" s="1"/>
    </row>
    <row r="1827" spans="1:4">
      <c r="A1827" s="1"/>
      <c r="D1827" s="1"/>
    </row>
    <row r="1828" spans="1:4">
      <c r="A1828" s="1"/>
      <c r="D1828" s="1"/>
    </row>
    <row r="1829" spans="1:4">
      <c r="A1829" s="1"/>
      <c r="D1829" s="1"/>
    </row>
    <row r="1830" spans="1:4">
      <c r="A1830" s="1"/>
      <c r="D1830" s="1"/>
    </row>
    <row r="1831" spans="1:4">
      <c r="A1831" s="1"/>
      <c r="D1831" s="1"/>
    </row>
    <row r="1832" spans="1:4">
      <c r="A1832" s="1"/>
      <c r="D1832" s="1"/>
    </row>
    <row r="1833" spans="1:4">
      <c r="A1833" s="1"/>
      <c r="D1833" s="1"/>
    </row>
    <row r="1834" spans="1:4">
      <c r="A1834" s="1"/>
      <c r="D1834" s="1"/>
    </row>
    <row r="1835" spans="1:4">
      <c r="A1835" s="1"/>
      <c r="D1835" s="1"/>
    </row>
    <row r="1836" spans="1:4">
      <c r="A1836" s="1"/>
      <c r="D1836" s="1"/>
    </row>
    <row r="1837" spans="1:4">
      <c r="A1837" s="1"/>
      <c r="D1837" s="1"/>
    </row>
    <row r="1838" spans="1:4">
      <c r="A1838" s="1"/>
      <c r="D1838" s="1"/>
    </row>
    <row r="1839" spans="1:4">
      <c r="A1839" s="1"/>
      <c r="D1839" s="1"/>
    </row>
    <row r="1840" spans="1:4">
      <c r="A1840" s="1"/>
      <c r="D1840" s="1"/>
    </row>
    <row r="1841" spans="1:4">
      <c r="A1841" s="1"/>
      <c r="D1841" s="1"/>
    </row>
    <row r="1842" spans="1:4">
      <c r="A1842" s="1"/>
      <c r="D1842" s="1"/>
    </row>
    <row r="1843" spans="1:4">
      <c r="A1843" s="1"/>
      <c r="D1843" s="1"/>
    </row>
    <row r="1844" spans="1:4">
      <c r="A1844" s="1"/>
      <c r="D1844" s="1"/>
    </row>
    <row r="1845" spans="1:4">
      <c r="A1845" s="1"/>
      <c r="D1845" s="1"/>
    </row>
    <row r="1846" spans="1:4">
      <c r="A1846" s="1"/>
      <c r="D1846" s="1"/>
    </row>
    <row r="1847" spans="1:4">
      <c r="A1847" s="1"/>
      <c r="D1847" s="1"/>
    </row>
    <row r="1848" spans="1:4">
      <c r="A1848" s="1"/>
      <c r="D1848" s="1"/>
    </row>
    <row r="1849" spans="1:4">
      <c r="A1849" s="1"/>
      <c r="D1849" s="1"/>
    </row>
    <row r="1850" spans="1:4">
      <c r="A1850" s="1"/>
      <c r="D1850" s="1"/>
    </row>
    <row r="1851" spans="1:4">
      <c r="A1851" s="1"/>
      <c r="D1851" s="1"/>
    </row>
    <row r="1852" spans="1:4">
      <c r="A1852" s="1"/>
      <c r="D1852" s="1"/>
    </row>
    <row r="1853" spans="1:4">
      <c r="A1853" s="1"/>
      <c r="D1853" s="1"/>
    </row>
    <row r="1854" spans="1:4">
      <c r="A1854" s="1"/>
      <c r="D1854" s="1"/>
    </row>
    <row r="1855" spans="1:4">
      <c r="A1855" s="1"/>
      <c r="D1855" s="1"/>
    </row>
    <row r="1856" spans="1:4">
      <c r="A1856" s="1"/>
      <c r="D1856" s="1"/>
    </row>
    <row r="1857" spans="1:4">
      <c r="A1857" s="1"/>
      <c r="D1857" s="1"/>
    </row>
    <row r="1858" spans="1:4">
      <c r="A1858" s="1"/>
      <c r="D1858" s="1"/>
    </row>
    <row r="1859" spans="1:4">
      <c r="A1859" s="1"/>
      <c r="D1859" s="1"/>
    </row>
    <row r="1860" spans="1:4">
      <c r="A1860" s="1"/>
      <c r="D1860" s="1"/>
    </row>
    <row r="1861" spans="1:4">
      <c r="A1861" s="1"/>
      <c r="D1861" s="1"/>
    </row>
    <row r="1862" spans="1:4">
      <c r="A1862" s="1"/>
      <c r="D1862" s="1"/>
    </row>
    <row r="1863" spans="1:4">
      <c r="A1863" s="1"/>
      <c r="D1863" s="1"/>
    </row>
    <row r="1864" spans="1:4">
      <c r="A1864" s="1"/>
      <c r="D1864" s="1"/>
    </row>
    <row r="1865" spans="1:4">
      <c r="A1865" s="1"/>
      <c r="D1865" s="1"/>
    </row>
    <row r="1866" spans="1:4">
      <c r="A1866" s="1"/>
      <c r="D1866" s="1"/>
    </row>
    <row r="1867" spans="1:4">
      <c r="A1867" s="1"/>
      <c r="D1867" s="1"/>
    </row>
    <row r="1868" spans="1:4">
      <c r="A1868" s="1"/>
      <c r="D1868" s="1"/>
    </row>
    <row r="1869" spans="1:4">
      <c r="A1869" s="1"/>
      <c r="D1869" s="1"/>
    </row>
    <row r="1870" spans="1:4">
      <c r="A1870" s="1"/>
      <c r="D1870" s="1"/>
    </row>
    <row r="1871" spans="1:4">
      <c r="A1871" s="1"/>
      <c r="D1871" s="1"/>
    </row>
    <row r="1872" spans="1:4">
      <c r="A1872" s="1"/>
      <c r="D1872" s="1"/>
    </row>
    <row r="1873" spans="1:4">
      <c r="A1873" s="1"/>
      <c r="D1873" s="1"/>
    </row>
    <row r="1874" spans="1:4">
      <c r="A1874" s="1"/>
      <c r="D1874" s="1"/>
    </row>
    <row r="1875" spans="1:4">
      <c r="A1875" s="1"/>
      <c r="D1875" s="1"/>
    </row>
    <row r="1876" spans="1:4">
      <c r="A1876" s="1"/>
      <c r="D1876" s="1"/>
    </row>
    <row r="1877" spans="1:4">
      <c r="A1877" s="1"/>
      <c r="D1877" s="1"/>
    </row>
    <row r="1878" spans="1:4">
      <c r="A1878" s="1"/>
      <c r="D1878" s="1"/>
    </row>
    <row r="1879" spans="1:4">
      <c r="A1879" s="1"/>
      <c r="D1879" s="1"/>
    </row>
    <row r="1880" spans="1:4">
      <c r="A1880" s="1"/>
      <c r="D1880" s="1"/>
    </row>
    <row r="1881" spans="1:4">
      <c r="A1881" s="1"/>
      <c r="D1881" s="1"/>
    </row>
    <row r="1882" spans="1:4">
      <c r="A1882" s="1"/>
      <c r="D1882" s="1"/>
    </row>
    <row r="1883" spans="1:4">
      <c r="A1883" s="1"/>
      <c r="D1883" s="1"/>
    </row>
    <row r="1884" spans="1:4">
      <c r="A1884" s="1"/>
      <c r="D1884" s="1"/>
    </row>
    <row r="1885" spans="1:4">
      <c r="A1885" s="1"/>
      <c r="D1885" s="1"/>
    </row>
    <row r="1886" spans="1:4">
      <c r="A1886" s="1"/>
      <c r="D1886" s="1"/>
    </row>
    <row r="1887" spans="1:4">
      <c r="A1887" s="1"/>
      <c r="D1887" s="1"/>
    </row>
    <row r="1888" spans="1:4">
      <c r="A1888" s="1"/>
      <c r="D1888" s="1"/>
    </row>
    <row r="1889" spans="1:4">
      <c r="A1889" s="1"/>
      <c r="D1889" s="1"/>
    </row>
    <row r="1890" spans="1:4">
      <c r="A1890" s="1"/>
      <c r="D1890" s="1"/>
    </row>
    <row r="1891" spans="1:4">
      <c r="A1891" s="1"/>
      <c r="D1891" s="1"/>
    </row>
    <row r="1892" spans="1:4">
      <c r="A1892" s="1"/>
      <c r="D1892" s="1"/>
    </row>
    <row r="1893" spans="1:4">
      <c r="A1893" s="1"/>
      <c r="D1893" s="1"/>
    </row>
    <row r="1894" spans="1:4">
      <c r="A1894" s="1"/>
      <c r="D1894" s="1"/>
    </row>
    <row r="1895" spans="1:4">
      <c r="A1895" s="1"/>
      <c r="D1895" s="1"/>
    </row>
    <row r="1896" spans="1:4">
      <c r="A1896" s="1"/>
      <c r="D1896" s="1"/>
    </row>
    <row r="1897" spans="1:4">
      <c r="A1897" s="1"/>
      <c r="D1897" s="1"/>
    </row>
    <row r="1898" spans="1:4">
      <c r="A1898" s="1"/>
      <c r="D1898" s="1"/>
    </row>
    <row r="1899" spans="1:4">
      <c r="A1899" s="1"/>
      <c r="D1899" s="1"/>
    </row>
    <row r="1900" spans="1:4">
      <c r="A1900" s="1"/>
      <c r="D1900" s="1"/>
    </row>
    <row r="1901" spans="1:4">
      <c r="A1901" s="1"/>
      <c r="D1901" s="1"/>
    </row>
    <row r="1902" spans="1:4">
      <c r="A1902" s="1"/>
      <c r="D1902" s="1"/>
    </row>
    <row r="1903" spans="1:4">
      <c r="A1903" s="1"/>
      <c r="D1903" s="1"/>
    </row>
    <row r="1904" spans="1:4">
      <c r="A1904" s="1"/>
      <c r="D1904" s="1"/>
    </row>
    <row r="1905" spans="1:4">
      <c r="A1905" s="1"/>
      <c r="D1905" s="1"/>
    </row>
    <row r="1906" spans="1:4">
      <c r="A1906" s="1"/>
      <c r="D1906" s="1"/>
    </row>
    <row r="1907" spans="1:4">
      <c r="A1907" s="1"/>
      <c r="D1907" s="1"/>
    </row>
    <row r="1908" spans="1:4">
      <c r="A1908" s="1"/>
      <c r="D1908" s="1"/>
    </row>
    <row r="1909" spans="1:4">
      <c r="A1909" s="1"/>
      <c r="D1909" s="1"/>
    </row>
    <row r="1910" spans="1:4">
      <c r="A1910" s="1"/>
      <c r="D1910" s="1"/>
    </row>
    <row r="1911" spans="1:4">
      <c r="A1911" s="1"/>
      <c r="D1911" s="1"/>
    </row>
    <row r="1912" spans="1:4">
      <c r="A1912" s="1"/>
      <c r="D1912" s="1"/>
    </row>
    <row r="1913" spans="1:4">
      <c r="A1913" s="1"/>
      <c r="D1913" s="1"/>
    </row>
    <row r="1914" spans="1:4">
      <c r="A1914" s="1"/>
      <c r="D1914" s="1"/>
    </row>
    <row r="1915" spans="1:4">
      <c r="A1915" s="1"/>
      <c r="D1915" s="1"/>
    </row>
    <row r="1916" spans="1:4">
      <c r="A1916" s="1"/>
      <c r="D1916" s="1"/>
    </row>
    <row r="1917" spans="1:4">
      <c r="A1917" s="1"/>
      <c r="D1917" s="1"/>
    </row>
    <row r="1918" spans="1:4">
      <c r="A1918" s="1"/>
      <c r="D1918" s="1"/>
    </row>
    <row r="1919" spans="1:4">
      <c r="A1919" s="1"/>
      <c r="D1919" s="1"/>
    </row>
    <row r="1920" spans="1:4">
      <c r="A1920" s="1"/>
      <c r="D1920" s="1"/>
    </row>
    <row r="1921" spans="1:4">
      <c r="A1921" s="1"/>
      <c r="D1921" s="1"/>
    </row>
    <row r="1922" spans="1:4">
      <c r="A1922" s="1"/>
      <c r="D1922" s="1"/>
    </row>
    <row r="1923" spans="1:4">
      <c r="A1923" s="1"/>
      <c r="D1923" s="1"/>
    </row>
    <row r="1924" spans="1:4">
      <c r="A1924" s="1"/>
      <c r="D1924" s="1"/>
    </row>
    <row r="1925" spans="1:4">
      <c r="A1925" s="1"/>
      <c r="D1925" s="1"/>
    </row>
    <row r="1926" spans="1:4">
      <c r="A1926" s="1"/>
      <c r="D1926" s="1"/>
    </row>
    <row r="1927" spans="1:4">
      <c r="A1927" s="1"/>
      <c r="D1927" s="1"/>
    </row>
    <row r="1928" spans="1:4">
      <c r="A1928" s="1"/>
      <c r="D1928" s="1"/>
    </row>
    <row r="1929" spans="1:4">
      <c r="A1929" s="1"/>
      <c r="D1929" s="1"/>
    </row>
    <row r="1930" spans="1:4">
      <c r="A1930" s="1"/>
      <c r="D1930" s="1"/>
    </row>
    <row r="1931" spans="1:4">
      <c r="A1931" s="1"/>
      <c r="D1931" s="1"/>
    </row>
    <row r="1932" spans="1:4">
      <c r="A1932" s="1"/>
      <c r="D1932" s="1"/>
    </row>
    <row r="1933" spans="1:4">
      <c r="A1933" s="1"/>
      <c r="D1933" s="1"/>
    </row>
    <row r="1934" spans="1:4">
      <c r="A1934" s="1"/>
      <c r="D1934" s="1"/>
    </row>
    <row r="1935" spans="1:4">
      <c r="A1935" s="1"/>
      <c r="D1935" s="1"/>
    </row>
    <row r="1936" spans="1:4">
      <c r="A1936" s="1"/>
      <c r="D1936" s="1"/>
    </row>
    <row r="1937" spans="1:4">
      <c r="A1937" s="1"/>
      <c r="D1937" s="1"/>
    </row>
    <row r="1938" spans="1:4">
      <c r="A1938" s="1"/>
      <c r="D1938" s="1"/>
    </row>
    <row r="1939" spans="1:4">
      <c r="A1939" s="1"/>
      <c r="D1939" s="1"/>
    </row>
    <row r="1940" spans="1:4">
      <c r="A1940" s="1"/>
      <c r="D1940" s="1"/>
    </row>
    <row r="1941" spans="1:4">
      <c r="A1941" s="1"/>
      <c r="D1941" s="1"/>
    </row>
    <row r="1942" spans="1:4">
      <c r="A1942" s="1"/>
      <c r="D1942" s="1"/>
    </row>
    <row r="1943" spans="1:4">
      <c r="A1943" s="1"/>
      <c r="D1943" s="1"/>
    </row>
    <row r="1944" spans="1:4">
      <c r="A1944" s="1"/>
      <c r="D1944" s="1"/>
    </row>
    <row r="1945" spans="1:4">
      <c r="A1945" s="1"/>
      <c r="D1945" s="1"/>
    </row>
    <row r="1946" spans="1:4">
      <c r="A1946" s="1"/>
      <c r="D1946" s="1"/>
    </row>
    <row r="1947" spans="1:4">
      <c r="A1947" s="1"/>
      <c r="D1947" s="1"/>
    </row>
    <row r="1948" spans="1:4">
      <c r="A1948" s="1"/>
      <c r="D1948" s="1"/>
    </row>
    <row r="1949" spans="1:4">
      <c r="A1949" s="1"/>
      <c r="D1949" s="1"/>
    </row>
    <row r="1950" spans="1:4">
      <c r="A1950" s="1"/>
      <c r="D1950" s="1"/>
    </row>
    <row r="1951" spans="1:4">
      <c r="A1951" s="1"/>
      <c r="D1951" s="1"/>
    </row>
    <row r="1952" spans="1:4">
      <c r="A1952" s="1"/>
      <c r="D1952" s="1"/>
    </row>
    <row r="1953" spans="1:4">
      <c r="A1953" s="1"/>
      <c r="D1953" s="1"/>
    </row>
    <row r="1954" spans="1:4">
      <c r="A1954" s="1"/>
      <c r="D1954" s="1"/>
    </row>
    <row r="1955" spans="1:4">
      <c r="A1955" s="1"/>
      <c r="D1955" s="1"/>
    </row>
    <row r="1956" spans="1:4">
      <c r="A1956" s="1"/>
      <c r="D1956" s="1"/>
    </row>
    <row r="1957" spans="1:4">
      <c r="A1957" s="1"/>
      <c r="D1957" s="1"/>
    </row>
    <row r="1958" spans="1:4">
      <c r="A1958" s="1"/>
      <c r="D1958" s="1"/>
    </row>
    <row r="1959" spans="1:4">
      <c r="A1959" s="1"/>
      <c r="D1959" s="1"/>
    </row>
    <row r="1960" spans="1:4">
      <c r="A1960" s="1"/>
      <c r="D1960" s="1"/>
    </row>
    <row r="1961" spans="1:4">
      <c r="A1961" s="1"/>
      <c r="D1961" s="1"/>
    </row>
    <row r="1962" spans="1:4">
      <c r="A1962" s="1"/>
      <c r="D1962" s="1"/>
    </row>
    <row r="1963" spans="1:4">
      <c r="A1963" s="1"/>
      <c r="D1963" s="1"/>
    </row>
    <row r="1964" spans="1:4">
      <c r="A1964" s="1"/>
      <c r="D1964" s="1"/>
    </row>
    <row r="1965" spans="1:4">
      <c r="A1965" s="1"/>
      <c r="D1965" s="1"/>
    </row>
    <row r="1966" spans="1:4">
      <c r="A1966" s="1"/>
      <c r="D1966" s="1"/>
    </row>
    <row r="1967" spans="1:4">
      <c r="A1967" s="1"/>
      <c r="D1967" s="1"/>
    </row>
    <row r="1968" spans="1:4">
      <c r="A1968" s="1"/>
      <c r="D1968" s="1"/>
    </row>
    <row r="1969" spans="1:4">
      <c r="A1969" s="1"/>
      <c r="D1969" s="1"/>
    </row>
    <row r="1970" spans="1:4">
      <c r="A1970" s="1"/>
      <c r="D1970" s="1"/>
    </row>
    <row r="1971" spans="1:4">
      <c r="A1971" s="1"/>
      <c r="D1971" s="1"/>
    </row>
    <row r="1972" spans="1:4">
      <c r="A1972" s="1"/>
      <c r="D1972" s="1"/>
    </row>
    <row r="1973" spans="1:4">
      <c r="A1973" s="1"/>
      <c r="D1973" s="1"/>
    </row>
    <row r="1974" spans="1:4">
      <c r="A1974" s="1"/>
      <c r="D1974" s="1"/>
    </row>
    <row r="1975" spans="1:4">
      <c r="A1975" s="1"/>
      <c r="D1975" s="1"/>
    </row>
    <row r="1976" spans="1:4">
      <c r="A1976" s="1"/>
      <c r="D1976" s="1"/>
    </row>
    <row r="1977" spans="1:4">
      <c r="A1977" s="1"/>
      <c r="D1977" s="1"/>
    </row>
    <row r="1978" spans="1:4">
      <c r="A1978" s="1"/>
      <c r="D1978" s="1"/>
    </row>
    <row r="1979" spans="1:4">
      <c r="A1979" s="1"/>
      <c r="D1979" s="1"/>
    </row>
    <row r="1980" spans="1:4">
      <c r="A1980" s="1"/>
      <c r="D1980" s="1"/>
    </row>
    <row r="1981" spans="1:4">
      <c r="A1981" s="1"/>
      <c r="D1981" s="1"/>
    </row>
    <row r="1982" spans="1:4">
      <c r="A1982" s="1"/>
      <c r="D1982" s="1"/>
    </row>
    <row r="1983" spans="1:4">
      <c r="A1983" s="1"/>
      <c r="D1983" s="1"/>
    </row>
    <row r="1984" spans="1:4">
      <c r="A1984" s="1"/>
      <c r="D1984" s="1"/>
    </row>
    <row r="1985" spans="1:4">
      <c r="A1985" s="1"/>
      <c r="D1985" s="1"/>
    </row>
    <row r="1986" spans="1:4">
      <c r="A1986" s="1"/>
      <c r="D1986" s="1"/>
    </row>
    <row r="1987" spans="1:4">
      <c r="A1987" s="1"/>
      <c r="D1987" s="1"/>
    </row>
    <row r="1988" spans="1:4">
      <c r="A1988" s="1"/>
      <c r="D1988" s="1"/>
    </row>
    <row r="1989" spans="1:4">
      <c r="A1989" s="1"/>
      <c r="D1989" s="1"/>
    </row>
    <row r="1990" spans="1:4">
      <c r="A1990" s="1"/>
      <c r="D1990" s="1"/>
    </row>
    <row r="1991" spans="1:4">
      <c r="A1991" s="1"/>
      <c r="D1991" s="1"/>
    </row>
    <row r="1992" spans="1:4">
      <c r="A1992" s="1"/>
      <c r="D1992" s="1"/>
    </row>
    <row r="1993" spans="1:4">
      <c r="A1993" s="1"/>
      <c r="D1993" s="1"/>
    </row>
    <row r="1994" spans="1:4">
      <c r="A1994" s="1"/>
      <c r="D1994" s="1"/>
    </row>
    <row r="1995" spans="1:4">
      <c r="A1995" s="1"/>
      <c r="D1995" s="1"/>
    </row>
    <row r="1996" spans="1:4">
      <c r="A1996" s="1"/>
      <c r="D1996" s="1"/>
    </row>
    <row r="1997" spans="1:4">
      <c r="A1997" s="1"/>
      <c r="D1997" s="1"/>
    </row>
    <row r="1998" spans="1:4">
      <c r="A1998" s="1"/>
      <c r="D1998" s="1"/>
    </row>
    <row r="1999" spans="1:4">
      <c r="A1999" s="1"/>
      <c r="D1999" s="1"/>
    </row>
    <row r="2000" spans="1:4">
      <c r="A2000" s="1"/>
      <c r="D2000" s="1"/>
    </row>
    <row r="2001" spans="1:4">
      <c r="A2001" s="1"/>
      <c r="D2001" s="1"/>
    </row>
    <row r="2002" spans="1:4">
      <c r="A2002" s="1"/>
      <c r="D2002" s="1"/>
    </row>
    <row r="2003" spans="1:4">
      <c r="A2003" s="1"/>
      <c r="D2003" s="1"/>
    </row>
    <row r="2004" spans="1:4">
      <c r="A2004" s="1"/>
      <c r="D2004" s="1"/>
    </row>
    <row r="2005" spans="1:4">
      <c r="A2005" s="1"/>
      <c r="D2005" s="1"/>
    </row>
    <row r="2006" spans="1:4">
      <c r="A2006" s="1"/>
      <c r="D2006" s="1"/>
    </row>
    <row r="2007" spans="1:4">
      <c r="A2007" s="1"/>
      <c r="D2007" s="1"/>
    </row>
    <row r="2008" spans="1:4">
      <c r="A2008" s="1"/>
      <c r="D2008" s="1"/>
    </row>
    <row r="2009" spans="1:4">
      <c r="A2009" s="1"/>
      <c r="D2009" s="1"/>
    </row>
    <row r="2010" spans="1:4">
      <c r="A2010" s="1"/>
      <c r="D2010" s="1"/>
    </row>
    <row r="2011" spans="1:4">
      <c r="A2011" s="1"/>
      <c r="D2011" s="1"/>
    </row>
    <row r="2012" spans="1:4">
      <c r="A2012" s="1"/>
      <c r="D2012" s="1"/>
    </row>
    <row r="2013" spans="1:4">
      <c r="A2013" s="1"/>
      <c r="D2013" s="1"/>
    </row>
    <row r="2014" spans="1:4">
      <c r="A2014" s="1"/>
      <c r="D2014" s="1"/>
    </row>
    <row r="2015" spans="1:4">
      <c r="A2015" s="1"/>
      <c r="D2015" s="1"/>
    </row>
    <row r="2016" spans="1:4">
      <c r="A2016" s="1"/>
      <c r="D2016" s="1"/>
    </row>
    <row r="2017" spans="1:4">
      <c r="A2017" s="1"/>
      <c r="D2017" s="1"/>
    </row>
    <row r="2018" spans="1:4">
      <c r="A2018" s="1"/>
      <c r="D2018" s="1"/>
    </row>
    <row r="2019" spans="1:4">
      <c r="A2019" s="1"/>
      <c r="D2019" s="1"/>
    </row>
    <row r="2020" spans="1:4">
      <c r="A2020" s="1"/>
      <c r="D2020" s="1"/>
    </row>
    <row r="2021" spans="1:4">
      <c r="A2021" s="1"/>
      <c r="D2021" s="1"/>
    </row>
    <row r="2022" spans="1:4">
      <c r="A2022" s="1"/>
      <c r="D2022" s="1"/>
    </row>
    <row r="2023" spans="1:4">
      <c r="A2023" s="1"/>
      <c r="D2023" s="1"/>
    </row>
    <row r="2024" spans="1:4">
      <c r="A2024" s="1"/>
      <c r="D2024" s="1"/>
    </row>
    <row r="2025" spans="1:4">
      <c r="A2025" s="1"/>
      <c r="D2025" s="1"/>
    </row>
    <row r="2026" spans="1:4">
      <c r="A2026" s="1"/>
      <c r="D2026" s="1"/>
    </row>
    <row r="2027" spans="1:4">
      <c r="A2027" s="1"/>
      <c r="D2027" s="1"/>
    </row>
    <row r="2028" spans="1:4">
      <c r="A2028" s="1"/>
      <c r="D2028" s="1"/>
    </row>
    <row r="2029" spans="1:4">
      <c r="A2029" s="1"/>
      <c r="D2029" s="1"/>
    </row>
    <row r="2030" spans="1:4">
      <c r="A2030" s="1"/>
      <c r="D2030" s="1"/>
    </row>
    <row r="2031" spans="1:4">
      <c r="A2031" s="1"/>
      <c r="D2031" s="1"/>
    </row>
    <row r="2032" spans="1:4">
      <c r="A2032" s="1"/>
      <c r="D2032" s="1"/>
    </row>
    <row r="2033" spans="1:4">
      <c r="A2033" s="1"/>
      <c r="D2033" s="1"/>
    </row>
    <row r="2034" spans="1:4">
      <c r="A2034" s="1"/>
      <c r="D2034" s="1"/>
    </row>
    <row r="2035" spans="1:4">
      <c r="A2035" s="1"/>
      <c r="D2035" s="1"/>
    </row>
    <row r="2036" spans="1:4">
      <c r="A2036" s="1"/>
      <c r="D2036" s="1"/>
    </row>
    <row r="2037" spans="1:4">
      <c r="A2037" s="1"/>
      <c r="D2037" s="1"/>
    </row>
    <row r="2038" spans="1:4">
      <c r="A2038" s="1"/>
      <c r="D2038" s="1"/>
    </row>
    <row r="2039" spans="1:4">
      <c r="A2039" s="1"/>
      <c r="D2039" s="1"/>
    </row>
    <row r="2040" spans="1:4">
      <c r="A2040" s="1"/>
      <c r="D2040" s="1"/>
    </row>
    <row r="2041" spans="1:4">
      <c r="A2041" s="1"/>
      <c r="D2041" s="1"/>
    </row>
    <row r="2042" spans="1:4">
      <c r="A2042" s="1"/>
      <c r="D2042" s="1"/>
    </row>
    <row r="2043" spans="1:4">
      <c r="A2043" s="1"/>
      <c r="D2043" s="1"/>
    </row>
    <row r="2044" spans="1:4">
      <c r="A2044" s="1"/>
      <c r="D2044" s="1"/>
    </row>
    <row r="2045" spans="1:4">
      <c r="A2045" s="1"/>
      <c r="D2045" s="1"/>
    </row>
    <row r="2046" spans="1:4">
      <c r="A2046" s="1"/>
      <c r="D2046" s="1"/>
    </row>
    <row r="2047" spans="1:4">
      <c r="A2047" s="1"/>
      <c r="D2047" s="1"/>
    </row>
    <row r="2048" spans="1:4">
      <c r="A2048" s="1"/>
      <c r="D2048" s="1"/>
    </row>
    <row r="2049" spans="1:4">
      <c r="A2049" s="1"/>
      <c r="D2049" s="1"/>
    </row>
    <row r="2050" spans="1:4">
      <c r="A2050" s="1"/>
      <c r="D2050" s="1"/>
    </row>
    <row r="2051" spans="1:4">
      <c r="A2051" s="1"/>
      <c r="D2051" s="1"/>
    </row>
    <row r="2052" spans="1:4">
      <c r="A2052" s="1"/>
      <c r="D2052" s="1"/>
    </row>
    <row r="2053" spans="1:4">
      <c r="A2053" s="1"/>
      <c r="D2053" s="1"/>
    </row>
    <row r="2054" spans="1:4">
      <c r="A2054" s="1"/>
      <c r="D2054" s="1"/>
    </row>
    <row r="2055" spans="1:4">
      <c r="A2055" s="1"/>
      <c r="D2055" s="1"/>
    </row>
    <row r="2056" spans="1:4">
      <c r="A2056" s="1"/>
      <c r="D2056" s="1"/>
    </row>
    <row r="2057" spans="1:4">
      <c r="A2057" s="1"/>
      <c r="D2057" s="1"/>
    </row>
    <row r="2058" spans="1:4">
      <c r="A2058" s="1"/>
      <c r="D2058" s="1"/>
    </row>
    <row r="2059" spans="1:4">
      <c r="A2059" s="1"/>
      <c r="D2059" s="1"/>
    </row>
    <row r="2060" spans="1:4">
      <c r="A2060" s="1"/>
      <c r="D2060" s="1"/>
    </row>
    <row r="2061" spans="1:4">
      <c r="A2061" s="1"/>
      <c r="D2061" s="1"/>
    </row>
    <row r="2062" spans="1:4">
      <c r="A2062" s="1"/>
      <c r="D2062" s="1"/>
    </row>
    <row r="2063" spans="1:4">
      <c r="A2063" s="1"/>
      <c r="D2063" s="1"/>
    </row>
    <row r="2064" spans="1:4">
      <c r="A2064" s="1"/>
      <c r="D2064" s="1"/>
    </row>
    <row r="2065" spans="1:4">
      <c r="A2065" s="1"/>
      <c r="D2065" s="1"/>
    </row>
    <row r="2066" spans="1:4">
      <c r="A2066" s="1"/>
      <c r="D2066" s="1"/>
    </row>
    <row r="2067" spans="1:4">
      <c r="A2067" s="1"/>
      <c r="D2067" s="1"/>
    </row>
    <row r="2068" spans="1:4">
      <c r="A2068" s="1"/>
      <c r="D2068" s="1"/>
    </row>
    <row r="2069" spans="1:4">
      <c r="A2069" s="1"/>
      <c r="D2069" s="1"/>
    </row>
    <row r="2070" spans="1:4">
      <c r="A2070" s="1"/>
      <c r="D2070" s="1"/>
    </row>
    <row r="2071" spans="1:4">
      <c r="A2071" s="1"/>
      <c r="D2071" s="1"/>
    </row>
    <row r="2072" spans="1:4">
      <c r="A2072" s="1"/>
      <c r="D2072" s="1"/>
    </row>
    <row r="2073" spans="1:4">
      <c r="A2073" s="1"/>
      <c r="D2073" s="1"/>
    </row>
    <row r="2074" spans="1:4">
      <c r="A2074" s="1"/>
      <c r="D2074" s="1"/>
    </row>
    <row r="2075" spans="1:4">
      <c r="A2075" s="1"/>
      <c r="D2075" s="1"/>
    </row>
    <row r="2076" spans="1:4">
      <c r="A2076" s="1"/>
      <c r="D2076" s="1"/>
    </row>
    <row r="2077" spans="1:4">
      <c r="A2077" s="1"/>
      <c r="D2077" s="1"/>
    </row>
    <row r="2078" spans="1:4">
      <c r="A2078" s="1"/>
      <c r="D2078" s="1"/>
    </row>
    <row r="2079" spans="1:4">
      <c r="A2079" s="1"/>
      <c r="D2079" s="1"/>
    </row>
    <row r="2080" spans="1:4">
      <c r="A2080" s="1"/>
      <c r="D2080" s="1"/>
    </row>
    <row r="2081" spans="1:4">
      <c r="A2081" s="1"/>
      <c r="D2081" s="1"/>
    </row>
    <row r="2082" spans="1:4">
      <c r="A2082" s="1"/>
      <c r="D2082" s="1"/>
    </row>
    <row r="2083" spans="1:4">
      <c r="A2083" s="1"/>
      <c r="D2083" s="1"/>
    </row>
    <row r="2084" spans="1:4">
      <c r="A2084" s="1"/>
      <c r="D2084" s="1"/>
    </row>
    <row r="2085" spans="1:4">
      <c r="A2085" s="1"/>
      <c r="D2085" s="1"/>
    </row>
    <row r="2086" spans="1:4">
      <c r="A2086" s="1"/>
      <c r="D2086" s="1"/>
    </row>
    <row r="2087" spans="1:4">
      <c r="A2087" s="1"/>
      <c r="D2087" s="1"/>
    </row>
    <row r="2088" spans="1:4">
      <c r="A2088" s="1"/>
      <c r="D2088" s="1"/>
    </row>
    <row r="2089" spans="1:4">
      <c r="A2089" s="1"/>
      <c r="D2089" s="1"/>
    </row>
    <row r="2090" spans="1:4">
      <c r="A2090" s="1"/>
      <c r="D2090" s="1"/>
    </row>
    <row r="2091" spans="1:4">
      <c r="A2091" s="1"/>
      <c r="D2091" s="1"/>
    </row>
    <row r="2092" spans="1:4">
      <c r="A2092" s="1"/>
      <c r="D2092" s="1"/>
    </row>
    <row r="2093" spans="1:4">
      <c r="A2093" s="1"/>
      <c r="D2093" s="1"/>
    </row>
    <row r="2094" spans="1:4">
      <c r="A2094" s="1"/>
      <c r="D2094" s="1"/>
    </row>
    <row r="2095" spans="1:4">
      <c r="A2095" s="1"/>
      <c r="D2095" s="1"/>
    </row>
    <row r="2096" spans="1:4">
      <c r="A2096" s="1"/>
      <c r="D2096" s="1"/>
    </row>
    <row r="2097" spans="1:4">
      <c r="A2097" s="1"/>
      <c r="D2097" s="1"/>
    </row>
    <row r="2098" spans="1:4">
      <c r="A2098" s="1"/>
      <c r="D2098" s="1"/>
    </row>
    <row r="2099" spans="1:4">
      <c r="A2099" s="1"/>
      <c r="D2099" s="1"/>
    </row>
    <row r="2100" spans="1:4">
      <c r="A2100" s="1"/>
      <c r="D2100" s="1"/>
    </row>
    <row r="2101" spans="1:4">
      <c r="A2101" s="1"/>
      <c r="D2101" s="1"/>
    </row>
    <row r="2102" spans="1:4">
      <c r="A2102" s="1"/>
      <c r="D2102" s="1"/>
    </row>
    <row r="2103" spans="1:4">
      <c r="A2103" s="1"/>
      <c r="D2103" s="1"/>
    </row>
    <row r="2104" spans="1:4">
      <c r="A2104" s="1"/>
      <c r="D2104" s="1"/>
    </row>
    <row r="2105" spans="1:4">
      <c r="A2105" s="1"/>
      <c r="D2105" s="1"/>
    </row>
    <row r="2106" spans="1:4">
      <c r="A2106" s="1"/>
      <c r="D2106" s="1"/>
    </row>
    <row r="2107" spans="1:4">
      <c r="A2107" s="1"/>
      <c r="D2107" s="1"/>
    </row>
    <row r="2108" spans="1:4">
      <c r="A2108" s="1"/>
      <c r="D2108" s="1"/>
    </row>
    <row r="2109" spans="1:4">
      <c r="A2109" s="1"/>
      <c r="D2109" s="1"/>
    </row>
    <row r="2110" spans="1:4">
      <c r="A2110" s="1"/>
      <c r="D2110" s="1"/>
    </row>
    <row r="2111" spans="1:4">
      <c r="A2111" s="1"/>
      <c r="D2111" s="1"/>
    </row>
    <row r="2112" spans="1:4">
      <c r="A2112" s="1"/>
      <c r="D2112" s="1"/>
    </row>
    <row r="2113" spans="1:4">
      <c r="A2113" s="1"/>
      <c r="D2113" s="1"/>
    </row>
    <row r="2114" spans="1:4">
      <c r="A2114" s="1"/>
      <c r="D2114" s="1"/>
    </row>
    <row r="2115" spans="1:4">
      <c r="A2115" s="1"/>
      <c r="D2115" s="1"/>
    </row>
    <row r="2116" spans="1:4">
      <c r="A2116" s="1"/>
      <c r="D2116" s="1"/>
    </row>
    <row r="2117" spans="1:4">
      <c r="A2117" s="1"/>
      <c r="D2117" s="1"/>
    </row>
    <row r="2118" spans="1:4">
      <c r="A2118" s="1"/>
      <c r="D2118" s="1"/>
    </row>
    <row r="2119" spans="1:4">
      <c r="A2119" s="1"/>
      <c r="D2119" s="1"/>
    </row>
    <row r="2120" spans="1:4">
      <c r="A2120" s="1"/>
      <c r="D2120" s="1"/>
    </row>
    <row r="2121" spans="1:4">
      <c r="A2121" s="1"/>
      <c r="D2121" s="1"/>
    </row>
    <row r="2122" spans="1:4">
      <c r="A2122" s="1"/>
      <c r="D2122" s="1"/>
    </row>
    <row r="2123" spans="1:4">
      <c r="A2123" s="1"/>
      <c r="D2123" s="1"/>
    </row>
    <row r="2124" spans="1:4">
      <c r="A2124" s="1"/>
      <c r="D2124" s="1"/>
    </row>
    <row r="2125" spans="1:4">
      <c r="A2125" s="1"/>
      <c r="D2125" s="1"/>
    </row>
    <row r="2126" spans="1:4">
      <c r="A2126" s="1"/>
      <c r="D2126" s="1"/>
    </row>
    <row r="2127" spans="1:4">
      <c r="A2127" s="1"/>
      <c r="D2127" s="1"/>
    </row>
    <row r="2128" spans="1:4">
      <c r="A2128" s="1"/>
      <c r="D2128" s="1"/>
    </row>
    <row r="2129" spans="1:4">
      <c r="A2129" s="1"/>
      <c r="D2129" s="1"/>
    </row>
    <row r="2130" spans="1:4">
      <c r="A2130" s="1"/>
      <c r="D2130" s="1"/>
    </row>
    <row r="2131" spans="1:4">
      <c r="A2131" s="1"/>
      <c r="D2131" s="1"/>
    </row>
    <row r="2132" spans="1:4">
      <c r="A2132" s="1"/>
      <c r="D2132" s="1"/>
    </row>
    <row r="2133" spans="1:4">
      <c r="A2133" s="1"/>
      <c r="D2133" s="1"/>
    </row>
    <row r="2134" spans="1:4">
      <c r="A2134" s="1"/>
      <c r="D2134" s="1"/>
    </row>
    <row r="2135" spans="1:4">
      <c r="A2135" s="1"/>
      <c r="D2135" s="1"/>
    </row>
    <row r="2136" spans="1:4">
      <c r="A2136" s="1"/>
      <c r="D2136" s="1"/>
    </row>
    <row r="2137" spans="1:4">
      <c r="A2137" s="1"/>
      <c r="D2137" s="1"/>
    </row>
    <row r="2138" spans="1:4">
      <c r="A2138" s="1"/>
      <c r="D2138" s="1"/>
    </row>
    <row r="2139" spans="1:4">
      <c r="A2139" s="1"/>
      <c r="D2139" s="1"/>
    </row>
    <row r="2140" spans="1:4">
      <c r="A2140" s="1"/>
      <c r="D2140" s="1"/>
    </row>
    <row r="2141" spans="1:4">
      <c r="A2141" s="1"/>
      <c r="D2141" s="1"/>
    </row>
    <row r="2142" spans="1:4">
      <c r="A2142" s="1"/>
      <c r="D2142" s="1"/>
    </row>
    <row r="2143" spans="1:4">
      <c r="A2143" s="1"/>
      <c r="D2143" s="1"/>
    </row>
    <row r="2144" spans="1:4">
      <c r="A2144" s="1"/>
      <c r="D2144" s="1"/>
    </row>
    <row r="2145" spans="1:4">
      <c r="A2145" s="1"/>
      <c r="D2145" s="1"/>
    </row>
    <row r="2146" spans="1:4">
      <c r="A2146" s="1"/>
      <c r="D2146" s="1"/>
    </row>
    <row r="2147" spans="1:4">
      <c r="A2147" s="1"/>
      <c r="D2147" s="1"/>
    </row>
    <row r="2148" spans="1:4">
      <c r="A2148" s="1"/>
      <c r="D2148" s="1"/>
    </row>
    <row r="2149" spans="1:4">
      <c r="A2149" s="1"/>
      <c r="D2149" s="1"/>
    </row>
    <row r="2150" spans="1:4">
      <c r="A2150" s="1"/>
      <c r="D2150" s="1"/>
    </row>
    <row r="2151" spans="1:4">
      <c r="A2151" s="1"/>
      <c r="D2151" s="1"/>
    </row>
    <row r="2152" spans="1:4">
      <c r="A2152" s="1"/>
      <c r="D2152" s="1"/>
    </row>
    <row r="2153" spans="1:4">
      <c r="A2153" s="1"/>
      <c r="D2153" s="1"/>
    </row>
    <row r="2154" spans="1:4">
      <c r="A2154" s="1"/>
      <c r="D2154" s="1"/>
    </row>
    <row r="2155" spans="1:4">
      <c r="A2155" s="1"/>
      <c r="D2155" s="1"/>
    </row>
    <row r="2156" spans="1:4">
      <c r="A2156" s="1"/>
      <c r="D2156" s="1"/>
    </row>
    <row r="2157" spans="1:4">
      <c r="A2157" s="1"/>
      <c r="D2157" s="1"/>
    </row>
    <row r="2158" spans="1:4">
      <c r="A2158" s="1"/>
      <c r="D2158" s="1"/>
    </row>
    <row r="2159" spans="1:4">
      <c r="A2159" s="1"/>
      <c r="D2159" s="1"/>
    </row>
    <row r="2160" spans="1:4">
      <c r="A2160" s="1"/>
      <c r="D2160" s="1"/>
    </row>
    <row r="2161" spans="1:4">
      <c r="A2161" s="1"/>
      <c r="D2161" s="1"/>
    </row>
    <row r="2162" spans="1:4">
      <c r="A2162" s="1"/>
      <c r="D2162" s="1"/>
    </row>
    <row r="2163" spans="1:4">
      <c r="A2163" s="1"/>
      <c r="D2163" s="1"/>
    </row>
    <row r="2164" spans="1:4">
      <c r="A2164" s="1"/>
      <c r="D2164" s="1"/>
    </row>
    <row r="2165" spans="1:4">
      <c r="A2165" s="1"/>
      <c r="D2165" s="1"/>
    </row>
    <row r="2166" spans="1:4">
      <c r="A2166" s="1"/>
      <c r="D2166" s="1"/>
    </row>
    <row r="2167" spans="1:4">
      <c r="A2167" s="1"/>
      <c r="D2167" s="1"/>
    </row>
    <row r="2168" spans="1:4">
      <c r="A2168" s="1"/>
      <c r="D2168" s="1"/>
    </row>
    <row r="2169" spans="1:4">
      <c r="A2169" s="1"/>
      <c r="D2169" s="1"/>
    </row>
    <row r="2170" spans="1:4">
      <c r="A2170" s="1"/>
      <c r="D2170" s="1"/>
    </row>
    <row r="2171" spans="1:4">
      <c r="A2171" s="1"/>
      <c r="D2171" s="1"/>
    </row>
    <row r="2172" spans="1:4">
      <c r="A2172" s="1"/>
      <c r="D2172" s="1"/>
    </row>
    <row r="2173" spans="1:4">
      <c r="A2173" s="1"/>
      <c r="D2173" s="1"/>
    </row>
    <row r="2174" spans="1:4">
      <c r="A2174" s="1"/>
      <c r="D2174" s="1"/>
    </row>
    <row r="2175" spans="1:4">
      <c r="A2175" s="1"/>
      <c r="D2175" s="1"/>
    </row>
    <row r="2176" spans="1:4">
      <c r="A2176" s="1"/>
      <c r="D2176" s="1"/>
    </row>
    <row r="2177" spans="1:4">
      <c r="A2177" s="1"/>
      <c r="D2177" s="1"/>
    </row>
    <row r="2178" spans="1:4">
      <c r="A2178" s="1"/>
      <c r="D2178" s="1"/>
    </row>
    <row r="2179" spans="1:4">
      <c r="A2179" s="1"/>
      <c r="D2179" s="1"/>
    </row>
    <row r="2180" spans="1:4">
      <c r="A2180" s="1"/>
      <c r="D2180" s="1"/>
    </row>
    <row r="2181" spans="1:4">
      <c r="A2181" s="1"/>
      <c r="D2181" s="1"/>
    </row>
    <row r="2182" spans="1:4">
      <c r="A2182" s="1"/>
      <c r="D2182" s="1"/>
    </row>
    <row r="2183" spans="1:4">
      <c r="A2183" s="1"/>
      <c r="D2183" s="1"/>
    </row>
    <row r="2184" spans="1:4">
      <c r="A2184" s="1"/>
      <c r="D2184" s="1"/>
    </row>
    <row r="2185" spans="1:4">
      <c r="A2185" s="1"/>
      <c r="D2185" s="1"/>
    </row>
    <row r="2186" spans="1:4">
      <c r="A2186" s="1"/>
      <c r="D2186" s="1"/>
    </row>
    <row r="2187" spans="1:4">
      <c r="A2187" s="1"/>
      <c r="D2187" s="1"/>
    </row>
    <row r="2188" spans="1:4">
      <c r="A2188" s="1"/>
      <c r="D2188" s="1"/>
    </row>
    <row r="2189" spans="1:4">
      <c r="A2189" s="1"/>
      <c r="D2189" s="1"/>
    </row>
    <row r="2190" spans="1:4">
      <c r="A2190" s="1"/>
      <c r="D2190" s="1"/>
    </row>
    <row r="2191" spans="1:4">
      <c r="A2191" s="1"/>
      <c r="D2191" s="1"/>
    </row>
    <row r="2192" spans="1:4">
      <c r="A2192" s="1"/>
      <c r="D2192" s="1"/>
    </row>
    <row r="2193" spans="1:4">
      <c r="A2193" s="1"/>
      <c r="D2193" s="1"/>
    </row>
    <row r="2194" spans="1:4">
      <c r="A2194" s="1"/>
      <c r="D2194" s="1"/>
    </row>
    <row r="2195" spans="1:4">
      <c r="A2195" s="1"/>
      <c r="D2195" s="1"/>
    </row>
    <row r="2196" spans="1:4">
      <c r="A2196" s="1"/>
      <c r="D2196" s="1"/>
    </row>
    <row r="2197" spans="1:4">
      <c r="A2197" s="1"/>
      <c r="D2197" s="1"/>
    </row>
    <row r="2198" spans="1:4">
      <c r="A2198" s="1"/>
      <c r="D2198" s="1"/>
    </row>
    <row r="2199" spans="1:4">
      <c r="A2199" s="1"/>
      <c r="D2199" s="1"/>
    </row>
    <row r="2200" spans="1:4">
      <c r="A2200" s="1"/>
      <c r="D2200" s="1"/>
    </row>
    <row r="2201" spans="1:4">
      <c r="A2201" s="1"/>
      <c r="D2201" s="1"/>
    </row>
    <row r="2202" spans="1:4">
      <c r="A2202" s="1"/>
      <c r="D2202" s="1"/>
    </row>
    <row r="2203" spans="1:4">
      <c r="A2203" s="1"/>
      <c r="D2203" s="1"/>
    </row>
    <row r="2204" spans="1:4">
      <c r="A2204" s="1"/>
      <c r="D2204" s="1"/>
    </row>
    <row r="2205" spans="1:4">
      <c r="A2205" s="1"/>
      <c r="D2205" s="1"/>
    </row>
    <row r="2206" spans="1:4">
      <c r="A2206" s="1"/>
      <c r="D2206" s="1"/>
    </row>
    <row r="2207" spans="1:4">
      <c r="A2207" s="1"/>
      <c r="D2207" s="1"/>
    </row>
    <row r="2208" spans="1:4">
      <c r="A2208" s="1"/>
      <c r="D2208" s="1"/>
    </row>
    <row r="2209" spans="1:4">
      <c r="A2209" s="1"/>
      <c r="D2209" s="1"/>
    </row>
    <row r="2210" spans="1:4">
      <c r="A2210" s="1"/>
      <c r="D2210" s="1"/>
    </row>
    <row r="2211" spans="1:4">
      <c r="A2211" s="1"/>
      <c r="D2211" s="1"/>
    </row>
    <row r="2212" spans="1:4">
      <c r="A2212" s="1"/>
      <c r="D2212" s="1"/>
    </row>
    <row r="2213" spans="1:4">
      <c r="A2213" s="1"/>
      <c r="D2213" s="1"/>
    </row>
    <row r="2214" spans="1:4">
      <c r="A2214" s="1"/>
      <c r="D2214" s="1"/>
    </row>
    <row r="2215" spans="1:4">
      <c r="A2215" s="1"/>
      <c r="D2215" s="1"/>
    </row>
    <row r="2216" spans="1:4">
      <c r="A2216" s="1"/>
      <c r="D2216" s="1"/>
    </row>
    <row r="2217" spans="1:4">
      <c r="A2217" s="1"/>
      <c r="D2217" s="1"/>
    </row>
    <row r="2218" spans="1:4">
      <c r="A2218" s="1"/>
      <c r="D2218" s="1"/>
    </row>
    <row r="2219" spans="1:4">
      <c r="A2219" s="1"/>
      <c r="D2219" s="1"/>
    </row>
    <row r="2220" spans="1:4">
      <c r="A2220" s="1"/>
      <c r="D2220" s="1"/>
    </row>
    <row r="2221" spans="1:4">
      <c r="A2221" s="1"/>
      <c r="D2221" s="1"/>
    </row>
    <row r="2222" spans="1:4">
      <c r="A2222" s="1"/>
      <c r="D2222" s="1"/>
    </row>
    <row r="2223" spans="1:4">
      <c r="A2223" s="1"/>
      <c r="D2223" s="1"/>
    </row>
    <row r="2224" spans="1:4">
      <c r="A2224" s="1"/>
      <c r="D2224" s="1"/>
    </row>
    <row r="2225" spans="1:4">
      <c r="A2225" s="1"/>
      <c r="D2225" s="1"/>
    </row>
    <row r="2226" spans="1:4">
      <c r="A2226" s="1"/>
      <c r="D2226" s="1"/>
    </row>
    <row r="2227" spans="1:4">
      <c r="A2227" s="1"/>
      <c r="D2227" s="1"/>
    </row>
    <row r="2228" spans="1:4">
      <c r="A2228" s="1"/>
      <c r="D2228" s="1"/>
    </row>
    <row r="2229" spans="1:4">
      <c r="A2229" s="1"/>
      <c r="D2229" s="1"/>
    </row>
    <row r="2230" spans="1:4">
      <c r="A2230" s="1"/>
      <c r="D2230" s="1"/>
    </row>
    <row r="2231" spans="1:4">
      <c r="A2231" s="1"/>
      <c r="D2231" s="1"/>
    </row>
    <row r="2232" spans="1:4">
      <c r="A2232" s="1"/>
      <c r="D2232" s="1"/>
    </row>
    <row r="2233" spans="1:4">
      <c r="A2233" s="1"/>
      <c r="D2233" s="1"/>
    </row>
    <row r="2234" spans="1:4">
      <c r="A2234" s="1"/>
      <c r="D2234" s="1"/>
    </row>
    <row r="2235" spans="1:4">
      <c r="A2235" s="1"/>
      <c r="D2235" s="1"/>
    </row>
    <row r="2236" spans="1:4">
      <c r="A2236" s="1"/>
      <c r="D2236" s="1"/>
    </row>
    <row r="2237" spans="1:4">
      <c r="A2237" s="1"/>
      <c r="D2237" s="1"/>
    </row>
    <row r="2238" spans="1:4">
      <c r="A2238" s="1"/>
      <c r="D2238" s="1"/>
    </row>
    <row r="2239" spans="1:4">
      <c r="A2239" s="1"/>
      <c r="D2239" s="1"/>
    </row>
    <row r="2240" spans="1:4">
      <c r="A2240" s="1"/>
      <c r="D2240" s="1"/>
    </row>
    <row r="2241" spans="1:4">
      <c r="A2241" s="1"/>
      <c r="D2241" s="1"/>
    </row>
    <row r="2242" spans="1:4">
      <c r="A2242" s="1"/>
      <c r="D2242" s="1"/>
    </row>
    <row r="2243" spans="1:4">
      <c r="A2243" s="1"/>
      <c r="D2243" s="1"/>
    </row>
    <row r="2244" spans="1:4">
      <c r="A2244" s="1"/>
      <c r="D2244" s="1"/>
    </row>
    <row r="2245" spans="1:4">
      <c r="A2245" s="1"/>
      <c r="D2245" s="1"/>
    </row>
    <row r="2246" spans="1:4">
      <c r="A2246" s="1"/>
      <c r="D2246" s="1"/>
    </row>
    <row r="2247" spans="1:4">
      <c r="A2247" s="1"/>
      <c r="D2247" s="1"/>
    </row>
    <row r="2248" spans="1:4">
      <c r="A2248" s="1"/>
      <c r="D2248" s="1"/>
    </row>
    <row r="2249" spans="1:4">
      <c r="A2249" s="1"/>
      <c r="D2249" s="1"/>
    </row>
    <row r="2250" spans="1:4">
      <c r="A2250" s="1"/>
      <c r="D2250" s="1"/>
    </row>
    <row r="2251" spans="1:4">
      <c r="A2251" s="1"/>
      <c r="D2251" s="1"/>
    </row>
    <row r="2252" spans="1:4">
      <c r="A2252" s="1"/>
      <c r="D2252" s="1"/>
    </row>
    <row r="2253" spans="1:4">
      <c r="A2253" s="1"/>
      <c r="D2253" s="1"/>
    </row>
    <row r="2254" spans="1:4">
      <c r="A2254" s="1"/>
      <c r="D2254" s="1"/>
    </row>
    <row r="2255" spans="1:4">
      <c r="A2255" s="1"/>
      <c r="D2255" s="1"/>
    </row>
    <row r="2256" spans="1:4">
      <c r="A2256" s="1"/>
      <c r="D2256" s="1"/>
    </row>
    <row r="2257" spans="1:4">
      <c r="A2257" s="1"/>
      <c r="D2257" s="1"/>
    </row>
    <row r="2258" spans="1:4">
      <c r="A2258" s="1"/>
      <c r="D2258" s="1"/>
    </row>
    <row r="2259" spans="1:4">
      <c r="A2259" s="1"/>
      <c r="D2259" s="1"/>
    </row>
    <row r="2260" spans="1:4">
      <c r="A2260" s="1"/>
      <c r="D2260" s="1"/>
    </row>
    <row r="2261" spans="1:4">
      <c r="A2261" s="1"/>
      <c r="D2261" s="1"/>
    </row>
    <row r="2262" spans="1:4">
      <c r="A2262" s="1"/>
      <c r="D2262" s="1"/>
    </row>
    <row r="2263" spans="1:4">
      <c r="A2263" s="1"/>
      <c r="D2263" s="1"/>
    </row>
    <row r="2264" spans="1:4">
      <c r="A2264" s="1"/>
      <c r="D2264" s="1"/>
    </row>
    <row r="2265" spans="1:4">
      <c r="A2265" s="1"/>
      <c r="D2265" s="1"/>
    </row>
    <row r="2266" spans="1:4">
      <c r="A2266" s="1"/>
      <c r="D2266" s="1"/>
    </row>
    <row r="2267" spans="1:4">
      <c r="A2267" s="1"/>
      <c r="D2267" s="1"/>
    </row>
    <row r="2268" spans="1:4">
      <c r="A2268" s="1"/>
      <c r="D2268" s="1"/>
    </row>
    <row r="2269" spans="1:4">
      <c r="A2269" s="1"/>
      <c r="D2269" s="1"/>
    </row>
    <row r="2270" spans="1:4">
      <c r="A2270" s="1"/>
      <c r="D2270" s="1"/>
    </row>
    <row r="2271" spans="1:4">
      <c r="A2271" s="1"/>
      <c r="D2271" s="1"/>
    </row>
    <row r="2272" spans="1:4">
      <c r="A2272" s="1"/>
      <c r="D2272" s="1"/>
    </row>
    <row r="2273" spans="1:4">
      <c r="A2273" s="1"/>
      <c r="D2273" s="1"/>
    </row>
    <row r="2274" spans="1:4">
      <c r="A2274" s="1"/>
      <c r="D2274" s="1"/>
    </row>
    <row r="2275" spans="1:4">
      <c r="A2275" s="1"/>
      <c r="D2275" s="1"/>
    </row>
    <row r="2276" spans="1:4">
      <c r="A2276" s="1"/>
      <c r="D2276" s="1"/>
    </row>
    <row r="2277" spans="1:4">
      <c r="A2277" s="1"/>
      <c r="D2277" s="1"/>
    </row>
    <row r="2278" spans="1:4">
      <c r="A2278" s="1"/>
      <c r="D2278" s="1"/>
    </row>
    <row r="2279" spans="1:4">
      <c r="A2279" s="1"/>
      <c r="D2279" s="1"/>
    </row>
    <row r="2280" spans="1:4">
      <c r="A2280" s="1"/>
      <c r="D2280" s="1"/>
    </row>
    <row r="2281" spans="1:4">
      <c r="A2281" s="1"/>
      <c r="D2281" s="1"/>
    </row>
    <row r="2282" spans="1:4">
      <c r="A2282" s="1"/>
      <c r="D2282" s="1"/>
    </row>
    <row r="2283" spans="1:4">
      <c r="A2283" s="1"/>
      <c r="D2283" s="1"/>
    </row>
    <row r="2284" spans="1:4">
      <c r="A2284" s="1"/>
      <c r="D2284" s="1"/>
    </row>
    <row r="2285" spans="1:4">
      <c r="A2285" s="1"/>
      <c r="D2285" s="1"/>
    </row>
    <row r="2286" spans="1:4">
      <c r="A2286" s="1"/>
      <c r="D2286" s="1"/>
    </row>
    <row r="2287" spans="1:4">
      <c r="A2287" s="1"/>
      <c r="D2287" s="1"/>
    </row>
    <row r="2288" spans="1:4">
      <c r="A2288" s="1"/>
      <c r="D2288" s="1"/>
    </row>
    <row r="2289" spans="1:4">
      <c r="A2289" s="1"/>
      <c r="D2289" s="1"/>
    </row>
    <row r="2290" spans="1:4">
      <c r="A2290" s="1"/>
      <c r="D2290" s="1"/>
    </row>
    <row r="2291" spans="1:4">
      <c r="A2291" s="1"/>
      <c r="D2291" s="1"/>
    </row>
    <row r="2292" spans="1:4">
      <c r="A2292" s="1"/>
      <c r="D2292" s="1"/>
    </row>
    <row r="2293" spans="1:4">
      <c r="A2293" s="1"/>
      <c r="D2293" s="1"/>
    </row>
    <row r="2294" spans="1:4">
      <c r="A2294" s="1"/>
      <c r="D2294" s="1"/>
    </row>
    <row r="2295" spans="1:4">
      <c r="A2295" s="1"/>
      <c r="D2295" s="1"/>
    </row>
    <row r="2296" spans="1:4">
      <c r="A2296" s="1"/>
      <c r="D2296" s="1"/>
    </row>
    <row r="2297" spans="1:4">
      <c r="A2297" s="1"/>
      <c r="D2297" s="1"/>
    </row>
    <row r="2298" spans="1:4">
      <c r="A2298" s="1"/>
      <c r="D2298" s="1"/>
    </row>
    <row r="2299" spans="1:4">
      <c r="A2299" s="1"/>
      <c r="D2299" s="1"/>
    </row>
    <row r="2300" spans="1:4">
      <c r="A2300" s="1"/>
      <c r="D2300" s="1"/>
    </row>
    <row r="2301" spans="1:4">
      <c r="A2301" s="1"/>
      <c r="D2301" s="1"/>
    </row>
    <row r="2302" spans="1:4">
      <c r="A2302" s="1"/>
      <c r="D2302" s="1"/>
    </row>
    <row r="2303" spans="1:4">
      <c r="A2303" s="1"/>
      <c r="D2303" s="1"/>
    </row>
    <row r="2304" spans="1:4">
      <c r="A2304" s="1"/>
      <c r="D2304" s="1"/>
    </row>
    <row r="2305" spans="1:4">
      <c r="A2305" s="1"/>
      <c r="D2305" s="1"/>
    </row>
    <row r="2306" spans="1:4">
      <c r="A2306" s="1"/>
      <c r="D2306" s="1"/>
    </row>
    <row r="2307" spans="1:4">
      <c r="A2307" s="1"/>
      <c r="D2307" s="1"/>
    </row>
    <row r="2308" spans="1:4">
      <c r="A2308" s="1"/>
      <c r="D2308" s="1"/>
    </row>
    <row r="2309" spans="1:4">
      <c r="A2309" s="1"/>
      <c r="D2309" s="1"/>
    </row>
    <row r="2310" spans="1:4">
      <c r="A2310" s="1"/>
      <c r="D2310" s="1"/>
    </row>
    <row r="2311" spans="1:4">
      <c r="A2311" s="1"/>
      <c r="D2311" s="1"/>
    </row>
    <row r="2312" spans="1:4">
      <c r="A2312" s="1"/>
      <c r="D2312" s="1"/>
    </row>
    <row r="2313" spans="1:4">
      <c r="A2313" s="1"/>
      <c r="D2313" s="1"/>
    </row>
    <row r="2314" spans="1:4">
      <c r="A2314" s="1"/>
      <c r="D2314" s="1"/>
    </row>
    <row r="2315" spans="1:4">
      <c r="A2315" s="1"/>
      <c r="D2315" s="1"/>
    </row>
    <row r="2316" spans="1:4">
      <c r="A2316" s="1"/>
      <c r="D2316" s="1"/>
    </row>
    <row r="2317" spans="1:4">
      <c r="A2317" s="1"/>
      <c r="D2317" s="1"/>
    </row>
    <row r="2318" spans="1:4">
      <c r="A2318" s="1"/>
      <c r="D2318" s="1"/>
    </row>
    <row r="2319" spans="1:4">
      <c r="A2319" s="1"/>
      <c r="D2319" s="1"/>
    </row>
    <row r="2320" spans="1:4">
      <c r="A2320" s="1"/>
      <c r="D2320" s="1"/>
    </row>
    <row r="2321" spans="1:4">
      <c r="A2321" s="1"/>
      <c r="D2321" s="1"/>
    </row>
    <row r="2322" spans="1:4">
      <c r="A2322" s="1"/>
      <c r="D2322" s="1"/>
    </row>
    <row r="2323" spans="1:4">
      <c r="A2323" s="1"/>
      <c r="D2323" s="1"/>
    </row>
    <row r="2324" spans="1:4">
      <c r="A2324" s="1"/>
      <c r="D2324" s="1"/>
    </row>
    <row r="2325" spans="1:4">
      <c r="A2325" s="1"/>
      <c r="D2325" s="1"/>
    </row>
    <row r="2326" spans="1:4">
      <c r="A2326" s="1"/>
      <c r="D2326" s="1"/>
    </row>
    <row r="2327" spans="1:4">
      <c r="A2327" s="1"/>
      <c r="D2327" s="1"/>
    </row>
    <row r="2328" spans="1:4">
      <c r="A2328" s="1"/>
      <c r="D2328" s="1"/>
    </row>
    <row r="2329" spans="1:4">
      <c r="A2329" s="1"/>
      <c r="D2329" s="1"/>
    </row>
    <row r="2330" spans="1:4">
      <c r="A2330" s="1"/>
      <c r="D2330" s="1"/>
    </row>
    <row r="2331" spans="1:4">
      <c r="A2331" s="1"/>
      <c r="D2331" s="1"/>
    </row>
    <row r="2332" spans="1:4">
      <c r="A2332" s="1"/>
      <c r="D2332" s="1"/>
    </row>
    <row r="2333" spans="1:4">
      <c r="A2333" s="1"/>
      <c r="D2333" s="1"/>
    </row>
    <row r="2334" spans="1:4">
      <c r="A2334" s="1"/>
      <c r="D2334" s="1"/>
    </row>
    <row r="2335" spans="1:4">
      <c r="A2335" s="1"/>
      <c r="D2335" s="1"/>
    </row>
    <row r="2336" spans="1:4">
      <c r="A2336" s="1"/>
      <c r="D2336" s="1"/>
    </row>
    <row r="2337" spans="1:4">
      <c r="A2337" s="1"/>
      <c r="D2337" s="1"/>
    </row>
    <row r="2338" spans="1:4">
      <c r="A2338" s="1"/>
      <c r="D2338" s="1"/>
    </row>
    <row r="2339" spans="1:4">
      <c r="A2339" s="1"/>
      <c r="D2339" s="1"/>
    </row>
    <row r="2340" spans="1:4">
      <c r="A2340" s="1"/>
      <c r="D2340" s="1"/>
    </row>
    <row r="2341" spans="1:4">
      <c r="A2341" s="1"/>
      <c r="D2341" s="1"/>
    </row>
    <row r="2342" spans="1:4">
      <c r="A2342" s="1"/>
      <c r="D2342" s="1"/>
    </row>
    <row r="2343" spans="1:4">
      <c r="A2343" s="1"/>
      <c r="D2343" s="1"/>
    </row>
    <row r="2344" spans="1:4">
      <c r="A2344" s="1"/>
      <c r="D2344" s="1"/>
    </row>
    <row r="2345" spans="1:4">
      <c r="A2345" s="1"/>
      <c r="D2345" s="1"/>
    </row>
    <row r="2346" spans="1:4">
      <c r="A2346" s="1"/>
      <c r="D2346" s="1"/>
    </row>
    <row r="2347" spans="1:4">
      <c r="A2347" s="1"/>
      <c r="D2347" s="1"/>
    </row>
    <row r="2348" spans="1:4">
      <c r="A2348" s="1"/>
      <c r="D2348" s="1"/>
    </row>
    <row r="2349" spans="1:4">
      <c r="A2349" s="1"/>
      <c r="D2349" s="1"/>
    </row>
    <row r="2350" spans="1:4">
      <c r="A2350" s="1"/>
      <c r="D2350" s="1"/>
    </row>
    <row r="2351" spans="1:4">
      <c r="A2351" s="1"/>
      <c r="D2351" s="1"/>
    </row>
    <row r="2352" spans="1:4">
      <c r="A2352" s="1"/>
      <c r="D2352" s="1"/>
    </row>
    <row r="2353" spans="1:4">
      <c r="A2353" s="1"/>
      <c r="D2353" s="1"/>
    </row>
    <row r="2354" spans="1:4">
      <c r="A2354" s="1"/>
      <c r="D2354" s="1"/>
    </row>
    <row r="2355" spans="1:4">
      <c r="A2355" s="1"/>
      <c r="D2355" s="1"/>
    </row>
    <row r="2356" spans="1:4">
      <c r="A2356" s="1"/>
      <c r="D2356" s="1"/>
    </row>
    <row r="2357" spans="1:4">
      <c r="A2357" s="1"/>
      <c r="D2357" s="1"/>
    </row>
    <row r="2358" spans="1:4">
      <c r="A2358" s="1"/>
      <c r="D2358" s="1"/>
    </row>
    <row r="2359" spans="1:4">
      <c r="A2359" s="1"/>
      <c r="D2359" s="1"/>
    </row>
    <row r="2360" spans="1:4">
      <c r="A2360" s="1"/>
      <c r="D2360" s="1"/>
    </row>
    <row r="2361" spans="1:4">
      <c r="A2361" s="1"/>
      <c r="D2361" s="1"/>
    </row>
    <row r="2362" spans="1:4">
      <c r="A2362" s="1"/>
      <c r="D2362" s="1"/>
    </row>
    <row r="2363" spans="1:4">
      <c r="A2363" s="1"/>
      <c r="D2363" s="1"/>
    </row>
    <row r="2364" spans="1:4">
      <c r="A2364" s="1"/>
      <c r="D2364" s="1"/>
    </row>
    <row r="2365" spans="1:4">
      <c r="A2365" s="1"/>
      <c r="D2365" s="1"/>
    </row>
    <row r="2366" spans="1:4">
      <c r="A2366" s="1"/>
      <c r="D2366" s="1"/>
    </row>
    <row r="2367" spans="1:4">
      <c r="A2367" s="1"/>
      <c r="D2367" s="1"/>
    </row>
    <row r="2368" spans="1:4">
      <c r="A2368" s="1"/>
      <c r="D2368" s="1"/>
    </row>
    <row r="2369" spans="1:4">
      <c r="A2369" s="1"/>
      <c r="D2369" s="1"/>
    </row>
    <row r="2370" spans="1:4">
      <c r="A2370" s="1"/>
      <c r="D2370" s="1"/>
    </row>
    <row r="2371" spans="1:4">
      <c r="A2371" s="1"/>
      <c r="D2371" s="1"/>
    </row>
    <row r="2372" spans="1:4">
      <c r="A2372" s="1"/>
      <c r="D2372" s="1"/>
    </row>
    <row r="2373" spans="1:4">
      <c r="A2373" s="1"/>
      <c r="D2373" s="1"/>
    </row>
    <row r="2374" spans="1:4">
      <c r="A2374" s="1"/>
      <c r="D2374" s="1"/>
    </row>
    <row r="2375" spans="1:4">
      <c r="A2375" s="1"/>
      <c r="D2375" s="1"/>
    </row>
    <row r="2376" spans="1:4">
      <c r="A2376" s="1"/>
      <c r="D2376" s="1"/>
    </row>
    <row r="2377" spans="1:4">
      <c r="A2377" s="1"/>
      <c r="D2377" s="1"/>
    </row>
    <row r="2378" spans="1:4">
      <c r="A2378" s="1"/>
      <c r="D2378" s="1"/>
    </row>
    <row r="2379" spans="1:4">
      <c r="A2379" s="1"/>
      <c r="D2379" s="1"/>
    </row>
    <row r="2380" spans="1:4">
      <c r="A2380" s="1"/>
      <c r="D2380" s="1"/>
    </row>
    <row r="2381" spans="1:4">
      <c r="A2381" s="1"/>
      <c r="D2381" s="1"/>
    </row>
    <row r="2382" spans="1:4">
      <c r="A2382" s="1"/>
      <c r="D2382" s="1"/>
    </row>
    <row r="2383" spans="1:4">
      <c r="A2383" s="1"/>
      <c r="D2383" s="1"/>
    </row>
    <row r="2384" spans="1:4">
      <c r="A2384" s="1"/>
      <c r="D2384" s="1"/>
    </row>
    <row r="2385" spans="1:4">
      <c r="A2385" s="1"/>
      <c r="D2385" s="1"/>
    </row>
    <row r="2386" spans="1:4">
      <c r="A2386" s="1"/>
      <c r="D2386" s="1"/>
    </row>
    <row r="2387" spans="1:4">
      <c r="A2387" s="1"/>
      <c r="D2387" s="1"/>
    </row>
    <row r="2388" spans="1:4">
      <c r="A2388" s="1"/>
      <c r="D2388" s="1"/>
    </row>
    <row r="2389" spans="1:4">
      <c r="A2389" s="1"/>
      <c r="D2389" s="1"/>
    </row>
    <row r="2390" spans="1:4">
      <c r="A2390" s="1"/>
      <c r="D2390" s="1"/>
    </row>
    <row r="2391" spans="1:4">
      <c r="A2391" s="1"/>
      <c r="D2391" s="1"/>
    </row>
    <row r="2392" spans="1:4">
      <c r="A2392" s="1"/>
      <c r="D2392" s="1"/>
    </row>
    <row r="2393" spans="1:4">
      <c r="A2393" s="1"/>
      <c r="D2393" s="1"/>
    </row>
    <row r="2394" spans="1:4">
      <c r="A2394" s="1"/>
      <c r="D2394" s="1"/>
    </row>
    <row r="2395" spans="1:4">
      <c r="A2395" s="1"/>
      <c r="D2395" s="1"/>
    </row>
    <row r="2396" spans="1:4">
      <c r="A2396" s="1"/>
      <c r="D2396" s="1"/>
    </row>
    <row r="2397" spans="1:4">
      <c r="A2397" s="1"/>
      <c r="D2397" s="1"/>
    </row>
    <row r="2398" spans="1:4">
      <c r="A2398" s="1"/>
      <c r="D2398" s="1"/>
    </row>
    <row r="2399" spans="1:4">
      <c r="A2399" s="1"/>
      <c r="D2399" s="1"/>
    </row>
    <row r="2400" spans="1:4">
      <c r="A2400" s="1"/>
      <c r="D2400" s="1"/>
    </row>
    <row r="2401" spans="1:4">
      <c r="A2401" s="1"/>
      <c r="D2401" s="1"/>
    </row>
    <row r="2402" spans="1:4">
      <c r="A2402" s="1"/>
      <c r="D2402" s="1"/>
    </row>
    <row r="2403" spans="1:4">
      <c r="A2403" s="1"/>
      <c r="D2403" s="1"/>
    </row>
    <row r="2404" spans="1:4">
      <c r="A2404" s="1"/>
      <c r="D2404" s="1"/>
    </row>
    <row r="2405" spans="1:4">
      <c r="A2405" s="1"/>
      <c r="D2405" s="1"/>
    </row>
    <row r="2406" spans="1:4">
      <c r="A2406" s="1"/>
      <c r="D2406" s="1"/>
    </row>
    <row r="2407" spans="1:4">
      <c r="A2407" s="1"/>
      <c r="D2407" s="1"/>
    </row>
    <row r="2408" spans="1:4">
      <c r="A2408" s="1"/>
      <c r="D2408" s="1"/>
    </row>
    <row r="2409" spans="1:4">
      <c r="A2409" s="1"/>
      <c r="D2409" s="1"/>
    </row>
    <row r="2410" spans="1:4">
      <c r="A2410" s="1"/>
      <c r="D2410" s="1"/>
    </row>
    <row r="2411" spans="1:4">
      <c r="A2411" s="1"/>
      <c r="D2411" s="1"/>
    </row>
    <row r="2412" spans="1:4">
      <c r="A2412" s="1"/>
      <c r="D2412" s="1"/>
    </row>
    <row r="2413" spans="1:4">
      <c r="A2413" s="1"/>
      <c r="D2413" s="1"/>
    </row>
    <row r="2414" spans="1:4">
      <c r="A2414" s="1"/>
      <c r="D2414" s="1"/>
    </row>
    <row r="2415" spans="1:4">
      <c r="A2415" s="1"/>
      <c r="D2415" s="1"/>
    </row>
    <row r="2416" spans="1:4">
      <c r="A2416" s="1"/>
      <c r="D2416" s="1"/>
    </row>
    <row r="2417" spans="1:4">
      <c r="A2417" s="1"/>
      <c r="D2417" s="1"/>
    </row>
    <row r="2418" spans="1:4">
      <c r="A2418" s="1"/>
      <c r="D2418" s="1"/>
    </row>
    <row r="2419" spans="1:4">
      <c r="A2419" s="1"/>
      <c r="D2419" s="1"/>
    </row>
    <row r="2420" spans="1:4">
      <c r="A2420" s="1"/>
      <c r="D2420" s="1"/>
    </row>
    <row r="2421" spans="1:4">
      <c r="A2421" s="1"/>
      <c r="D2421" s="1"/>
    </row>
    <row r="2422" spans="1:4">
      <c r="A2422" s="1"/>
      <c r="D2422" s="1"/>
    </row>
    <row r="2423" spans="1:4">
      <c r="A2423" s="1"/>
      <c r="D2423" s="1"/>
    </row>
    <row r="2424" spans="1:4">
      <c r="A2424" s="1"/>
      <c r="D2424" s="1"/>
    </row>
    <row r="2425" spans="1:4">
      <c r="A2425" s="1"/>
      <c r="D2425" s="1"/>
    </row>
    <row r="2426" spans="1:4">
      <c r="A2426" s="1"/>
      <c r="D2426" s="1"/>
    </row>
    <row r="2427" spans="1:4">
      <c r="A2427" s="1"/>
      <c r="D2427" s="1"/>
    </row>
    <row r="2428" spans="1:4">
      <c r="A2428" s="1"/>
      <c r="D2428" s="1"/>
    </row>
    <row r="2429" spans="1:4">
      <c r="A2429" s="1"/>
      <c r="D2429" s="1"/>
    </row>
    <row r="2430" spans="1:4">
      <c r="A2430" s="1"/>
      <c r="D2430" s="1"/>
    </row>
    <row r="2431" spans="1:4">
      <c r="A2431" s="1"/>
      <c r="D2431" s="1"/>
    </row>
    <row r="2432" spans="1:4">
      <c r="A2432" s="1"/>
      <c r="D2432" s="1"/>
    </row>
    <row r="2433" spans="1:4">
      <c r="A2433" s="1"/>
      <c r="D2433" s="1"/>
    </row>
    <row r="2434" spans="1:4">
      <c r="A2434" s="1"/>
      <c r="D2434" s="1"/>
    </row>
    <row r="2435" spans="1:4">
      <c r="A2435" s="1"/>
      <c r="D2435" s="1"/>
    </row>
    <row r="2436" spans="1:4">
      <c r="A2436" s="1"/>
      <c r="D2436" s="1"/>
    </row>
    <row r="2437" spans="1:4">
      <c r="A2437" s="1"/>
      <c r="D2437" s="1"/>
    </row>
    <row r="2438" spans="1:4">
      <c r="A2438" s="1"/>
      <c r="D2438" s="1"/>
    </row>
    <row r="2439" spans="1:4">
      <c r="A2439" s="1"/>
      <c r="D2439" s="1"/>
    </row>
    <row r="2440" spans="1:4">
      <c r="A2440" s="1"/>
      <c r="D2440" s="1"/>
    </row>
    <row r="2441" spans="1:4">
      <c r="A2441" s="1"/>
      <c r="D2441" s="1"/>
    </row>
    <row r="2442" spans="1:4">
      <c r="A2442" s="1"/>
      <c r="D2442" s="1"/>
    </row>
    <row r="2443" spans="1:4">
      <c r="A2443" s="1"/>
      <c r="D2443" s="1"/>
    </row>
    <row r="2444" spans="1:4">
      <c r="A2444" s="1"/>
      <c r="D2444" s="1"/>
    </row>
    <row r="2445" spans="1:4">
      <c r="A2445" s="1"/>
      <c r="D2445" s="1"/>
    </row>
    <row r="2446" spans="1:4">
      <c r="A2446" s="1"/>
      <c r="D2446" s="1"/>
    </row>
    <row r="2447" spans="1:4">
      <c r="A2447" s="1"/>
      <c r="D2447" s="1"/>
    </row>
    <row r="2448" spans="1:4">
      <c r="A2448" s="1"/>
      <c r="D2448" s="1"/>
    </row>
    <row r="2449" spans="1:4">
      <c r="A2449" s="1"/>
      <c r="D2449" s="1"/>
    </row>
    <row r="2450" spans="1:4">
      <c r="A2450" s="1"/>
      <c r="D2450" s="1"/>
    </row>
    <row r="2451" spans="1:4">
      <c r="A2451" s="1"/>
      <c r="D2451" s="1"/>
    </row>
    <row r="2452" spans="1:4">
      <c r="A2452" s="1"/>
      <c r="D2452" s="1"/>
    </row>
    <row r="2453" spans="1:4">
      <c r="A2453" s="1"/>
      <c r="D2453" s="1"/>
    </row>
    <row r="2454" spans="1:4">
      <c r="A2454" s="1"/>
      <c r="D2454" s="1"/>
    </row>
    <row r="2455" spans="1:4">
      <c r="A2455" s="1"/>
      <c r="D2455" s="1"/>
    </row>
    <row r="2456" spans="1:4">
      <c r="A2456" s="1"/>
      <c r="D2456" s="1"/>
    </row>
    <row r="2457" spans="1:4">
      <c r="A2457" s="1"/>
      <c r="D2457" s="1"/>
    </row>
    <row r="2458" spans="1:4">
      <c r="A2458" s="1"/>
      <c r="D2458" s="1"/>
    </row>
    <row r="2459" spans="1:4">
      <c r="A2459" s="1"/>
      <c r="D2459" s="1"/>
    </row>
    <row r="2460" spans="1:4">
      <c r="A2460" s="1"/>
      <c r="D2460" s="1"/>
    </row>
    <row r="2461" spans="1:4">
      <c r="A2461" s="1"/>
      <c r="D2461" s="1"/>
    </row>
    <row r="2462" spans="1:4">
      <c r="A2462" s="1"/>
      <c r="D2462" s="1"/>
    </row>
    <row r="2463" spans="1:4">
      <c r="A2463" s="1"/>
      <c r="D2463" s="1"/>
    </row>
    <row r="2464" spans="1:4">
      <c r="A2464" s="1"/>
      <c r="D2464" s="1"/>
    </row>
    <row r="2465" spans="1:4">
      <c r="A2465" s="1"/>
      <c r="D2465" s="1"/>
    </row>
    <row r="2466" spans="1:4">
      <c r="A2466" s="1"/>
      <c r="D2466" s="1"/>
    </row>
    <row r="2467" spans="1:4">
      <c r="A2467" s="1"/>
      <c r="D2467" s="1"/>
    </row>
    <row r="2468" spans="1:4">
      <c r="A2468" s="1"/>
      <c r="D2468" s="1"/>
    </row>
    <row r="2469" spans="1:4">
      <c r="A2469" s="1"/>
      <c r="D2469" s="1"/>
    </row>
    <row r="2470" spans="1:4">
      <c r="A2470" s="1"/>
      <c r="D2470" s="1"/>
    </row>
    <row r="2471" spans="1:4">
      <c r="A2471" s="1"/>
      <c r="D2471" s="1"/>
    </row>
    <row r="2472" spans="1:4">
      <c r="A2472" s="1"/>
      <c r="D2472" s="1"/>
    </row>
    <row r="2473" spans="1:4">
      <c r="A2473" s="1"/>
      <c r="D2473" s="1"/>
    </row>
    <row r="2474" spans="1:4">
      <c r="A2474" s="1"/>
      <c r="D2474" s="1"/>
    </row>
    <row r="2475" spans="1:4">
      <c r="A2475" s="1"/>
      <c r="D2475" s="1"/>
    </row>
    <row r="2476" spans="1:4">
      <c r="A2476" s="1"/>
      <c r="D2476" s="1"/>
    </row>
    <row r="2477" spans="1:4">
      <c r="A2477" s="1"/>
      <c r="D2477" s="1"/>
    </row>
    <row r="2478" spans="1:4">
      <c r="A2478" s="1"/>
      <c r="D2478" s="1"/>
    </row>
    <row r="2479" spans="1:4">
      <c r="A2479" s="1"/>
      <c r="D2479" s="1"/>
    </row>
    <row r="2480" spans="1:4">
      <c r="A2480" s="1"/>
      <c r="D2480" s="1"/>
    </row>
    <row r="2481" spans="1:4">
      <c r="A2481" s="1"/>
      <c r="D2481" s="1"/>
    </row>
    <row r="2482" spans="1:4">
      <c r="A2482" s="1"/>
      <c r="D2482" s="1"/>
    </row>
    <row r="2483" spans="1:4">
      <c r="A2483" s="1"/>
      <c r="D2483" s="1"/>
    </row>
    <row r="2484" spans="1:4">
      <c r="A2484" s="1"/>
      <c r="D2484" s="1"/>
    </row>
    <row r="2485" spans="1:4">
      <c r="A2485" s="1"/>
      <c r="D2485" s="1"/>
    </row>
    <row r="2486" spans="1:4">
      <c r="A2486" s="1"/>
      <c r="D2486" s="1"/>
    </row>
    <row r="2487" spans="1:4">
      <c r="A2487" s="1"/>
      <c r="D2487" s="1"/>
    </row>
    <row r="2488" spans="1:4">
      <c r="A2488" s="1"/>
      <c r="D2488" s="1"/>
    </row>
    <row r="2489" spans="1:4">
      <c r="A2489" s="1"/>
      <c r="D2489" s="1"/>
    </row>
    <row r="2490" spans="1:4">
      <c r="A2490" s="1"/>
      <c r="D2490" s="1"/>
    </row>
    <row r="2491" spans="1:4">
      <c r="A2491" s="1"/>
      <c r="D2491" s="1"/>
    </row>
    <row r="2492" spans="1:4">
      <c r="A2492" s="1"/>
      <c r="D2492" s="1"/>
    </row>
    <row r="2493" spans="1:4">
      <c r="A2493" s="1"/>
      <c r="D2493" s="1"/>
    </row>
    <row r="2494" spans="1:4">
      <c r="A2494" s="1"/>
      <c r="D2494" s="1"/>
    </row>
    <row r="2495" spans="1:4">
      <c r="A2495" s="1"/>
      <c r="D2495" s="1"/>
    </row>
    <row r="2496" spans="1:4">
      <c r="A2496" s="1"/>
      <c r="D2496" s="1"/>
    </row>
    <row r="2497" spans="1:4">
      <c r="A2497" s="1"/>
      <c r="D2497" s="1"/>
    </row>
    <row r="2498" spans="1:4">
      <c r="A2498" s="1"/>
      <c r="D2498" s="1"/>
    </row>
    <row r="2499" spans="1:4">
      <c r="A2499" s="1"/>
      <c r="D2499" s="1"/>
    </row>
    <row r="2500" spans="1:4">
      <c r="A2500" s="1"/>
      <c r="D2500" s="1"/>
    </row>
    <row r="2501" spans="1:4">
      <c r="A2501" s="1"/>
      <c r="D2501" s="1"/>
    </row>
    <row r="2502" spans="1:4">
      <c r="A2502" s="1"/>
      <c r="D2502" s="1"/>
    </row>
    <row r="2503" spans="1:4">
      <c r="A2503" s="1"/>
      <c r="D2503" s="1"/>
    </row>
    <row r="2504" spans="1:4">
      <c r="A2504" s="1"/>
      <c r="D2504" s="1"/>
    </row>
    <row r="2505" spans="1:4">
      <c r="A2505" s="1"/>
      <c r="D2505" s="1"/>
    </row>
    <row r="2506" spans="1:4">
      <c r="A2506" s="1"/>
      <c r="D2506" s="1"/>
    </row>
    <row r="2507" spans="1:4">
      <c r="A2507" s="1"/>
      <c r="D2507" s="1"/>
    </row>
    <row r="2508" spans="1:4">
      <c r="A2508" s="1"/>
      <c r="D2508" s="1"/>
    </row>
    <row r="2509" spans="1:4">
      <c r="A2509" s="1"/>
      <c r="D2509" s="1"/>
    </row>
    <row r="2510" spans="1:4">
      <c r="A2510" s="1"/>
      <c r="D2510" s="1"/>
    </row>
    <row r="2511" spans="1:4">
      <c r="A2511" s="1"/>
      <c r="D2511" s="1"/>
    </row>
    <row r="2512" spans="1:4">
      <c r="A2512" s="1"/>
      <c r="D2512" s="1"/>
    </row>
    <row r="2513" spans="1:4">
      <c r="A2513" s="1"/>
      <c r="D2513" s="1"/>
    </row>
    <row r="2514" spans="1:4">
      <c r="A2514" s="1"/>
      <c r="D2514" s="1"/>
    </row>
    <row r="2515" spans="1:4">
      <c r="A2515" s="1"/>
      <c r="D2515" s="1"/>
    </row>
    <row r="2516" spans="1:4">
      <c r="A2516" s="1"/>
      <c r="D2516" s="1"/>
    </row>
    <row r="2517" spans="1:4">
      <c r="A2517" s="1"/>
      <c r="D2517" s="1"/>
    </row>
    <row r="2518" spans="1:4">
      <c r="A2518" s="1"/>
      <c r="D2518" s="1"/>
    </row>
    <row r="2519" spans="1:4">
      <c r="A2519" s="1"/>
      <c r="D2519" s="1"/>
    </row>
    <row r="2520" spans="1:4">
      <c r="A2520" s="1"/>
      <c r="D2520" s="1"/>
    </row>
    <row r="2521" spans="1:4">
      <c r="A2521" s="1"/>
      <c r="D2521" s="1"/>
    </row>
    <row r="2522" spans="1:4">
      <c r="A2522" s="1"/>
      <c r="D2522" s="1"/>
    </row>
    <row r="2523" spans="1:4">
      <c r="A2523" s="1"/>
      <c r="D2523" s="1"/>
    </row>
    <row r="2524" spans="1:4">
      <c r="A2524" s="1"/>
      <c r="D2524" s="1"/>
    </row>
    <row r="2525" spans="1:4">
      <c r="A2525" s="1"/>
      <c r="D2525" s="1"/>
    </row>
    <row r="2526" spans="1:4">
      <c r="A2526" s="1"/>
      <c r="D2526" s="1"/>
    </row>
    <row r="2527" spans="1:4">
      <c r="A2527" s="1"/>
      <c r="D2527" s="1"/>
    </row>
    <row r="2528" spans="1:4">
      <c r="A2528" s="1"/>
      <c r="D2528" s="1"/>
    </row>
    <row r="2529" spans="1:4">
      <c r="A2529" s="1"/>
      <c r="D2529" s="1"/>
    </row>
    <row r="2530" spans="1:4">
      <c r="A2530" s="1"/>
      <c r="D2530" s="1"/>
    </row>
    <row r="2531" spans="1:4">
      <c r="A2531" s="1"/>
      <c r="D2531" s="1"/>
    </row>
    <row r="2532" spans="1:4">
      <c r="A2532" s="1"/>
      <c r="D2532" s="1"/>
    </row>
    <row r="2533" spans="1:4">
      <c r="A2533" s="1"/>
      <c r="D2533" s="1"/>
    </row>
    <row r="2534" spans="1:4">
      <c r="A2534" s="1"/>
      <c r="D2534" s="1"/>
    </row>
    <row r="2535" spans="1:4">
      <c r="A2535" s="1"/>
      <c r="D2535" s="1"/>
    </row>
    <row r="2536" spans="1:4">
      <c r="A2536" s="1"/>
      <c r="D2536" s="1"/>
    </row>
    <row r="2537" spans="1:4">
      <c r="A2537" s="1"/>
      <c r="D2537" s="1"/>
    </row>
    <row r="2538" spans="1:4">
      <c r="A2538" s="1"/>
      <c r="D2538" s="1"/>
    </row>
    <row r="2539" spans="1:4">
      <c r="A2539" s="1"/>
      <c r="D2539" s="1"/>
    </row>
    <row r="2540" spans="1:4">
      <c r="A2540" s="1"/>
      <c r="D2540" s="1"/>
    </row>
    <row r="2541" spans="1:4">
      <c r="A2541" s="1"/>
      <c r="D2541" s="1"/>
    </row>
    <row r="2542" spans="1:4">
      <c r="A2542" s="1"/>
      <c r="D2542" s="1"/>
    </row>
    <row r="2543" spans="1:4">
      <c r="A2543" s="1"/>
      <c r="D2543" s="1"/>
    </row>
    <row r="2544" spans="1:4">
      <c r="A2544" s="1"/>
      <c r="D2544" s="1"/>
    </row>
    <row r="2545" spans="1:4">
      <c r="A2545" s="1"/>
      <c r="D2545" s="1"/>
    </row>
    <row r="2546" spans="1:4">
      <c r="A2546" s="1"/>
      <c r="D2546" s="1"/>
    </row>
    <row r="2547" spans="1:4">
      <c r="A2547" s="1"/>
      <c r="D2547" s="1"/>
    </row>
    <row r="2548" spans="1:4">
      <c r="A2548" s="1"/>
      <c r="D2548" s="1"/>
    </row>
    <row r="2549" spans="1:4">
      <c r="A2549" s="1"/>
      <c r="D2549" s="1"/>
    </row>
    <row r="2550" spans="1:4">
      <c r="A2550" s="1"/>
      <c r="D2550" s="1"/>
    </row>
    <row r="2551" spans="1:4">
      <c r="A2551" s="1"/>
      <c r="D2551" s="1"/>
    </row>
    <row r="2552" spans="1:4">
      <c r="A2552" s="1"/>
      <c r="D2552" s="1"/>
    </row>
    <row r="2553" spans="1:4">
      <c r="A2553" s="1"/>
      <c r="D2553" s="1"/>
    </row>
    <row r="2554" spans="1:4">
      <c r="A2554" s="1"/>
      <c r="D2554" s="1"/>
    </row>
    <row r="2555" spans="1:4">
      <c r="A2555" s="1"/>
      <c r="D2555" s="1"/>
    </row>
    <row r="2556" spans="1:4">
      <c r="A2556" s="1"/>
      <c r="D2556" s="1"/>
    </row>
    <row r="2557" spans="1:4">
      <c r="A2557" s="1"/>
      <c r="D2557" s="1"/>
    </row>
    <row r="2558" spans="1:4">
      <c r="A2558" s="1"/>
      <c r="D2558" s="1"/>
    </row>
    <row r="2559" spans="1:4">
      <c r="A2559" s="1"/>
      <c r="D2559" s="1"/>
    </row>
    <row r="2560" spans="1:4">
      <c r="A2560" s="1"/>
      <c r="D2560" s="1"/>
    </row>
    <row r="2561" spans="1:4">
      <c r="A2561" s="1"/>
      <c r="D2561" s="1"/>
    </row>
    <row r="2562" spans="1:4">
      <c r="A2562" s="1"/>
      <c r="D2562" s="1"/>
    </row>
    <row r="2563" spans="1:4">
      <c r="A2563" s="1"/>
      <c r="D2563" s="1"/>
    </row>
    <row r="2564" spans="1:4">
      <c r="A2564" s="1"/>
      <c r="D2564" s="1"/>
    </row>
    <row r="2565" spans="1:4">
      <c r="A2565" s="1"/>
      <c r="D2565" s="1"/>
    </row>
    <row r="2566" spans="1:4">
      <c r="A2566" s="1"/>
      <c r="D2566" s="1"/>
    </row>
    <row r="2567" spans="1:4">
      <c r="A2567" s="1"/>
      <c r="D2567" s="1"/>
    </row>
    <row r="2568" spans="1:4">
      <c r="A2568" s="1"/>
      <c r="D2568" s="1"/>
    </row>
    <row r="2569" spans="1:4">
      <c r="A2569" s="1"/>
      <c r="D2569" s="1"/>
    </row>
    <row r="2570" spans="1:4">
      <c r="A2570" s="1"/>
      <c r="D2570" s="1"/>
    </row>
    <row r="2571" spans="1:4">
      <c r="A2571" s="1"/>
      <c r="D2571" s="1"/>
    </row>
    <row r="2572" spans="1:4">
      <c r="A2572" s="1"/>
      <c r="D2572" s="1"/>
    </row>
    <row r="2573" spans="1:4">
      <c r="A2573" s="1"/>
      <c r="D2573" s="1"/>
    </row>
    <row r="2574" spans="1:4">
      <c r="A2574" s="1"/>
      <c r="D2574" s="1"/>
    </row>
    <row r="2575" spans="1:4">
      <c r="A2575" s="1"/>
      <c r="D2575" s="1"/>
    </row>
    <row r="2576" spans="1:4">
      <c r="A2576" s="1"/>
      <c r="D2576" s="1"/>
    </row>
    <row r="2577" spans="1:4">
      <c r="A2577" s="1"/>
      <c r="D2577" s="1"/>
    </row>
    <row r="2578" spans="1:4">
      <c r="A2578" s="1"/>
      <c r="D2578" s="1"/>
    </row>
    <row r="2579" spans="1:4">
      <c r="A2579" s="1"/>
      <c r="D2579" s="1"/>
    </row>
    <row r="2580" spans="1:4">
      <c r="A2580" s="1"/>
      <c r="D2580" s="1"/>
    </row>
    <row r="2581" spans="1:4">
      <c r="A2581" s="1"/>
      <c r="D2581" s="1"/>
    </row>
    <row r="2582" spans="1:4">
      <c r="A2582" s="1"/>
      <c r="D2582" s="1"/>
    </row>
    <row r="2583" spans="1:4">
      <c r="A2583" s="1"/>
      <c r="D2583" s="1"/>
    </row>
    <row r="2584" spans="1:4">
      <c r="A2584" s="1"/>
      <c r="D2584" s="1"/>
    </row>
    <row r="2585" spans="1:4">
      <c r="A2585" s="1"/>
      <c r="D2585" s="1"/>
    </row>
    <row r="2586" spans="1:4">
      <c r="A2586" s="1"/>
      <c r="D2586" s="1"/>
    </row>
    <row r="2587" spans="1:4">
      <c r="A2587" s="1"/>
      <c r="D2587" s="1"/>
    </row>
    <row r="2588" spans="1:4">
      <c r="A2588" s="1"/>
      <c r="D2588" s="1"/>
    </row>
    <row r="2589" spans="1:4">
      <c r="A2589" s="1"/>
      <c r="D2589" s="1"/>
    </row>
    <row r="2590" spans="1:4">
      <c r="A2590" s="1"/>
      <c r="D2590" s="1"/>
    </row>
    <row r="2591" spans="1:4">
      <c r="A2591" s="1"/>
      <c r="D2591" s="1"/>
    </row>
    <row r="2592" spans="1:4">
      <c r="A2592" s="1"/>
      <c r="D2592" s="1"/>
    </row>
    <row r="2593" spans="1:4">
      <c r="A2593" s="1"/>
      <c r="D2593" s="1"/>
    </row>
    <row r="2594" spans="1:4">
      <c r="A2594" s="1"/>
      <c r="D2594" s="1"/>
    </row>
    <row r="2595" spans="1:4">
      <c r="A2595" s="1"/>
      <c r="D2595" s="1"/>
    </row>
    <row r="2596" spans="1:4">
      <c r="A2596" s="1"/>
      <c r="D2596" s="1"/>
    </row>
    <row r="2597" spans="1:4">
      <c r="A2597" s="1"/>
      <c r="D2597" s="1"/>
    </row>
    <row r="2598" spans="1:4">
      <c r="A2598" s="1"/>
      <c r="D2598" s="1"/>
    </row>
    <row r="2599" spans="1:4">
      <c r="A2599" s="1"/>
      <c r="D2599" s="1"/>
    </row>
    <row r="2600" spans="1:4">
      <c r="A2600" s="1"/>
      <c r="D2600" s="1"/>
    </row>
    <row r="2601" spans="1:4">
      <c r="A2601" s="1"/>
      <c r="D2601" s="1"/>
    </row>
    <row r="2602" spans="1:4">
      <c r="A2602" s="1"/>
      <c r="D2602" s="1"/>
    </row>
    <row r="2603" spans="1:4">
      <c r="A2603" s="1"/>
      <c r="D2603" s="1"/>
    </row>
    <row r="2604" spans="1:4">
      <c r="A2604" s="1"/>
      <c r="D2604" s="1"/>
    </row>
    <row r="2605" spans="1:4">
      <c r="A2605" s="1"/>
      <c r="D2605" s="1"/>
    </row>
    <row r="2606" spans="1:4">
      <c r="A2606" s="1"/>
      <c r="D2606" s="1"/>
    </row>
    <row r="2607" spans="1:4">
      <c r="A2607" s="1"/>
      <c r="D2607" s="1"/>
    </row>
    <row r="2608" spans="1:4">
      <c r="A2608" s="1"/>
      <c r="D2608" s="1"/>
    </row>
    <row r="2609" spans="1:4">
      <c r="A2609" s="1"/>
      <c r="D2609" s="1"/>
    </row>
    <row r="2610" spans="1:4">
      <c r="A2610" s="1"/>
      <c r="D2610" s="1"/>
    </row>
    <row r="2611" spans="1:4">
      <c r="A2611" s="1"/>
      <c r="D2611" s="1"/>
    </row>
    <row r="2612" spans="1:4">
      <c r="A2612" s="1"/>
      <c r="D2612" s="1"/>
    </row>
    <row r="2613" spans="1:4">
      <c r="A2613" s="1"/>
      <c r="D2613" s="1"/>
    </row>
    <row r="2614" spans="1:4">
      <c r="A2614" s="1"/>
      <c r="D2614" s="1"/>
    </row>
    <row r="2615" spans="1:4">
      <c r="A2615" s="1"/>
      <c r="D2615" s="1"/>
    </row>
    <row r="2616" spans="1:4">
      <c r="A2616" s="1"/>
      <c r="D2616" s="1"/>
    </row>
    <row r="2617" spans="1:4">
      <c r="A2617" s="1"/>
      <c r="D2617" s="1"/>
    </row>
    <row r="2618" spans="1:4">
      <c r="A2618" s="1"/>
      <c r="D2618" s="1"/>
    </row>
    <row r="2619" spans="1:4">
      <c r="A2619" s="1"/>
      <c r="D2619" s="1"/>
    </row>
    <row r="2620" spans="1:4">
      <c r="A2620" s="1"/>
      <c r="D2620" s="1"/>
    </row>
    <row r="2621" spans="1:4">
      <c r="A2621" s="1"/>
      <c r="D2621" s="1"/>
    </row>
    <row r="2622" spans="1:4">
      <c r="A2622" s="1"/>
      <c r="D2622" s="1"/>
    </row>
    <row r="2623" spans="1:4">
      <c r="A2623" s="1"/>
      <c r="D2623" s="1"/>
    </row>
    <row r="2624" spans="1:4">
      <c r="A2624" s="1"/>
      <c r="D2624" s="1"/>
    </row>
    <row r="2625" spans="1:4">
      <c r="A2625" s="1"/>
      <c r="D2625" s="1"/>
    </row>
    <row r="2626" spans="1:4">
      <c r="A2626" s="1"/>
      <c r="D2626" s="1"/>
    </row>
    <row r="2627" spans="1:4">
      <c r="A2627" s="1"/>
      <c r="D2627" s="1"/>
    </row>
    <row r="2628" spans="1:4">
      <c r="A2628" s="1"/>
      <c r="D2628" s="1"/>
    </row>
    <row r="2629" spans="1:4">
      <c r="A2629" s="1"/>
      <c r="D2629" s="1"/>
    </row>
    <row r="2630" spans="1:4">
      <c r="A2630" s="1"/>
      <c r="D2630" s="1"/>
    </row>
    <row r="2631" spans="1:4">
      <c r="A2631" s="1"/>
      <c r="D2631" s="1"/>
    </row>
    <row r="2632" spans="1:4">
      <c r="A2632" s="1"/>
      <c r="D2632" s="1"/>
    </row>
    <row r="2633" spans="1:4">
      <c r="A2633" s="1"/>
      <c r="D2633" s="1"/>
    </row>
    <row r="2634" spans="1:4">
      <c r="A2634" s="1"/>
      <c r="D2634" s="1"/>
    </row>
    <row r="2635" spans="1:4">
      <c r="A2635" s="1"/>
      <c r="D2635" s="1"/>
    </row>
    <row r="2636" spans="1:4">
      <c r="A2636" s="1"/>
      <c r="D2636" s="1"/>
    </row>
    <row r="2637" spans="1:4">
      <c r="A2637" s="1"/>
      <c r="D2637" s="1"/>
    </row>
    <row r="2638" spans="1:4">
      <c r="A2638" s="1"/>
      <c r="D2638" s="1"/>
    </row>
    <row r="2639" spans="1:4">
      <c r="A2639" s="1"/>
      <c r="D2639" s="1"/>
    </row>
    <row r="2640" spans="1:4">
      <c r="A2640" s="1"/>
      <c r="D2640" s="1"/>
    </row>
    <row r="2641" spans="1:4">
      <c r="A2641" s="1"/>
      <c r="D2641" s="1"/>
    </row>
    <row r="2642" spans="1:4">
      <c r="A2642" s="1"/>
      <c r="D2642" s="1"/>
    </row>
    <row r="2643" spans="1:4">
      <c r="A2643" s="1"/>
      <c r="D2643" s="1"/>
    </row>
    <row r="2644" spans="1:4">
      <c r="A2644" s="1"/>
      <c r="D2644" s="1"/>
    </row>
    <row r="2645" spans="1:4">
      <c r="A2645" s="1"/>
      <c r="D2645" s="1"/>
    </row>
    <row r="2646" spans="1:4">
      <c r="A2646" s="1"/>
      <c r="D2646" s="1"/>
    </row>
    <row r="2647" spans="1:4">
      <c r="A2647" s="1"/>
      <c r="D2647" s="1"/>
    </row>
    <row r="2648" spans="1:4">
      <c r="A2648" s="1"/>
      <c r="D2648" s="1"/>
    </row>
    <row r="2649" spans="1:4">
      <c r="A2649" s="1"/>
      <c r="D2649" s="1"/>
    </row>
    <row r="2650" spans="1:4">
      <c r="A2650" s="1"/>
      <c r="D2650" s="1"/>
    </row>
    <row r="2651" spans="1:4">
      <c r="A2651" s="1"/>
      <c r="D2651" s="1"/>
    </row>
    <row r="2652" spans="1:4">
      <c r="A2652" s="1"/>
      <c r="D2652" s="1"/>
    </row>
    <row r="2653" spans="1:4">
      <c r="A2653" s="1"/>
      <c r="D2653" s="1"/>
    </row>
    <row r="2654" spans="1:4">
      <c r="A2654" s="1"/>
      <c r="D2654" s="1"/>
    </row>
    <row r="2655" spans="1:4">
      <c r="A2655" s="1"/>
      <c r="D2655" s="1"/>
    </row>
    <row r="2656" spans="1:4">
      <c r="A2656" s="1"/>
      <c r="D2656" s="1"/>
    </row>
    <row r="2657" spans="1:4">
      <c r="A2657" s="1"/>
      <c r="D2657" s="1"/>
    </row>
    <row r="2658" spans="1:4">
      <c r="A2658" s="1"/>
      <c r="D2658" s="1"/>
    </row>
    <row r="2659" spans="1:4">
      <c r="A2659" s="1"/>
      <c r="D2659" s="1"/>
    </row>
    <row r="2660" spans="1:4">
      <c r="A2660" s="1"/>
      <c r="D2660" s="1"/>
    </row>
    <row r="2661" spans="1:4">
      <c r="A2661" s="1"/>
      <c r="D2661" s="1"/>
    </row>
    <row r="2662" spans="1:4">
      <c r="A2662" s="1"/>
      <c r="D2662" s="1"/>
    </row>
    <row r="2663" spans="1:4">
      <c r="A2663" s="1"/>
      <c r="D2663" s="1"/>
    </row>
    <row r="2664" spans="1:4">
      <c r="A2664" s="1"/>
      <c r="D2664" s="1"/>
    </row>
    <row r="2665" spans="1:4">
      <c r="A2665" s="1"/>
      <c r="D2665" s="1"/>
    </row>
    <row r="2666" spans="1:4">
      <c r="A2666" s="1"/>
      <c r="D2666" s="1"/>
    </row>
    <row r="2667" spans="1:4">
      <c r="A2667" s="1"/>
      <c r="D2667" s="1"/>
    </row>
    <row r="2668" spans="1:4">
      <c r="A2668" s="1"/>
      <c r="D2668" s="1"/>
    </row>
    <row r="2669" spans="1:4">
      <c r="A2669" s="1"/>
      <c r="D2669" s="1"/>
    </row>
    <row r="2670" spans="1:4">
      <c r="A2670" s="1"/>
      <c r="D2670" s="1"/>
    </row>
    <row r="2671" spans="1:4">
      <c r="A2671" s="1"/>
      <c r="D2671" s="1"/>
    </row>
    <row r="2672" spans="1:4">
      <c r="A2672" s="1"/>
      <c r="D2672" s="1"/>
    </row>
    <row r="2673" spans="1:4">
      <c r="A2673" s="1"/>
      <c r="D2673" s="1"/>
    </row>
    <row r="2674" spans="1:4">
      <c r="A2674" s="1"/>
      <c r="D2674" s="1"/>
    </row>
    <row r="2675" spans="1:4">
      <c r="A2675" s="1"/>
      <c r="D2675" s="1"/>
    </row>
    <row r="2676" spans="1:4">
      <c r="A2676" s="1"/>
      <c r="D2676" s="1"/>
    </row>
    <row r="2677" spans="1:4">
      <c r="A2677" s="1"/>
      <c r="D2677" s="1"/>
    </row>
    <row r="2678" spans="1:4">
      <c r="A2678" s="1"/>
      <c r="D2678" s="1"/>
    </row>
    <row r="2679" spans="1:4">
      <c r="A2679" s="1"/>
      <c r="D2679" s="1"/>
    </row>
    <row r="2680" spans="1:4">
      <c r="A2680" s="1"/>
      <c r="D2680" s="1"/>
    </row>
    <row r="2681" spans="1:4">
      <c r="A2681" s="1"/>
      <c r="D2681" s="1"/>
    </row>
    <row r="2682" spans="1:4">
      <c r="A2682" s="1"/>
      <c r="D2682" s="1"/>
    </row>
    <row r="2683" spans="1:4">
      <c r="A2683" s="1"/>
      <c r="D2683" s="1"/>
    </row>
    <row r="2684" spans="1:4">
      <c r="A2684" s="1"/>
      <c r="D2684" s="1"/>
    </row>
    <row r="2685" spans="1:4">
      <c r="A2685" s="1"/>
      <c r="D2685" s="1"/>
    </row>
    <row r="2686" spans="1:4">
      <c r="A2686" s="1"/>
      <c r="D2686" s="1"/>
    </row>
    <row r="2687" spans="1:4">
      <c r="A2687" s="1"/>
      <c r="D2687" s="1"/>
    </row>
    <row r="2688" spans="1:4">
      <c r="A2688" s="1"/>
      <c r="D2688" s="1"/>
    </row>
    <row r="2689" spans="1:4">
      <c r="A2689" s="1"/>
      <c r="D2689" s="1"/>
    </row>
    <row r="2690" spans="1:4">
      <c r="A2690" s="1"/>
      <c r="D2690" s="1"/>
    </row>
    <row r="2691" spans="1:4">
      <c r="A2691" s="1"/>
      <c r="D2691" s="1"/>
    </row>
    <row r="2692" spans="1:4">
      <c r="A2692" s="1"/>
      <c r="D2692" s="1"/>
    </row>
    <row r="2693" spans="1:4">
      <c r="A2693" s="1"/>
      <c r="D2693" s="1"/>
    </row>
    <row r="2694" spans="1:4">
      <c r="A2694" s="1"/>
      <c r="D2694" s="1"/>
    </row>
    <row r="2695" spans="1:4">
      <c r="A2695" s="1"/>
      <c r="D2695" s="1"/>
    </row>
    <row r="2696" spans="1:4">
      <c r="A2696" s="1"/>
      <c r="D2696" s="1"/>
    </row>
    <row r="2697" spans="1:4">
      <c r="A2697" s="1"/>
      <c r="D2697" s="1"/>
    </row>
    <row r="2698" spans="1:4">
      <c r="A2698" s="1"/>
      <c r="D2698" s="1"/>
    </row>
    <row r="2699" spans="1:4">
      <c r="A2699" s="1"/>
      <c r="D2699" s="1"/>
    </row>
    <row r="2700" spans="1:4">
      <c r="A2700" s="1"/>
      <c r="D2700" s="1"/>
    </row>
    <row r="2701" spans="1:4">
      <c r="A2701" s="1"/>
      <c r="D2701" s="1"/>
    </row>
    <row r="2702" spans="1:4">
      <c r="A2702" s="1"/>
      <c r="D2702" s="1"/>
    </row>
    <row r="2703" spans="1:4">
      <c r="A2703" s="1"/>
      <c r="D2703" s="1"/>
    </row>
    <row r="2704" spans="1:4">
      <c r="A2704" s="1"/>
      <c r="D2704" s="1"/>
    </row>
    <row r="2705" spans="1:4">
      <c r="A2705" s="1"/>
      <c r="D2705" s="1"/>
    </row>
    <row r="2706" spans="1:4">
      <c r="A2706" s="1"/>
      <c r="D2706" s="1"/>
    </row>
    <row r="2707" spans="1:4">
      <c r="A2707" s="1"/>
      <c r="D2707" s="1"/>
    </row>
    <row r="2708" spans="1:4">
      <c r="A2708" s="1"/>
      <c r="D2708" s="1"/>
    </row>
    <row r="2709" spans="1:4">
      <c r="A2709" s="1"/>
      <c r="D2709" s="1"/>
    </row>
    <row r="2710" spans="1:4">
      <c r="A2710" s="1"/>
      <c r="D2710" s="1"/>
    </row>
    <row r="2711" spans="1:4">
      <c r="A2711" s="1"/>
      <c r="D2711" s="1"/>
    </row>
    <row r="2712" spans="1:4">
      <c r="A2712" s="1"/>
      <c r="D2712" s="1"/>
    </row>
    <row r="2713" spans="1:4">
      <c r="A2713" s="1"/>
      <c r="D2713" s="1"/>
    </row>
    <row r="2714" spans="1:4">
      <c r="A2714" s="1"/>
      <c r="D2714" s="1"/>
    </row>
    <row r="2715" spans="1:4">
      <c r="A2715" s="1"/>
      <c r="D2715" s="1"/>
    </row>
    <row r="2716" spans="1:4">
      <c r="A2716" s="1"/>
      <c r="D2716" s="1"/>
    </row>
    <row r="2717" spans="1:4">
      <c r="A2717" s="1"/>
      <c r="D2717" s="1"/>
    </row>
    <row r="2718" spans="1:4">
      <c r="A2718" s="1"/>
      <c r="D2718" s="1"/>
    </row>
    <row r="2719" spans="1:4">
      <c r="A2719" s="1"/>
      <c r="D2719" s="1"/>
    </row>
    <row r="2720" spans="1:4">
      <c r="A2720" s="1"/>
      <c r="D2720" s="1"/>
    </row>
    <row r="2721" spans="1:4">
      <c r="A2721" s="1"/>
      <c r="D2721" s="1"/>
    </row>
    <row r="2722" spans="1:4">
      <c r="A2722" s="1"/>
      <c r="D2722" s="1"/>
    </row>
    <row r="2723" spans="1:4">
      <c r="A2723" s="1"/>
      <c r="D2723" s="1"/>
    </row>
    <row r="2724" spans="1:4">
      <c r="A2724" s="1"/>
      <c r="D2724" s="1"/>
    </row>
    <row r="2725" spans="1:4">
      <c r="A2725" s="1"/>
      <c r="D2725" s="1"/>
    </row>
    <row r="2726" spans="1:4">
      <c r="A2726" s="1"/>
      <c r="D2726" s="1"/>
    </row>
    <row r="2727" spans="1:4">
      <c r="A2727" s="1"/>
      <c r="D2727" s="1"/>
    </row>
    <row r="2728" spans="1:4">
      <c r="A2728" s="1"/>
      <c r="D2728" s="1"/>
    </row>
    <row r="2729" spans="1:4">
      <c r="A2729" s="1"/>
      <c r="D2729" s="1"/>
    </row>
    <row r="2730" spans="1:4">
      <c r="A2730" s="1"/>
      <c r="D2730" s="1"/>
    </row>
    <row r="2731" spans="1:4">
      <c r="A2731" s="1"/>
      <c r="D2731" s="1"/>
    </row>
    <row r="2732" spans="1:4">
      <c r="A2732" s="1"/>
      <c r="D2732" s="1"/>
    </row>
    <row r="2733" spans="1:4">
      <c r="A2733" s="1"/>
      <c r="D2733" s="1"/>
    </row>
    <row r="2734" spans="1:4">
      <c r="A2734" s="1"/>
      <c r="D2734" s="1"/>
    </row>
    <row r="2735" spans="1:4">
      <c r="A2735" s="1"/>
      <c r="D2735" s="1"/>
    </row>
    <row r="2736" spans="1:4">
      <c r="A2736" s="1"/>
      <c r="D2736" s="1"/>
    </row>
    <row r="2737" spans="1:4">
      <c r="A2737" s="1"/>
      <c r="D2737" s="1"/>
    </row>
    <row r="2738" spans="1:4">
      <c r="A2738" s="1"/>
      <c r="D2738" s="1"/>
    </row>
    <row r="2739" spans="1:4">
      <c r="A2739" s="1"/>
      <c r="D2739" s="1"/>
    </row>
    <row r="2740" spans="1:4">
      <c r="A2740" s="1"/>
      <c r="D2740" s="1"/>
    </row>
    <row r="2741" spans="1:4">
      <c r="A2741" s="1"/>
      <c r="D2741" s="1"/>
    </row>
    <row r="2742" spans="1:4">
      <c r="A2742" s="1"/>
      <c r="D2742" s="1"/>
    </row>
    <row r="2743" spans="1:4">
      <c r="A2743" s="1"/>
      <c r="D2743" s="1"/>
    </row>
    <row r="2744" spans="1:4">
      <c r="A2744" s="1"/>
      <c r="D2744" s="1"/>
    </row>
    <row r="2745" spans="1:4">
      <c r="A2745" s="1"/>
      <c r="D2745" s="1"/>
    </row>
    <row r="2746" spans="1:4">
      <c r="A2746" s="1"/>
      <c r="D2746" s="1"/>
    </row>
    <row r="2747" spans="1:4">
      <c r="A2747" s="1"/>
      <c r="D2747" s="1"/>
    </row>
    <row r="2748" spans="1:4">
      <c r="A2748" s="1"/>
      <c r="D2748" s="1"/>
    </row>
    <row r="2749" spans="1:4">
      <c r="A2749" s="1"/>
      <c r="D2749" s="1"/>
    </row>
    <row r="2750" spans="1:4">
      <c r="A2750" s="1"/>
      <c r="D2750" s="1"/>
    </row>
    <row r="2751" spans="1:4">
      <c r="A2751" s="1"/>
      <c r="D2751" s="1"/>
    </row>
    <row r="2752" spans="1:4">
      <c r="A2752" s="1"/>
      <c r="D2752" s="1"/>
    </row>
    <row r="2753" spans="1:4">
      <c r="A2753" s="1"/>
      <c r="D2753" s="1"/>
    </row>
    <row r="2754" spans="1:4">
      <c r="A2754" s="1"/>
      <c r="D2754" s="1"/>
    </row>
    <row r="2755" spans="1:4">
      <c r="A2755" s="1"/>
      <c r="D2755" s="1"/>
    </row>
    <row r="2756" spans="1:4">
      <c r="A2756" s="1"/>
      <c r="D2756" s="1"/>
    </row>
    <row r="2757" spans="1:4">
      <c r="A2757" s="1"/>
      <c r="D2757" s="1"/>
    </row>
    <row r="2758" spans="1:4">
      <c r="A2758" s="1"/>
      <c r="D2758" s="1"/>
    </row>
    <row r="2759" spans="1:4">
      <c r="A2759" s="1"/>
      <c r="D2759" s="1"/>
    </row>
    <row r="2760" spans="1:4">
      <c r="A2760" s="1"/>
      <c r="D2760" s="1"/>
    </row>
    <row r="2761" spans="1:4">
      <c r="A2761" s="1"/>
      <c r="D2761" s="1"/>
    </row>
    <row r="2762" spans="1:4">
      <c r="A2762" s="1"/>
      <c r="D2762" s="1"/>
    </row>
    <row r="2763" spans="1:4">
      <c r="A2763" s="1"/>
      <c r="D2763" s="1"/>
    </row>
    <row r="2764" spans="1:4">
      <c r="A2764" s="1"/>
      <c r="D2764" s="1"/>
    </row>
    <row r="2765" spans="1:4">
      <c r="A2765" s="1"/>
      <c r="D2765" s="1"/>
    </row>
    <row r="2766" spans="1:4">
      <c r="A2766" s="1"/>
      <c r="D2766" s="1"/>
    </row>
    <row r="2767" spans="1:4">
      <c r="A2767" s="1"/>
      <c r="D2767" s="1"/>
    </row>
    <row r="2768" spans="1:4">
      <c r="A2768" s="1"/>
      <c r="D2768" s="1"/>
    </row>
    <row r="2769" spans="1:4">
      <c r="A2769" s="1"/>
      <c r="D2769" s="1"/>
    </row>
    <row r="2770" spans="1:4">
      <c r="A2770" s="1"/>
      <c r="D2770" s="1"/>
    </row>
    <row r="2771" spans="1:4">
      <c r="A2771" s="1"/>
      <c r="D2771" s="1"/>
    </row>
    <row r="2772" spans="1:4">
      <c r="A2772" s="1"/>
      <c r="D2772" s="1"/>
    </row>
    <row r="2773" spans="1:4">
      <c r="A2773" s="1"/>
      <c r="D2773" s="1"/>
    </row>
    <row r="2774" spans="1:4">
      <c r="A2774" s="1"/>
      <c r="D2774" s="1"/>
    </row>
    <row r="2775" spans="1:4">
      <c r="A2775" s="1"/>
      <c r="D2775" s="1"/>
    </row>
    <row r="2776" spans="1:4">
      <c r="A2776" s="1"/>
      <c r="D2776" s="1"/>
    </row>
    <row r="2777" spans="1:4">
      <c r="A2777" s="1"/>
      <c r="D2777" s="1"/>
    </row>
    <row r="2778" spans="1:4">
      <c r="A2778" s="1"/>
      <c r="D2778" s="1"/>
    </row>
    <row r="2779" spans="1:4">
      <c r="A2779" s="1"/>
      <c r="D2779" s="1"/>
    </row>
    <row r="2780" spans="1:4">
      <c r="A2780" s="1"/>
      <c r="D2780" s="1"/>
    </row>
    <row r="2781" spans="1:4">
      <c r="A2781" s="1"/>
      <c r="D2781" s="1"/>
    </row>
  </sheetData>
  <pageMargins left="0.75" right="0.75" top="1" bottom="1" header="0.5" footer="0.5"/>
  <headerFooter alignWithMargins="0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Fitting</vt:lpstr>
      <vt:lpstr>Herm8889</vt:lpstr>
      <vt:lpstr>Tamworth</vt:lpstr>
      <vt:lpstr>Ayr</vt:lpstr>
      <vt:lpstr>Kununurra</vt:lpstr>
      <vt:lpstr>Beverley</vt:lpstr>
      <vt:lpstr>Biloela</vt:lpstr>
      <vt:lpstr>Emerald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Huth, Neil (CES, Toowoomba)</dc:creator>
  <cp:lastModifiedBy>Huth, Neil (Agriculture, Toowoomba)</cp:lastModifiedBy>
  <dcterms:created xsi:type="dcterms:W3CDTF">1996-10-14T23:33:28Z</dcterms:created>
  <dcterms:modified xsi:type="dcterms:W3CDTF">2015-06-28T08:34:54Z</dcterms:modified>
</cp:coreProperties>
</file>