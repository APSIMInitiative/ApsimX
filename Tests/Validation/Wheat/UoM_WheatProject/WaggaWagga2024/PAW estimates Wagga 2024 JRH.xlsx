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unimelbcloud.sharepoint.com/teams/GRDCWheatYieldPhysiology/Shared Documents/General/Experiments/Wagga Wagga 2024/"/>
    </mc:Choice>
  </mc:AlternateContent>
  <xr:revisionPtr revIDLastSave="7" documentId="8_{EC03ED00-2A19-4461-9624-13F50EC4C858}" xr6:coauthVersionLast="47" xr6:coauthVersionMax="47" xr10:uidLastSave="{2434780B-5225-467B-8131-0C86E3DEB8CD}"/>
  <bookViews>
    <workbookView xWindow="28680" yWindow="-120" windowWidth="29040" windowHeight="15720" xr2:uid="{FD9B8AA1-E7BA-4516-B212-2C264958A4CE}"/>
  </bookViews>
  <sheets>
    <sheet name="PAW estima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" i="1" l="1"/>
  <c r="V9" i="1"/>
  <c r="V3" i="1"/>
  <c r="T6" i="1"/>
  <c r="T7" i="1"/>
  <c r="T5" i="1"/>
  <c r="N3" i="1"/>
  <c r="N4" i="1"/>
  <c r="N5" i="1"/>
  <c r="N6" i="1"/>
  <c r="N7" i="1"/>
  <c r="N8" i="1"/>
  <c r="N9" i="1"/>
  <c r="N10" i="1"/>
  <c r="N2" i="1"/>
  <c r="O3" i="1"/>
  <c r="O4" i="1"/>
  <c r="O5" i="1"/>
  <c r="O6" i="1"/>
  <c r="O7" i="1"/>
  <c r="O8" i="1"/>
  <c r="O9" i="1"/>
  <c r="O10" i="1"/>
  <c r="O2" i="1"/>
  <c r="M2" i="1"/>
  <c r="M3" i="1"/>
  <c r="M4" i="1"/>
  <c r="M5" i="1"/>
  <c r="M6" i="1"/>
  <c r="M7" i="1"/>
  <c r="M8" i="1"/>
  <c r="M9" i="1"/>
  <c r="M10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P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tc={089EB027-DCBF-47A3-B8B9-7D528CD03629}</author>
    <author>tc={575CA623-3752-4139-9BF6-399515B283E0}</author>
    <author>tc={113912F1-36EF-4E91-8294-88C7844B3378}</author>
    <author>tc={E6745DA7-83D9-4295-8C44-B59B149C3828}</author>
    <author>tc={ADF419B1-E393-4D30-8201-5065CA6058F9}</author>
  </authors>
  <commentList>
    <comment ref="K1" authorId="0" shapeId="0" xr:uid="{089EB027-DCBF-47A3-B8B9-7D528CD036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Recorded from a previous experiment located 500m away
Reply:
    What units are these in? Volumetric or gravimetric? It is usual to report as volumetric</t>
      </text>
    </comment>
    <comment ref="L1" authorId="1" shapeId="0" xr:uid="{575CA623-3752-4139-9BF6-399515B283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Recorded from a previous experiment 500m away</t>
      </text>
    </comment>
    <comment ref="O1" authorId="2" shapeId="0" xr:uid="{113912F1-36EF-4E91-8294-88C7844B3378}">
      <text>
        <t>[Threaded comment]
Your version of Excel allows you to read this threaded comment; however, any edits to it will get removed if the file is opened in a newer version of Excel. Learn more: https://go.microsoft.com/fwlink/?linkid=870924
Comment:
    If DUL and CLL are volumetric, don’t need to multiply by bulk density again. I’ve removed BD from the equation and the number looks more reasonable now.</t>
      </text>
    </comment>
    <comment ref="V9" authorId="3" shapeId="0" xr:uid="{E6745DA7-83D9-4295-8C44-B59B149C382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Sadras and Angus 2006, better to use Harries 2023</t>
      </text>
    </comment>
    <comment ref="S12" authorId="4" shapeId="0" xr:uid="{ADF419B1-E393-4D30-8201-5065CA6058F9}">
      <text>
        <t>[Threaded comment]
Your version of Excel allows you to read this threaded comment; however, any edits to it will get removed if the file is opened in a newer version of Excel. Learn more: https://go.microsoft.com/fwlink/?linkid=870924
Comment:
    Sadras and Angus is based on oven dry grain so can underestimate by ~10%</t>
      </text>
    </comment>
  </commentList>
</comments>
</file>

<file path=xl/sharedStrings.xml><?xml version="1.0" encoding="utf-8"?>
<sst xmlns="http://schemas.openxmlformats.org/spreadsheetml/2006/main" count="31" uniqueCount="30">
  <si>
    <t>Depth From (cm)</t>
  </si>
  <si>
    <t>Depth To (cm)</t>
  </si>
  <si>
    <t>layer_thickness_mm</t>
  </si>
  <si>
    <t>pH (1:5 Water)</t>
  </si>
  <si>
    <t>Organic Carbon %</t>
  </si>
  <si>
    <t>pH (1:5 CaCl2)</t>
  </si>
  <si>
    <t xml:space="preserve"> Nitrate Nitrogen</t>
  </si>
  <si>
    <t>Ammonium Nitrogen</t>
  </si>
  <si>
    <t>Gravimetric_Water_Content %</t>
  </si>
  <si>
    <r>
      <t>Bulk density (g/cm</t>
    </r>
    <r>
      <rPr>
        <vertAlign val="superscript"/>
        <sz val="11"/>
        <color rgb="FF242424"/>
        <rFont val="Calibri"/>
        <family val="2"/>
      </rPr>
      <t>2</t>
    </r>
    <r>
      <rPr>
        <sz val="11"/>
        <color rgb="FF242424"/>
        <rFont val="Calibri"/>
        <family val="2"/>
      </rPr>
      <t>)</t>
    </r>
  </si>
  <si>
    <t>CLL_wheat</t>
  </si>
  <si>
    <t>DUL_wheat</t>
  </si>
  <si>
    <t>Volumetric water content</t>
  </si>
  <si>
    <t>PAW_2024_04_22</t>
  </si>
  <si>
    <t>PAWC</t>
  </si>
  <si>
    <t xml:space="preserve">Porosity </t>
  </si>
  <si>
    <t>Saturation</t>
  </si>
  <si>
    <t>Rainfall period</t>
  </si>
  <si>
    <t>total (mm)</t>
  </si>
  <si>
    <t>Estimated crop water supply</t>
  </si>
  <si>
    <t>Nov-March</t>
  </si>
  <si>
    <t>April-October</t>
  </si>
  <si>
    <t>JRH version</t>
  </si>
  <si>
    <t>April Irrigation</t>
  </si>
  <si>
    <t>PAW_20240422_mm</t>
  </si>
  <si>
    <t>Nov-22 Apr rain</t>
  </si>
  <si>
    <t>22-Apr-October rain</t>
  </si>
  <si>
    <t>Estimated water limited yield</t>
  </si>
  <si>
    <t>Actual trial max yield 8.01t/ha</t>
  </si>
  <si>
    <t>Average trial yield  6.86t/ha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</si>
</sst>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rgb="FF242424"/>
      <name val="Calibri"/>
      <family val="2"/>
    </font>
    <font>
      <sz val="11"/>
      <color rgb="FF242424"/>
      <name val="Calibri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0" fillId="2" borderId="0" xfId="0" applyFill="1"/>
    <xf numFmtId="2" fontId="0" fillId="0" borderId="0" xfId="0" applyNumberFormat="1"/>
    <xf numFmtId="1" fontId="0" fillId="0" borderId="0" xfId="0" applyNumberFormat="1"/>
    <xf numFmtId="1" fontId="1" fillId="2" borderId="0" xfId="0" applyNumberFormat="1" applyFont="1" applyFill="1" applyAlignment="1">
      <alignment horizontal="center" wrapText="1"/>
    </xf>
    <xf numFmtId="1" fontId="0" fillId="0" borderId="0" xfId="0" applyNumberFormat="1" applyAlignment="1">
      <alignment horizontal="center"/>
    </xf>
    <xf numFmtId="2" fontId="4" fillId="0" borderId="0" xfId="0" applyNumberFormat="1" applyFont="1" applyAlignment="1">
      <alignment horizontal="center" wrapText="1"/>
    </xf>
    <xf numFmtId="2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thgate, Jordan" id="{0C1F0931-A389-4B62-AA8C-4A02AFB150FB}" userId="S::jbathgate@csu.edu.au::97f604f2-6c3b-4ff6-bc3d-728951e8d867" providerId="AD"/>
  <person displayName="James Hunt" id="{AB48CCBB-BA71-4EB3-A252-5DFB717C7DB1}" userId="S::james.hunt@unimelb.edu.au::f920b93b-2398-4f5a-a767-1d004726de1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5-03-26T21:17:57.54" personId="{0C1F0931-A389-4B62-AA8C-4A02AFB150FB}" id="{089EB027-DCBF-47A3-B8B9-7D528CD03629}">
    <text>Recorded from a previous experiment located 500m away</text>
  </threadedComment>
  <threadedComment ref="K1" dT="2025-04-02T00:52:51.11" personId="{AB48CCBB-BA71-4EB3-A252-5DFB717C7DB1}" id="{1A85AFC3-0B8B-418D-9E01-00AA926C7513}" parentId="{089EB027-DCBF-47A3-B8B9-7D528CD03629}">
    <text>What units are these in? Volumetric or gravimetric? It is usual to report as volumetric</text>
  </threadedComment>
  <threadedComment ref="L1" dT="2025-03-26T21:18:13.99" personId="{0C1F0931-A389-4B62-AA8C-4A02AFB150FB}" id="{575CA623-3752-4139-9BF6-399515B283E0}">
    <text>Recorded from a previous experiment 500m away</text>
  </threadedComment>
  <threadedComment ref="O1" dT="2025-04-02T00:54:04.17" personId="{AB48CCBB-BA71-4EB3-A252-5DFB717C7DB1}" id="{113912F1-36EF-4E91-8294-88C7844B3378}">
    <text>If DUL and CLL are volumetric, don’t need to multiply by bulk density again. I’ve removed BD from the equation and the number looks more reasonable now.</text>
  </threadedComment>
  <threadedComment ref="V9" dT="2025-04-02T01:04:27.14" personId="{AB48CCBB-BA71-4EB3-A252-5DFB717C7DB1}" id="{E6745DA7-83D9-4295-8C44-B59B149C3828}">
    <text>This is Sadras and Angus 2006, better to use Harries 2023</text>
  </threadedComment>
  <threadedComment ref="S12" dT="2025-04-02T01:05:16.82" personId="{AB48CCBB-BA71-4EB3-A252-5DFB717C7DB1}" id="{ADF419B1-E393-4D30-8201-5065CA6058F9}">
    <text>Sadras and Angus is based on oven dry grain so can underestimate by ~10%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8DF5-0BD5-4C70-BF6B-F49A2E5ED3E0}">
  <dimension ref="A1:W13"/>
  <sheetViews>
    <sheetView tabSelected="1" topLeftCell="C1" workbookViewId="0">
      <selection activeCell="P12" sqref="P12"/>
    </sheetView>
  </sheetViews>
  <sheetFormatPr defaultRowHeight="15"/>
  <cols>
    <col min="5" max="5" width="9.140625" style="6"/>
    <col min="9" max="9" width="9.140625" style="6"/>
    <col min="11" max="11" width="10.42578125" bestFit="1" customWidth="1"/>
    <col min="13" max="13" width="9.140625" style="6"/>
    <col min="14" max="14" width="9.140625" style="9"/>
    <col min="17" max="17" width="11.85546875" customWidth="1"/>
    <col min="19" max="19" width="13.28515625" bestFit="1" customWidth="1"/>
  </cols>
  <sheetData>
    <row r="1" spans="1:23" s="1" customFormat="1" ht="60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1" t="s">
        <v>5</v>
      </c>
      <c r="G1" s="1" t="s">
        <v>6</v>
      </c>
      <c r="H1" s="1" t="s">
        <v>7</v>
      </c>
      <c r="I1" s="11" t="s">
        <v>8</v>
      </c>
      <c r="J1" s="1" t="s">
        <v>9</v>
      </c>
      <c r="K1" s="2" t="s">
        <v>10</v>
      </c>
      <c r="L1" s="3" t="s">
        <v>11</v>
      </c>
      <c r="M1" s="10" t="s">
        <v>12</v>
      </c>
      <c r="N1" s="8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  <c r="V1" s="1" t="s">
        <v>19</v>
      </c>
    </row>
    <row r="2" spans="1:23">
      <c r="A2">
        <v>0</v>
      </c>
      <c r="B2">
        <v>10</v>
      </c>
      <c r="C2" s="4">
        <v>100</v>
      </c>
      <c r="D2">
        <v>7</v>
      </c>
      <c r="E2" s="6">
        <v>0.72375000000000012</v>
      </c>
      <c r="F2">
        <v>6.4125000000000005</v>
      </c>
      <c r="G2">
        <v>25.25</v>
      </c>
      <c r="H2">
        <v>5.9249999999999998</v>
      </c>
      <c r="I2" s="6">
        <v>0.12648169066059481</v>
      </c>
      <c r="J2">
        <v>1.38</v>
      </c>
      <c r="K2">
        <v>0.1</v>
      </c>
      <c r="L2">
        <v>0.24</v>
      </c>
      <c r="M2" s="6">
        <f>I2*J2</f>
        <v>0.17454473311162083</v>
      </c>
      <c r="N2" s="9">
        <f>(M2-K2)*C2</f>
        <v>7.4544733111620829</v>
      </c>
      <c r="O2">
        <f>(L2-K2)*C2</f>
        <v>13.999999999999998</v>
      </c>
      <c r="P2">
        <f>(1-J2/2.65)*100</f>
        <v>47.924528301886795</v>
      </c>
      <c r="Q2">
        <f>L2*1.1</f>
        <v>0.26400000000000001</v>
      </c>
      <c r="S2" t="s">
        <v>20</v>
      </c>
      <c r="T2">
        <v>217</v>
      </c>
      <c r="V2">
        <v>413</v>
      </c>
    </row>
    <row r="3" spans="1:23">
      <c r="A3">
        <v>10</v>
      </c>
      <c r="B3">
        <v>20</v>
      </c>
      <c r="C3" s="4">
        <v>100</v>
      </c>
      <c r="D3">
        <v>5.9749999999999996</v>
      </c>
      <c r="E3" s="6">
        <v>0.29249999999999998</v>
      </c>
      <c r="F3">
        <v>5.2749999999999995</v>
      </c>
      <c r="G3">
        <v>25.875</v>
      </c>
      <c r="H3">
        <v>3.55</v>
      </c>
      <c r="I3" s="6">
        <v>0.12884712700734777</v>
      </c>
      <c r="J3">
        <v>1.4</v>
      </c>
      <c r="K3">
        <v>0.1</v>
      </c>
      <c r="L3">
        <v>0.24</v>
      </c>
      <c r="M3" s="6">
        <f t="shared" ref="M3:M10" si="0">I3*J3</f>
        <v>0.18038597781028687</v>
      </c>
      <c r="N3" s="9">
        <f t="shared" ref="N3:N10" si="1">(M3-K3)*C3</f>
        <v>8.0385977810286864</v>
      </c>
      <c r="O3">
        <f t="shared" ref="O3:O10" si="2">(L3-K3)*C3</f>
        <v>13.999999999999998</v>
      </c>
      <c r="P3">
        <f t="shared" ref="P3:P10" si="3">(1-J3/2.65)*100</f>
        <v>47.169811320754718</v>
      </c>
      <c r="Q3">
        <f t="shared" ref="Q3:Q10" si="4">L3*1.1</f>
        <v>0.26400000000000001</v>
      </c>
      <c r="S3" t="s">
        <v>21</v>
      </c>
      <c r="T3">
        <v>261</v>
      </c>
      <c r="V3" s="7">
        <f>T5+T7+T4</f>
        <v>418.87853343877384</v>
      </c>
      <c r="W3" t="s">
        <v>22</v>
      </c>
    </row>
    <row r="4" spans="1:23">
      <c r="A4">
        <v>20</v>
      </c>
      <c r="B4">
        <v>40</v>
      </c>
      <c r="C4" s="4">
        <v>200</v>
      </c>
      <c r="D4">
        <v>6.8875000000000002</v>
      </c>
      <c r="E4" s="6">
        <v>0.24875</v>
      </c>
      <c r="F4">
        <v>6.1750000000000007</v>
      </c>
      <c r="G4">
        <v>15.375</v>
      </c>
      <c r="H4">
        <v>2.5249999999999999</v>
      </c>
      <c r="I4" s="6">
        <v>0.15008460334646404</v>
      </c>
      <c r="J4">
        <v>1.44</v>
      </c>
      <c r="K4">
        <v>0.12</v>
      </c>
      <c r="L4">
        <v>0.25</v>
      </c>
      <c r="M4" s="6">
        <f t="shared" si="0"/>
        <v>0.21612182881890821</v>
      </c>
      <c r="N4" s="9">
        <f t="shared" si="1"/>
        <v>19.224365763781641</v>
      </c>
      <c r="O4">
        <f t="shared" si="2"/>
        <v>26</v>
      </c>
      <c r="P4">
        <f t="shared" si="3"/>
        <v>45.660377358490564</v>
      </c>
      <c r="Q4">
        <f t="shared" si="4"/>
        <v>0.27500000000000002</v>
      </c>
      <c r="S4" t="s">
        <v>23</v>
      </c>
      <c r="T4">
        <v>30</v>
      </c>
    </row>
    <row r="5" spans="1:23">
      <c r="A5">
        <v>40</v>
      </c>
      <c r="B5">
        <v>60</v>
      </c>
      <c r="C5" s="4">
        <v>200</v>
      </c>
      <c r="D5">
        <v>7.1499999999999995</v>
      </c>
      <c r="E5" s="6">
        <v>0.255</v>
      </c>
      <c r="F5">
        <v>6.4624999999999995</v>
      </c>
      <c r="G5">
        <v>9.2125000000000004</v>
      </c>
      <c r="H5">
        <v>2.2000000000000002</v>
      </c>
      <c r="I5" s="6">
        <v>0.19365128855261851</v>
      </c>
      <c r="J5">
        <v>1.44</v>
      </c>
      <c r="K5">
        <v>0.12</v>
      </c>
      <c r="L5">
        <v>0.25</v>
      </c>
      <c r="M5" s="6">
        <f t="shared" si="0"/>
        <v>0.27885785551577064</v>
      </c>
      <c r="N5" s="9">
        <f t="shared" si="1"/>
        <v>31.771571103154127</v>
      </c>
      <c r="O5">
        <f t="shared" si="2"/>
        <v>26</v>
      </c>
      <c r="P5">
        <f t="shared" si="3"/>
        <v>45.660377358490564</v>
      </c>
      <c r="Q5">
        <f t="shared" si="4"/>
        <v>0.27500000000000002</v>
      </c>
      <c r="S5" t="s">
        <v>24</v>
      </c>
      <c r="T5" s="7">
        <f>SUM(N2:N10)</f>
        <v>165.87853343877384</v>
      </c>
    </row>
    <row r="6" spans="1:23">
      <c r="A6">
        <v>60</v>
      </c>
      <c r="B6">
        <v>80</v>
      </c>
      <c r="C6" s="4">
        <v>200</v>
      </c>
      <c r="D6">
        <v>7.2</v>
      </c>
      <c r="E6" s="6">
        <v>0.19624999999999998</v>
      </c>
      <c r="F6">
        <v>6.4625000000000004</v>
      </c>
      <c r="G6">
        <v>5.3374999999999995</v>
      </c>
      <c r="H6">
        <v>3</v>
      </c>
      <c r="I6" s="6">
        <v>0.18826120176398242</v>
      </c>
      <c r="J6">
        <v>1.44</v>
      </c>
      <c r="K6">
        <v>0.15</v>
      </c>
      <c r="L6">
        <v>0.28000000000000003</v>
      </c>
      <c r="M6" s="6">
        <f t="shared" si="0"/>
        <v>0.27109613054013465</v>
      </c>
      <c r="N6" s="9">
        <f t="shared" si="1"/>
        <v>24.21922610802693</v>
      </c>
      <c r="O6">
        <f t="shared" si="2"/>
        <v>26.000000000000007</v>
      </c>
      <c r="P6">
        <f t="shared" si="3"/>
        <v>45.660377358490564</v>
      </c>
      <c r="Q6">
        <f t="shared" si="4"/>
        <v>0.30800000000000005</v>
      </c>
      <c r="S6" t="s">
        <v>25</v>
      </c>
      <c r="T6">
        <f>T3+38</f>
        <v>299</v>
      </c>
    </row>
    <row r="7" spans="1:23">
      <c r="A7">
        <v>80</v>
      </c>
      <c r="B7">
        <v>100</v>
      </c>
      <c r="C7" s="4">
        <v>200</v>
      </c>
      <c r="D7">
        <v>7.3249999999999993</v>
      </c>
      <c r="E7" s="6">
        <v>0.17499999999999999</v>
      </c>
      <c r="F7">
        <v>6.4749999999999996</v>
      </c>
      <c r="G7">
        <v>3.4750000000000005</v>
      </c>
      <c r="H7">
        <v>2.6374999999999997</v>
      </c>
      <c r="I7" s="6">
        <v>0.16418110177335291</v>
      </c>
      <c r="J7">
        <v>1.44</v>
      </c>
      <c r="K7">
        <v>0.15</v>
      </c>
      <c r="L7">
        <v>0.28000000000000003</v>
      </c>
      <c r="M7" s="6">
        <f t="shared" si="0"/>
        <v>0.23642078655362816</v>
      </c>
      <c r="N7" s="9">
        <f t="shared" si="1"/>
        <v>17.284157310725632</v>
      </c>
      <c r="O7">
        <f t="shared" si="2"/>
        <v>26.000000000000007</v>
      </c>
      <c r="P7">
        <f t="shared" si="3"/>
        <v>45.660377358490564</v>
      </c>
      <c r="Q7">
        <f t="shared" si="4"/>
        <v>0.30800000000000005</v>
      </c>
      <c r="S7" t="s">
        <v>26</v>
      </c>
      <c r="T7">
        <f>T3-38</f>
        <v>223</v>
      </c>
    </row>
    <row r="8" spans="1:23">
      <c r="A8">
        <v>100</v>
      </c>
      <c r="B8">
        <v>120</v>
      </c>
      <c r="C8" s="4">
        <v>200</v>
      </c>
      <c r="D8">
        <v>7.4750000000000005</v>
      </c>
      <c r="F8">
        <v>6.4624999999999995</v>
      </c>
      <c r="G8">
        <v>3.1875</v>
      </c>
      <c r="H8">
        <v>3.0000000000000004</v>
      </c>
      <c r="I8" s="6">
        <v>0.16931003629280106</v>
      </c>
      <c r="J8">
        <v>1.57</v>
      </c>
      <c r="K8">
        <v>0.15</v>
      </c>
      <c r="L8">
        <v>0.33</v>
      </c>
      <c r="M8" s="6">
        <f t="shared" si="0"/>
        <v>0.2658167569796977</v>
      </c>
      <c r="N8" s="9">
        <f t="shared" si="1"/>
        <v>23.163351395939539</v>
      </c>
      <c r="O8">
        <f t="shared" si="2"/>
        <v>36.000000000000007</v>
      </c>
      <c r="P8">
        <f t="shared" si="3"/>
        <v>40.754716981132063</v>
      </c>
      <c r="Q8">
        <f t="shared" si="4"/>
        <v>0.36300000000000004</v>
      </c>
    </row>
    <row r="9" spans="1:23">
      <c r="A9">
        <v>120</v>
      </c>
      <c r="B9">
        <v>140</v>
      </c>
      <c r="C9" s="4">
        <v>200</v>
      </c>
      <c r="D9">
        <v>7.6749999999999998</v>
      </c>
      <c r="F9">
        <v>6.6</v>
      </c>
      <c r="G9">
        <v>2.9125000000000005</v>
      </c>
      <c r="H9">
        <v>2.7125000000000004</v>
      </c>
      <c r="I9" s="6">
        <v>0.17792091713527941</v>
      </c>
      <c r="J9">
        <v>1.57</v>
      </c>
      <c r="K9">
        <v>0.17</v>
      </c>
      <c r="L9">
        <v>0.33</v>
      </c>
      <c r="M9" s="6">
        <f t="shared" si="0"/>
        <v>0.27933583990238869</v>
      </c>
      <c r="N9" s="9">
        <f t="shared" si="1"/>
        <v>21.867167980477735</v>
      </c>
      <c r="O9">
        <f t="shared" si="2"/>
        <v>32</v>
      </c>
      <c r="P9">
        <f t="shared" si="3"/>
        <v>40.754716981132063</v>
      </c>
      <c r="Q9">
        <f t="shared" si="4"/>
        <v>0.36300000000000004</v>
      </c>
      <c r="S9" t="s">
        <v>27</v>
      </c>
      <c r="V9" s="5">
        <f>((T2*0.25)+T3+T4-60)*0.022</f>
        <v>6.2755000000000001</v>
      </c>
    </row>
    <row r="10" spans="1:23">
      <c r="A10">
        <v>140</v>
      </c>
      <c r="B10">
        <v>160</v>
      </c>
      <c r="C10" s="4">
        <v>200</v>
      </c>
      <c r="D10">
        <v>7.76</v>
      </c>
      <c r="F10">
        <v>6.6599999999999993</v>
      </c>
      <c r="G10">
        <v>2.4799999999999995</v>
      </c>
      <c r="H10">
        <v>4.24</v>
      </c>
      <c r="I10" s="6">
        <v>0.16833000854929128</v>
      </c>
      <c r="J10">
        <v>1.57</v>
      </c>
      <c r="K10">
        <v>0.2</v>
      </c>
      <c r="L10">
        <v>0.33</v>
      </c>
      <c r="M10" s="6">
        <f t="shared" si="0"/>
        <v>0.26427811342238733</v>
      </c>
      <c r="N10" s="9">
        <f t="shared" si="1"/>
        <v>12.855622684477463</v>
      </c>
      <c r="O10">
        <f t="shared" si="2"/>
        <v>26</v>
      </c>
      <c r="P10">
        <f t="shared" si="3"/>
        <v>40.754716981132063</v>
      </c>
      <c r="Q10">
        <f t="shared" si="4"/>
        <v>0.36300000000000004</v>
      </c>
      <c r="V10" s="6">
        <f>((V3-45)*25)/1000</f>
        <v>9.3469633359693454</v>
      </c>
      <c r="W10" t="s">
        <v>22</v>
      </c>
    </row>
    <row r="11" spans="1:23">
      <c r="C11" s="4"/>
    </row>
    <row r="12" spans="1:23">
      <c r="S12" t="s">
        <v>28</v>
      </c>
    </row>
    <row r="13" spans="1:23">
      <c r="S13" t="s">
        <v>29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FFC2331863D440B8D941E06DE106C1" ma:contentTypeVersion="13" ma:contentTypeDescription="Create a new document." ma:contentTypeScope="" ma:versionID="f237d48f8fe8de6a2ae656e386233161">
  <xsd:schema xmlns:xsd="http://www.w3.org/2001/XMLSchema" xmlns:xs="http://www.w3.org/2001/XMLSchema" xmlns:p="http://schemas.microsoft.com/office/2006/metadata/properties" xmlns:ns2="e1075c0a-66fe-41b2-b9b9-96fab4c03331" xmlns:ns3="7862ba92-1ed1-4299-8be4-2b023bdc0104" targetNamespace="http://schemas.microsoft.com/office/2006/metadata/properties" ma:root="true" ma:fieldsID="084f2fc260468639ac304d44f69497d1" ns2:_="" ns3:_="">
    <xsd:import namespace="e1075c0a-66fe-41b2-b9b9-96fab4c03331"/>
    <xsd:import namespace="7862ba92-1ed1-4299-8be4-2b023bdc010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075c0a-66fe-41b2-b9b9-96fab4c033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15f1bef-5212-4ac6-8faa-53ca9d01fd62}" ma:internalName="TaxCatchAll" ma:showField="CatchAllData" ma:web="e1075c0a-66fe-41b2-b9b9-96fab4c033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2ba92-1ed1-4299-8be4-2b023bdc01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075c0a-66fe-41b2-b9b9-96fab4c03331" xsi:nil="true"/>
    <lcf76f155ced4ddcb4097134ff3c332f xmlns="7862ba92-1ed1-4299-8be4-2b023bdc010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2C14B5-4651-42DD-9390-06ED0FEA28C9}"/>
</file>

<file path=customXml/itemProps2.xml><?xml version="1.0" encoding="utf-8"?>
<ds:datastoreItem xmlns:ds="http://schemas.openxmlformats.org/officeDocument/2006/customXml" ds:itemID="{3AB8D19B-53BF-4E96-B2CA-2CD97281B06B}"/>
</file>

<file path=customXml/itemProps3.xml><?xml version="1.0" encoding="utf-8"?>
<ds:datastoreItem xmlns:ds="http://schemas.openxmlformats.org/officeDocument/2006/customXml" ds:itemID="{EB322A30-CF8D-48E0-92B7-13BC61D55E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Bathgate, Jordan</dc:creator>
  <cp:keywords/>
  <dc:description/>
  <cp:lastModifiedBy>Edmar Teixeira</cp:lastModifiedBy>
  <cp:revision/>
  <dcterms:created xsi:type="dcterms:W3CDTF">2025-03-26T21:32:46Z</dcterms:created>
  <dcterms:modified xsi:type="dcterms:W3CDTF">2026-02-01T20:12:30Z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0x010100C7FFC2331863D440B8D941E06DE106C1</vt:lpwstr>
  </property>
  <property fmtid="{D5CDD505-2E9C-101B-9397-08002B2CF9AE}" pid="3" name="MediaServiceImageTags">
    <vt:lpwstr/>
  </property>
</Properties>
</file>