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Smethurst Files\APSIM\Pinus Validation Work\Pinus\"/>
    </mc:Choice>
  </mc:AlternateContent>
  <xr:revisionPtr revIDLastSave="0" documentId="13_ncr:1_{E10D6BD5-33B9-4C4F-8F0E-A74F4F8726CC}" xr6:coauthVersionLast="47" xr6:coauthVersionMax="47" xr10:uidLastSave="{00000000-0000-0000-0000-000000000000}"/>
  <bookViews>
    <workbookView xWindow="-120" yWindow="-120" windowWidth="29040" windowHeight="17520" tabRatio="653" xr2:uid="{00000000-000D-0000-FFFF-FFFF00000000}"/>
  </bookViews>
  <sheets>
    <sheet name="Observed" sheetId="6" r:id="rId1"/>
  </sheets>
  <externalReferences>
    <externalReference r:id="rId2"/>
  </externalReferences>
  <definedNames>
    <definedName name="_xlnm._FilterDatabase" localSheetId="0" hidden="1">Observed!$A$1:$BB$1684</definedName>
    <definedName name="a">[1]Sheet2!#REF!</definedName>
    <definedName name="AvGMCotton">#REF!</definedName>
    <definedName name="AvGMSorg">#REF!</definedName>
    <definedName name="AvGMWht">#REF!</definedName>
    <definedName name="AvYldCotton">#REF!</definedName>
    <definedName name="AvYldSorg">#REF!</definedName>
    <definedName name="AvYldWht">#REF!</definedName>
    <definedName name="b">[1]Sheet2!#REF!</definedName>
    <definedName name="bd">#REF!</definedName>
    <definedName name="CYear">#REF!</definedName>
    <definedName name="dlayr">#REF!</definedName>
    <definedName name="e">[1]Sheet2!#REF!</definedName>
    <definedName name="p">[1]Sheet2!#REF!</definedName>
    <definedName name="PostCost">#REF!</definedName>
    <definedName name="PreCost">#REF!</definedName>
    <definedName name="_xlnm.Print_Titles">[1]Locn!#REF!</definedName>
    <definedName name="SprayCost">#REF!</definedName>
    <definedName name="Sprays">#REF!</definedName>
    <definedName name="SYear">#REF!</definedName>
    <definedName name="WYea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1684" i="6" l="1"/>
  <c r="N1681" i="6"/>
  <c r="AU1684" i="6"/>
  <c r="AU1681" i="6"/>
  <c r="AI1326" i="6"/>
  <c r="AI1325" i="6"/>
  <c r="AI1324" i="6"/>
  <c r="AI1323" i="6"/>
  <c r="AI1322" i="6"/>
  <c r="AI1321" i="6"/>
  <c r="AI1320" i="6"/>
  <c r="AI1319" i="6"/>
  <c r="AI1318" i="6"/>
  <c r="AI1317" i="6"/>
  <c r="AI1316" i="6"/>
  <c r="AI1315" i="6"/>
  <c r="AI1314" i="6"/>
  <c r="AI1313" i="6"/>
  <c r="AI1312" i="6"/>
  <c r="AI1311" i="6"/>
  <c r="AI1310" i="6"/>
  <c r="AI1309" i="6"/>
  <c r="AI1308" i="6"/>
  <c r="AI1307" i="6"/>
  <c r="AI1306" i="6"/>
  <c r="AI1305" i="6"/>
  <c r="AI1304" i="6"/>
  <c r="AI1303" i="6"/>
  <c r="AI1302" i="6"/>
  <c r="AI1301" i="6"/>
  <c r="AI1300" i="6"/>
  <c r="AI1299" i="6"/>
  <c r="AI1298" i="6"/>
  <c r="AI1297" i="6"/>
  <c r="AI1296" i="6"/>
  <c r="AI1295" i="6"/>
  <c r="AI1294" i="6"/>
  <c r="AI1293" i="6"/>
  <c r="AI1292" i="6"/>
  <c r="AI1291" i="6"/>
  <c r="AI1290" i="6"/>
  <c r="AI1289" i="6"/>
  <c r="AI1288" i="6"/>
  <c r="AI1287" i="6"/>
  <c r="AI1286" i="6"/>
  <c r="AI1285" i="6"/>
  <c r="AI1284" i="6"/>
  <c r="AI1283" i="6"/>
  <c r="AI1282" i="6"/>
  <c r="AI1281" i="6"/>
  <c r="AI1280" i="6"/>
  <c r="AI1279" i="6"/>
  <c r="AI1278" i="6"/>
  <c r="AI1277" i="6"/>
  <c r="AI1276" i="6"/>
  <c r="AI1275" i="6"/>
  <c r="AI1274" i="6"/>
  <c r="AI1273" i="6"/>
  <c r="AI1272" i="6"/>
  <c r="AI1271" i="6"/>
  <c r="AI1270" i="6"/>
  <c r="AI1269" i="6"/>
  <c r="AI1268" i="6"/>
  <c r="AI1267" i="6"/>
  <c r="AI1266" i="6"/>
  <c r="AI1265" i="6"/>
  <c r="AI1264" i="6"/>
  <c r="AI1263" i="6"/>
  <c r="AI1262" i="6"/>
  <c r="AI1261" i="6"/>
  <c r="AI1260" i="6"/>
  <c r="AI1259" i="6"/>
  <c r="AI1258" i="6"/>
  <c r="AI1257" i="6"/>
  <c r="AI1256" i="6"/>
  <c r="AI1255" i="6"/>
  <c r="AI1254" i="6"/>
  <c r="AI1253" i="6"/>
  <c r="AI1252" i="6"/>
  <c r="AI1251" i="6"/>
  <c r="AI1250" i="6"/>
  <c r="AI1249" i="6"/>
  <c r="AI1248" i="6"/>
  <c r="AI1247" i="6"/>
  <c r="AI1246" i="6"/>
  <c r="AI1245" i="6"/>
  <c r="AI1244" i="6"/>
  <c r="AI1243" i="6"/>
  <c r="AI1242" i="6"/>
  <c r="AI1241" i="6"/>
  <c r="AI1240" i="6"/>
  <c r="AI1239" i="6"/>
  <c r="AI1238" i="6"/>
  <c r="AI1237" i="6"/>
  <c r="AI1236" i="6"/>
  <c r="AI1235" i="6"/>
  <c r="AI1234" i="6"/>
  <c r="AI1233" i="6"/>
  <c r="AI1232" i="6"/>
  <c r="AI1231" i="6"/>
  <c r="AI1230" i="6"/>
  <c r="AI1229" i="6"/>
  <c r="AI1228" i="6"/>
  <c r="AI1227" i="6"/>
  <c r="AI1226" i="6"/>
  <c r="AI1225" i="6"/>
  <c r="AI1224" i="6"/>
  <c r="AI1223" i="6"/>
  <c r="AI1222" i="6"/>
  <c r="AI1221" i="6"/>
  <c r="AI1220" i="6"/>
  <c r="AI1219" i="6"/>
  <c r="AI1218" i="6"/>
  <c r="AI1217" i="6"/>
  <c r="AI1216" i="6"/>
  <c r="AI1215" i="6"/>
  <c r="AI1214" i="6"/>
  <c r="AI1213" i="6"/>
  <c r="AI1212" i="6"/>
  <c r="AI1211" i="6"/>
  <c r="AI1210" i="6"/>
  <c r="AI1209" i="6"/>
  <c r="AI1208" i="6"/>
  <c r="AI1170" i="6"/>
  <c r="AI1169" i="6"/>
  <c r="AI1168" i="6"/>
  <c r="AI1167" i="6"/>
  <c r="AI1166" i="6"/>
  <c r="AI1165" i="6"/>
  <c r="AI1164" i="6"/>
  <c r="AI1163" i="6"/>
  <c r="AI1162" i="6"/>
  <c r="AI1161" i="6"/>
  <c r="AI1078" i="6"/>
  <c r="AI1077" i="6"/>
  <c r="AI1076" i="6"/>
  <c r="AI1075" i="6"/>
  <c r="AI1074" i="6"/>
  <c r="AI1073" i="6"/>
  <c r="AI1072" i="6"/>
  <c r="AI1071" i="6"/>
  <c r="AI1070" i="6"/>
  <c r="AI1069" i="6"/>
  <c r="AI1068" i="6"/>
  <c r="AI1067" i="6"/>
  <c r="AI1066" i="6"/>
  <c r="AI1065" i="6"/>
  <c r="AI1064" i="6"/>
  <c r="AI1063" i="6"/>
  <c r="AI1062" i="6"/>
  <c r="AI1061" i="6"/>
  <c r="AI1060" i="6"/>
  <c r="AI1059" i="6"/>
  <c r="AI1058" i="6"/>
  <c r="AI1057" i="6"/>
  <c r="AI1056" i="6"/>
  <c r="AI377" i="6"/>
  <c r="AI376" i="6"/>
  <c r="AI375" i="6"/>
  <c r="AI374" i="6"/>
  <c r="AI373" i="6"/>
  <c r="AI372" i="6"/>
  <c r="AI371" i="6"/>
  <c r="AI370" i="6"/>
  <c r="AI369" i="6"/>
  <c r="AI368" i="6"/>
  <c r="AI367" i="6"/>
  <c r="AI366" i="6"/>
  <c r="AI365" i="6"/>
  <c r="AI364" i="6"/>
  <c r="AI363" i="6"/>
  <c r="AI362" i="6"/>
  <c r="AI361" i="6"/>
  <c r="AI360" i="6"/>
  <c r="AI359" i="6"/>
  <c r="AI358" i="6"/>
  <c r="AI357" i="6"/>
  <c r="AI356" i="6"/>
  <c r="AI355" i="6"/>
  <c r="AI354" i="6"/>
  <c r="AI353" i="6"/>
  <c r="AI352" i="6"/>
  <c r="AI351" i="6"/>
  <c r="AI350" i="6"/>
  <c r="AI349" i="6"/>
  <c r="AI348" i="6"/>
  <c r="AI347" i="6"/>
  <c r="AI346" i="6"/>
  <c r="AI345" i="6"/>
  <c r="AI344" i="6"/>
  <c r="AI343" i="6"/>
  <c r="AI2" i="6"/>
  <c r="AI1440" i="6"/>
  <c r="AI1439" i="6"/>
  <c r="AI1438" i="6"/>
  <c r="AI1437" i="6"/>
  <c r="AI1436" i="6"/>
  <c r="AI1435" i="6"/>
  <c r="AI1434" i="6"/>
  <c r="AI1433" i="6"/>
  <c r="AI1432" i="6"/>
  <c r="AI1431" i="6"/>
  <c r="AI1430" i="6"/>
  <c r="AI1429" i="6"/>
  <c r="AI1428" i="6"/>
  <c r="AI1427" i="6"/>
  <c r="AI1426" i="6"/>
  <c r="AI1425" i="6"/>
  <c r="AI1424" i="6"/>
  <c r="AI1423" i="6"/>
  <c r="AI1422" i="6"/>
  <c r="AI1421" i="6"/>
  <c r="AI1420" i="6"/>
  <c r="AI1419" i="6"/>
  <c r="AI1418" i="6"/>
  <c r="AI1417" i="6"/>
  <c r="AI1416" i="6"/>
  <c r="AI1415" i="6"/>
  <c r="AI1414" i="6"/>
  <c r="AI1413" i="6"/>
  <c r="AI1412" i="6"/>
  <c r="AI1411" i="6"/>
  <c r="AI1410" i="6"/>
  <c r="AI1409" i="6"/>
  <c r="AI1408" i="6"/>
  <c r="AI1407" i="6"/>
  <c r="AI1406" i="6"/>
  <c r="AI1405" i="6"/>
  <c r="AI1404" i="6"/>
  <c r="AI1403" i="6"/>
  <c r="AI1402" i="6"/>
  <c r="AI1401" i="6"/>
  <c r="AI1400" i="6"/>
  <c r="AI1399" i="6"/>
  <c r="AI1398" i="6"/>
  <c r="AI1397" i="6"/>
  <c r="AI1396" i="6"/>
  <c r="AI1395" i="6"/>
  <c r="AI1394" i="6"/>
  <c r="AI1393" i="6"/>
  <c r="AI1392" i="6"/>
  <c r="AI1391" i="6"/>
  <c r="AI1390" i="6"/>
  <c r="AI1389" i="6"/>
  <c r="AI1388" i="6"/>
  <c r="AI1387" i="6"/>
  <c r="AI1386" i="6"/>
  <c r="AI1385" i="6"/>
  <c r="AI1384" i="6"/>
  <c r="AI1383" i="6"/>
  <c r="AI1382" i="6"/>
  <c r="AI1381" i="6"/>
  <c r="AI1380" i="6"/>
  <c r="AI1379" i="6"/>
  <c r="AI1378" i="6"/>
  <c r="AI1377" i="6"/>
  <c r="AI1376" i="6"/>
  <c r="AI1375" i="6"/>
  <c r="AI1374" i="6"/>
  <c r="AI1373" i="6"/>
  <c r="AI1372" i="6"/>
  <c r="AI1371" i="6"/>
  <c r="AI1370" i="6"/>
  <c r="AI1369" i="6"/>
  <c r="AI1368" i="6"/>
  <c r="AI1367" i="6"/>
  <c r="AI1366" i="6"/>
  <c r="AI1365" i="6"/>
  <c r="AI1364" i="6"/>
  <c r="AI1363" i="6"/>
  <c r="AI1362" i="6"/>
  <c r="AI1361" i="6"/>
  <c r="AI1360" i="6"/>
  <c r="AI1359" i="6"/>
  <c r="AI1358" i="6"/>
  <c r="AI1357" i="6"/>
  <c r="AI1356" i="6"/>
  <c r="AI1355" i="6"/>
  <c r="AI1354" i="6"/>
  <c r="AI1353" i="6"/>
  <c r="AI1352" i="6"/>
  <c r="AI1351" i="6"/>
  <c r="AI1350" i="6"/>
  <c r="AI1349" i="6"/>
  <c r="AI1348" i="6"/>
  <c r="AI1347" i="6"/>
  <c r="AI1346" i="6"/>
  <c r="AI1345" i="6"/>
  <c r="AI1344" i="6"/>
  <c r="AI1343" i="6"/>
  <c r="AI1342" i="6"/>
  <c r="AI1341" i="6"/>
  <c r="AI1340" i="6"/>
  <c r="AI1339" i="6"/>
  <c r="AI1338" i="6"/>
  <c r="AI1337" i="6"/>
  <c r="AI1336" i="6"/>
  <c r="AI1335" i="6"/>
  <c r="AI1334" i="6"/>
  <c r="AI1333" i="6"/>
  <c r="AI1332" i="6"/>
  <c r="AI1331" i="6"/>
  <c r="AI1330" i="6"/>
  <c r="AI1329" i="6"/>
  <c r="AI1328" i="6"/>
  <c r="AI1327" i="6"/>
  <c r="AI3" i="6"/>
  <c r="AI4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I158" i="6"/>
  <c r="AI159" i="6"/>
  <c r="AI160" i="6"/>
  <c r="AI161" i="6"/>
  <c r="AI162" i="6"/>
  <c r="AI163" i="6"/>
  <c r="AI164" i="6"/>
  <c r="AI165" i="6"/>
  <c r="AI166" i="6"/>
  <c r="AI167" i="6"/>
  <c r="AI168" i="6"/>
  <c r="AI169" i="6"/>
  <c r="AI170" i="6"/>
  <c r="AI171" i="6"/>
  <c r="AI172" i="6"/>
  <c r="AI173" i="6"/>
  <c r="AI174" i="6"/>
  <c r="AI175" i="6"/>
  <c r="AI176" i="6"/>
  <c r="AI177" i="6"/>
  <c r="AI178" i="6"/>
  <c r="AI179" i="6"/>
  <c r="AI180" i="6"/>
  <c r="AI181" i="6"/>
  <c r="AI182" i="6"/>
  <c r="AI183" i="6"/>
  <c r="AI184" i="6"/>
  <c r="AI185" i="6"/>
  <c r="AI186" i="6"/>
  <c r="AI187" i="6"/>
  <c r="AI188" i="6"/>
  <c r="AI189" i="6"/>
  <c r="AI190" i="6"/>
  <c r="AI191" i="6"/>
  <c r="AI192" i="6"/>
  <c r="AI193" i="6"/>
  <c r="AI194" i="6"/>
  <c r="AI195" i="6"/>
  <c r="AI196" i="6"/>
  <c r="AI197" i="6"/>
  <c r="AI198" i="6"/>
  <c r="AI199" i="6"/>
  <c r="AI200" i="6"/>
  <c r="AI201" i="6"/>
  <c r="AI202" i="6"/>
  <c r="AI203" i="6"/>
  <c r="AI204" i="6"/>
  <c r="AI205" i="6"/>
  <c r="AI206" i="6"/>
  <c r="AI207" i="6"/>
  <c r="AI208" i="6"/>
  <c r="AI209" i="6"/>
  <c r="AI210" i="6"/>
  <c r="AI211" i="6"/>
  <c r="AI212" i="6"/>
  <c r="AI213" i="6"/>
  <c r="AI214" i="6"/>
  <c r="AI215" i="6"/>
  <c r="AI216" i="6"/>
  <c r="AI217" i="6"/>
  <c r="AI218" i="6"/>
  <c r="AI219" i="6"/>
  <c r="AI220" i="6"/>
  <c r="AI221" i="6"/>
  <c r="AI222" i="6"/>
  <c r="AI223" i="6"/>
  <c r="AI224" i="6"/>
  <c r="AI225" i="6"/>
  <c r="AI226" i="6"/>
  <c r="AI227" i="6"/>
  <c r="AI228" i="6"/>
  <c r="AI229" i="6"/>
  <c r="AI230" i="6"/>
  <c r="AI231" i="6"/>
  <c r="AI232" i="6"/>
  <c r="AI233" i="6"/>
  <c r="AI234" i="6"/>
  <c r="AI235" i="6"/>
  <c r="AI236" i="6"/>
  <c r="AI237" i="6"/>
  <c r="AI238" i="6"/>
  <c r="AI239" i="6"/>
  <c r="AI240" i="6"/>
  <c r="AI241" i="6"/>
  <c r="AI242" i="6"/>
  <c r="AI243" i="6"/>
  <c r="AI244" i="6"/>
  <c r="AI245" i="6"/>
  <c r="AI246" i="6"/>
  <c r="AI247" i="6"/>
  <c r="AI248" i="6"/>
  <c r="AI249" i="6"/>
  <c r="AI250" i="6"/>
  <c r="AI251" i="6"/>
  <c r="AI252" i="6"/>
  <c r="AI253" i="6"/>
  <c r="AI254" i="6"/>
  <c r="AI255" i="6"/>
  <c r="AI256" i="6"/>
  <c r="AI257" i="6"/>
  <c r="AI258" i="6"/>
  <c r="AI259" i="6"/>
  <c r="AI260" i="6"/>
  <c r="AI261" i="6"/>
  <c r="AI262" i="6"/>
  <c r="AI263" i="6"/>
  <c r="AI264" i="6"/>
  <c r="AI265" i="6"/>
  <c r="AI266" i="6"/>
  <c r="AI267" i="6"/>
  <c r="AI268" i="6"/>
  <c r="AI269" i="6"/>
  <c r="AI270" i="6"/>
  <c r="AI271" i="6"/>
  <c r="AI272" i="6"/>
  <c r="AI273" i="6"/>
  <c r="AI274" i="6"/>
  <c r="AI275" i="6"/>
  <c r="AI276" i="6"/>
  <c r="AI277" i="6"/>
  <c r="AI278" i="6"/>
  <c r="AI279" i="6"/>
  <c r="AI280" i="6"/>
  <c r="AI281" i="6"/>
  <c r="AI282" i="6"/>
  <c r="AI283" i="6"/>
  <c r="AI284" i="6"/>
  <c r="AI285" i="6"/>
  <c r="AI286" i="6"/>
  <c r="AI287" i="6"/>
  <c r="AI288" i="6"/>
  <c r="AI289" i="6"/>
  <c r="AI290" i="6"/>
  <c r="AI291" i="6"/>
  <c r="AI292" i="6"/>
  <c r="AI293" i="6"/>
  <c r="AI294" i="6"/>
  <c r="AI295" i="6"/>
  <c r="AI296" i="6"/>
  <c r="AI297" i="6"/>
  <c r="AI298" i="6"/>
  <c r="AI299" i="6"/>
  <c r="AI300" i="6"/>
  <c r="AI301" i="6"/>
  <c r="AI302" i="6"/>
  <c r="AI303" i="6"/>
  <c r="AI304" i="6"/>
  <c r="AI305" i="6"/>
  <c r="AI306" i="6"/>
  <c r="AI307" i="6"/>
  <c r="AI308" i="6"/>
  <c r="AI309" i="6"/>
  <c r="AI310" i="6"/>
  <c r="AI311" i="6"/>
  <c r="AI312" i="6"/>
  <c r="AI313" i="6"/>
  <c r="AI314" i="6"/>
  <c r="AI315" i="6"/>
  <c r="AI316" i="6"/>
  <c r="AI317" i="6"/>
  <c r="AI318" i="6"/>
  <c r="AI319" i="6"/>
  <c r="AI320" i="6"/>
  <c r="AI321" i="6"/>
  <c r="AI322" i="6"/>
  <c r="AI323" i="6"/>
  <c r="AI324" i="6"/>
  <c r="AI325" i="6"/>
  <c r="AI326" i="6"/>
  <c r="AI327" i="6"/>
  <c r="AI328" i="6"/>
  <c r="AI329" i="6"/>
  <c r="AI330" i="6"/>
  <c r="AI331" i="6"/>
  <c r="AI332" i="6"/>
  <c r="AI333" i="6"/>
  <c r="AI334" i="6"/>
  <c r="AI335" i="6"/>
  <c r="AI336" i="6"/>
  <c r="AI337" i="6"/>
  <c r="AI338" i="6"/>
  <c r="AI339" i="6"/>
  <c r="AI340" i="6"/>
  <c r="AI341" i="6"/>
  <c r="AI342" i="6"/>
  <c r="AI378" i="6"/>
  <c r="AI379" i="6"/>
  <c r="AI380" i="6"/>
  <c r="AI381" i="6"/>
  <c r="AI382" i="6"/>
  <c r="AI383" i="6"/>
  <c r="AI384" i="6"/>
  <c r="AI385" i="6"/>
  <c r="AI386" i="6"/>
  <c r="AI387" i="6"/>
  <c r="AI388" i="6"/>
  <c r="AI389" i="6"/>
  <c r="AI390" i="6"/>
  <c r="AI391" i="6"/>
  <c r="AI392" i="6"/>
  <c r="AI393" i="6"/>
  <c r="AI394" i="6"/>
  <c r="AI395" i="6"/>
  <c r="AI396" i="6"/>
  <c r="AI397" i="6"/>
  <c r="AI398" i="6"/>
  <c r="AI399" i="6"/>
  <c r="AI400" i="6"/>
  <c r="AI401" i="6"/>
  <c r="AI402" i="6"/>
  <c r="AI403" i="6"/>
  <c r="AI404" i="6"/>
  <c r="AI405" i="6"/>
  <c r="AI406" i="6"/>
  <c r="AI407" i="6"/>
  <c r="AI408" i="6"/>
  <c r="AI409" i="6"/>
  <c r="AI410" i="6"/>
  <c r="AI411" i="6"/>
  <c r="AI412" i="6"/>
  <c r="AI413" i="6"/>
  <c r="AI414" i="6"/>
  <c r="AI415" i="6"/>
  <c r="AI416" i="6"/>
  <c r="AI417" i="6"/>
  <c r="AI418" i="6"/>
  <c r="AI419" i="6"/>
  <c r="AI420" i="6"/>
  <c r="AI421" i="6"/>
  <c r="AI422" i="6"/>
  <c r="AI423" i="6"/>
  <c r="AI424" i="6"/>
  <c r="AI425" i="6"/>
  <c r="AI426" i="6"/>
  <c r="AI427" i="6"/>
  <c r="AI428" i="6"/>
  <c r="AI429" i="6"/>
  <c r="AI430" i="6"/>
  <c r="AI431" i="6"/>
  <c r="AI432" i="6"/>
  <c r="AI433" i="6"/>
  <c r="AI434" i="6"/>
  <c r="AI435" i="6"/>
  <c r="AI436" i="6"/>
  <c r="AI437" i="6"/>
  <c r="AI438" i="6"/>
  <c r="AI439" i="6"/>
  <c r="AI440" i="6"/>
  <c r="AI441" i="6"/>
  <c r="AI442" i="6"/>
  <c r="AI443" i="6"/>
  <c r="AI444" i="6"/>
  <c r="AI445" i="6"/>
  <c r="AI446" i="6"/>
  <c r="AI447" i="6"/>
  <c r="AI448" i="6"/>
  <c r="AI449" i="6"/>
  <c r="AI450" i="6"/>
  <c r="AI451" i="6"/>
  <c r="AI452" i="6"/>
  <c r="AI453" i="6"/>
  <c r="AI454" i="6"/>
  <c r="AI455" i="6"/>
  <c r="AI456" i="6"/>
  <c r="AI457" i="6"/>
  <c r="AI458" i="6"/>
  <c r="AI459" i="6"/>
  <c r="AI460" i="6"/>
  <c r="AI461" i="6"/>
  <c r="AI462" i="6"/>
  <c r="AI463" i="6"/>
  <c r="AI464" i="6"/>
  <c r="AI465" i="6"/>
  <c r="AI466" i="6"/>
  <c r="AI467" i="6"/>
  <c r="AI468" i="6"/>
  <c r="AI469" i="6"/>
  <c r="AI470" i="6"/>
  <c r="AI471" i="6"/>
  <c r="AI472" i="6"/>
  <c r="AI473" i="6"/>
  <c r="AI474" i="6"/>
  <c r="AI475" i="6"/>
  <c r="AI476" i="6"/>
  <c r="AI477" i="6"/>
  <c r="AI478" i="6"/>
  <c r="AI479" i="6"/>
  <c r="AI480" i="6"/>
  <c r="AI481" i="6"/>
  <c r="AI482" i="6"/>
  <c r="AI483" i="6"/>
  <c r="AI484" i="6"/>
  <c r="AI485" i="6"/>
  <c r="AI486" i="6"/>
  <c r="AI487" i="6"/>
  <c r="AI488" i="6"/>
  <c r="AI489" i="6"/>
  <c r="AI490" i="6"/>
  <c r="AI491" i="6"/>
  <c r="AI492" i="6"/>
  <c r="AI493" i="6"/>
  <c r="AI494" i="6"/>
  <c r="AI495" i="6"/>
  <c r="AI496" i="6"/>
  <c r="AI497" i="6"/>
  <c r="AI498" i="6"/>
  <c r="AI499" i="6"/>
  <c r="AI500" i="6"/>
  <c r="AI501" i="6"/>
  <c r="AI502" i="6"/>
  <c r="AI503" i="6"/>
  <c r="AI504" i="6"/>
  <c r="AI505" i="6"/>
  <c r="AI506" i="6"/>
  <c r="AI507" i="6"/>
  <c r="AI508" i="6"/>
  <c r="AI509" i="6"/>
  <c r="AI510" i="6"/>
  <c r="AI511" i="6"/>
  <c r="AI512" i="6"/>
  <c r="AI513" i="6"/>
  <c r="AI514" i="6"/>
  <c r="AI515" i="6"/>
  <c r="AI516" i="6"/>
  <c r="AI517" i="6"/>
  <c r="AI518" i="6"/>
  <c r="AI519" i="6"/>
  <c r="AI520" i="6"/>
  <c r="AI521" i="6"/>
  <c r="AI522" i="6"/>
  <c r="AI523" i="6"/>
  <c r="AI524" i="6"/>
  <c r="AI525" i="6"/>
  <c r="AI526" i="6"/>
  <c r="AI527" i="6"/>
  <c r="AI528" i="6"/>
  <c r="AI529" i="6"/>
  <c r="AI530" i="6"/>
  <c r="AI531" i="6"/>
  <c r="AI532" i="6"/>
  <c r="AI533" i="6"/>
  <c r="AI534" i="6"/>
  <c r="AI535" i="6"/>
  <c r="AI536" i="6"/>
  <c r="AI537" i="6"/>
  <c r="AI538" i="6"/>
  <c r="AI539" i="6"/>
  <c r="AI540" i="6"/>
  <c r="AI541" i="6"/>
  <c r="AI542" i="6"/>
  <c r="AI543" i="6"/>
  <c r="AI544" i="6"/>
  <c r="AI545" i="6"/>
  <c r="AI546" i="6"/>
  <c r="AI547" i="6"/>
  <c r="AI548" i="6"/>
  <c r="AI549" i="6"/>
  <c r="AI550" i="6"/>
  <c r="AI551" i="6"/>
  <c r="AI552" i="6"/>
  <c r="AI553" i="6"/>
  <c r="AI554" i="6"/>
  <c r="AI555" i="6"/>
  <c r="AI556" i="6"/>
  <c r="AI557" i="6"/>
  <c r="AI558" i="6"/>
  <c r="AI559" i="6"/>
  <c r="AI560" i="6"/>
  <c r="AI561" i="6"/>
  <c r="AI562" i="6"/>
  <c r="AI563" i="6"/>
  <c r="AI564" i="6"/>
  <c r="AI565" i="6"/>
  <c r="AI566" i="6"/>
  <c r="AI567" i="6"/>
  <c r="AI568" i="6"/>
  <c r="AI569" i="6"/>
  <c r="AI570" i="6"/>
  <c r="AI571" i="6"/>
  <c r="AI572" i="6"/>
  <c r="AI573" i="6"/>
  <c r="AI574" i="6"/>
  <c r="AI575" i="6"/>
  <c r="AI576" i="6"/>
  <c r="AI577" i="6"/>
  <c r="AI578" i="6"/>
  <c r="AI579" i="6"/>
  <c r="AI580" i="6"/>
  <c r="AI581" i="6"/>
  <c r="AI582" i="6"/>
  <c r="AI583" i="6"/>
  <c r="AI584" i="6"/>
  <c r="AI585" i="6"/>
  <c r="AI586" i="6"/>
  <c r="AI587" i="6"/>
  <c r="AI588" i="6"/>
  <c r="AI589" i="6"/>
  <c r="AI590" i="6"/>
  <c r="AI591" i="6"/>
  <c r="AI592" i="6"/>
  <c r="AI593" i="6"/>
  <c r="AI594" i="6"/>
  <c r="AI595" i="6"/>
  <c r="AI596" i="6"/>
  <c r="AI597" i="6"/>
  <c r="AI598" i="6"/>
  <c r="AI599" i="6"/>
  <c r="AI600" i="6"/>
  <c r="AI601" i="6"/>
  <c r="AI602" i="6"/>
  <c r="AI603" i="6"/>
  <c r="AI604" i="6"/>
  <c r="AI605" i="6"/>
  <c r="AI606" i="6"/>
  <c r="AI607" i="6"/>
  <c r="AI608" i="6"/>
  <c r="AI609" i="6"/>
  <c r="AI610" i="6"/>
  <c r="AI611" i="6"/>
  <c r="AI612" i="6"/>
  <c r="AI613" i="6"/>
  <c r="AI614" i="6"/>
  <c r="AI615" i="6"/>
  <c r="AI616" i="6"/>
  <c r="AI617" i="6"/>
  <c r="AI618" i="6"/>
  <c r="AI619" i="6"/>
  <c r="AI620" i="6"/>
  <c r="AI621" i="6"/>
  <c r="AI622" i="6"/>
  <c r="AI623" i="6"/>
  <c r="AI624" i="6"/>
  <c r="AI625" i="6"/>
  <c r="AI626" i="6"/>
  <c r="AI627" i="6"/>
  <c r="AI628" i="6"/>
  <c r="AI629" i="6"/>
  <c r="AI630" i="6"/>
  <c r="AI631" i="6"/>
  <c r="AI632" i="6"/>
  <c r="AI633" i="6"/>
  <c r="AI634" i="6"/>
  <c r="AI635" i="6"/>
  <c r="AI636" i="6"/>
  <c r="AI637" i="6"/>
  <c r="AI638" i="6"/>
  <c r="AI639" i="6"/>
  <c r="AI640" i="6"/>
  <c r="AI641" i="6"/>
  <c r="AI642" i="6"/>
  <c r="AI643" i="6"/>
  <c r="AI644" i="6"/>
  <c r="AI645" i="6"/>
  <c r="AI646" i="6"/>
  <c r="AI647" i="6"/>
  <c r="AI648" i="6"/>
  <c r="AI649" i="6"/>
  <c r="AI650" i="6"/>
  <c r="AI651" i="6"/>
  <c r="AI652" i="6"/>
  <c r="AI653" i="6"/>
  <c r="AI654" i="6"/>
  <c r="AI655" i="6"/>
  <c r="AI656" i="6"/>
  <c r="AI657" i="6"/>
  <c r="AI658" i="6"/>
  <c r="AI659" i="6"/>
  <c r="AI660" i="6"/>
  <c r="AI661" i="6"/>
  <c r="AI662" i="6"/>
  <c r="AI663" i="6"/>
  <c r="AI664" i="6"/>
  <c r="AI665" i="6"/>
  <c r="AI666" i="6"/>
  <c r="AI667" i="6"/>
  <c r="AI668" i="6"/>
  <c r="AI669" i="6"/>
  <c r="AI670" i="6"/>
  <c r="AI671" i="6"/>
  <c r="AI672" i="6"/>
  <c r="AI673" i="6"/>
  <c r="AI674" i="6"/>
  <c r="AI675" i="6"/>
  <c r="AI676" i="6"/>
  <c r="AI677" i="6"/>
  <c r="AI678" i="6"/>
  <c r="AI679" i="6"/>
  <c r="AI680" i="6"/>
  <c r="AI681" i="6"/>
  <c r="AI682" i="6"/>
  <c r="AI683" i="6"/>
  <c r="AI684" i="6"/>
  <c r="AI685" i="6"/>
  <c r="AI686" i="6"/>
  <c r="AI687" i="6"/>
  <c r="AI688" i="6"/>
  <c r="AI689" i="6"/>
  <c r="AI690" i="6"/>
  <c r="AI691" i="6"/>
  <c r="AI692" i="6"/>
  <c r="AI693" i="6"/>
  <c r="AI694" i="6"/>
  <c r="AI695" i="6"/>
  <c r="AI696" i="6"/>
  <c r="AI697" i="6"/>
  <c r="AI698" i="6"/>
  <c r="AI699" i="6"/>
  <c r="AI700" i="6"/>
  <c r="AI701" i="6"/>
  <c r="AI702" i="6"/>
  <c r="AI703" i="6"/>
  <c r="AI704" i="6"/>
  <c r="AI705" i="6"/>
  <c r="AI706" i="6"/>
  <c r="AI707" i="6"/>
  <c r="AI708" i="6"/>
  <c r="AI709" i="6"/>
  <c r="AI710" i="6"/>
  <c r="AI711" i="6"/>
  <c r="AI712" i="6"/>
  <c r="AI713" i="6"/>
  <c r="AI714" i="6"/>
  <c r="AI715" i="6"/>
  <c r="AI716" i="6"/>
  <c r="AI717" i="6"/>
  <c r="AI718" i="6"/>
  <c r="AI719" i="6"/>
  <c r="AI720" i="6"/>
  <c r="AI721" i="6"/>
  <c r="AI722" i="6"/>
  <c r="AI723" i="6"/>
  <c r="AI724" i="6"/>
  <c r="AI725" i="6"/>
  <c r="AI726" i="6"/>
  <c r="AI727" i="6"/>
  <c r="AI728" i="6"/>
  <c r="AI729" i="6"/>
  <c r="AI730" i="6"/>
  <c r="AI731" i="6"/>
  <c r="AI732" i="6"/>
  <c r="AI733" i="6"/>
  <c r="AI734" i="6"/>
  <c r="AI735" i="6"/>
  <c r="AI736" i="6"/>
  <c r="AI737" i="6"/>
  <c r="AI738" i="6"/>
  <c r="AI739" i="6"/>
  <c r="AI740" i="6"/>
  <c r="AI741" i="6"/>
  <c r="AI742" i="6"/>
  <c r="AI743" i="6"/>
  <c r="AI744" i="6"/>
  <c r="AI745" i="6"/>
  <c r="AI746" i="6"/>
  <c r="AI747" i="6"/>
  <c r="AI748" i="6"/>
  <c r="AI749" i="6"/>
  <c r="AI750" i="6"/>
  <c r="AI751" i="6"/>
  <c r="AI752" i="6"/>
  <c r="AI753" i="6"/>
  <c r="AI754" i="6"/>
  <c r="AI755" i="6"/>
  <c r="AI756" i="6"/>
  <c r="AI757" i="6"/>
  <c r="AI758" i="6"/>
  <c r="AI759" i="6"/>
  <c r="AI760" i="6"/>
  <c r="AI761" i="6"/>
  <c r="AI762" i="6"/>
  <c r="AI763" i="6"/>
  <c r="AI764" i="6"/>
  <c r="AI765" i="6"/>
  <c r="AI766" i="6"/>
  <c r="AI767" i="6"/>
  <c r="AI768" i="6"/>
  <c r="AI769" i="6"/>
  <c r="AI770" i="6"/>
  <c r="AI771" i="6"/>
  <c r="AI772" i="6"/>
  <c r="AI773" i="6"/>
  <c r="AI774" i="6"/>
  <c r="AI775" i="6"/>
  <c r="AI776" i="6"/>
  <c r="AI777" i="6"/>
  <c r="AI778" i="6"/>
  <c r="AI779" i="6"/>
  <c r="AI780" i="6"/>
  <c r="AI781" i="6"/>
  <c r="AI782" i="6"/>
  <c r="AI783" i="6"/>
  <c r="AI784" i="6"/>
  <c r="AI785" i="6"/>
  <c r="AI786" i="6"/>
  <c r="AI787" i="6"/>
  <c r="AI788" i="6"/>
  <c r="AI789" i="6"/>
  <c r="AI790" i="6"/>
  <c r="AI791" i="6"/>
  <c r="AI792" i="6"/>
  <c r="AI793" i="6"/>
  <c r="AI794" i="6"/>
  <c r="AI795" i="6"/>
  <c r="AI796" i="6"/>
  <c r="AI797" i="6"/>
  <c r="AI798" i="6"/>
  <c r="AI799" i="6"/>
  <c r="AI800" i="6"/>
  <c r="AI801" i="6"/>
  <c r="AI802" i="6"/>
  <c r="AI803" i="6"/>
  <c r="AI804" i="6"/>
  <c r="AI805" i="6"/>
  <c r="AI806" i="6"/>
  <c r="AI807" i="6"/>
  <c r="AI808" i="6"/>
  <c r="AI809" i="6"/>
  <c r="AI810" i="6"/>
  <c r="AI811" i="6"/>
  <c r="AI812" i="6"/>
  <c r="AI813" i="6"/>
  <c r="AI814" i="6"/>
  <c r="AI815" i="6"/>
  <c r="AI816" i="6"/>
  <c r="AI817" i="6"/>
  <c r="AI818" i="6"/>
  <c r="AI819" i="6"/>
  <c r="AI820" i="6"/>
  <c r="AI821" i="6"/>
  <c r="AI822" i="6"/>
  <c r="AI823" i="6"/>
  <c r="AI824" i="6"/>
  <c r="AI825" i="6"/>
  <c r="AI826" i="6"/>
  <c r="AI827" i="6"/>
  <c r="AI828" i="6"/>
  <c r="AI829" i="6"/>
  <c r="AI830" i="6"/>
  <c r="AI831" i="6"/>
  <c r="AI832" i="6"/>
  <c r="AI833" i="6"/>
  <c r="AI834" i="6"/>
  <c r="AI835" i="6"/>
  <c r="AI836" i="6"/>
  <c r="AI837" i="6"/>
  <c r="AI838" i="6"/>
  <c r="AI839" i="6"/>
  <c r="AI840" i="6"/>
  <c r="AI841" i="6"/>
  <c r="AI842" i="6"/>
  <c r="AI843" i="6"/>
  <c r="AI844" i="6"/>
  <c r="AI845" i="6"/>
  <c r="AI846" i="6"/>
  <c r="AI847" i="6"/>
  <c r="AI848" i="6"/>
  <c r="AI849" i="6"/>
  <c r="AI850" i="6"/>
  <c r="AI851" i="6"/>
  <c r="AI852" i="6"/>
  <c r="AI853" i="6"/>
  <c r="AI854" i="6"/>
  <c r="AI855" i="6"/>
  <c r="AI856" i="6"/>
  <c r="AI857" i="6"/>
  <c r="AI858" i="6"/>
  <c r="AI859" i="6"/>
  <c r="AI860" i="6"/>
  <c r="AI861" i="6"/>
  <c r="AI862" i="6"/>
  <c r="AI863" i="6"/>
  <c r="AI864" i="6"/>
  <c r="AI865" i="6"/>
  <c r="AI866" i="6"/>
  <c r="AI867" i="6"/>
  <c r="AI868" i="6"/>
  <c r="AI869" i="6"/>
  <c r="AI870" i="6"/>
  <c r="AI871" i="6"/>
  <c r="AI872" i="6"/>
  <c r="AI873" i="6"/>
  <c r="AI874" i="6"/>
  <c r="AI875" i="6"/>
  <c r="AI876" i="6"/>
  <c r="AI877" i="6"/>
  <c r="AI878" i="6"/>
  <c r="AI879" i="6"/>
  <c r="AI880" i="6"/>
  <c r="AI881" i="6"/>
  <c r="AI882" i="6"/>
  <c r="AI883" i="6"/>
  <c r="AI884" i="6"/>
  <c r="AI885" i="6"/>
  <c r="AI886" i="6"/>
  <c r="AI887" i="6"/>
  <c r="AI888" i="6"/>
  <c r="AI889" i="6"/>
  <c r="AI890" i="6"/>
  <c r="AI891" i="6"/>
  <c r="AI892" i="6"/>
  <c r="AI893" i="6"/>
  <c r="AI894" i="6"/>
  <c r="AI895" i="6"/>
  <c r="AI896" i="6"/>
  <c r="AI897" i="6"/>
  <c r="AI898" i="6"/>
  <c r="AI899" i="6"/>
  <c r="AI900" i="6"/>
  <c r="AI901" i="6"/>
  <c r="AI902" i="6"/>
  <c r="AI903" i="6"/>
  <c r="AI904" i="6"/>
  <c r="AI905" i="6"/>
  <c r="AI906" i="6"/>
  <c r="AI907" i="6"/>
  <c r="AI908" i="6"/>
  <c r="AI909" i="6"/>
  <c r="AI910" i="6"/>
  <c r="AI911" i="6"/>
  <c r="AI912" i="6"/>
  <c r="AI913" i="6"/>
  <c r="AI914" i="6"/>
  <c r="AI915" i="6"/>
  <c r="AI916" i="6"/>
  <c r="AI917" i="6"/>
  <c r="AI918" i="6"/>
  <c r="AI919" i="6"/>
  <c r="AI920" i="6"/>
  <c r="AI921" i="6"/>
  <c r="AI922" i="6"/>
  <c r="AI923" i="6"/>
  <c r="AI924" i="6"/>
  <c r="AI925" i="6"/>
  <c r="AI926" i="6"/>
  <c r="AI927" i="6"/>
  <c r="AI928" i="6"/>
  <c r="AI929" i="6"/>
  <c r="AI930" i="6"/>
  <c r="AI931" i="6"/>
  <c r="AI932" i="6"/>
  <c r="AI933" i="6"/>
  <c r="AI934" i="6"/>
  <c r="AI935" i="6"/>
  <c r="AI936" i="6"/>
  <c r="AI937" i="6"/>
  <c r="AI938" i="6"/>
  <c r="AI939" i="6"/>
  <c r="AI940" i="6"/>
  <c r="AI941" i="6"/>
  <c r="AI942" i="6"/>
  <c r="AI943" i="6"/>
  <c r="AI944" i="6"/>
  <c r="AI945" i="6"/>
  <c r="AI946" i="6"/>
  <c r="AI947" i="6"/>
  <c r="AI948" i="6"/>
  <c r="AI949" i="6"/>
  <c r="AI950" i="6"/>
  <c r="AI951" i="6"/>
  <c r="AI952" i="6"/>
  <c r="AI953" i="6"/>
  <c r="AI954" i="6"/>
  <c r="AI955" i="6"/>
  <c r="AI956" i="6"/>
  <c r="AI957" i="6"/>
  <c r="AI958" i="6"/>
  <c r="AI959" i="6"/>
  <c r="AI960" i="6"/>
  <c r="AI961" i="6"/>
  <c r="AI962" i="6"/>
  <c r="AI963" i="6"/>
  <c r="AI964" i="6"/>
  <c r="AI965" i="6"/>
  <c r="AI966" i="6"/>
  <c r="AI967" i="6"/>
  <c r="AI968" i="6"/>
  <c r="AI969" i="6"/>
  <c r="AI970" i="6"/>
  <c r="AI971" i="6"/>
  <c r="AI972" i="6"/>
  <c r="AI973" i="6"/>
  <c r="AI974" i="6"/>
  <c r="AI975" i="6"/>
  <c r="AI976" i="6"/>
  <c r="AI977" i="6"/>
  <c r="AI978" i="6"/>
  <c r="AI979" i="6"/>
  <c r="AI980" i="6"/>
  <c r="AI981" i="6"/>
  <c r="AI982" i="6"/>
  <c r="AI983" i="6"/>
  <c r="AI984" i="6"/>
  <c r="AI985" i="6"/>
  <c r="AI986" i="6"/>
  <c r="AI987" i="6"/>
  <c r="AI988" i="6"/>
  <c r="AI989" i="6"/>
  <c r="AI990" i="6"/>
  <c r="AI991" i="6"/>
  <c r="AI992" i="6"/>
  <c r="AI993" i="6"/>
  <c r="AI994" i="6"/>
  <c r="AI995" i="6"/>
  <c r="AI996" i="6"/>
  <c r="AI997" i="6"/>
  <c r="AI998" i="6"/>
  <c r="AI999" i="6"/>
  <c r="AI1000" i="6"/>
  <c r="AI1001" i="6"/>
  <c r="AI1002" i="6"/>
  <c r="AI1003" i="6"/>
  <c r="AI1004" i="6"/>
  <c r="AI1005" i="6"/>
  <c r="AI1006" i="6"/>
  <c r="AI1007" i="6"/>
  <c r="AI1008" i="6"/>
  <c r="AI1009" i="6"/>
  <c r="AI1010" i="6"/>
  <c r="AI1011" i="6"/>
  <c r="AI1012" i="6"/>
  <c r="AI1013" i="6"/>
  <c r="AI1014" i="6"/>
  <c r="AI1015" i="6"/>
  <c r="AI1016" i="6"/>
  <c r="AI1017" i="6"/>
  <c r="AI1018" i="6"/>
  <c r="AI1019" i="6"/>
  <c r="AI1020" i="6"/>
  <c r="AI1021" i="6"/>
  <c r="AI1022" i="6"/>
  <c r="AI1023" i="6"/>
  <c r="AI1024" i="6"/>
  <c r="AI1025" i="6"/>
  <c r="AI1026" i="6"/>
  <c r="AI1027" i="6"/>
  <c r="AI1028" i="6"/>
  <c r="AI1029" i="6"/>
  <c r="AI1030" i="6"/>
  <c r="AI1031" i="6"/>
  <c r="AI1032" i="6"/>
  <c r="AI1033" i="6"/>
  <c r="AI1034" i="6"/>
  <c r="AI1035" i="6"/>
  <c r="AI1036" i="6"/>
  <c r="AI1037" i="6"/>
  <c r="AI1038" i="6"/>
  <c r="AI1039" i="6"/>
  <c r="AI1040" i="6"/>
  <c r="AI1041" i="6"/>
  <c r="AI1042" i="6"/>
  <c r="AI1043" i="6"/>
  <c r="AI1044" i="6"/>
  <c r="AI1045" i="6"/>
  <c r="AI1046" i="6"/>
  <c r="AI1047" i="6"/>
  <c r="AI1048" i="6"/>
  <c r="AI1049" i="6"/>
  <c r="AI1050" i="6"/>
  <c r="AI1051" i="6"/>
  <c r="AI1052" i="6"/>
  <c r="AI1053" i="6"/>
  <c r="AI1054" i="6"/>
  <c r="AI1055" i="6"/>
  <c r="AI1079" i="6"/>
  <c r="AI1080" i="6"/>
  <c r="AI1081" i="6"/>
  <c r="AI1082" i="6"/>
  <c r="AI1083" i="6"/>
  <c r="AI1084" i="6"/>
  <c r="AI1085" i="6"/>
  <c r="AI1086" i="6"/>
  <c r="AI1087" i="6"/>
  <c r="AI1088" i="6"/>
  <c r="AI1089" i="6"/>
  <c r="AI1090" i="6"/>
  <c r="AI1091" i="6"/>
  <c r="AI1092" i="6"/>
  <c r="AI1093" i="6"/>
  <c r="AI1094" i="6"/>
  <c r="AI1095" i="6"/>
  <c r="AI1096" i="6"/>
  <c r="AI1097" i="6"/>
  <c r="AI1098" i="6"/>
  <c r="AI1099" i="6"/>
  <c r="AI1100" i="6"/>
  <c r="AI1101" i="6"/>
  <c r="AI1102" i="6"/>
  <c r="AI1103" i="6"/>
  <c r="AI1104" i="6"/>
  <c r="AI1105" i="6"/>
  <c r="AI1106" i="6"/>
  <c r="AI1107" i="6"/>
  <c r="AI1108" i="6"/>
  <c r="AI1109" i="6"/>
  <c r="AI1110" i="6"/>
  <c r="AI1111" i="6"/>
  <c r="AI1112" i="6"/>
  <c r="AI1113" i="6"/>
  <c r="AI1114" i="6"/>
  <c r="AI1115" i="6"/>
  <c r="AI1116" i="6"/>
  <c r="AI1117" i="6"/>
  <c r="AI1118" i="6"/>
  <c r="AI1119" i="6"/>
  <c r="AI1120" i="6"/>
  <c r="AI1121" i="6"/>
  <c r="AI1122" i="6"/>
  <c r="AI1123" i="6"/>
  <c r="AI1124" i="6"/>
  <c r="AI1125" i="6"/>
  <c r="AI1126" i="6"/>
  <c r="AI1127" i="6"/>
  <c r="AI1128" i="6"/>
  <c r="AI1129" i="6"/>
  <c r="AI1130" i="6"/>
  <c r="AI1131" i="6"/>
  <c r="AI1132" i="6"/>
  <c r="AI1133" i="6"/>
  <c r="AI1134" i="6"/>
  <c r="AI1135" i="6"/>
  <c r="AI1136" i="6"/>
  <c r="AI1137" i="6"/>
  <c r="AI1138" i="6"/>
  <c r="AI1139" i="6"/>
  <c r="AI1140" i="6"/>
  <c r="AI1141" i="6"/>
  <c r="AI1142" i="6"/>
  <c r="AI1143" i="6"/>
  <c r="AI1144" i="6"/>
  <c r="AI1145" i="6"/>
  <c r="AI1146" i="6"/>
  <c r="AI1147" i="6"/>
  <c r="AI1148" i="6"/>
  <c r="AI1149" i="6"/>
  <c r="AI1150" i="6"/>
  <c r="AI1151" i="6"/>
  <c r="AI1152" i="6"/>
  <c r="AI1153" i="6"/>
  <c r="AI1154" i="6"/>
  <c r="AI1155" i="6"/>
  <c r="AI1156" i="6"/>
  <c r="AI1157" i="6"/>
  <c r="AI1158" i="6"/>
  <c r="AI1159" i="6"/>
  <c r="AI1160" i="6"/>
  <c r="AI1206" i="6"/>
  <c r="AI1441" i="6"/>
  <c r="AI1448" i="6"/>
  <c r="AI1447" i="6"/>
  <c r="AI1446" i="6"/>
  <c r="AI1449" i="6"/>
  <c r="AI1457" i="6"/>
  <c r="AI1470" i="6"/>
  <c r="AI1469" i="6"/>
  <c r="AI1468" i="6"/>
  <c r="AI1467" i="6"/>
  <c r="AI1466" i="6"/>
  <c r="AI1465" i="6"/>
  <c r="AI1472" i="6"/>
  <c r="AI1475" i="6"/>
  <c r="AI1478" i="6"/>
  <c r="AI1480" i="6"/>
  <c r="AI1485" i="6"/>
  <c r="AI1484" i="6"/>
  <c r="AI1483" i="6"/>
  <c r="AI1482" i="6"/>
  <c r="AI1486" i="6"/>
  <c r="AI1488" i="6"/>
  <c r="AI1491" i="6"/>
  <c r="AI1494" i="6"/>
  <c r="AI1496" i="6"/>
  <c r="AI1495" i="6"/>
  <c r="AI1499" i="6"/>
  <c r="AI1498" i="6"/>
  <c r="AI1503" i="6"/>
  <c r="AI1505" i="6"/>
  <c r="D1683" i="6"/>
  <c r="D1684" i="6"/>
  <c r="D1681" i="6"/>
  <c r="D1680" i="6"/>
  <c r="C1684" i="6"/>
  <c r="C1683" i="6"/>
  <c r="C1681" i="6" l="1"/>
  <c r="C1680" i="6"/>
  <c r="N490" i="6" l="1"/>
  <c r="N489" i="6"/>
  <c r="N488" i="6"/>
  <c r="N487" i="6"/>
  <c r="N486" i="6"/>
  <c r="N485" i="6"/>
  <c r="N484" i="6"/>
  <c r="N483" i="6"/>
  <c r="N475" i="6"/>
  <c r="N474" i="6"/>
  <c r="N473" i="6"/>
  <c r="N472" i="6"/>
  <c r="N471" i="6"/>
  <c r="N470" i="6"/>
  <c r="N469" i="6"/>
  <c r="N468" i="6"/>
  <c r="N460" i="6"/>
  <c r="N459" i="6"/>
  <c r="N458" i="6"/>
  <c r="N457" i="6"/>
  <c r="N456" i="6"/>
  <c r="N455" i="6"/>
  <c r="N454" i="6"/>
  <c r="N453" i="6"/>
  <c r="N445" i="6"/>
  <c r="N444" i="6"/>
  <c r="N443" i="6"/>
  <c r="N442" i="6"/>
  <c r="N441" i="6"/>
  <c r="N440" i="6"/>
  <c r="N439" i="6"/>
  <c r="N438" i="6"/>
  <c r="N430" i="6"/>
  <c r="N429" i="6"/>
  <c r="N428" i="6"/>
  <c r="N427" i="6"/>
  <c r="N426" i="6"/>
  <c r="N425" i="6"/>
  <c r="N424" i="6"/>
  <c r="N423" i="6"/>
  <c r="N415" i="6"/>
  <c r="N414" i="6"/>
  <c r="N413" i="6"/>
  <c r="N412" i="6"/>
  <c r="N411" i="6"/>
  <c r="N410" i="6"/>
  <c r="N409" i="6"/>
  <c r="N408" i="6"/>
  <c r="N400" i="6"/>
  <c r="N399" i="6"/>
  <c r="N398" i="6"/>
  <c r="N397" i="6"/>
  <c r="N396" i="6"/>
  <c r="N395" i="6"/>
  <c r="N394" i="6"/>
  <c r="N393" i="6"/>
  <c r="N379" i="6"/>
  <c r="N380" i="6"/>
  <c r="N381" i="6"/>
  <c r="N382" i="6"/>
  <c r="N383" i="6"/>
  <c r="N384" i="6"/>
  <c r="N385" i="6"/>
  <c r="N378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482" i="6"/>
  <c r="B1481" i="6" l="1"/>
  <c r="B1483" i="6" s="1"/>
  <c r="B1499" i="6" l="1"/>
  <c r="B1498" i="6"/>
  <c r="B1497" i="6"/>
  <c r="B1496" i="6"/>
  <c r="B1494" i="6"/>
  <c r="B1493" i="6"/>
  <c r="B1492" i="6"/>
  <c r="B1491" i="6"/>
  <c r="B1490" i="6"/>
  <c r="B1489" i="6"/>
  <c r="B1495" i="6"/>
  <c r="B1482" i="6"/>
  <c r="B1505" i="6"/>
  <c r="B1504" i="6"/>
  <c r="B1503" i="6"/>
  <c r="B1502" i="6"/>
  <c r="B1501" i="6"/>
  <c r="B1500" i="6"/>
  <c r="B1488" i="6"/>
  <c r="B1487" i="6"/>
  <c r="B1486" i="6"/>
  <c r="B1485" i="6"/>
  <c r="B1484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65" i="6"/>
  <c r="E1460" i="6" l="1"/>
  <c r="E1461" i="6"/>
  <c r="E1462" i="6"/>
  <c r="E1463" i="6"/>
  <c r="E1459" i="6"/>
  <c r="B1460" i="6"/>
  <c r="B1461" i="6"/>
  <c r="B1462" i="6"/>
  <c r="B1463" i="6"/>
  <c r="B1459" i="6"/>
  <c r="D1457" i="6" l="1"/>
  <c r="B1457" i="6"/>
  <c r="B1452" i="6" l="1"/>
  <c r="B1453" i="6"/>
  <c r="B1454" i="6"/>
  <c r="B1455" i="6"/>
  <c r="B1451" i="6"/>
  <c r="D1440" i="6" l="1"/>
  <c r="D1441" i="6"/>
  <c r="B1441" i="6"/>
  <c r="B1440" i="6"/>
  <c r="B1445" i="6" l="1"/>
  <c r="B1444" i="6" l="1"/>
  <c r="B1446" i="6"/>
  <c r="B1447" i="6"/>
  <c r="B1448" i="6"/>
  <c r="B1449" i="6"/>
  <c r="B1443" i="6"/>
  <c r="D1079" i="6" l="1"/>
  <c r="B1079" i="6"/>
  <c r="B1066" i="6"/>
  <c r="D1066" i="6"/>
  <c r="D1065" i="6"/>
  <c r="D1064" i="6"/>
  <c r="B1065" i="6"/>
  <c r="B1064" i="6"/>
  <c r="O1197" i="6" l="1"/>
  <c r="O1178" i="6"/>
  <c r="K1178" i="6"/>
  <c r="K1197" i="6"/>
  <c r="F1078" i="6" l="1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51" i="6"/>
  <c r="K1078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51" i="6"/>
  <c r="O1078" i="6"/>
  <c r="O1052" i="6"/>
  <c r="O1053" i="6"/>
  <c r="O1054" i="6"/>
  <c r="O1055" i="6"/>
  <c r="O1056" i="6"/>
  <c r="O1057" i="6"/>
  <c r="O1058" i="6"/>
  <c r="O1059" i="6"/>
  <c r="O1060" i="6"/>
  <c r="O1061" i="6"/>
  <c r="O1062" i="6"/>
  <c r="O1063" i="6"/>
  <c r="O1051" i="6"/>
  <c r="D283" i="6" l="1"/>
  <c r="D308" i="6"/>
  <c r="D341" i="6"/>
  <c r="D1206" i="6" l="1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082" i="6" l="1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081" i="6"/>
  <c r="D1078" i="6" l="1"/>
  <c r="D1077" i="6"/>
  <c r="D1076" i="6"/>
  <c r="D1075" i="6"/>
  <c r="D1074" i="6"/>
  <c r="D1073" i="6"/>
  <c r="D1072" i="6"/>
  <c r="D1071" i="6"/>
  <c r="D1070" i="6"/>
  <c r="D1069" i="6"/>
  <c r="D1068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51" i="6"/>
  <c r="D377" i="6" l="1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262" i="6"/>
  <c r="D241" i="6"/>
  <c r="D236" i="6"/>
  <c r="D232" i="6"/>
  <c r="D233" i="6"/>
  <c r="D234" i="6"/>
  <c r="D23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tc={A6765C3E-0A79-43CA-BA2D-C4E7D27AA7FF}</author>
    <author>tc={59832307-5396-4075-B4E0-7A6D0CE6F0C9}</author>
    <author>tc={AE39DB48-BEF1-4305-A78A-65EE2F518CF5}</author>
  </authors>
  <commentList>
    <comment ref="X1" authorId="0" shapeId="0" xr:uid="{A6765C3E-0A79-43CA-BA2D-C4E7D27AA7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I’ve renamed this column.  We look to use the soil water data from modelling paper of McMurtrie and Landsberg instead
</t>
      </text>
    </comment>
    <comment ref="AD1" authorId="1" shapeId="0" xr:uid="{59832307-5396-4075-B4E0-7A6D0CE6F0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Diameter of tree of mean BA (cm)</t>
      </text>
    </comment>
    <comment ref="AI1" authorId="2" shapeId="0" xr:uid="{AE39DB48-BEF1-4305-A78A-65EE2F518CF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Standing MAI (not including thinnings and mortality)</t>
      </text>
    </comment>
  </commentList>
</comments>
</file>

<file path=xl/sharedStrings.xml><?xml version="1.0" encoding="utf-8"?>
<sst xmlns="http://schemas.openxmlformats.org/spreadsheetml/2006/main" count="3031" uniqueCount="130">
  <si>
    <t>SimulationName</t>
  </si>
  <si>
    <t>Clock.Today</t>
  </si>
  <si>
    <t>Litterfall</t>
  </si>
  <si>
    <t>SLA</t>
  </si>
  <si>
    <t>BFGC</t>
  </si>
  <si>
    <t>BFGF</t>
  </si>
  <si>
    <t>BFGI</t>
  </si>
  <si>
    <t>Pinus.Leaf.LAI</t>
  </si>
  <si>
    <t>Pinus.RootShootRatio</t>
  </si>
  <si>
    <t>BFGIL</t>
  </si>
  <si>
    <t>Source</t>
  </si>
  <si>
    <t>Huth</t>
  </si>
  <si>
    <t>Waterworth et al Table3</t>
  </si>
  <si>
    <t>Waterworth et al Fig6</t>
  </si>
  <si>
    <t>Kirschbaum 1999 Fig2a</t>
  </si>
  <si>
    <t>Myers and Talsma 1992 Fig6</t>
  </si>
  <si>
    <t>BFGIFP</t>
  </si>
  <si>
    <t>BFGILP</t>
  </si>
  <si>
    <t>BFGUT</t>
  </si>
  <si>
    <t>KerynPaul</t>
  </si>
  <si>
    <t>Beets and Brownlie 1987 Table3, Beets and Pollock 1987a 1987b</t>
  </si>
  <si>
    <t>Survival(%)</t>
  </si>
  <si>
    <t>Age(y)</t>
  </si>
  <si>
    <t>SoilWater2m (mm)</t>
  </si>
  <si>
    <t>KerynPaul Dataset</t>
  </si>
  <si>
    <t>LAIMax</t>
  </si>
  <si>
    <t>SETRESC</t>
  </si>
  <si>
    <t>SETRESI</t>
  </si>
  <si>
    <t>SETRESF</t>
  </si>
  <si>
    <t>SETRESFI</t>
  </si>
  <si>
    <t>Albaugh et al 1998, 2004</t>
  </si>
  <si>
    <t>Dieters and Brawner 2007</t>
  </si>
  <si>
    <t>Wodonga</t>
  </si>
  <si>
    <t>Branches+Cones</t>
  </si>
  <si>
    <t>Litter.Wt</t>
  </si>
  <si>
    <t>0-10cmWt</t>
  </si>
  <si>
    <t>10-20cmWt</t>
  </si>
  <si>
    <t>20-30cmWt</t>
  </si>
  <si>
    <t>0-10cmNg/m2</t>
  </si>
  <si>
    <t>10-20cmNg/m2</t>
  </si>
  <si>
    <t>20-30cmNg/m2</t>
  </si>
  <si>
    <t>0-10cmOCg/g</t>
  </si>
  <si>
    <t>10-20cmOCg/g</t>
  </si>
  <si>
    <t>20-30cmOCg/g</t>
  </si>
  <si>
    <t>0-10cmNg/g</t>
  </si>
  <si>
    <t>10-20cmNg/g</t>
  </si>
  <si>
    <t>20-30cmNg/g</t>
  </si>
  <si>
    <t>0-10cmC:N</t>
  </si>
  <si>
    <t>10-20cmC:N</t>
  </si>
  <si>
    <t>20-30cmC:N</t>
  </si>
  <si>
    <t>TowerHillC</t>
  </si>
  <si>
    <t>Pinus.Stem.Ht</t>
  </si>
  <si>
    <t>Pinus.Stem.DBH</t>
  </si>
  <si>
    <t>Pinus.Stem.BA</t>
  </si>
  <si>
    <t>Pinus.Stem.Vol</t>
  </si>
  <si>
    <t>Pinus.Stem.WoodDensity</t>
  </si>
  <si>
    <t>Pinus.AboveGround.Wt</t>
  </si>
  <si>
    <t>Pinus.Leaf.Wt</t>
  </si>
  <si>
    <t>Pinus.Leaf.Dead.Wt</t>
  </si>
  <si>
    <t>Pinus.Branch.Wt</t>
  </si>
  <si>
    <t>Pinus.Stem.BarkWt</t>
  </si>
  <si>
    <t>Pinus.Stem.WoodWt</t>
  </si>
  <si>
    <t>Pinus.Stem.Wt</t>
  </si>
  <si>
    <t>WoodTotalWt</t>
  </si>
  <si>
    <t>Pinus.CoarseRoot.Live.Wt</t>
  </si>
  <si>
    <t>Pinus.FineRoot.Live.Wt</t>
  </si>
  <si>
    <t>Pinus.BelowGround.Wt</t>
  </si>
  <si>
    <t>Pinus.Stem.Volub</t>
  </si>
  <si>
    <t>Pinus.AboveGround.N</t>
  </si>
  <si>
    <t>PurukiTahi</t>
  </si>
  <si>
    <t>PurukiInviolate</t>
  </si>
  <si>
    <t>TowerHillN</t>
  </si>
  <si>
    <t>IMPACLF0H0</t>
  </si>
  <si>
    <t>IMPACLF0H1</t>
  </si>
  <si>
    <t>IMPACLF1H0</t>
  </si>
  <si>
    <t>IMPACLF1H1</t>
  </si>
  <si>
    <t>IMPACSF0H0</t>
  </si>
  <si>
    <t>IMPACSF0H1</t>
  </si>
  <si>
    <t>IMPACSF1H0</t>
  </si>
  <si>
    <t>IMPACSF1H1</t>
  </si>
  <si>
    <t>Pinus.Stem.BarkThickness</t>
  </si>
  <si>
    <t>Pinus.Stem.MAI</t>
  </si>
  <si>
    <t>TotalFoliarN</t>
  </si>
  <si>
    <t>Pinus.Leaf.Live.NConc</t>
  </si>
  <si>
    <t>SWmmTotal</t>
  </si>
  <si>
    <t>Pinus.Branch.Live.NConc</t>
  </si>
  <si>
    <t>Pinus.Stem.Live.NConc</t>
  </si>
  <si>
    <t>Pinus.CoarseRoot.Live.NConc</t>
  </si>
  <si>
    <t>Pinus.FineRoot.Live.NConc</t>
  </si>
  <si>
    <t>Beets and Brownlie 1987 Table3, Beets and Pollock 1987a 1987b, Beets et al 2011</t>
  </si>
  <si>
    <t>Pinus.Cone.Wt</t>
  </si>
  <si>
    <t>Pinus.Cone.Live.NConc</t>
  </si>
  <si>
    <t>FSA703A</t>
  </si>
  <si>
    <t>FSA704</t>
  </si>
  <si>
    <t>stemspha</t>
  </si>
  <si>
    <t>HQP321R1</t>
  </si>
  <si>
    <t>HQP321R2</t>
  </si>
  <si>
    <t>HQP248</t>
  </si>
  <si>
    <t>HQP251</t>
  </si>
  <si>
    <t>HQP350</t>
  </si>
  <si>
    <t>FPQBeerwah_PEE</t>
  </si>
  <si>
    <t>FPQBeerwah_PCH</t>
  </si>
  <si>
    <t>FPQBeerwah_F1</t>
  </si>
  <si>
    <t>FPQBeerwah_F2</t>
  </si>
  <si>
    <t>FPQToolara_PEE</t>
  </si>
  <si>
    <t>FPQToolara_PCH</t>
  </si>
  <si>
    <t>FPQToolara_F1</t>
  </si>
  <si>
    <t>FPQToolara_F2</t>
  </si>
  <si>
    <t>FPQTuan_PEE</t>
  </si>
  <si>
    <t>FPQTuan_PCH</t>
  </si>
  <si>
    <t>FPQTuan_F1</t>
  </si>
  <si>
    <t>FPQTuan_F2</t>
  </si>
  <si>
    <t>MAIub</t>
  </si>
  <si>
    <t>SWmmTotalOLD</t>
  </si>
  <si>
    <t>SilverCrPradII</t>
  </si>
  <si>
    <t>SilverCrPradV</t>
  </si>
  <si>
    <t>Baker and Attiwill (1985), Baker (1983)</t>
  </si>
  <si>
    <t>Nielsen, Lynch, Ringrose</t>
  </si>
  <si>
    <t>Jokela, etc</t>
  </si>
  <si>
    <t>Last, Senior, Simpson</t>
  </si>
  <si>
    <t>O'Hehir</t>
  </si>
  <si>
    <t>StemWoodN</t>
  </si>
  <si>
    <t>StemBarkN</t>
  </si>
  <si>
    <t>Pinus.AboveGround.N-OLD</t>
  </si>
  <si>
    <t>Pinus.Stem.N</t>
  </si>
  <si>
    <t>Pinus.Leaf.Live.N</t>
  </si>
  <si>
    <t>Pinus.Branch.Live.N</t>
  </si>
  <si>
    <t>Pinus.Branch.Dead.N</t>
  </si>
  <si>
    <r>
      <t>DBH</t>
    </r>
    <r>
      <rPr>
        <vertAlign val="subscript"/>
        <sz val="8"/>
        <rFont val="Arial"/>
        <family val="2"/>
      </rPr>
      <t>avBA</t>
    </r>
  </si>
  <si>
    <t>FoliarNConcUYFL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</si>
</sst>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"/>
    <numFmt numFmtId="165" formatCode="[$-C09]dd\-mmm\-yy;@"/>
    <numFmt numFmtId="166" formatCode="0.000"/>
    <numFmt numFmtId="167" formatCode="0.0000"/>
    <numFmt numFmtId="168" formatCode="_-* #,##0_-;\-* #,##0_-;_-* &quot;-&quot;??_-;_-@_-"/>
    <numFmt numFmtId="169" formatCode="0.00000"/>
  </numFmts>
  <fonts count="21">
    <font>
      <sz val="10"/>
      <name val="Arial"/>
    </font>
    <font>
      <sz val="9"/>
      <name val="Geneva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sz val="11"/>
      <color rgb="FF00B050"/>
      <name val="Calibri"/>
      <family val="2"/>
      <scheme val="minor"/>
    </font>
    <font>
      <sz val="11"/>
      <color rgb="FF000000"/>
      <name val="Calibri"/>
      <family val="2"/>
    </font>
    <font>
      <b/>
      <sz val="8"/>
      <name val="Times New Roman"/>
      <family val="1"/>
    </font>
    <font>
      <sz val="8"/>
      <name val="Times New Roman"/>
      <family val="1"/>
    </font>
    <font>
      <sz val="10"/>
      <color rgb="FF000000"/>
      <name val="Monospace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vertAlign val="subscript"/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0" fontId="3" fillId="0" borderId="0"/>
    <xf numFmtId="43" fontId="17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/>
    <xf numFmtId="2" fontId="0" fillId="0" borderId="0" xfId="0" applyNumberFormat="1"/>
    <xf numFmtId="0" fontId="4" fillId="0" borderId="0" xfId="0" applyFont="1"/>
    <xf numFmtId="0" fontId="5" fillId="0" borderId="0" xfId="0" applyFont="1"/>
    <xf numFmtId="14" fontId="4" fillId="0" borderId="0" xfId="0" applyNumberFormat="1" applyFont="1"/>
    <xf numFmtId="2" fontId="4" fillId="0" borderId="0" xfId="0" applyNumberFormat="1" applyFont="1"/>
    <xf numFmtId="166" fontId="4" fillId="0" borderId="0" xfId="0" applyNumberFormat="1" applyFont="1"/>
    <xf numFmtId="164" fontId="4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7" fillId="0" borderId="0" xfId="0" applyFont="1"/>
    <xf numFmtId="0" fontId="6" fillId="0" borderId="0" xfId="0" applyFont="1" applyAlignment="1">
      <alignment horizontal="left" vertical="center" wrapText="1"/>
    </xf>
    <xf numFmtId="2" fontId="6" fillId="0" borderId="0" xfId="0" applyNumberFormat="1" applyFont="1" applyAlignment="1">
      <alignment horizontal="right" vertical="center" wrapText="1"/>
    </xf>
    <xf numFmtId="2" fontId="4" fillId="0" borderId="0" xfId="0" applyNumberFormat="1" applyFont="1" applyAlignment="1">
      <alignment horizontal="right"/>
    </xf>
    <xf numFmtId="165" fontId="4" fillId="0" borderId="0" xfId="0" applyNumberFormat="1" applyFont="1"/>
    <xf numFmtId="2" fontId="8" fillId="0" borderId="0" xfId="2" applyNumberFormat="1" applyFont="1"/>
    <xf numFmtId="14" fontId="0" fillId="0" borderId="0" xfId="0" applyNumberFormat="1"/>
    <xf numFmtId="164" fontId="0" fillId="0" borderId="0" xfId="0" applyNumberFormat="1"/>
    <xf numFmtId="14" fontId="6" fillId="0" borderId="0" xfId="0" applyNumberFormat="1" applyFont="1" applyAlignment="1">
      <alignment horizontal="right" vertical="center" wrapText="1"/>
    </xf>
    <xf numFmtId="1" fontId="3" fillId="0" borderId="0" xfId="0" applyNumberFormat="1" applyFont="1"/>
    <xf numFmtId="1" fontId="4" fillId="0" borderId="0" xfId="0" applyNumberFormat="1" applyFont="1"/>
    <xf numFmtId="1" fontId="6" fillId="0" borderId="0" xfId="0" applyNumberFormat="1" applyFont="1" applyAlignment="1">
      <alignment horizontal="right" vertical="center" wrapText="1"/>
    </xf>
    <xf numFmtId="1" fontId="4" fillId="0" borderId="0" xfId="0" applyNumberFormat="1" applyFont="1" applyAlignment="1">
      <alignment horizontal="right"/>
    </xf>
    <xf numFmtId="164" fontId="3" fillId="0" borderId="0" xfId="0" applyNumberFormat="1" applyFont="1"/>
    <xf numFmtId="164" fontId="4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vertical="center" wrapText="1"/>
    </xf>
    <xf numFmtId="0" fontId="0" fillId="2" borderId="0" xfId="0" applyFill="1"/>
    <xf numFmtId="0" fontId="0" fillId="3" borderId="0" xfId="0" applyFill="1"/>
    <xf numFmtId="0" fontId="10" fillId="0" borderId="0" xfId="0" applyFont="1"/>
    <xf numFmtId="0" fontId="10" fillId="0" borderId="0" xfId="0" applyFont="1" applyAlignment="1">
      <alignment vertical="top" wrapText="1"/>
    </xf>
    <xf numFmtId="0" fontId="0" fillId="4" borderId="0" xfId="0" applyFill="1" applyAlignment="1">
      <alignment horizontal="center"/>
    </xf>
    <xf numFmtId="2" fontId="0" fillId="4" borderId="0" xfId="0" applyNumberFormat="1" applyFill="1" applyAlignment="1">
      <alignment horizontal="center"/>
    </xf>
    <xf numFmtId="2" fontId="9" fillId="4" borderId="0" xfId="0" applyNumberFormat="1" applyFont="1" applyFill="1" applyAlignment="1">
      <alignment horizontal="center"/>
    </xf>
    <xf numFmtId="2" fontId="11" fillId="4" borderId="0" xfId="0" applyNumberFormat="1" applyFont="1" applyFill="1" applyAlignment="1">
      <alignment horizontal="center"/>
    </xf>
    <xf numFmtId="0" fontId="6" fillId="0" borderId="0" xfId="0" applyFont="1" applyAlignment="1">
      <alignment horizontal="right" vertical="center" wrapText="1"/>
    </xf>
    <xf numFmtId="2" fontId="0" fillId="5" borderId="0" xfId="0" applyNumberFormat="1" applyFill="1"/>
    <xf numFmtId="0" fontId="12" fillId="0" borderId="0" xfId="0" applyFont="1"/>
    <xf numFmtId="0" fontId="3" fillId="0" borderId="0" xfId="3"/>
    <xf numFmtId="14" fontId="3" fillId="0" borderId="0" xfId="3" applyNumberFormat="1"/>
    <xf numFmtId="164" fontId="3" fillId="0" borderId="0" xfId="3" applyNumberFormat="1"/>
    <xf numFmtId="0" fontId="10" fillId="0" borderId="0" xfId="0" applyFont="1" applyAlignment="1">
      <alignment vertical="top"/>
    </xf>
    <xf numFmtId="167" fontId="0" fillId="0" borderId="0" xfId="0" applyNumberFormat="1"/>
    <xf numFmtId="167" fontId="13" fillId="0" borderId="0" xfId="0" applyNumberFormat="1" applyFont="1"/>
    <xf numFmtId="0" fontId="14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 vertical="center" wrapText="1"/>
    </xf>
    <xf numFmtId="14" fontId="3" fillId="0" borderId="0" xfId="0" applyNumberFormat="1" applyFont="1"/>
    <xf numFmtId="0" fontId="3" fillId="0" borderId="0" xfId="0" applyFont="1" applyAlignment="1">
      <alignment horizontal="right"/>
    </xf>
    <xf numFmtId="0" fontId="16" fillId="0" borderId="0" xfId="0" applyFont="1"/>
    <xf numFmtId="164" fontId="18" fillId="0" borderId="0" xfId="0" applyNumberFormat="1" applyFont="1"/>
    <xf numFmtId="168" fontId="18" fillId="0" borderId="0" xfId="4" applyNumberFormat="1" applyFont="1" applyFill="1" applyBorder="1"/>
    <xf numFmtId="43" fontId="4" fillId="0" borderId="0" xfId="0" applyNumberFormat="1" applyFont="1"/>
    <xf numFmtId="2" fontId="18" fillId="0" borderId="0" xfId="0" applyNumberFormat="1" applyFont="1"/>
    <xf numFmtId="168" fontId="19" fillId="0" borderId="0" xfId="4" applyNumberFormat="1" applyFont="1" applyFill="1" applyBorder="1" applyAlignment="1">
      <alignment horizontal="center" vertical="top" wrapText="1"/>
    </xf>
    <xf numFmtId="2" fontId="0" fillId="0" borderId="0" xfId="0" applyNumberFormat="1" applyAlignment="1">
      <alignment horizontal="center"/>
    </xf>
    <xf numFmtId="0" fontId="4" fillId="2" borderId="0" xfId="0" applyFont="1" applyFill="1"/>
    <xf numFmtId="0" fontId="3" fillId="2" borderId="0" xfId="3" applyFill="1"/>
    <xf numFmtId="14" fontId="4" fillId="2" borderId="0" xfId="0" applyNumberFormat="1" applyFont="1" applyFill="1"/>
    <xf numFmtId="164" fontId="4" fillId="2" borderId="0" xfId="0" applyNumberFormat="1" applyFont="1" applyFill="1"/>
    <xf numFmtId="0" fontId="3" fillId="2" borderId="0" xfId="0" applyFont="1" applyFill="1"/>
    <xf numFmtId="169" fontId="4" fillId="2" borderId="0" xfId="0" applyNumberFormat="1" applyFont="1" applyFill="1"/>
    <xf numFmtId="0" fontId="10" fillId="2" borderId="0" xfId="0" applyFont="1" applyFill="1" applyAlignment="1">
      <alignment vertical="top" wrapText="1"/>
    </xf>
    <xf numFmtId="2" fontId="4" fillId="2" borderId="0" xfId="0" applyNumberFormat="1" applyFont="1" applyFill="1"/>
    <xf numFmtId="2" fontId="4" fillId="2" borderId="0" xfId="0" applyNumberFormat="1" applyFont="1" applyFill="1" applyAlignment="1">
      <alignment horizontal="right"/>
    </xf>
    <xf numFmtId="2" fontId="8" fillId="2" borderId="0" xfId="2" applyNumberFormat="1" applyFont="1" applyFill="1"/>
    <xf numFmtId="1" fontId="4" fillId="2" borderId="0" xfId="0" applyNumberFormat="1" applyFont="1" applyFill="1"/>
  </cellXfs>
  <cellStyles count="5">
    <cellStyle name="0.0" xfId="1" xr:uid="{00000000-0005-0000-0000-000000000000}"/>
    <cellStyle name="Comma" xfId="4" builtinId="3"/>
    <cellStyle name="Normal" xfId="0" builtinId="0"/>
    <cellStyle name="Normal 2" xfId="3" xr:uid="{00000000-0005-0000-0000-000002000000}"/>
    <cellStyle name="Normal_FM_data" xfId="2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esktop%20Folder\aWork\SiteInfo\AcSites\Climate\AnuclimOut\ExpSiteCli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cn"/>
      <sheetName val="explocns"/>
      <sheetName val="MaxT"/>
      <sheetName val="MinT"/>
      <sheetName val="Rain"/>
      <sheetName val="Evap"/>
      <sheetName val="Radn"/>
      <sheetName val="vpd"/>
      <sheetName val="DryT9a"/>
      <sheetName val="WetT9a"/>
      <sheetName val="DryT3p"/>
      <sheetName val="WetT3p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hilip Smethurst" id="{08090D71-E7E2-4562-9C1C-AC67BAACBB74}" userId="0c174ca2347e50f2" providerId="Windows Live"/>
  <person displayName="Huth, Neil (A&amp;F, Forest Hill)" id="{AB142071-CDB7-4E80-842B-55C6637BFFFA}" userId="S::hut104@csiro.au::74d2234b-0320-49ce-8da4-62eae1814c8f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1" dT="2026-01-02T04:55:26.10" personId="{AB142071-CDB7-4E80-842B-55C6637BFFFA}" id="{A6765C3E-0A79-43CA-BA2D-C4E7D27AA7FF}">
    <text xml:space="preserve">I’ve renamed this column.  We look to use the soil water data from modelling paper of McMurtrie and Landsberg instead
</text>
  </threadedComment>
  <threadedComment ref="AD1" dT="2026-02-20T02:41:24.59" personId="{08090D71-E7E2-4562-9C1C-AC67BAACBB74}" id="{59832307-5396-4075-B4E0-7A6D0CE6F0C9}">
    <text>Diameter of tree of mean BA (cm)</text>
  </threadedComment>
  <threadedComment ref="AI1" dT="2026-02-20T00:57:39.22" personId="{08090D71-E7E2-4562-9C1C-AC67BAACBB74}" id="{AE39DB48-BEF1-4305-A78A-65EE2F518CF5}">
    <text>Standing MAI (not including thinnings and mortality)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CC1708"/>
  <sheetViews>
    <sheetView tabSelected="1" workbookViewId="0">
      <pane xSplit="3" ySplit="1" topLeftCell="AA2" activePane="bottomRight" state="frozen"/>
      <selection pane="topRight" activeCell="D1" sqref="D1"/>
      <selection pane="bottomLeft" activeCell="A2" sqref="A2"/>
      <selection pane="bottomRight" activeCell="AD1" sqref="AD1"/>
    </sheetView>
  </sheetViews>
  <sheetFormatPr defaultColWidth="9.28515625" defaultRowHeight="12.75"/>
  <cols>
    <col min="1" max="1" width="22" style="3" customWidth="1"/>
    <col min="2" max="2" width="12.28515625" style="3" customWidth="1"/>
    <col min="3" max="3" width="9.5703125" style="3" bestFit="1" customWidth="1"/>
    <col min="4" max="4" width="9.28515625" style="3"/>
    <col min="5" max="5" width="9.5703125" style="3" bestFit="1" customWidth="1"/>
    <col min="6" max="6" width="8.42578125" style="3" customWidth="1"/>
    <col min="7" max="7" width="9.28515625" style="3"/>
    <col min="8" max="8" width="9.5703125" style="3" bestFit="1" customWidth="1"/>
    <col min="9" max="9" width="9.28515625" style="3"/>
    <col min="10" max="10" width="9.5703125" style="3" bestFit="1" customWidth="1"/>
    <col min="11" max="13" width="9.28515625" style="3"/>
    <col min="14" max="14" width="10.5703125" style="3" bestFit="1" customWidth="1"/>
    <col min="15" max="16" width="9.28515625" style="3"/>
    <col min="17" max="17" width="10.140625" style="3" bestFit="1" customWidth="1"/>
    <col min="18" max="18" width="9.28515625" style="3"/>
    <col min="19" max="19" width="5.28515625" style="3" customWidth="1"/>
    <col min="20" max="21" width="9.5703125" style="3" bestFit="1" customWidth="1"/>
    <col min="22" max="23" width="9.28515625" style="3"/>
    <col min="24" max="25" width="14.85546875" style="3" customWidth="1"/>
    <col min="26" max="26" width="9.28515625" style="3"/>
    <col min="27" max="27" width="17.28515625" style="3" customWidth="1"/>
    <col min="28" max="28" width="16.140625" style="3" customWidth="1"/>
    <col min="29" max="30" width="15.7109375" style="3" customWidth="1"/>
    <col min="31" max="31" width="17.140625" style="3" customWidth="1"/>
    <col min="32" max="37" width="23.7109375" style="3" customWidth="1"/>
    <col min="38" max="49" width="17.7109375" style="3" customWidth="1"/>
    <col min="50" max="50" width="15.7109375" style="3" customWidth="1"/>
    <col min="51" max="53" width="25.5703125" style="3" customWidth="1"/>
    <col min="54" max="54" width="20" style="3" bestFit="1" customWidth="1"/>
    <col min="55" max="55" width="20" style="3" customWidth="1"/>
    <col min="56" max="56" width="10.28515625" style="3" bestFit="1" customWidth="1"/>
    <col min="57" max="16384" width="9.28515625" style="3"/>
  </cols>
  <sheetData>
    <row r="1" spans="1:81" ht="33.75">
      <c r="A1" s="29" t="s">
        <v>0</v>
      </c>
      <c r="B1" s="29" t="s">
        <v>1</v>
      </c>
      <c r="C1" s="29" t="s">
        <v>22</v>
      </c>
      <c r="D1" s="29" t="s">
        <v>21</v>
      </c>
      <c r="E1" s="29" t="s">
        <v>94</v>
      </c>
      <c r="F1" s="29" t="s">
        <v>56</v>
      </c>
      <c r="G1" s="29" t="s">
        <v>90</v>
      </c>
      <c r="H1" s="29" t="s">
        <v>57</v>
      </c>
      <c r="I1" s="29" t="s">
        <v>58</v>
      </c>
      <c r="J1" s="29" t="s">
        <v>59</v>
      </c>
      <c r="K1" s="1" t="s">
        <v>33</v>
      </c>
      <c r="L1" s="29" t="s">
        <v>60</v>
      </c>
      <c r="M1" s="29" t="s">
        <v>61</v>
      </c>
      <c r="N1" s="29" t="s">
        <v>62</v>
      </c>
      <c r="O1" s="29" t="s">
        <v>63</v>
      </c>
      <c r="P1" s="29" t="s">
        <v>64</v>
      </c>
      <c r="Q1" s="29" t="s">
        <v>65</v>
      </c>
      <c r="R1" s="29" t="s">
        <v>66</v>
      </c>
      <c r="S1" s="29" t="s">
        <v>3</v>
      </c>
      <c r="T1" s="29" t="s">
        <v>7</v>
      </c>
      <c r="U1" s="29" t="s">
        <v>25</v>
      </c>
      <c r="V1" s="29" t="s">
        <v>123</v>
      </c>
      <c r="W1" s="1" t="s">
        <v>34</v>
      </c>
      <c r="X1" s="29" t="s">
        <v>113</v>
      </c>
      <c r="Y1" s="29" t="s">
        <v>84</v>
      </c>
      <c r="Z1" s="29" t="s">
        <v>2</v>
      </c>
      <c r="AA1" s="29" t="s">
        <v>8</v>
      </c>
      <c r="AB1" s="29" t="s">
        <v>51</v>
      </c>
      <c r="AC1" s="29" t="s">
        <v>52</v>
      </c>
      <c r="AD1" s="29" t="s">
        <v>128</v>
      </c>
      <c r="AE1" s="29" t="s">
        <v>53</v>
      </c>
      <c r="AF1" s="29" t="s">
        <v>54</v>
      </c>
      <c r="AG1" s="40" t="s">
        <v>80</v>
      </c>
      <c r="AH1" s="40" t="s">
        <v>67</v>
      </c>
      <c r="AI1" s="29" t="s">
        <v>81</v>
      </c>
      <c r="AJ1" s="40" t="s">
        <v>112</v>
      </c>
      <c r="AK1" s="29" t="s">
        <v>55</v>
      </c>
      <c r="AL1" s="29" t="s">
        <v>83</v>
      </c>
      <c r="AM1" s="29" t="s">
        <v>91</v>
      </c>
      <c r="AN1" s="29" t="s">
        <v>85</v>
      </c>
      <c r="AO1" s="29" t="s">
        <v>86</v>
      </c>
      <c r="AP1" s="29" t="s">
        <v>87</v>
      </c>
      <c r="AQ1" s="29" t="s">
        <v>88</v>
      </c>
      <c r="AR1" s="29" t="s">
        <v>68</v>
      </c>
      <c r="AS1" s="62" t="s">
        <v>121</v>
      </c>
      <c r="AT1" s="62" t="s">
        <v>122</v>
      </c>
      <c r="AU1" s="62" t="s">
        <v>124</v>
      </c>
      <c r="AV1" s="62" t="s">
        <v>126</v>
      </c>
      <c r="AW1" s="62" t="s">
        <v>127</v>
      </c>
      <c r="AX1" s="62" t="s">
        <v>125</v>
      </c>
      <c r="AY1" s="29" t="s">
        <v>82</v>
      </c>
      <c r="AZ1" s="62" t="s">
        <v>129</v>
      </c>
      <c r="BA1" s="29" t="s">
        <v>10</v>
      </c>
      <c r="BB1" s="29" t="s">
        <v>23</v>
      </c>
      <c r="BC1" s="28"/>
      <c r="BD1" s="28"/>
      <c r="BO1" s="3" t="s">
        <v>35</v>
      </c>
      <c r="BP1" s="3" t="s">
        <v>36</v>
      </c>
      <c r="BQ1" s="3" t="s">
        <v>37</v>
      </c>
      <c r="BR1" s="3" t="s">
        <v>38</v>
      </c>
      <c r="BS1" s="3" t="s">
        <v>39</v>
      </c>
      <c r="BT1" s="3" t="s">
        <v>40</v>
      </c>
      <c r="BU1" s="3" t="s">
        <v>41</v>
      </c>
      <c r="BV1" s="3" t="s">
        <v>42</v>
      </c>
      <c r="BW1" s="3" t="s">
        <v>43</v>
      </c>
      <c r="BX1" s="3" t="s">
        <v>44</v>
      </c>
      <c r="BY1" s="3" t="s">
        <v>45</v>
      </c>
      <c r="BZ1" s="3" t="s">
        <v>46</v>
      </c>
      <c r="CA1" s="3" t="s">
        <v>47</v>
      </c>
      <c r="CB1" s="3" t="s">
        <v>48</v>
      </c>
      <c r="CC1" s="3" t="s">
        <v>49</v>
      </c>
    </row>
    <row r="2" spans="1:81">
      <c r="A2" s="37" t="s">
        <v>4</v>
      </c>
      <c r="B2" s="38">
        <v>30573.732550000001</v>
      </c>
      <c r="C2" s="39">
        <v>10.25</v>
      </c>
      <c r="E2" s="29"/>
      <c r="F2" s="29"/>
      <c r="G2" s="29"/>
      <c r="H2" s="29"/>
      <c r="I2" s="29"/>
      <c r="J2" s="29"/>
      <c r="K2" s="1"/>
      <c r="L2" s="29"/>
      <c r="M2" s="29"/>
      <c r="N2" s="29"/>
      <c r="O2" s="29"/>
      <c r="P2" s="29"/>
      <c r="Q2" s="29"/>
      <c r="R2" s="29"/>
      <c r="S2" s="29"/>
      <c r="T2" s="39">
        <v>3.1257925000000002</v>
      </c>
      <c r="U2" s="29"/>
      <c r="V2" s="29"/>
      <c r="W2" s="1"/>
      <c r="X2" s="29"/>
      <c r="Y2" s="29"/>
      <c r="Z2" s="29"/>
      <c r="AA2" s="29"/>
      <c r="AB2" s="29"/>
      <c r="AC2" s="29"/>
      <c r="AD2" s="29"/>
      <c r="AE2" s="29"/>
      <c r="AF2" s="29"/>
      <c r="AG2" s="1"/>
      <c r="AH2" s="1"/>
      <c r="AI2" s="29" t="str">
        <f>IF(AF2&gt;0.001,AF2/C2,"")</f>
        <v/>
      </c>
      <c r="AK2" s="29"/>
      <c r="AL2" s="29"/>
      <c r="AM2" s="29"/>
      <c r="AN2" s="29"/>
      <c r="AO2" s="29"/>
      <c r="AP2" s="29"/>
      <c r="AQ2" s="29"/>
      <c r="AR2" s="29"/>
      <c r="AS2" s="62"/>
      <c r="AT2" s="62"/>
      <c r="AU2" s="62"/>
      <c r="AV2" s="62"/>
      <c r="AW2" s="62"/>
      <c r="AX2" s="62"/>
      <c r="AY2" s="29"/>
      <c r="AZ2" s="29"/>
      <c r="BA2" s="29"/>
      <c r="BB2" s="29"/>
      <c r="BC2" s="28"/>
      <c r="BD2" s="28"/>
    </row>
    <row r="3" spans="1:81">
      <c r="A3" s="37" t="s">
        <v>4</v>
      </c>
      <c r="B3" s="38">
        <v>30665.043099999999</v>
      </c>
      <c r="C3" s="39">
        <v>10.5</v>
      </c>
      <c r="E3" s="29"/>
      <c r="F3" s="29"/>
      <c r="G3" s="29"/>
      <c r="H3" s="29"/>
      <c r="I3" s="29"/>
      <c r="J3" s="29"/>
      <c r="K3" s="1"/>
      <c r="L3" s="29"/>
      <c r="M3" s="29"/>
      <c r="N3" s="29"/>
      <c r="O3" s="29"/>
      <c r="P3" s="29"/>
      <c r="Q3" s="29"/>
      <c r="R3" s="29"/>
      <c r="S3" s="29"/>
      <c r="T3" s="39">
        <v>4.3195625</v>
      </c>
      <c r="U3" s="29"/>
      <c r="V3" s="29"/>
      <c r="W3" s="1"/>
      <c r="X3" s="29"/>
      <c r="Y3" s="29"/>
      <c r="Z3" s="29"/>
      <c r="AA3" s="29"/>
      <c r="AB3" s="29"/>
      <c r="AC3" s="29"/>
      <c r="AD3" s="29"/>
      <c r="AE3" s="29"/>
      <c r="AF3" s="29"/>
      <c r="AG3" s="1"/>
      <c r="AH3" s="1"/>
      <c r="AI3" s="29" t="str">
        <f t="shared" ref="AI3:AI66" si="0">IF(AH3&gt;0.001,AH3/C3,"")</f>
        <v/>
      </c>
      <c r="AK3" s="29"/>
      <c r="AL3" s="29"/>
      <c r="AM3" s="29"/>
      <c r="AN3" s="29"/>
      <c r="AO3" s="29"/>
      <c r="AP3" s="29"/>
      <c r="AQ3" s="29"/>
      <c r="AR3" s="29"/>
      <c r="AS3" s="62"/>
      <c r="AT3" s="62"/>
      <c r="AU3" s="62"/>
      <c r="AV3" s="62"/>
      <c r="AW3" s="62"/>
      <c r="AX3" s="62"/>
      <c r="AY3" s="29"/>
      <c r="AZ3" s="29"/>
      <c r="BA3" s="29"/>
      <c r="BB3" s="29"/>
      <c r="BC3" s="28"/>
      <c r="BD3" s="28"/>
    </row>
    <row r="4" spans="1:81">
      <c r="A4" s="37" t="s">
        <v>4</v>
      </c>
      <c r="B4" s="38">
        <v>30756.353650000001</v>
      </c>
      <c r="C4" s="39">
        <v>10.75</v>
      </c>
      <c r="E4" s="29"/>
      <c r="F4" s="29"/>
      <c r="G4" s="29"/>
      <c r="H4" s="29"/>
      <c r="I4" s="29"/>
      <c r="J4" s="29"/>
      <c r="K4" s="1"/>
      <c r="L4" s="29"/>
      <c r="M4" s="29"/>
      <c r="N4" s="29"/>
      <c r="O4" s="29"/>
      <c r="P4" s="29"/>
      <c r="Q4" s="29"/>
      <c r="R4" s="29"/>
      <c r="S4" s="29"/>
      <c r="T4" s="39">
        <v>5.3562575000000008</v>
      </c>
      <c r="U4" s="29"/>
      <c r="V4" s="29"/>
      <c r="W4" s="1"/>
      <c r="X4" s="29"/>
      <c r="Y4" s="29"/>
      <c r="Z4" s="29"/>
      <c r="AA4" s="29"/>
      <c r="AB4" s="29"/>
      <c r="AC4" s="29"/>
      <c r="AD4" s="29"/>
      <c r="AE4" s="29"/>
      <c r="AF4" s="29"/>
      <c r="AG4" s="1"/>
      <c r="AH4" s="1"/>
      <c r="AI4" s="29" t="str">
        <f t="shared" si="0"/>
        <v/>
      </c>
      <c r="AK4" s="29"/>
      <c r="AL4" s="29"/>
      <c r="AM4" s="29"/>
      <c r="AN4" s="29"/>
      <c r="AO4" s="29"/>
      <c r="AP4" s="29"/>
      <c r="AQ4" s="29"/>
      <c r="AR4" s="29"/>
      <c r="AS4" s="62"/>
      <c r="AT4" s="62"/>
      <c r="AU4" s="62"/>
      <c r="AV4" s="62"/>
      <c r="AW4" s="62"/>
      <c r="AX4" s="62"/>
      <c r="AY4" s="29"/>
      <c r="AZ4" s="29"/>
      <c r="BA4" s="29"/>
      <c r="BB4" s="29"/>
      <c r="BC4" s="28"/>
      <c r="BD4" s="28"/>
    </row>
    <row r="5" spans="1:81">
      <c r="A5" s="37" t="s">
        <v>4</v>
      </c>
      <c r="B5" s="38">
        <v>30847.664199999999</v>
      </c>
      <c r="C5" s="39">
        <v>11</v>
      </c>
      <c r="E5" s="29"/>
      <c r="F5" s="29"/>
      <c r="G5" s="29"/>
      <c r="H5" s="29"/>
      <c r="I5" s="29"/>
      <c r="J5" s="29"/>
      <c r="K5" s="1"/>
      <c r="L5" s="29"/>
      <c r="M5" s="29"/>
      <c r="N5" s="29"/>
      <c r="O5" s="29"/>
      <c r="P5" s="29"/>
      <c r="Q5" s="29"/>
      <c r="R5" s="29"/>
      <c r="S5" s="29"/>
      <c r="T5" s="39">
        <v>4.7907875000000004</v>
      </c>
      <c r="U5" s="29"/>
      <c r="V5" s="29"/>
      <c r="W5" s="1"/>
      <c r="X5" s="29"/>
      <c r="Y5" s="29"/>
      <c r="Z5" s="29"/>
      <c r="AA5" s="29"/>
      <c r="AB5" s="29"/>
      <c r="AC5" s="29"/>
      <c r="AD5" s="29"/>
      <c r="AE5" s="29"/>
      <c r="AF5" s="29"/>
      <c r="AG5" s="1"/>
      <c r="AH5" s="1"/>
      <c r="AI5" s="29" t="str">
        <f t="shared" si="0"/>
        <v/>
      </c>
      <c r="AK5" s="29"/>
      <c r="AL5" s="29"/>
      <c r="AM5" s="29"/>
      <c r="AN5" s="29"/>
      <c r="AO5" s="29"/>
      <c r="AP5" s="29"/>
      <c r="AQ5" s="29"/>
      <c r="AR5" s="29"/>
      <c r="AS5" s="62"/>
      <c r="AT5" s="62"/>
      <c r="AU5" s="62"/>
      <c r="AV5" s="62"/>
      <c r="AW5" s="62"/>
      <c r="AX5" s="62"/>
      <c r="AY5" s="29"/>
      <c r="AZ5" s="29"/>
      <c r="BA5" s="29"/>
      <c r="BB5" s="29"/>
      <c r="BC5" s="28"/>
      <c r="BD5" s="28"/>
    </row>
    <row r="6" spans="1:81">
      <c r="A6" s="37" t="s">
        <v>4</v>
      </c>
      <c r="B6" s="38">
        <v>30938.974750000001</v>
      </c>
      <c r="C6" s="39">
        <v>11.25</v>
      </c>
      <c r="E6" s="29"/>
      <c r="F6" s="29"/>
      <c r="G6" s="29"/>
      <c r="H6" s="29"/>
      <c r="I6" s="29"/>
      <c r="J6" s="29"/>
      <c r="K6" s="1"/>
      <c r="L6" s="29"/>
      <c r="M6" s="29"/>
      <c r="N6" s="29"/>
      <c r="O6" s="29"/>
      <c r="P6" s="29"/>
      <c r="Q6" s="29"/>
      <c r="R6" s="29"/>
      <c r="S6" s="29"/>
      <c r="T6" s="39">
        <v>4.5551750000000002</v>
      </c>
      <c r="U6" s="29"/>
      <c r="V6" s="29"/>
      <c r="W6" s="1"/>
      <c r="X6" s="29"/>
      <c r="Y6" s="29"/>
      <c r="Z6" s="29"/>
      <c r="AA6" s="29"/>
      <c r="AB6" s="29"/>
      <c r="AC6" s="29"/>
      <c r="AD6" s="29"/>
      <c r="AE6" s="29"/>
      <c r="AF6" s="29"/>
      <c r="AG6" s="1"/>
      <c r="AH6" s="1"/>
      <c r="AI6" s="29" t="str">
        <f t="shared" si="0"/>
        <v/>
      </c>
      <c r="AK6" s="29"/>
      <c r="AL6" s="29"/>
      <c r="AM6" s="29"/>
      <c r="AN6" s="29"/>
      <c r="AO6" s="29"/>
      <c r="AP6" s="29"/>
      <c r="AQ6" s="29"/>
      <c r="AR6" s="29"/>
      <c r="AS6" s="62"/>
      <c r="AT6" s="62"/>
      <c r="AU6" s="62"/>
      <c r="AV6" s="62"/>
      <c r="AW6" s="62"/>
      <c r="AX6" s="62"/>
      <c r="AY6" s="29"/>
      <c r="AZ6" s="29"/>
      <c r="BA6" s="29"/>
      <c r="BB6" s="29"/>
      <c r="BC6" s="28"/>
      <c r="BD6" s="28"/>
    </row>
    <row r="7" spans="1:81">
      <c r="A7" s="37" t="s">
        <v>4</v>
      </c>
      <c r="B7" s="38">
        <v>31030.2853</v>
      </c>
      <c r="C7" s="39">
        <v>11.5</v>
      </c>
      <c r="E7" s="29"/>
      <c r="F7" s="29"/>
      <c r="G7" s="29"/>
      <c r="H7" s="29"/>
      <c r="I7" s="29"/>
      <c r="J7" s="29"/>
      <c r="K7" s="1"/>
      <c r="L7" s="29"/>
      <c r="M7" s="29"/>
      <c r="N7" s="29"/>
      <c r="O7" s="29"/>
      <c r="P7" s="29"/>
      <c r="Q7" s="29"/>
      <c r="R7" s="29"/>
      <c r="S7" s="29"/>
      <c r="T7" s="39">
        <v>6.4557825000000006</v>
      </c>
      <c r="U7" s="29"/>
      <c r="V7" s="29"/>
      <c r="W7" s="1"/>
      <c r="X7" s="29"/>
      <c r="Y7" s="29"/>
      <c r="Z7" s="29"/>
      <c r="AA7" s="29"/>
      <c r="AB7" s="29"/>
      <c r="AC7" s="29"/>
      <c r="AD7" s="29"/>
      <c r="AE7" s="29"/>
      <c r="AF7" s="29"/>
      <c r="AG7" s="1"/>
      <c r="AH7" s="1"/>
      <c r="AI7" s="29" t="str">
        <f t="shared" si="0"/>
        <v/>
      </c>
      <c r="AK7" s="29"/>
      <c r="AL7" s="29"/>
      <c r="AM7" s="29"/>
      <c r="AN7" s="29"/>
      <c r="AO7" s="29"/>
      <c r="AP7" s="29"/>
      <c r="AQ7" s="29"/>
      <c r="AR7" s="29"/>
      <c r="AS7" s="62"/>
      <c r="AT7" s="62"/>
      <c r="AU7" s="62"/>
      <c r="AV7" s="62"/>
      <c r="AW7" s="62"/>
      <c r="AX7" s="62"/>
      <c r="AY7" s="29"/>
      <c r="AZ7" s="29"/>
      <c r="BA7" s="29"/>
      <c r="BB7" s="29"/>
      <c r="BC7" s="28"/>
      <c r="BD7" s="28"/>
    </row>
    <row r="8" spans="1:81">
      <c r="A8" s="37" t="s">
        <v>4</v>
      </c>
      <c r="B8" s="38">
        <v>31121.595850000002</v>
      </c>
      <c r="C8" s="39">
        <v>11.75</v>
      </c>
      <c r="E8" s="29"/>
      <c r="F8" s="29"/>
      <c r="G8" s="29"/>
      <c r="H8" s="29"/>
      <c r="I8" s="29"/>
      <c r="J8" s="29"/>
      <c r="K8" s="1"/>
      <c r="L8" s="29"/>
      <c r="M8" s="29"/>
      <c r="N8" s="29"/>
      <c r="O8" s="29"/>
      <c r="P8" s="29"/>
      <c r="Q8" s="29"/>
      <c r="R8" s="29"/>
      <c r="S8" s="29"/>
      <c r="T8" s="39">
        <v>6.2672925000000008</v>
      </c>
      <c r="U8" s="29"/>
      <c r="V8" s="29"/>
      <c r="W8" s="1"/>
      <c r="X8" s="29"/>
      <c r="Y8" s="29"/>
      <c r="Z8" s="29"/>
      <c r="AA8" s="29"/>
      <c r="AB8" s="29"/>
      <c r="AC8" s="29"/>
      <c r="AD8" s="29"/>
      <c r="AE8" s="29"/>
      <c r="AF8" s="29"/>
      <c r="AG8" s="1"/>
      <c r="AH8" s="1"/>
      <c r="AI8" s="29" t="str">
        <f t="shared" si="0"/>
        <v/>
      </c>
      <c r="AK8" s="29"/>
      <c r="AL8" s="29"/>
      <c r="AM8" s="29"/>
      <c r="AN8" s="29"/>
      <c r="AO8" s="29"/>
      <c r="AP8" s="29"/>
      <c r="AQ8" s="29"/>
      <c r="AR8" s="29"/>
      <c r="AS8" s="62"/>
      <c r="AT8" s="62"/>
      <c r="AU8" s="62"/>
      <c r="AV8" s="62"/>
      <c r="AW8" s="62"/>
      <c r="AX8" s="62"/>
      <c r="AY8" s="29"/>
      <c r="AZ8" s="29"/>
      <c r="BA8" s="29"/>
      <c r="BB8" s="29"/>
      <c r="BC8" s="28"/>
      <c r="BD8" s="28"/>
    </row>
    <row r="9" spans="1:81">
      <c r="A9" s="37" t="s">
        <v>4</v>
      </c>
      <c r="B9" s="38">
        <v>31212.9064</v>
      </c>
      <c r="C9" s="39">
        <v>12</v>
      </c>
      <c r="E9" s="29"/>
      <c r="F9" s="29"/>
      <c r="G9" s="29"/>
      <c r="H9" s="29"/>
      <c r="I9" s="29"/>
      <c r="J9" s="29"/>
      <c r="K9" s="1"/>
      <c r="L9" s="29"/>
      <c r="M9" s="29"/>
      <c r="N9" s="29"/>
      <c r="O9" s="29"/>
      <c r="P9" s="29"/>
      <c r="Q9" s="29"/>
      <c r="R9" s="29"/>
      <c r="S9" s="29"/>
      <c r="T9" s="39">
        <v>5.6232850000000001</v>
      </c>
      <c r="U9" s="29"/>
      <c r="V9" s="29"/>
      <c r="W9" s="1"/>
      <c r="X9" s="29"/>
      <c r="Y9" s="29"/>
      <c r="Z9" s="29"/>
      <c r="AA9" s="29"/>
      <c r="AB9" s="29"/>
      <c r="AC9" s="29"/>
      <c r="AD9" s="29"/>
      <c r="AE9" s="29"/>
      <c r="AF9" s="29"/>
      <c r="AG9" s="1"/>
      <c r="AH9" s="1"/>
      <c r="AI9" s="29" t="str">
        <f t="shared" si="0"/>
        <v/>
      </c>
      <c r="AK9" s="29"/>
      <c r="AL9" s="29"/>
      <c r="AM9" s="29"/>
      <c r="AN9" s="29"/>
      <c r="AO9" s="29"/>
      <c r="AP9" s="29"/>
      <c r="AQ9" s="29"/>
      <c r="AR9" s="29"/>
      <c r="AS9" s="62"/>
      <c r="AT9" s="62"/>
      <c r="AU9" s="62"/>
      <c r="AV9" s="62"/>
      <c r="AW9" s="62"/>
      <c r="AX9" s="62"/>
      <c r="AY9" s="29"/>
      <c r="AZ9" s="29"/>
      <c r="BA9" s="29"/>
      <c r="BB9" s="29"/>
      <c r="BC9" s="28"/>
      <c r="BD9" s="28"/>
    </row>
    <row r="10" spans="1:81">
      <c r="A10" s="37" t="s">
        <v>4</v>
      </c>
      <c r="B10" s="38">
        <v>31304.216950000002</v>
      </c>
      <c r="C10" s="39">
        <v>12.25</v>
      </c>
      <c r="E10" s="29"/>
      <c r="F10" s="29"/>
      <c r="G10" s="29"/>
      <c r="H10" s="29"/>
      <c r="I10" s="29"/>
      <c r="J10" s="29"/>
      <c r="K10" s="1"/>
      <c r="L10" s="29"/>
      <c r="M10" s="29"/>
      <c r="N10" s="29"/>
      <c r="O10" s="29"/>
      <c r="P10" s="29"/>
      <c r="Q10" s="29"/>
      <c r="R10" s="29"/>
      <c r="S10" s="29"/>
      <c r="T10" s="39">
        <v>5.5447474999999997</v>
      </c>
      <c r="U10" s="29"/>
      <c r="V10" s="29"/>
      <c r="W10" s="1"/>
      <c r="X10" s="29"/>
      <c r="Y10" s="29"/>
      <c r="Z10" s="29"/>
      <c r="AA10" s="29"/>
      <c r="AB10" s="29"/>
      <c r="AC10" s="29"/>
      <c r="AD10" s="29"/>
      <c r="AE10" s="29"/>
      <c r="AF10" s="29"/>
      <c r="AG10" s="1"/>
      <c r="AH10" s="1"/>
      <c r="AI10" s="29" t="str">
        <f t="shared" si="0"/>
        <v/>
      </c>
      <c r="AK10" s="29"/>
      <c r="AL10" s="29"/>
      <c r="AM10" s="29"/>
      <c r="AN10" s="29"/>
      <c r="AO10" s="29"/>
      <c r="AP10" s="29"/>
      <c r="AQ10" s="29"/>
      <c r="AR10" s="29"/>
      <c r="AS10" s="62"/>
      <c r="AT10" s="62"/>
      <c r="AU10" s="62"/>
      <c r="AV10" s="62"/>
      <c r="AW10" s="62"/>
      <c r="AX10" s="62"/>
      <c r="AY10" s="29"/>
      <c r="AZ10" s="29"/>
      <c r="BA10" s="29"/>
      <c r="BB10" s="29"/>
      <c r="BC10" s="28"/>
      <c r="BD10" s="28"/>
    </row>
    <row r="11" spans="1:81">
      <c r="A11" s="37" t="s">
        <v>4</v>
      </c>
      <c r="B11" s="38">
        <v>31395.5275</v>
      </c>
      <c r="C11" s="39">
        <v>12.5</v>
      </c>
      <c r="E11" s="29"/>
      <c r="F11" s="29"/>
      <c r="G11" s="29"/>
      <c r="H11" s="29"/>
      <c r="I11" s="29"/>
      <c r="J11" s="29"/>
      <c r="K11" s="1"/>
      <c r="L11" s="29"/>
      <c r="M11" s="29"/>
      <c r="N11" s="29"/>
      <c r="O11" s="29"/>
      <c r="P11" s="29"/>
      <c r="Q11" s="29"/>
      <c r="R11" s="29"/>
      <c r="S11" s="29"/>
      <c r="T11" s="39">
        <v>6.5657350000000001</v>
      </c>
      <c r="U11" s="29"/>
      <c r="V11" s="29"/>
      <c r="W11" s="1"/>
      <c r="X11" s="29"/>
      <c r="Y11" s="29"/>
      <c r="Z11" s="29"/>
      <c r="AA11" s="29"/>
      <c r="AB11" s="29"/>
      <c r="AC11" s="29"/>
      <c r="AD11" s="29"/>
      <c r="AE11" s="29"/>
      <c r="AF11" s="29"/>
      <c r="AG11" s="1"/>
      <c r="AH11" s="1"/>
      <c r="AI11" s="29" t="str">
        <f t="shared" si="0"/>
        <v/>
      </c>
      <c r="AK11" s="29"/>
      <c r="AL11" s="29"/>
      <c r="AM11" s="29"/>
      <c r="AN11" s="29"/>
      <c r="AO11" s="29"/>
      <c r="AP11" s="29"/>
      <c r="AQ11" s="29"/>
      <c r="AR11" s="29"/>
      <c r="AS11" s="62"/>
      <c r="AT11" s="62"/>
      <c r="AU11" s="62"/>
      <c r="AV11" s="62"/>
      <c r="AW11" s="62"/>
      <c r="AX11" s="62"/>
      <c r="AY11" s="29"/>
      <c r="AZ11" s="29"/>
      <c r="BA11" s="29"/>
      <c r="BB11" s="29"/>
      <c r="BC11" s="28"/>
      <c r="BD11" s="28"/>
    </row>
    <row r="12" spans="1:81">
      <c r="A12" s="37" t="s">
        <v>4</v>
      </c>
      <c r="B12" s="38">
        <v>31486.838049999998</v>
      </c>
      <c r="C12" s="39">
        <v>12.75</v>
      </c>
      <c r="E12" s="29"/>
      <c r="F12" s="29"/>
      <c r="G12" s="29"/>
      <c r="H12" s="29"/>
      <c r="I12" s="29"/>
      <c r="J12" s="29"/>
      <c r="K12" s="1"/>
      <c r="L12" s="29"/>
      <c r="M12" s="29"/>
      <c r="N12" s="29"/>
      <c r="O12" s="29"/>
      <c r="P12" s="29"/>
      <c r="Q12" s="29"/>
      <c r="R12" s="29"/>
      <c r="S12" s="29"/>
      <c r="T12" s="39">
        <v>7.1154975000000009</v>
      </c>
      <c r="U12" s="29"/>
      <c r="V12" s="29"/>
      <c r="W12" s="1"/>
      <c r="X12" s="29"/>
      <c r="Y12" s="29"/>
      <c r="Z12" s="29"/>
      <c r="AA12" s="29"/>
      <c r="AB12" s="29"/>
      <c r="AC12" s="29"/>
      <c r="AD12" s="29"/>
      <c r="AE12" s="29"/>
      <c r="AF12" s="29"/>
      <c r="AG12" s="1"/>
      <c r="AH12" s="1"/>
      <c r="AI12" s="29" t="str">
        <f t="shared" si="0"/>
        <v/>
      </c>
      <c r="AK12" s="29"/>
      <c r="AL12" s="29"/>
      <c r="AM12" s="29"/>
      <c r="AN12" s="29"/>
      <c r="AO12" s="29"/>
      <c r="AP12" s="29"/>
      <c r="AQ12" s="29"/>
      <c r="AR12" s="29"/>
      <c r="AS12" s="62"/>
      <c r="AT12" s="62"/>
      <c r="AU12" s="62"/>
      <c r="AV12" s="62"/>
      <c r="AW12" s="62"/>
      <c r="AX12" s="62"/>
      <c r="AY12" s="29"/>
      <c r="AZ12" s="29"/>
      <c r="BA12" s="29"/>
      <c r="BB12" s="29"/>
      <c r="BC12" s="28"/>
      <c r="BD12" s="28"/>
    </row>
    <row r="13" spans="1:81">
      <c r="A13" s="37" t="s">
        <v>4</v>
      </c>
      <c r="B13" s="38">
        <v>31578.1486</v>
      </c>
      <c r="C13" s="39">
        <v>13</v>
      </c>
      <c r="E13" s="29"/>
      <c r="F13" s="29"/>
      <c r="G13" s="29"/>
      <c r="H13" s="29"/>
      <c r="I13" s="29"/>
      <c r="J13" s="29"/>
      <c r="K13" s="1"/>
      <c r="L13" s="29"/>
      <c r="M13" s="29"/>
      <c r="N13" s="29"/>
      <c r="O13" s="29"/>
      <c r="P13" s="29"/>
      <c r="Q13" s="29"/>
      <c r="R13" s="29"/>
      <c r="S13" s="29"/>
      <c r="T13" s="39">
        <v>6.4243674999999998</v>
      </c>
      <c r="U13" s="29"/>
      <c r="V13" s="29"/>
      <c r="W13" s="1"/>
      <c r="X13" s="29"/>
      <c r="Y13" s="29"/>
      <c r="Z13" s="29"/>
      <c r="AA13" s="29"/>
      <c r="AB13" s="29"/>
      <c r="AC13" s="29"/>
      <c r="AD13" s="29"/>
      <c r="AE13" s="29"/>
      <c r="AF13" s="29"/>
      <c r="AG13" s="1"/>
      <c r="AH13" s="1"/>
      <c r="AI13" s="29" t="str">
        <f t="shared" si="0"/>
        <v/>
      </c>
      <c r="AK13" s="29"/>
      <c r="AL13" s="29"/>
      <c r="AM13" s="29"/>
      <c r="AN13" s="29"/>
      <c r="AO13" s="29"/>
      <c r="AP13" s="29"/>
      <c r="AQ13" s="29"/>
      <c r="AR13" s="29"/>
      <c r="AS13" s="62"/>
      <c r="AT13" s="62"/>
      <c r="AU13" s="62"/>
      <c r="AV13" s="62"/>
      <c r="AW13" s="62"/>
      <c r="AX13" s="62"/>
      <c r="AY13" s="29"/>
      <c r="AZ13" s="29"/>
      <c r="BA13" s="29"/>
      <c r="BB13" s="29"/>
      <c r="BC13" s="28"/>
      <c r="BD13" s="28"/>
    </row>
    <row r="14" spans="1:81">
      <c r="A14" s="37" t="s">
        <v>4</v>
      </c>
      <c r="B14" s="38">
        <v>31669.459150000002</v>
      </c>
      <c r="C14" s="39">
        <v>13.25</v>
      </c>
      <c r="E14" s="29"/>
      <c r="F14" s="29"/>
      <c r="G14" s="29"/>
      <c r="H14" s="29"/>
      <c r="I14" s="29"/>
      <c r="J14" s="29"/>
      <c r="K14" s="1"/>
      <c r="L14" s="29"/>
      <c r="M14" s="29"/>
      <c r="N14" s="29"/>
      <c r="O14" s="29"/>
      <c r="P14" s="29"/>
      <c r="Q14" s="29"/>
      <c r="R14" s="29"/>
      <c r="S14" s="29"/>
      <c r="T14" s="39">
        <v>6.2830000000000004</v>
      </c>
      <c r="U14" s="29"/>
      <c r="V14" s="29"/>
      <c r="W14" s="1"/>
      <c r="X14" s="29"/>
      <c r="Y14" s="29"/>
      <c r="Z14" s="29"/>
      <c r="AA14" s="29"/>
      <c r="AB14" s="29"/>
      <c r="AC14" s="29"/>
      <c r="AD14" s="29"/>
      <c r="AE14" s="29"/>
      <c r="AF14" s="29"/>
      <c r="AG14" s="1"/>
      <c r="AH14" s="1"/>
      <c r="AI14" s="29" t="str">
        <f t="shared" si="0"/>
        <v/>
      </c>
      <c r="AK14" s="29"/>
      <c r="AL14" s="29"/>
      <c r="AM14" s="29"/>
      <c r="AN14" s="29"/>
      <c r="AO14" s="29"/>
      <c r="AP14" s="29"/>
      <c r="AQ14" s="29"/>
      <c r="AR14" s="29"/>
      <c r="AS14" s="62"/>
      <c r="AT14" s="62"/>
      <c r="AU14" s="62"/>
      <c r="AV14" s="62"/>
      <c r="AW14" s="62"/>
      <c r="AX14" s="62"/>
      <c r="AY14" s="29"/>
      <c r="AZ14" s="29"/>
      <c r="BA14" s="29"/>
      <c r="BB14" s="29"/>
      <c r="BC14" s="28"/>
      <c r="BD14" s="28"/>
    </row>
    <row r="15" spans="1:81">
      <c r="A15" s="37" t="s">
        <v>4</v>
      </c>
      <c r="B15" s="38">
        <v>31760.769700000001</v>
      </c>
      <c r="C15" s="39">
        <v>13.5</v>
      </c>
      <c r="E15" s="29"/>
      <c r="F15" s="29"/>
      <c r="G15" s="29"/>
      <c r="H15" s="29"/>
      <c r="I15" s="29"/>
      <c r="J15" s="29"/>
      <c r="K15" s="1"/>
      <c r="L15" s="29"/>
      <c r="M15" s="29"/>
      <c r="N15" s="29"/>
      <c r="O15" s="29"/>
      <c r="P15" s="29"/>
      <c r="Q15" s="29"/>
      <c r="R15" s="29"/>
      <c r="S15" s="29"/>
      <c r="T15" s="39">
        <v>7.1940350000000004</v>
      </c>
      <c r="U15" s="29"/>
      <c r="V15" s="29"/>
      <c r="W15" s="1"/>
      <c r="X15" s="29"/>
      <c r="Y15" s="29"/>
      <c r="Z15" s="29"/>
      <c r="AA15" s="29"/>
      <c r="AB15" s="29"/>
      <c r="AC15" s="29"/>
      <c r="AD15" s="29"/>
      <c r="AE15" s="29"/>
      <c r="AF15" s="29"/>
      <c r="AG15" s="1"/>
      <c r="AH15" s="1"/>
      <c r="AI15" s="29" t="str">
        <f t="shared" si="0"/>
        <v/>
      </c>
      <c r="AK15" s="29"/>
      <c r="AL15" s="29"/>
      <c r="AM15" s="29"/>
      <c r="AN15" s="29"/>
      <c r="AO15" s="29"/>
      <c r="AP15" s="29"/>
      <c r="AQ15" s="29"/>
      <c r="AR15" s="29"/>
      <c r="AS15" s="62"/>
      <c r="AT15" s="62"/>
      <c r="AU15" s="62"/>
      <c r="AV15" s="62"/>
      <c r="AW15" s="62"/>
      <c r="AX15" s="62"/>
      <c r="AY15" s="29"/>
      <c r="AZ15" s="29"/>
      <c r="BA15" s="29"/>
      <c r="BB15" s="29"/>
      <c r="BC15" s="28"/>
      <c r="BD15" s="28"/>
    </row>
    <row r="16" spans="1:81">
      <c r="A16" s="37" t="s">
        <v>4</v>
      </c>
      <c r="B16" s="38">
        <v>31852.080249999999</v>
      </c>
      <c r="C16" s="39">
        <v>13.75</v>
      </c>
      <c r="E16" s="29"/>
      <c r="F16" s="29"/>
      <c r="G16" s="29"/>
      <c r="H16" s="29"/>
      <c r="I16" s="29"/>
      <c r="J16" s="29"/>
      <c r="K16" s="1"/>
      <c r="L16" s="29"/>
      <c r="M16" s="29"/>
      <c r="N16" s="29"/>
      <c r="O16" s="29"/>
      <c r="P16" s="29"/>
      <c r="Q16" s="29"/>
      <c r="R16" s="29"/>
      <c r="S16" s="29"/>
      <c r="T16" s="39">
        <v>7.8223350000000007</v>
      </c>
      <c r="U16" s="29"/>
      <c r="V16" s="29"/>
      <c r="W16" s="1"/>
      <c r="X16" s="29"/>
      <c r="Y16" s="29"/>
      <c r="Z16" s="29"/>
      <c r="AA16" s="29"/>
      <c r="AB16" s="29"/>
      <c r="AC16" s="29"/>
      <c r="AD16" s="29"/>
      <c r="AE16" s="29"/>
      <c r="AF16" s="29"/>
      <c r="AG16" s="1"/>
      <c r="AH16" s="1"/>
      <c r="AI16" s="29" t="str">
        <f t="shared" si="0"/>
        <v/>
      </c>
      <c r="AK16" s="29"/>
      <c r="AL16" s="29"/>
      <c r="AM16" s="29"/>
      <c r="AN16" s="29"/>
      <c r="AO16" s="29"/>
      <c r="AP16" s="29"/>
      <c r="AQ16" s="29"/>
      <c r="AR16" s="29"/>
      <c r="AS16" s="62"/>
      <c r="AT16" s="62"/>
      <c r="AU16" s="62"/>
      <c r="AV16" s="62"/>
      <c r="AW16" s="62"/>
      <c r="AX16" s="62"/>
      <c r="AY16" s="29"/>
      <c r="AZ16" s="29"/>
      <c r="BA16" s="29"/>
      <c r="BB16" s="29"/>
      <c r="BC16" s="28"/>
      <c r="BD16" s="28"/>
    </row>
    <row r="17" spans="1:56">
      <c r="A17" s="37" t="s">
        <v>4</v>
      </c>
      <c r="B17" s="38">
        <v>31943.390800000001</v>
      </c>
      <c r="C17" s="39">
        <v>14</v>
      </c>
      <c r="E17" s="29"/>
      <c r="F17" s="29"/>
      <c r="G17" s="29"/>
      <c r="H17" s="29"/>
      <c r="I17" s="29"/>
      <c r="J17" s="29"/>
      <c r="K17" s="1"/>
      <c r="L17" s="29"/>
      <c r="M17" s="29"/>
      <c r="N17" s="29"/>
      <c r="O17" s="29"/>
      <c r="P17" s="29"/>
      <c r="Q17" s="29"/>
      <c r="R17" s="29"/>
      <c r="S17" s="29"/>
      <c r="T17" s="39">
        <v>7.2254499999999995</v>
      </c>
      <c r="U17" s="29"/>
      <c r="V17" s="29"/>
      <c r="W17" s="1"/>
      <c r="X17" s="29"/>
      <c r="Y17" s="29"/>
      <c r="Z17" s="29"/>
      <c r="AA17" s="29"/>
      <c r="AB17" s="29"/>
      <c r="AC17" s="29"/>
      <c r="AD17" s="29"/>
      <c r="AE17" s="29"/>
      <c r="AF17" s="29"/>
      <c r="AG17" s="1"/>
      <c r="AH17" s="1"/>
      <c r="AI17" s="29" t="str">
        <f t="shared" si="0"/>
        <v/>
      </c>
      <c r="AK17" s="29"/>
      <c r="AL17" s="29"/>
      <c r="AM17" s="29"/>
      <c r="AN17" s="29"/>
      <c r="AO17" s="29"/>
      <c r="AP17" s="29"/>
      <c r="AQ17" s="29"/>
      <c r="AR17" s="29"/>
      <c r="AS17" s="62"/>
      <c r="AT17" s="62"/>
      <c r="AU17" s="62"/>
      <c r="AV17" s="62"/>
      <c r="AW17" s="62"/>
      <c r="AX17" s="62"/>
      <c r="AY17" s="29"/>
      <c r="AZ17" s="29"/>
      <c r="BA17" s="29"/>
      <c r="BB17" s="29"/>
      <c r="BC17" s="28"/>
      <c r="BD17" s="28"/>
    </row>
    <row r="18" spans="1:56">
      <c r="A18" s="37" t="s">
        <v>4</v>
      </c>
      <c r="B18" s="38">
        <v>32034.701349999999</v>
      </c>
      <c r="C18" s="39">
        <v>14.25</v>
      </c>
      <c r="E18" s="29"/>
      <c r="F18" s="29"/>
      <c r="G18" s="29"/>
      <c r="H18" s="29"/>
      <c r="I18" s="29"/>
      <c r="J18" s="29"/>
      <c r="K18" s="1"/>
      <c r="L18" s="29"/>
      <c r="M18" s="29"/>
      <c r="N18" s="29"/>
      <c r="O18" s="29"/>
      <c r="P18" s="29"/>
      <c r="Q18" s="29"/>
      <c r="R18" s="29"/>
      <c r="S18" s="29"/>
      <c r="T18" s="39">
        <v>6.989837500000001</v>
      </c>
      <c r="U18" s="29"/>
      <c r="V18" s="29"/>
      <c r="W18" s="1"/>
      <c r="X18" s="29"/>
      <c r="Y18" s="29"/>
      <c r="Z18" s="29"/>
      <c r="AA18" s="29"/>
      <c r="AB18" s="29"/>
      <c r="AC18" s="29"/>
      <c r="AD18" s="29"/>
      <c r="AE18" s="29"/>
      <c r="AF18" s="29"/>
      <c r="AG18" s="1"/>
      <c r="AH18" s="1"/>
      <c r="AI18" s="29" t="str">
        <f t="shared" si="0"/>
        <v/>
      </c>
      <c r="AK18" s="29"/>
      <c r="AL18" s="29"/>
      <c r="AM18" s="29"/>
      <c r="AN18" s="29"/>
      <c r="AO18" s="29"/>
      <c r="AP18" s="29"/>
      <c r="AQ18" s="29"/>
      <c r="AR18" s="29"/>
      <c r="AS18" s="62"/>
      <c r="AT18" s="62"/>
      <c r="AU18" s="62"/>
      <c r="AV18" s="62"/>
      <c r="AW18" s="62"/>
      <c r="AX18" s="62"/>
      <c r="AY18" s="29"/>
      <c r="AZ18" s="29"/>
      <c r="BA18" s="29"/>
      <c r="BB18" s="29"/>
      <c r="BC18" s="28"/>
      <c r="BD18" s="28"/>
    </row>
    <row r="19" spans="1:56">
      <c r="A19" s="37" t="s">
        <v>4</v>
      </c>
      <c r="B19" s="38">
        <v>32126.011900000001</v>
      </c>
      <c r="C19" s="39">
        <v>14.5</v>
      </c>
      <c r="E19" s="29"/>
      <c r="F19" s="29"/>
      <c r="G19" s="29"/>
      <c r="H19" s="29"/>
      <c r="I19" s="29"/>
      <c r="J19" s="29"/>
      <c r="K19" s="1"/>
      <c r="L19" s="29"/>
      <c r="M19" s="29"/>
      <c r="N19" s="29"/>
      <c r="O19" s="29"/>
      <c r="P19" s="29"/>
      <c r="Q19" s="29"/>
      <c r="R19" s="29"/>
      <c r="S19" s="29"/>
      <c r="T19" s="39">
        <v>8.6391249999999999</v>
      </c>
      <c r="U19" s="29"/>
      <c r="V19" s="29"/>
      <c r="W19" s="1"/>
      <c r="X19" s="29"/>
      <c r="Y19" s="29"/>
      <c r="Z19" s="29"/>
      <c r="AA19" s="29"/>
      <c r="AB19" s="29"/>
      <c r="AC19" s="29"/>
      <c r="AD19" s="29"/>
      <c r="AE19" s="29"/>
      <c r="AF19" s="29"/>
      <c r="AG19" s="1"/>
      <c r="AH19" s="1"/>
      <c r="AI19" s="29" t="str">
        <f t="shared" si="0"/>
        <v/>
      </c>
      <c r="AK19" s="29"/>
      <c r="AL19" s="29"/>
      <c r="AM19" s="29"/>
      <c r="AN19" s="29"/>
      <c r="AO19" s="29"/>
      <c r="AP19" s="29"/>
      <c r="AQ19" s="29"/>
      <c r="AR19" s="29"/>
      <c r="AS19" s="62"/>
      <c r="AT19" s="62"/>
      <c r="AU19" s="62"/>
      <c r="AV19" s="62"/>
      <c r="AW19" s="62"/>
      <c r="AX19" s="62"/>
      <c r="AY19" s="29"/>
      <c r="AZ19" s="29"/>
      <c r="BA19" s="29"/>
      <c r="BB19" s="29"/>
      <c r="BC19" s="28"/>
      <c r="BD19" s="28"/>
    </row>
    <row r="20" spans="1:56">
      <c r="A20" s="37" t="s">
        <v>4</v>
      </c>
      <c r="B20" s="38">
        <v>32217.32245</v>
      </c>
      <c r="C20" s="39">
        <v>14.75</v>
      </c>
      <c r="E20" s="29"/>
      <c r="F20" s="29"/>
      <c r="G20" s="29"/>
      <c r="H20" s="29"/>
      <c r="I20" s="29"/>
      <c r="J20" s="29"/>
      <c r="K20" s="1"/>
      <c r="L20" s="29"/>
      <c r="M20" s="29"/>
      <c r="N20" s="29"/>
      <c r="O20" s="29"/>
      <c r="P20" s="29"/>
      <c r="Q20" s="29"/>
      <c r="R20" s="29"/>
      <c r="S20" s="29"/>
      <c r="T20" s="39">
        <v>7.8537499999999998</v>
      </c>
      <c r="U20" s="29"/>
      <c r="V20" s="29"/>
      <c r="W20" s="1"/>
      <c r="X20" s="29"/>
      <c r="Y20" s="29"/>
      <c r="Z20" s="29"/>
      <c r="AA20" s="29"/>
      <c r="AB20" s="29"/>
      <c r="AC20" s="29"/>
      <c r="AD20" s="29"/>
      <c r="AE20" s="29"/>
      <c r="AF20" s="29"/>
      <c r="AG20" s="1"/>
      <c r="AH20" s="1"/>
      <c r="AI20" s="29" t="str">
        <f t="shared" si="0"/>
        <v/>
      </c>
      <c r="AK20" s="29"/>
      <c r="AL20" s="29"/>
      <c r="AM20" s="29"/>
      <c r="AN20" s="29"/>
      <c r="AO20" s="29"/>
      <c r="AP20" s="29"/>
      <c r="AQ20" s="29"/>
      <c r="AR20" s="29"/>
      <c r="AS20" s="62"/>
      <c r="AT20" s="62"/>
      <c r="AU20" s="62"/>
      <c r="AV20" s="62"/>
      <c r="AW20" s="62"/>
      <c r="AX20" s="62"/>
      <c r="AY20" s="29"/>
      <c r="AZ20" s="29"/>
      <c r="BA20" s="29"/>
      <c r="BB20" s="29"/>
      <c r="BC20" s="28"/>
      <c r="BD20" s="28"/>
    </row>
    <row r="21" spans="1:56">
      <c r="A21" s="37" t="s">
        <v>4</v>
      </c>
      <c r="B21" s="38">
        <v>32308.633000000002</v>
      </c>
      <c r="C21" s="39">
        <v>15</v>
      </c>
      <c r="E21" s="29"/>
      <c r="F21" s="29"/>
      <c r="G21" s="29"/>
      <c r="H21" s="29"/>
      <c r="I21" s="29"/>
      <c r="J21" s="29"/>
      <c r="K21" s="1"/>
      <c r="L21" s="29"/>
      <c r="M21" s="29"/>
      <c r="N21" s="29"/>
      <c r="O21" s="29"/>
      <c r="P21" s="29"/>
      <c r="Q21" s="29"/>
      <c r="R21" s="29"/>
      <c r="S21" s="29"/>
      <c r="T21" s="39">
        <v>7.0683750000000005</v>
      </c>
      <c r="U21" s="29"/>
      <c r="V21" s="29"/>
      <c r="W21" s="1"/>
      <c r="X21" s="29"/>
      <c r="Y21" s="29"/>
      <c r="Z21" s="29"/>
      <c r="AA21" s="29"/>
      <c r="AB21" s="29"/>
      <c r="AC21" s="29"/>
      <c r="AD21" s="29"/>
      <c r="AE21" s="29"/>
      <c r="AF21" s="29"/>
      <c r="AG21" s="1"/>
      <c r="AH21" s="1"/>
      <c r="AI21" s="29" t="str">
        <f t="shared" si="0"/>
        <v/>
      </c>
      <c r="AK21" s="29"/>
      <c r="AL21" s="29"/>
      <c r="AM21" s="29"/>
      <c r="AN21" s="29"/>
      <c r="AO21" s="29"/>
      <c r="AP21" s="29"/>
      <c r="AQ21" s="29"/>
      <c r="AR21" s="29"/>
      <c r="AS21" s="62"/>
      <c r="AT21" s="62"/>
      <c r="AU21" s="62"/>
      <c r="AV21" s="62"/>
      <c r="AW21" s="62"/>
      <c r="AX21" s="62"/>
      <c r="AY21" s="29"/>
      <c r="AZ21" s="29"/>
      <c r="BA21" s="29"/>
      <c r="BB21" s="29"/>
      <c r="BC21" s="28"/>
      <c r="BD21" s="28"/>
    </row>
    <row r="22" spans="1:56">
      <c r="A22" s="37" t="s">
        <v>4</v>
      </c>
      <c r="B22" s="38">
        <v>32399.94355</v>
      </c>
      <c r="C22" s="39">
        <v>15.25</v>
      </c>
      <c r="E22" s="29"/>
      <c r="F22" s="29"/>
      <c r="G22" s="29"/>
      <c r="H22" s="29"/>
      <c r="I22" s="29"/>
      <c r="J22" s="29"/>
      <c r="K22" s="1"/>
      <c r="L22" s="29"/>
      <c r="M22" s="29"/>
      <c r="N22" s="29"/>
      <c r="O22" s="29"/>
      <c r="P22" s="29"/>
      <c r="Q22" s="29"/>
      <c r="R22" s="29"/>
      <c r="S22" s="29"/>
      <c r="T22" s="39">
        <v>3.25</v>
      </c>
      <c r="U22" s="29"/>
      <c r="V22" s="29"/>
      <c r="W22" s="1"/>
      <c r="X22" s="29"/>
      <c r="Y22" s="29"/>
      <c r="Z22" s="29"/>
      <c r="AA22" s="29"/>
      <c r="AB22" s="29"/>
      <c r="AC22" s="29"/>
      <c r="AD22" s="29"/>
      <c r="AE22" s="29"/>
      <c r="AF22" s="29"/>
      <c r="AG22" s="1"/>
      <c r="AH22" s="1"/>
      <c r="AI22" s="29" t="str">
        <f t="shared" si="0"/>
        <v/>
      </c>
      <c r="AK22" s="29"/>
      <c r="AL22" s="29"/>
      <c r="AM22" s="29"/>
      <c r="AN22" s="29"/>
      <c r="AO22" s="29"/>
      <c r="AP22" s="29"/>
      <c r="AQ22" s="29"/>
      <c r="AR22" s="29"/>
      <c r="AS22" s="62"/>
      <c r="AT22" s="62"/>
      <c r="AU22" s="62"/>
      <c r="AV22" s="62"/>
      <c r="AW22" s="62"/>
      <c r="AX22" s="62"/>
      <c r="AY22" s="29"/>
      <c r="AZ22" s="29"/>
      <c r="BA22" s="29"/>
      <c r="BB22" s="29"/>
      <c r="BC22" s="28"/>
      <c r="BD22" s="28"/>
    </row>
    <row r="23" spans="1:56">
      <c r="A23" s="37" t="s">
        <v>4</v>
      </c>
      <c r="B23" s="38">
        <v>32491.254099999998</v>
      </c>
      <c r="C23" s="39">
        <v>15.5</v>
      </c>
      <c r="E23" s="29"/>
      <c r="F23" s="29"/>
      <c r="G23" s="29"/>
      <c r="H23" s="29"/>
      <c r="I23" s="29"/>
      <c r="J23" s="29"/>
      <c r="K23" s="1"/>
      <c r="L23" s="29"/>
      <c r="M23" s="29"/>
      <c r="N23" s="29"/>
      <c r="O23" s="29"/>
      <c r="P23" s="29"/>
      <c r="Q23" s="29"/>
      <c r="R23" s="29"/>
      <c r="S23" s="29"/>
      <c r="T23" s="39"/>
      <c r="U23" s="29"/>
      <c r="V23" s="29"/>
      <c r="W23" s="1"/>
      <c r="X23" s="29"/>
      <c r="Y23" s="29"/>
      <c r="Z23" s="29"/>
      <c r="AA23" s="29"/>
      <c r="AB23" s="29"/>
      <c r="AC23" s="29"/>
      <c r="AD23" s="29"/>
      <c r="AE23" s="29"/>
      <c r="AF23" s="29"/>
      <c r="AG23" s="1"/>
      <c r="AH23" s="1"/>
      <c r="AI23" s="29" t="str">
        <f t="shared" si="0"/>
        <v/>
      </c>
      <c r="AK23" s="29"/>
      <c r="AL23" s="29"/>
      <c r="AM23" s="29"/>
      <c r="AN23" s="29"/>
      <c r="AO23" s="29"/>
      <c r="AP23" s="29"/>
      <c r="AQ23" s="29"/>
      <c r="AR23" s="29"/>
      <c r="AS23" s="62"/>
      <c r="AT23" s="62"/>
      <c r="AU23" s="62"/>
      <c r="AV23" s="62"/>
      <c r="AW23" s="62"/>
      <c r="AX23" s="62"/>
      <c r="AY23" s="29"/>
      <c r="AZ23" s="29"/>
      <c r="BA23" s="29"/>
      <c r="BB23" s="29"/>
      <c r="BC23" s="28"/>
      <c r="BD23" s="28"/>
    </row>
    <row r="24" spans="1:56">
      <c r="A24" s="37" t="s">
        <v>4</v>
      </c>
      <c r="B24" s="38">
        <v>32582.56465</v>
      </c>
      <c r="C24" s="39">
        <v>15.75</v>
      </c>
      <c r="E24" s="29"/>
      <c r="F24" s="29"/>
      <c r="G24" s="29"/>
      <c r="H24" s="29"/>
      <c r="I24" s="29"/>
      <c r="J24" s="29"/>
      <c r="K24" s="1"/>
      <c r="L24" s="29"/>
      <c r="M24" s="29"/>
      <c r="N24" s="29"/>
      <c r="O24" s="29"/>
      <c r="P24" s="29"/>
      <c r="Q24" s="29"/>
      <c r="R24" s="29"/>
      <c r="S24" s="29"/>
      <c r="T24" s="39">
        <v>4.22</v>
      </c>
      <c r="U24" s="29"/>
      <c r="V24" s="29"/>
      <c r="W24" s="1"/>
      <c r="X24" s="29"/>
      <c r="Y24" s="29"/>
      <c r="Z24" s="29"/>
      <c r="AA24" s="29"/>
      <c r="AB24" s="29"/>
      <c r="AC24" s="29"/>
      <c r="AD24" s="29"/>
      <c r="AE24" s="29"/>
      <c r="AF24" s="29"/>
      <c r="AG24" s="1"/>
      <c r="AH24" s="1"/>
      <c r="AI24" s="29" t="str">
        <f t="shared" si="0"/>
        <v/>
      </c>
      <c r="AK24" s="29"/>
      <c r="AL24" s="29"/>
      <c r="AM24" s="29"/>
      <c r="AN24" s="29"/>
      <c r="AO24" s="29"/>
      <c r="AP24" s="29"/>
      <c r="AQ24" s="29"/>
      <c r="AR24" s="29"/>
      <c r="AS24" s="62"/>
      <c r="AT24" s="62"/>
      <c r="AU24" s="62"/>
      <c r="AV24" s="62"/>
      <c r="AW24" s="62"/>
      <c r="AX24" s="62"/>
      <c r="AY24" s="29"/>
      <c r="AZ24" s="29"/>
      <c r="BA24" s="29"/>
      <c r="BB24" s="29"/>
      <c r="BC24" s="28"/>
      <c r="BD24" s="28"/>
    </row>
    <row r="25" spans="1:56">
      <c r="A25" s="37" t="s">
        <v>4</v>
      </c>
      <c r="B25" s="38">
        <v>32673.875200000002</v>
      </c>
      <c r="C25" s="39">
        <v>16</v>
      </c>
      <c r="E25" s="29"/>
      <c r="F25" s="29"/>
      <c r="G25" s="29"/>
      <c r="H25" s="29"/>
      <c r="I25" s="29"/>
      <c r="J25" s="29"/>
      <c r="K25" s="1"/>
      <c r="L25" s="29"/>
      <c r="M25" s="29"/>
      <c r="N25" s="29"/>
      <c r="O25" s="29"/>
      <c r="P25" s="29"/>
      <c r="Q25" s="29"/>
      <c r="R25" s="29"/>
      <c r="S25" s="29"/>
      <c r="T25" s="39">
        <v>3.99</v>
      </c>
      <c r="U25" s="29"/>
      <c r="V25" s="29"/>
      <c r="W25" s="1"/>
      <c r="X25" s="29"/>
      <c r="Y25" s="29"/>
      <c r="Z25" s="29"/>
      <c r="AA25" s="29"/>
      <c r="AB25" s="29"/>
      <c r="AC25" s="29"/>
      <c r="AD25" s="29"/>
      <c r="AE25" s="29"/>
      <c r="AF25" s="29"/>
      <c r="AG25" s="1"/>
      <c r="AH25" s="1"/>
      <c r="AI25" s="29" t="str">
        <f t="shared" si="0"/>
        <v/>
      </c>
      <c r="AK25" s="29"/>
      <c r="AL25" s="29"/>
      <c r="AM25" s="29"/>
      <c r="AN25" s="29"/>
      <c r="AO25" s="29"/>
      <c r="AP25" s="29"/>
      <c r="AQ25" s="29"/>
      <c r="AR25" s="29"/>
      <c r="AS25" s="62"/>
      <c r="AT25" s="62"/>
      <c r="AU25" s="62"/>
      <c r="AV25" s="62"/>
      <c r="AW25" s="62"/>
      <c r="AX25" s="62"/>
      <c r="AY25" s="29"/>
      <c r="AZ25" s="29"/>
      <c r="BA25" s="29"/>
      <c r="BB25" s="29"/>
      <c r="BC25" s="28"/>
      <c r="BD25" s="28"/>
    </row>
    <row r="26" spans="1:56">
      <c r="A26" s="37" t="s">
        <v>4</v>
      </c>
      <c r="B26" s="38">
        <v>32765.185750000001</v>
      </c>
      <c r="C26" s="39">
        <v>16.25</v>
      </c>
      <c r="E26" s="29"/>
      <c r="F26" s="29"/>
      <c r="G26" s="29"/>
      <c r="H26" s="29"/>
      <c r="I26" s="29"/>
      <c r="J26" s="29"/>
      <c r="K26" s="1"/>
      <c r="L26" s="29"/>
      <c r="M26" s="29"/>
      <c r="N26" s="29"/>
      <c r="O26" s="29"/>
      <c r="P26" s="29"/>
      <c r="Q26" s="29"/>
      <c r="R26" s="29"/>
      <c r="S26" s="29"/>
      <c r="T26" s="39">
        <v>4.09</v>
      </c>
      <c r="U26" s="29"/>
      <c r="V26" s="29"/>
      <c r="W26" s="1"/>
      <c r="X26" s="29"/>
      <c r="Y26" s="29"/>
      <c r="Z26" s="29"/>
      <c r="AA26" s="29"/>
      <c r="AB26" s="29"/>
      <c r="AC26" s="29"/>
      <c r="AD26" s="29"/>
      <c r="AE26" s="29"/>
      <c r="AF26" s="29"/>
      <c r="AG26" s="1"/>
      <c r="AH26" s="1"/>
      <c r="AI26" s="29" t="str">
        <f t="shared" si="0"/>
        <v/>
      </c>
      <c r="AK26" s="29"/>
      <c r="AL26" s="29"/>
      <c r="AM26" s="29"/>
      <c r="AN26" s="29"/>
      <c r="AO26" s="29"/>
      <c r="AP26" s="29"/>
      <c r="AQ26" s="29"/>
      <c r="AR26" s="29"/>
      <c r="AS26" s="62"/>
      <c r="AT26" s="62"/>
      <c r="AU26" s="62"/>
      <c r="AV26" s="62"/>
      <c r="AW26" s="62"/>
      <c r="AX26" s="62"/>
      <c r="AY26" s="29"/>
      <c r="AZ26" s="29"/>
      <c r="BA26" s="29"/>
      <c r="BB26" s="29"/>
      <c r="BC26" s="28"/>
      <c r="BD26" s="28"/>
    </row>
    <row r="27" spans="1:56">
      <c r="A27" s="37" t="s">
        <v>4</v>
      </c>
      <c r="B27" s="38">
        <v>32856.496299999999</v>
      </c>
      <c r="C27" s="39">
        <v>16.5</v>
      </c>
      <c r="E27" s="29"/>
      <c r="F27" s="29"/>
      <c r="G27" s="29"/>
      <c r="H27" s="29"/>
      <c r="I27" s="29"/>
      <c r="J27" s="29"/>
      <c r="K27" s="1"/>
      <c r="L27" s="29"/>
      <c r="M27" s="29"/>
      <c r="N27" s="29"/>
      <c r="O27" s="29"/>
      <c r="P27" s="29"/>
      <c r="Q27" s="29"/>
      <c r="R27" s="29"/>
      <c r="S27" s="29"/>
      <c r="T27" s="39">
        <v>5.95</v>
      </c>
      <c r="U27" s="29"/>
      <c r="V27" s="29"/>
      <c r="W27" s="1"/>
      <c r="X27" s="29"/>
      <c r="Y27" s="29"/>
      <c r="Z27" s="29"/>
      <c r="AA27" s="29"/>
      <c r="AB27" s="29"/>
      <c r="AC27" s="29"/>
      <c r="AD27" s="29"/>
      <c r="AE27" s="29"/>
      <c r="AF27" s="29"/>
      <c r="AG27" s="1"/>
      <c r="AH27" s="1"/>
      <c r="AI27" s="29" t="str">
        <f t="shared" si="0"/>
        <v/>
      </c>
      <c r="AK27" s="29"/>
      <c r="AL27" s="29"/>
      <c r="AM27" s="29"/>
      <c r="AN27" s="29"/>
      <c r="AO27" s="29"/>
      <c r="AP27" s="29"/>
      <c r="AQ27" s="29"/>
      <c r="AR27" s="29"/>
      <c r="AS27" s="62"/>
      <c r="AT27" s="62"/>
      <c r="AU27" s="62"/>
      <c r="AV27" s="62"/>
      <c r="AW27" s="62"/>
      <c r="AX27" s="62"/>
      <c r="AY27" s="29"/>
      <c r="AZ27" s="29"/>
      <c r="BA27" s="29"/>
      <c r="BB27" s="29"/>
      <c r="BC27" s="28"/>
      <c r="BD27" s="28"/>
    </row>
    <row r="28" spans="1:56">
      <c r="A28" s="37" t="s">
        <v>4</v>
      </c>
      <c r="B28" s="38">
        <v>32947.806850000001</v>
      </c>
      <c r="C28" s="39">
        <v>16.75</v>
      </c>
      <c r="E28" s="29"/>
      <c r="F28" s="29"/>
      <c r="G28" s="29"/>
      <c r="H28" s="29"/>
      <c r="I28" s="29"/>
      <c r="J28" s="29"/>
      <c r="K28" s="1"/>
      <c r="L28" s="29"/>
      <c r="M28" s="29"/>
      <c r="N28" s="29"/>
      <c r="O28" s="29"/>
      <c r="P28" s="29"/>
      <c r="Q28" s="29"/>
      <c r="R28" s="29"/>
      <c r="S28" s="29"/>
      <c r="T28" s="39">
        <v>4.71</v>
      </c>
      <c r="U28" s="29"/>
      <c r="V28" s="29"/>
      <c r="W28" s="1"/>
      <c r="X28" s="29"/>
      <c r="Y28" s="29"/>
      <c r="Z28" s="29"/>
      <c r="AA28" s="29"/>
      <c r="AB28" s="29"/>
      <c r="AC28" s="29"/>
      <c r="AD28" s="29"/>
      <c r="AE28" s="29"/>
      <c r="AF28" s="29"/>
      <c r="AG28" s="1"/>
      <c r="AH28" s="1"/>
      <c r="AI28" s="29" t="str">
        <f t="shared" si="0"/>
        <v/>
      </c>
      <c r="AK28" s="29"/>
      <c r="AL28" s="29"/>
      <c r="AM28" s="29"/>
      <c r="AN28" s="29"/>
      <c r="AO28" s="29"/>
      <c r="AP28" s="29"/>
      <c r="AQ28" s="29"/>
      <c r="AR28" s="29"/>
      <c r="AS28" s="62"/>
      <c r="AT28" s="62"/>
      <c r="AU28" s="62"/>
      <c r="AV28" s="62"/>
      <c r="AW28" s="62"/>
      <c r="AX28" s="62"/>
      <c r="AY28" s="29"/>
      <c r="AZ28" s="29"/>
      <c r="BA28" s="29"/>
      <c r="BB28" s="29"/>
      <c r="BC28" s="28"/>
      <c r="BD28" s="28"/>
    </row>
    <row r="29" spans="1:56">
      <c r="A29" s="37" t="s">
        <v>4</v>
      </c>
      <c r="B29" s="38">
        <v>33039.117400000003</v>
      </c>
      <c r="C29" s="39">
        <v>17</v>
      </c>
      <c r="E29" s="29"/>
      <c r="F29" s="29"/>
      <c r="G29" s="29"/>
      <c r="H29" s="29"/>
      <c r="I29" s="29"/>
      <c r="J29" s="29"/>
      <c r="K29" s="1"/>
      <c r="L29" s="29"/>
      <c r="M29" s="29"/>
      <c r="N29" s="29"/>
      <c r="O29" s="29"/>
      <c r="P29" s="29"/>
      <c r="Q29" s="29"/>
      <c r="R29" s="29"/>
      <c r="S29" s="29"/>
      <c r="T29" s="39">
        <v>3.88</v>
      </c>
      <c r="U29" s="29"/>
      <c r="V29" s="29"/>
      <c r="W29" s="1"/>
      <c r="X29" s="29"/>
      <c r="Y29" s="29"/>
      <c r="Z29" s="29"/>
      <c r="AA29" s="29"/>
      <c r="AB29" s="29"/>
      <c r="AC29" s="29"/>
      <c r="AD29" s="29"/>
      <c r="AE29" s="29"/>
      <c r="AF29" s="29"/>
      <c r="AG29" s="1"/>
      <c r="AH29" s="1"/>
      <c r="AI29" s="29" t="str">
        <f t="shared" si="0"/>
        <v/>
      </c>
      <c r="AK29" s="29"/>
      <c r="AL29" s="29"/>
      <c r="AM29" s="29"/>
      <c r="AN29" s="29"/>
      <c r="AO29" s="29"/>
      <c r="AP29" s="29"/>
      <c r="AQ29" s="29"/>
      <c r="AR29" s="29"/>
      <c r="AS29" s="62"/>
      <c r="AT29" s="62"/>
      <c r="AU29" s="62"/>
      <c r="AV29" s="62"/>
      <c r="AW29" s="62"/>
      <c r="AX29" s="62"/>
      <c r="AY29" s="29"/>
      <c r="AZ29" s="29"/>
      <c r="BA29" s="29"/>
      <c r="BB29" s="29"/>
      <c r="BC29" s="28"/>
      <c r="BD29" s="28"/>
    </row>
    <row r="30" spans="1:56">
      <c r="A30" s="37" t="s">
        <v>4</v>
      </c>
      <c r="B30" s="38">
        <v>33130.427949999998</v>
      </c>
      <c r="C30" s="39">
        <v>17.25</v>
      </c>
      <c r="E30" s="29"/>
      <c r="F30" s="29"/>
      <c r="G30" s="29"/>
      <c r="H30" s="29"/>
      <c r="I30" s="29"/>
      <c r="J30" s="29"/>
      <c r="K30" s="1"/>
      <c r="L30" s="29"/>
      <c r="M30" s="29"/>
      <c r="N30" s="29"/>
      <c r="O30" s="29"/>
      <c r="P30" s="29"/>
      <c r="Q30" s="29"/>
      <c r="R30" s="29"/>
      <c r="S30" s="29"/>
      <c r="T30" s="39">
        <v>4.2699999999999996</v>
      </c>
      <c r="U30" s="29"/>
      <c r="V30" s="29"/>
      <c r="W30" s="1"/>
      <c r="X30" s="29"/>
      <c r="Y30" s="29"/>
      <c r="Z30" s="29"/>
      <c r="AA30" s="29"/>
      <c r="AB30" s="29"/>
      <c r="AC30" s="29"/>
      <c r="AD30" s="29"/>
      <c r="AE30" s="29"/>
      <c r="AF30" s="29"/>
      <c r="AG30" s="1"/>
      <c r="AH30" s="1"/>
      <c r="AI30" s="29" t="str">
        <f t="shared" si="0"/>
        <v/>
      </c>
      <c r="AK30" s="29"/>
      <c r="AL30" s="29"/>
      <c r="AM30" s="29"/>
      <c r="AN30" s="29"/>
      <c r="AO30" s="29"/>
      <c r="AP30" s="29"/>
      <c r="AQ30" s="29"/>
      <c r="AR30" s="29"/>
      <c r="AS30" s="62"/>
      <c r="AT30" s="62"/>
      <c r="AU30" s="62"/>
      <c r="AV30" s="62"/>
      <c r="AW30" s="62"/>
      <c r="AX30" s="62"/>
      <c r="AY30" s="29"/>
      <c r="AZ30" s="29"/>
      <c r="BA30" s="29"/>
      <c r="BB30" s="29"/>
      <c r="BC30" s="28"/>
      <c r="BD30" s="28"/>
    </row>
    <row r="31" spans="1:56">
      <c r="A31" s="37" t="s">
        <v>4</v>
      </c>
      <c r="B31" s="38">
        <v>33221.738499999999</v>
      </c>
      <c r="C31" s="39">
        <v>17.5</v>
      </c>
      <c r="E31" s="29"/>
      <c r="F31" s="29"/>
      <c r="G31" s="29"/>
      <c r="H31" s="29"/>
      <c r="I31" s="29"/>
      <c r="J31" s="29"/>
      <c r="K31" s="1"/>
      <c r="L31" s="29"/>
      <c r="M31" s="29"/>
      <c r="N31" s="29"/>
      <c r="O31" s="29"/>
      <c r="P31" s="29"/>
      <c r="Q31" s="29"/>
      <c r="R31" s="29"/>
      <c r="S31" s="29"/>
      <c r="T31" s="39">
        <v>4.3499999999999996</v>
      </c>
      <c r="U31" s="29"/>
      <c r="V31" s="29"/>
      <c r="W31" s="1"/>
      <c r="X31" s="29"/>
      <c r="Y31" s="29"/>
      <c r="Z31" s="29"/>
      <c r="AA31" s="29"/>
      <c r="AB31" s="29"/>
      <c r="AC31" s="29"/>
      <c r="AD31" s="29"/>
      <c r="AE31" s="29"/>
      <c r="AF31" s="29"/>
      <c r="AG31" s="1"/>
      <c r="AH31" s="1"/>
      <c r="AI31" s="29" t="str">
        <f t="shared" si="0"/>
        <v/>
      </c>
      <c r="AK31" s="29"/>
      <c r="AL31" s="29"/>
      <c r="AM31" s="29"/>
      <c r="AN31" s="29"/>
      <c r="AO31" s="29"/>
      <c r="AP31" s="29"/>
      <c r="AQ31" s="29"/>
      <c r="AR31" s="29"/>
      <c r="AS31" s="62"/>
      <c r="AT31" s="62"/>
      <c r="AU31" s="62"/>
      <c r="AV31" s="62"/>
      <c r="AW31" s="62"/>
      <c r="AX31" s="62"/>
      <c r="AY31" s="29"/>
      <c r="AZ31" s="29"/>
      <c r="BA31" s="29"/>
      <c r="BB31" s="29"/>
      <c r="BC31" s="28"/>
      <c r="BD31" s="28"/>
    </row>
    <row r="32" spans="1:56">
      <c r="A32" s="37" t="s">
        <v>4</v>
      </c>
      <c r="B32" s="38">
        <v>33313.049050000001</v>
      </c>
      <c r="C32" s="39">
        <v>17.75</v>
      </c>
      <c r="E32" s="29"/>
      <c r="F32" s="29"/>
      <c r="G32" s="29"/>
      <c r="H32" s="29"/>
      <c r="I32" s="29"/>
      <c r="J32" s="29"/>
      <c r="K32" s="1"/>
      <c r="L32" s="29"/>
      <c r="M32" s="29"/>
      <c r="N32" s="29"/>
      <c r="O32" s="29"/>
      <c r="P32" s="29"/>
      <c r="Q32" s="29"/>
      <c r="R32" s="29"/>
      <c r="S32" s="29"/>
      <c r="T32" s="39">
        <v>4.87</v>
      </c>
      <c r="U32" s="29"/>
      <c r="V32" s="29"/>
      <c r="W32" s="1"/>
      <c r="X32" s="29"/>
      <c r="Y32" s="29"/>
      <c r="Z32" s="29"/>
      <c r="AA32" s="29"/>
      <c r="AB32" s="29"/>
      <c r="AC32" s="29"/>
      <c r="AD32" s="29"/>
      <c r="AE32" s="29"/>
      <c r="AF32" s="29"/>
      <c r="AG32" s="1"/>
      <c r="AH32" s="1"/>
      <c r="AI32" s="29" t="str">
        <f t="shared" si="0"/>
        <v/>
      </c>
      <c r="AK32" s="29"/>
      <c r="AL32" s="29"/>
      <c r="AM32" s="29"/>
      <c r="AN32" s="29"/>
      <c r="AO32" s="29"/>
      <c r="AP32" s="29"/>
      <c r="AQ32" s="29"/>
      <c r="AR32" s="29"/>
      <c r="AS32" s="62"/>
      <c r="AT32" s="62"/>
      <c r="AU32" s="62"/>
      <c r="AV32" s="62"/>
      <c r="AW32" s="62"/>
      <c r="AX32" s="62"/>
      <c r="AY32" s="29"/>
      <c r="AZ32" s="29"/>
      <c r="BA32" s="29"/>
      <c r="BB32" s="29"/>
      <c r="BC32" s="28"/>
      <c r="BD32" s="28"/>
    </row>
    <row r="33" spans="1:56">
      <c r="A33" s="37" t="s">
        <v>4</v>
      </c>
      <c r="B33" s="38">
        <v>33404.359600000003</v>
      </c>
      <c r="C33" s="39">
        <v>18</v>
      </c>
      <c r="E33" s="29"/>
      <c r="F33" s="29"/>
      <c r="G33" s="29"/>
      <c r="H33" s="29"/>
      <c r="I33" s="29"/>
      <c r="J33" s="29"/>
      <c r="K33" s="1"/>
      <c r="L33" s="29"/>
      <c r="M33" s="29"/>
      <c r="N33" s="29"/>
      <c r="O33" s="29"/>
      <c r="P33" s="29"/>
      <c r="Q33" s="29"/>
      <c r="R33" s="29"/>
      <c r="S33" s="29"/>
      <c r="T33" s="39">
        <v>4.7300000000000004</v>
      </c>
      <c r="U33" s="29"/>
      <c r="V33" s="29"/>
      <c r="W33" s="1"/>
      <c r="X33" s="29"/>
      <c r="Y33" s="29"/>
      <c r="Z33" s="29"/>
      <c r="AA33" s="29"/>
      <c r="AB33" s="29"/>
      <c r="AC33" s="29"/>
      <c r="AD33" s="29"/>
      <c r="AE33" s="29"/>
      <c r="AF33" s="29"/>
      <c r="AG33" s="1"/>
      <c r="AH33" s="1"/>
      <c r="AI33" s="29" t="str">
        <f t="shared" si="0"/>
        <v/>
      </c>
      <c r="AK33" s="29"/>
      <c r="AL33" s="29"/>
      <c r="AM33" s="29"/>
      <c r="AN33" s="29"/>
      <c r="AO33" s="29"/>
      <c r="AP33" s="29"/>
      <c r="AQ33" s="29"/>
      <c r="AR33" s="29"/>
      <c r="AS33" s="62"/>
      <c r="AT33" s="62"/>
      <c r="AU33" s="62"/>
      <c r="AV33" s="62"/>
      <c r="AW33" s="62"/>
      <c r="AX33" s="62"/>
      <c r="AY33" s="29"/>
      <c r="AZ33" s="29"/>
      <c r="BA33" s="29"/>
      <c r="BB33" s="29"/>
      <c r="BC33" s="28"/>
      <c r="BD33" s="28"/>
    </row>
    <row r="34" spans="1:56">
      <c r="A34" s="37" t="s">
        <v>4</v>
      </c>
      <c r="B34" s="38">
        <v>33495.670149999998</v>
      </c>
      <c r="C34" s="39">
        <v>18.25</v>
      </c>
      <c r="E34" s="29"/>
      <c r="F34" s="29"/>
      <c r="G34" s="29"/>
      <c r="H34" s="29"/>
      <c r="I34" s="29"/>
      <c r="J34" s="29"/>
      <c r="K34" s="1"/>
      <c r="L34" s="29"/>
      <c r="M34" s="29"/>
      <c r="N34" s="29"/>
      <c r="O34" s="29"/>
      <c r="P34" s="29"/>
      <c r="Q34" s="29"/>
      <c r="R34" s="29"/>
      <c r="S34" s="29"/>
      <c r="T34" s="39">
        <v>4.57</v>
      </c>
      <c r="U34" s="29"/>
      <c r="V34" s="29"/>
      <c r="W34" s="1"/>
      <c r="X34" s="29"/>
      <c r="Y34" s="29"/>
      <c r="Z34" s="29"/>
      <c r="AA34" s="29"/>
      <c r="AB34" s="29"/>
      <c r="AC34" s="29"/>
      <c r="AD34" s="29"/>
      <c r="AE34" s="29"/>
      <c r="AF34" s="29"/>
      <c r="AG34" s="1"/>
      <c r="AH34" s="1"/>
      <c r="AI34" s="29" t="str">
        <f t="shared" si="0"/>
        <v/>
      </c>
      <c r="AK34" s="29"/>
      <c r="AL34" s="29"/>
      <c r="AM34" s="29"/>
      <c r="AN34" s="29"/>
      <c r="AO34" s="29"/>
      <c r="AP34" s="29"/>
      <c r="AQ34" s="29"/>
      <c r="AR34" s="29"/>
      <c r="AS34" s="62"/>
      <c r="AT34" s="62"/>
      <c r="AU34" s="62"/>
      <c r="AV34" s="62"/>
      <c r="AW34" s="62"/>
      <c r="AX34" s="62"/>
      <c r="AY34" s="29"/>
      <c r="AZ34" s="29"/>
      <c r="BA34" s="29"/>
      <c r="BB34" s="29"/>
      <c r="BC34" s="28"/>
      <c r="BD34" s="28"/>
    </row>
    <row r="35" spans="1:56">
      <c r="A35" s="37" t="s">
        <v>4</v>
      </c>
      <c r="B35" s="38">
        <v>33586.9807</v>
      </c>
      <c r="C35" s="39">
        <v>18.5</v>
      </c>
      <c r="E35" s="29"/>
      <c r="F35" s="29"/>
      <c r="G35" s="29"/>
      <c r="H35" s="29"/>
      <c r="I35" s="29"/>
      <c r="J35" s="29"/>
      <c r="K35" s="1"/>
      <c r="L35" s="29"/>
      <c r="M35" s="29"/>
      <c r="N35" s="29"/>
      <c r="O35" s="29"/>
      <c r="P35" s="29"/>
      <c r="Q35" s="29"/>
      <c r="R35" s="29"/>
      <c r="S35" s="29"/>
      <c r="T35" s="39"/>
      <c r="U35" s="29"/>
      <c r="V35" s="29"/>
      <c r="W35" s="1"/>
      <c r="X35" s="29"/>
      <c r="Y35" s="29"/>
      <c r="Z35" s="29"/>
      <c r="AA35" s="29"/>
      <c r="AB35" s="29"/>
      <c r="AC35" s="29"/>
      <c r="AD35" s="29"/>
      <c r="AE35" s="29"/>
      <c r="AF35" s="29"/>
      <c r="AG35" s="1"/>
      <c r="AH35" s="1"/>
      <c r="AI35" s="29" t="str">
        <f t="shared" si="0"/>
        <v/>
      </c>
      <c r="AK35" s="29"/>
      <c r="AL35" s="29"/>
      <c r="AM35" s="29"/>
      <c r="AN35" s="29"/>
      <c r="AO35" s="29"/>
      <c r="AP35" s="29"/>
      <c r="AQ35" s="29"/>
      <c r="AR35" s="29"/>
      <c r="AS35" s="62"/>
      <c r="AT35" s="62"/>
      <c r="AU35" s="62"/>
      <c r="AV35" s="62"/>
      <c r="AW35" s="62"/>
      <c r="AX35" s="62"/>
      <c r="AY35" s="29"/>
      <c r="AZ35" s="29"/>
      <c r="BA35" s="29"/>
      <c r="BB35" s="29"/>
      <c r="BC35" s="28"/>
      <c r="BD35" s="28"/>
    </row>
    <row r="36" spans="1:56">
      <c r="A36" s="37" t="s">
        <v>4</v>
      </c>
      <c r="B36" s="38">
        <v>33678.291250000002</v>
      </c>
      <c r="C36" s="39">
        <v>18.75</v>
      </c>
      <c r="E36" s="29"/>
      <c r="F36" s="29"/>
      <c r="G36" s="29"/>
      <c r="H36" s="29"/>
      <c r="I36" s="29"/>
      <c r="J36" s="29"/>
      <c r="K36" s="1"/>
      <c r="L36" s="29"/>
      <c r="M36" s="29"/>
      <c r="N36" s="29"/>
      <c r="O36" s="29"/>
      <c r="P36" s="29"/>
      <c r="Q36" s="29"/>
      <c r="R36" s="29"/>
      <c r="S36" s="29"/>
      <c r="T36" s="39">
        <v>4.8600000000000003</v>
      </c>
      <c r="U36" s="29"/>
      <c r="V36" s="29"/>
      <c r="W36" s="1"/>
      <c r="X36" s="29"/>
      <c r="Y36" s="29"/>
      <c r="Z36" s="29"/>
      <c r="AA36" s="29"/>
      <c r="AB36" s="29"/>
      <c r="AC36" s="29"/>
      <c r="AD36" s="29"/>
      <c r="AE36" s="29"/>
      <c r="AF36" s="29"/>
      <c r="AG36" s="1"/>
      <c r="AH36" s="1"/>
      <c r="AI36" s="29" t="str">
        <f t="shared" si="0"/>
        <v/>
      </c>
      <c r="AK36" s="29"/>
      <c r="AL36" s="29"/>
      <c r="AM36" s="29"/>
      <c r="AN36" s="29"/>
      <c r="AO36" s="29"/>
      <c r="AP36" s="29"/>
      <c r="AQ36" s="29"/>
      <c r="AR36" s="29"/>
      <c r="AS36" s="62"/>
      <c r="AT36" s="62"/>
      <c r="AU36" s="62"/>
      <c r="AV36" s="62"/>
      <c r="AW36" s="62"/>
      <c r="AX36" s="62"/>
      <c r="AY36" s="29"/>
      <c r="AZ36" s="29"/>
      <c r="BA36" s="29"/>
      <c r="BB36" s="29"/>
      <c r="BC36" s="28"/>
      <c r="BD36" s="28"/>
    </row>
    <row r="37" spans="1:56">
      <c r="A37" s="37" t="s">
        <v>4</v>
      </c>
      <c r="B37" s="38">
        <v>33769.601800000004</v>
      </c>
      <c r="C37" s="39">
        <v>19</v>
      </c>
      <c r="E37" s="29"/>
      <c r="F37" s="29"/>
      <c r="G37" s="29"/>
      <c r="H37" s="29"/>
      <c r="I37" s="29"/>
      <c r="J37" s="29"/>
      <c r="K37" s="1"/>
      <c r="L37" s="29"/>
      <c r="M37" s="29"/>
      <c r="N37" s="29"/>
      <c r="O37" s="29"/>
      <c r="P37" s="29"/>
      <c r="Q37" s="29"/>
      <c r="R37" s="29"/>
      <c r="S37" s="29"/>
      <c r="T37" s="39">
        <v>4.97</v>
      </c>
      <c r="U37" s="29"/>
      <c r="V37" s="29"/>
      <c r="W37" s="1"/>
      <c r="X37" s="29"/>
      <c r="Y37" s="29"/>
      <c r="Z37" s="29"/>
      <c r="AA37" s="29"/>
      <c r="AB37" s="29"/>
      <c r="AC37" s="29"/>
      <c r="AD37" s="29"/>
      <c r="AE37" s="29"/>
      <c r="AF37" s="29"/>
      <c r="AG37" s="1"/>
      <c r="AH37" s="1"/>
      <c r="AI37" s="29" t="str">
        <f t="shared" si="0"/>
        <v/>
      </c>
      <c r="AK37" s="29"/>
      <c r="AL37" s="29"/>
      <c r="AM37" s="29"/>
      <c r="AN37" s="29"/>
      <c r="AO37" s="29"/>
      <c r="AP37" s="29"/>
      <c r="AQ37" s="29"/>
      <c r="AR37" s="29"/>
      <c r="AS37" s="62"/>
      <c r="AT37" s="62"/>
      <c r="AU37" s="62"/>
      <c r="AV37" s="62"/>
      <c r="AW37" s="62"/>
      <c r="AX37" s="62"/>
      <c r="AY37" s="29"/>
      <c r="AZ37" s="29"/>
      <c r="BA37" s="29"/>
      <c r="BB37" s="29"/>
      <c r="BC37" s="28"/>
      <c r="BD37" s="28"/>
    </row>
    <row r="38" spans="1:56">
      <c r="A38" s="37" t="s">
        <v>4</v>
      </c>
      <c r="B38" s="38">
        <v>34134.843999999997</v>
      </c>
      <c r="C38" s="39">
        <v>20</v>
      </c>
      <c r="E38" s="29"/>
      <c r="F38" s="29"/>
      <c r="G38" s="29"/>
      <c r="H38" s="29"/>
      <c r="I38" s="29"/>
      <c r="J38" s="29"/>
      <c r="K38" s="1"/>
      <c r="L38" s="29"/>
      <c r="M38" s="29"/>
      <c r="N38" s="29"/>
      <c r="O38" s="29"/>
      <c r="P38" s="29"/>
      <c r="Q38" s="29"/>
      <c r="R38" s="29"/>
      <c r="S38" s="29"/>
      <c r="T38" s="39">
        <v>3.1</v>
      </c>
      <c r="U38" s="29"/>
      <c r="V38" s="29"/>
      <c r="W38" s="1"/>
      <c r="X38" s="29"/>
      <c r="Y38" s="29"/>
      <c r="Z38" s="29"/>
      <c r="AA38" s="29"/>
      <c r="AB38" s="29"/>
      <c r="AC38" s="29"/>
      <c r="AD38" s="29"/>
      <c r="AE38" s="29"/>
      <c r="AF38" s="29"/>
      <c r="AG38" s="1"/>
      <c r="AH38" s="1"/>
      <c r="AI38" s="29" t="str">
        <f t="shared" si="0"/>
        <v/>
      </c>
      <c r="AK38" s="29"/>
      <c r="AL38" s="29"/>
      <c r="AM38" s="29"/>
      <c r="AN38" s="29"/>
      <c r="AO38" s="29"/>
      <c r="AP38" s="29"/>
      <c r="AQ38" s="29"/>
      <c r="AR38" s="29"/>
      <c r="AS38" s="62"/>
      <c r="AT38" s="62"/>
      <c r="AU38" s="62"/>
      <c r="AV38" s="62"/>
      <c r="AW38" s="62"/>
      <c r="AX38" s="62"/>
      <c r="AY38" s="29"/>
      <c r="AZ38" s="29"/>
      <c r="BA38" s="29"/>
      <c r="BB38" s="29"/>
      <c r="BC38" s="28"/>
      <c r="BD38" s="28"/>
    </row>
    <row r="39" spans="1:56">
      <c r="A39" s="37" t="s">
        <v>5</v>
      </c>
      <c r="B39" s="38">
        <v>30573.732550000001</v>
      </c>
      <c r="C39" s="39">
        <v>10.25</v>
      </c>
      <c r="E39" s="29"/>
      <c r="F39" s="29"/>
      <c r="G39" s="29"/>
      <c r="H39" s="29"/>
      <c r="I39" s="29"/>
      <c r="J39" s="29"/>
      <c r="K39" s="1"/>
      <c r="L39" s="29"/>
      <c r="M39" s="29"/>
      <c r="N39" s="29"/>
      <c r="O39" s="29"/>
      <c r="P39" s="29"/>
      <c r="Q39" s="29"/>
      <c r="R39" s="29"/>
      <c r="S39" s="29"/>
      <c r="T39" s="39">
        <v>3.0629625000000003</v>
      </c>
      <c r="U39" s="29"/>
      <c r="V39" s="29"/>
      <c r="W39" s="1"/>
      <c r="X39" s="29"/>
      <c r="Y39" s="29"/>
      <c r="Z39" s="29"/>
      <c r="AA39" s="29"/>
      <c r="AB39" s="29"/>
      <c r="AC39" s="29"/>
      <c r="AD39" s="29"/>
      <c r="AE39" s="29"/>
      <c r="AF39" s="29"/>
      <c r="AG39" s="1"/>
      <c r="AH39" s="1"/>
      <c r="AI39" s="29" t="str">
        <f t="shared" si="0"/>
        <v/>
      </c>
      <c r="AK39" s="29"/>
      <c r="AL39" s="29"/>
      <c r="AM39" s="29"/>
      <c r="AN39" s="29"/>
      <c r="AO39" s="29"/>
      <c r="AP39" s="29"/>
      <c r="AQ39" s="29"/>
      <c r="AR39" s="29"/>
      <c r="AS39" s="62"/>
      <c r="AT39" s="62"/>
      <c r="AU39" s="62"/>
      <c r="AV39" s="62"/>
      <c r="AW39" s="62"/>
      <c r="AX39" s="62"/>
      <c r="AY39" s="29"/>
      <c r="AZ39" s="29"/>
      <c r="BA39" s="29"/>
      <c r="BB39" s="29"/>
      <c r="BC39" s="28"/>
      <c r="BD39" s="28"/>
    </row>
    <row r="40" spans="1:56">
      <c r="A40" s="37" t="s">
        <v>5</v>
      </c>
      <c r="B40" s="38">
        <v>30665.043099999999</v>
      </c>
      <c r="C40" s="39">
        <v>10.5</v>
      </c>
      <c r="E40" s="29"/>
      <c r="F40" s="29"/>
      <c r="G40" s="29"/>
      <c r="H40" s="29"/>
      <c r="I40" s="29"/>
      <c r="J40" s="29"/>
      <c r="K40" s="1"/>
      <c r="L40" s="29"/>
      <c r="M40" s="29"/>
      <c r="N40" s="29"/>
      <c r="O40" s="29"/>
      <c r="P40" s="29"/>
      <c r="Q40" s="29"/>
      <c r="R40" s="29"/>
      <c r="S40" s="29"/>
      <c r="T40" s="39">
        <v>4.7593724999999996</v>
      </c>
      <c r="U40" s="29"/>
      <c r="V40" s="29"/>
      <c r="W40" s="1"/>
      <c r="X40" s="29"/>
      <c r="Y40" s="29"/>
      <c r="Z40" s="29"/>
      <c r="AA40" s="29"/>
      <c r="AB40" s="29"/>
      <c r="AC40" s="29"/>
      <c r="AD40" s="29"/>
      <c r="AE40" s="29"/>
      <c r="AF40" s="29"/>
      <c r="AG40" s="1"/>
      <c r="AH40" s="1"/>
      <c r="AI40" s="29" t="str">
        <f t="shared" si="0"/>
        <v/>
      </c>
      <c r="AK40" s="29"/>
      <c r="AL40" s="29"/>
      <c r="AM40" s="29"/>
      <c r="AN40" s="29"/>
      <c r="AO40" s="29"/>
      <c r="AP40" s="29"/>
      <c r="AQ40" s="29"/>
      <c r="AR40" s="29"/>
      <c r="AS40" s="62"/>
      <c r="AT40" s="62"/>
      <c r="AU40" s="62"/>
      <c r="AV40" s="62"/>
      <c r="AW40" s="62"/>
      <c r="AX40" s="62"/>
      <c r="AY40" s="29"/>
      <c r="AZ40" s="29"/>
      <c r="BA40" s="29"/>
      <c r="BB40" s="29"/>
      <c r="BC40" s="28"/>
      <c r="BD40" s="28"/>
    </row>
    <row r="41" spans="1:56">
      <c r="A41" s="37" t="s">
        <v>5</v>
      </c>
      <c r="B41" s="38">
        <v>30756.353650000001</v>
      </c>
      <c r="C41" s="39">
        <v>10.75</v>
      </c>
      <c r="E41" s="29"/>
      <c r="F41" s="29"/>
      <c r="G41" s="29"/>
      <c r="H41" s="29"/>
      <c r="I41" s="29"/>
      <c r="J41" s="29"/>
      <c r="K41" s="1"/>
      <c r="L41" s="29"/>
      <c r="M41" s="29"/>
      <c r="N41" s="29"/>
      <c r="O41" s="29"/>
      <c r="P41" s="29"/>
      <c r="Q41" s="29"/>
      <c r="R41" s="29"/>
      <c r="S41" s="29"/>
      <c r="T41" s="39">
        <v>6.110217500000001</v>
      </c>
      <c r="U41" s="29"/>
      <c r="V41" s="29"/>
      <c r="W41" s="1"/>
      <c r="X41" s="29"/>
      <c r="Y41" s="29"/>
      <c r="Z41" s="29"/>
      <c r="AA41" s="29"/>
      <c r="AB41" s="29"/>
      <c r="AC41" s="29"/>
      <c r="AD41" s="29"/>
      <c r="AE41" s="29"/>
      <c r="AF41" s="29"/>
      <c r="AG41" s="1"/>
      <c r="AH41" s="1"/>
      <c r="AI41" s="29" t="str">
        <f t="shared" si="0"/>
        <v/>
      </c>
      <c r="AK41" s="29"/>
      <c r="AL41" s="29"/>
      <c r="AM41" s="29"/>
      <c r="AN41" s="29"/>
      <c r="AO41" s="29"/>
      <c r="AP41" s="29"/>
      <c r="AQ41" s="29"/>
      <c r="AR41" s="29"/>
      <c r="AS41" s="62"/>
      <c r="AT41" s="62"/>
      <c r="AU41" s="62"/>
      <c r="AV41" s="62"/>
      <c r="AW41" s="62"/>
      <c r="AX41" s="62"/>
      <c r="AY41" s="29"/>
      <c r="AZ41" s="29"/>
      <c r="BA41" s="29"/>
      <c r="BB41" s="29"/>
      <c r="BC41" s="28"/>
      <c r="BD41" s="28"/>
    </row>
    <row r="42" spans="1:56">
      <c r="A42" s="37" t="s">
        <v>5</v>
      </c>
      <c r="B42" s="38">
        <v>30847.664199999999</v>
      </c>
      <c r="C42" s="39">
        <v>11</v>
      </c>
      <c r="E42" s="29"/>
      <c r="F42" s="29"/>
      <c r="G42" s="29"/>
      <c r="H42" s="29"/>
      <c r="I42" s="29"/>
      <c r="J42" s="29"/>
      <c r="K42" s="1"/>
      <c r="L42" s="29"/>
      <c r="M42" s="29"/>
      <c r="N42" s="29"/>
      <c r="O42" s="29"/>
      <c r="P42" s="29"/>
      <c r="Q42" s="29"/>
      <c r="R42" s="29"/>
      <c r="S42" s="29"/>
      <c r="T42" s="39">
        <v>5.4976250000000002</v>
      </c>
      <c r="U42" s="29"/>
      <c r="V42" s="29"/>
      <c r="W42" s="1"/>
      <c r="X42" s="29"/>
      <c r="Y42" s="29"/>
      <c r="Z42" s="29"/>
      <c r="AA42" s="29"/>
      <c r="AB42" s="29"/>
      <c r="AC42" s="29"/>
      <c r="AD42" s="29"/>
      <c r="AE42" s="29"/>
      <c r="AF42" s="29"/>
      <c r="AG42" s="1"/>
      <c r="AH42" s="1"/>
      <c r="AI42" s="29" t="str">
        <f t="shared" si="0"/>
        <v/>
      </c>
      <c r="AK42" s="29"/>
      <c r="AL42" s="29"/>
      <c r="AM42" s="29"/>
      <c r="AN42" s="29"/>
      <c r="AO42" s="29"/>
      <c r="AP42" s="29"/>
      <c r="AQ42" s="29"/>
      <c r="AR42" s="29"/>
      <c r="AS42" s="62"/>
      <c r="AT42" s="62"/>
      <c r="AU42" s="62"/>
      <c r="AV42" s="62"/>
      <c r="AW42" s="62"/>
      <c r="AX42" s="62"/>
      <c r="AY42" s="29"/>
      <c r="AZ42" s="29"/>
      <c r="BA42" s="29"/>
      <c r="BB42" s="29"/>
      <c r="BC42" s="28"/>
      <c r="BD42" s="28"/>
    </row>
    <row r="43" spans="1:56">
      <c r="A43" s="37" t="s">
        <v>5</v>
      </c>
      <c r="B43" s="38">
        <v>30938.974750000001</v>
      </c>
      <c r="C43" s="39">
        <v>11.25</v>
      </c>
      <c r="E43" s="29"/>
      <c r="F43" s="29"/>
      <c r="G43" s="29"/>
      <c r="H43" s="29"/>
      <c r="I43" s="29"/>
      <c r="J43" s="29"/>
      <c r="K43" s="1"/>
      <c r="L43" s="29"/>
      <c r="M43" s="29"/>
      <c r="N43" s="29"/>
      <c r="O43" s="29"/>
      <c r="P43" s="29"/>
      <c r="Q43" s="29"/>
      <c r="R43" s="29"/>
      <c r="S43" s="29"/>
      <c r="T43" s="39">
        <v>5.2148900000000005</v>
      </c>
      <c r="U43" s="29"/>
      <c r="V43" s="29"/>
      <c r="W43" s="1"/>
      <c r="X43" s="29"/>
      <c r="Y43" s="29"/>
      <c r="Z43" s="29"/>
      <c r="AA43" s="29"/>
      <c r="AB43" s="29"/>
      <c r="AC43" s="29"/>
      <c r="AD43" s="29"/>
      <c r="AE43" s="29"/>
      <c r="AF43" s="29"/>
      <c r="AG43" s="1"/>
      <c r="AH43" s="1"/>
      <c r="AI43" s="29" t="str">
        <f t="shared" si="0"/>
        <v/>
      </c>
      <c r="AK43" s="29"/>
      <c r="AL43" s="29"/>
      <c r="AM43" s="29"/>
      <c r="AN43" s="29"/>
      <c r="AO43" s="29"/>
      <c r="AP43" s="29"/>
      <c r="AQ43" s="29"/>
      <c r="AR43" s="29"/>
      <c r="AS43" s="62"/>
      <c r="AT43" s="62"/>
      <c r="AU43" s="62"/>
      <c r="AV43" s="62"/>
      <c r="AW43" s="62"/>
      <c r="AX43" s="62"/>
      <c r="AY43" s="29"/>
      <c r="AZ43" s="29"/>
      <c r="BA43" s="29"/>
      <c r="BB43" s="29"/>
      <c r="BC43" s="28"/>
      <c r="BD43" s="28"/>
    </row>
    <row r="44" spans="1:56">
      <c r="A44" s="37" t="s">
        <v>5</v>
      </c>
      <c r="B44" s="38">
        <v>31030.2853</v>
      </c>
      <c r="C44" s="39">
        <v>11.5</v>
      </c>
      <c r="E44" s="29"/>
      <c r="F44" s="29"/>
      <c r="G44" s="29"/>
      <c r="H44" s="29"/>
      <c r="I44" s="29"/>
      <c r="J44" s="29"/>
      <c r="K44" s="1"/>
      <c r="L44" s="29"/>
      <c r="M44" s="29"/>
      <c r="N44" s="29"/>
      <c r="O44" s="29"/>
      <c r="P44" s="29"/>
      <c r="Q44" s="29"/>
      <c r="R44" s="29"/>
      <c r="S44" s="29"/>
      <c r="T44" s="39">
        <v>7.7280899999999999</v>
      </c>
      <c r="U44" s="29"/>
      <c r="V44" s="29"/>
      <c r="W44" s="1"/>
      <c r="X44" s="29"/>
      <c r="Y44" s="29"/>
      <c r="Z44" s="29"/>
      <c r="AA44" s="29"/>
      <c r="AB44" s="29"/>
      <c r="AC44" s="29"/>
      <c r="AD44" s="29"/>
      <c r="AE44" s="29"/>
      <c r="AF44" s="29"/>
      <c r="AG44" s="1"/>
      <c r="AH44" s="1"/>
      <c r="AI44" s="29" t="str">
        <f t="shared" si="0"/>
        <v/>
      </c>
      <c r="AK44" s="29"/>
      <c r="AL44" s="29"/>
      <c r="AM44" s="29"/>
      <c r="AN44" s="29"/>
      <c r="AO44" s="29"/>
      <c r="AP44" s="29"/>
      <c r="AQ44" s="29"/>
      <c r="AR44" s="29"/>
      <c r="AS44" s="62"/>
      <c r="AT44" s="62"/>
      <c r="AU44" s="62"/>
      <c r="AV44" s="62"/>
      <c r="AW44" s="62"/>
      <c r="AX44" s="62"/>
      <c r="AY44" s="29"/>
      <c r="AZ44" s="29"/>
      <c r="BA44" s="29"/>
      <c r="BB44" s="29"/>
      <c r="BC44" s="28"/>
      <c r="BD44" s="28"/>
    </row>
    <row r="45" spans="1:56">
      <c r="A45" s="37" t="s">
        <v>5</v>
      </c>
      <c r="B45" s="38">
        <v>31121.595850000002</v>
      </c>
      <c r="C45" s="39">
        <v>11.75</v>
      </c>
      <c r="E45" s="29"/>
      <c r="F45" s="29"/>
      <c r="G45" s="29"/>
      <c r="H45" s="29"/>
      <c r="I45" s="29"/>
      <c r="J45" s="29"/>
      <c r="K45" s="1"/>
      <c r="L45" s="29"/>
      <c r="M45" s="29"/>
      <c r="N45" s="29"/>
      <c r="O45" s="29"/>
      <c r="P45" s="29"/>
      <c r="Q45" s="29"/>
      <c r="R45" s="29"/>
      <c r="S45" s="29"/>
      <c r="T45" s="39">
        <v>7.60243</v>
      </c>
      <c r="U45" s="29"/>
      <c r="V45" s="29"/>
      <c r="W45" s="1"/>
      <c r="X45" s="29"/>
      <c r="Y45" s="29"/>
      <c r="Z45" s="29"/>
      <c r="AA45" s="29"/>
      <c r="AB45" s="29"/>
      <c r="AC45" s="29"/>
      <c r="AD45" s="29"/>
      <c r="AE45" s="29"/>
      <c r="AF45" s="29"/>
      <c r="AG45" s="1"/>
      <c r="AH45" s="1"/>
      <c r="AI45" s="29" t="str">
        <f t="shared" si="0"/>
        <v/>
      </c>
      <c r="AK45" s="29"/>
      <c r="AL45" s="29"/>
      <c r="AM45" s="29"/>
      <c r="AN45" s="29"/>
      <c r="AO45" s="29"/>
      <c r="AP45" s="29"/>
      <c r="AQ45" s="29"/>
      <c r="AR45" s="29"/>
      <c r="AS45" s="62"/>
      <c r="AT45" s="62"/>
      <c r="AU45" s="62"/>
      <c r="AV45" s="62"/>
      <c r="AW45" s="62"/>
      <c r="AX45" s="62"/>
      <c r="AY45" s="29"/>
      <c r="AZ45" s="29"/>
      <c r="BA45" s="29"/>
      <c r="BB45" s="29"/>
      <c r="BC45" s="28"/>
      <c r="BD45" s="28"/>
    </row>
    <row r="46" spans="1:56">
      <c r="A46" s="37" t="s">
        <v>5</v>
      </c>
      <c r="B46" s="38">
        <v>31212.9064</v>
      </c>
      <c r="C46" s="39">
        <v>12</v>
      </c>
      <c r="E46" s="29"/>
      <c r="F46" s="29"/>
      <c r="G46" s="29"/>
      <c r="H46" s="29"/>
      <c r="I46" s="29"/>
      <c r="J46" s="29"/>
      <c r="K46" s="1"/>
      <c r="L46" s="29"/>
      <c r="M46" s="29"/>
      <c r="N46" s="29"/>
      <c r="O46" s="29"/>
      <c r="P46" s="29"/>
      <c r="Q46" s="29"/>
      <c r="R46" s="29"/>
      <c r="S46" s="29"/>
      <c r="T46" s="39">
        <v>6.7542249999999999</v>
      </c>
      <c r="U46" s="29"/>
      <c r="V46" s="29"/>
      <c r="W46" s="1"/>
      <c r="X46" s="29"/>
      <c r="Y46" s="29"/>
      <c r="Z46" s="29"/>
      <c r="AA46" s="29"/>
      <c r="AB46" s="29"/>
      <c r="AC46" s="29"/>
      <c r="AD46" s="29"/>
      <c r="AE46" s="29"/>
      <c r="AF46" s="29"/>
      <c r="AG46" s="1"/>
      <c r="AH46" s="1"/>
      <c r="AI46" s="29" t="str">
        <f t="shared" si="0"/>
        <v/>
      </c>
      <c r="AK46" s="29"/>
      <c r="AL46" s="29"/>
      <c r="AM46" s="29"/>
      <c r="AN46" s="29"/>
      <c r="AO46" s="29"/>
      <c r="AP46" s="29"/>
      <c r="AQ46" s="29"/>
      <c r="AR46" s="29"/>
      <c r="AS46" s="62"/>
      <c r="AT46" s="62"/>
      <c r="AU46" s="62"/>
      <c r="AV46" s="62"/>
      <c r="AW46" s="62"/>
      <c r="AX46" s="62"/>
      <c r="AY46" s="29"/>
      <c r="AZ46" s="29"/>
      <c r="BA46" s="29"/>
      <c r="BB46" s="29"/>
      <c r="BC46" s="28"/>
      <c r="BD46" s="28"/>
    </row>
    <row r="47" spans="1:56">
      <c r="A47" s="37" t="s">
        <v>5</v>
      </c>
      <c r="B47" s="38">
        <v>31304.216950000002</v>
      </c>
      <c r="C47" s="39">
        <v>12.25</v>
      </c>
      <c r="E47" s="29"/>
      <c r="F47" s="29"/>
      <c r="G47" s="29"/>
      <c r="H47" s="29"/>
      <c r="I47" s="29"/>
      <c r="J47" s="29"/>
      <c r="K47" s="1"/>
      <c r="L47" s="29"/>
      <c r="M47" s="29"/>
      <c r="N47" s="29"/>
      <c r="O47" s="29"/>
      <c r="P47" s="29"/>
      <c r="Q47" s="29"/>
      <c r="R47" s="29"/>
      <c r="S47" s="29"/>
      <c r="T47" s="39">
        <v>6.2515850000000004</v>
      </c>
      <c r="U47" s="29"/>
      <c r="V47" s="29"/>
      <c r="W47" s="1"/>
      <c r="X47" s="29"/>
      <c r="Y47" s="29"/>
      <c r="Z47" s="29"/>
      <c r="AA47" s="29"/>
      <c r="AB47" s="29"/>
      <c r="AC47" s="29"/>
      <c r="AD47" s="29"/>
      <c r="AE47" s="29"/>
      <c r="AF47" s="29"/>
      <c r="AG47" s="1"/>
      <c r="AH47" s="1"/>
      <c r="AI47" s="29" t="str">
        <f t="shared" si="0"/>
        <v/>
      </c>
      <c r="AK47" s="29"/>
      <c r="AL47" s="29"/>
      <c r="AM47" s="29"/>
      <c r="AN47" s="29"/>
      <c r="AO47" s="29"/>
      <c r="AP47" s="29"/>
      <c r="AQ47" s="29"/>
      <c r="AR47" s="29"/>
      <c r="AS47" s="62"/>
      <c r="AT47" s="62"/>
      <c r="AU47" s="62"/>
      <c r="AV47" s="62"/>
      <c r="AW47" s="62"/>
      <c r="AX47" s="62"/>
      <c r="AY47" s="29"/>
      <c r="AZ47" s="29"/>
      <c r="BA47" s="29"/>
      <c r="BB47" s="29"/>
      <c r="BC47" s="28"/>
      <c r="BD47" s="28"/>
    </row>
    <row r="48" spans="1:56">
      <c r="A48" s="37" t="s">
        <v>5</v>
      </c>
      <c r="B48" s="38">
        <v>31395.5275</v>
      </c>
      <c r="C48" s="39">
        <v>12.5</v>
      </c>
      <c r="E48" s="29"/>
      <c r="F48" s="29"/>
      <c r="G48" s="29"/>
      <c r="H48" s="29"/>
      <c r="I48" s="29"/>
      <c r="J48" s="29"/>
      <c r="K48" s="1"/>
      <c r="L48" s="29"/>
      <c r="M48" s="29"/>
      <c r="N48" s="29"/>
      <c r="O48" s="29"/>
      <c r="P48" s="29"/>
      <c r="Q48" s="29"/>
      <c r="R48" s="29"/>
      <c r="S48" s="29"/>
      <c r="T48" s="39">
        <v>6.4243674999999998</v>
      </c>
      <c r="U48" s="29"/>
      <c r="V48" s="29"/>
      <c r="W48" s="1"/>
      <c r="X48" s="29"/>
      <c r="Y48" s="29"/>
      <c r="Z48" s="29"/>
      <c r="AA48" s="29"/>
      <c r="AB48" s="29"/>
      <c r="AC48" s="29"/>
      <c r="AD48" s="29"/>
      <c r="AE48" s="29"/>
      <c r="AF48" s="29"/>
      <c r="AG48" s="1"/>
      <c r="AH48" s="1"/>
      <c r="AI48" s="29" t="str">
        <f t="shared" si="0"/>
        <v/>
      </c>
      <c r="AK48" s="29"/>
      <c r="AL48" s="29"/>
      <c r="AM48" s="29"/>
      <c r="AN48" s="29"/>
      <c r="AO48" s="29"/>
      <c r="AP48" s="29"/>
      <c r="AQ48" s="29"/>
      <c r="AR48" s="29"/>
      <c r="AS48" s="62"/>
      <c r="AT48" s="62"/>
      <c r="AU48" s="62"/>
      <c r="AV48" s="62"/>
      <c r="AW48" s="62"/>
      <c r="AX48" s="62"/>
      <c r="AY48" s="29"/>
      <c r="AZ48" s="29"/>
      <c r="BA48" s="29"/>
      <c r="BB48" s="29"/>
      <c r="BC48" s="28"/>
      <c r="BD48" s="28"/>
    </row>
    <row r="49" spans="1:56">
      <c r="A49" s="37" t="s">
        <v>5</v>
      </c>
      <c r="B49" s="38">
        <v>31486.838049999998</v>
      </c>
      <c r="C49" s="39">
        <v>12.75</v>
      </c>
      <c r="E49" s="29"/>
      <c r="F49" s="29"/>
      <c r="G49" s="29"/>
      <c r="H49" s="29"/>
      <c r="I49" s="29"/>
      <c r="J49" s="29"/>
      <c r="K49" s="1"/>
      <c r="L49" s="29"/>
      <c r="M49" s="29"/>
      <c r="N49" s="29"/>
      <c r="O49" s="29"/>
      <c r="P49" s="29"/>
      <c r="Q49" s="29"/>
      <c r="R49" s="29"/>
      <c r="S49" s="29"/>
      <c r="T49" s="39">
        <v>8.3563900000000011</v>
      </c>
      <c r="U49" s="29"/>
      <c r="V49" s="29"/>
      <c r="W49" s="1"/>
      <c r="X49" s="29"/>
      <c r="Y49" s="29"/>
      <c r="Z49" s="29"/>
      <c r="AA49" s="29"/>
      <c r="AB49" s="29"/>
      <c r="AC49" s="29"/>
      <c r="AD49" s="29"/>
      <c r="AE49" s="29"/>
      <c r="AF49" s="29"/>
      <c r="AG49" s="1"/>
      <c r="AH49" s="1"/>
      <c r="AI49" s="29" t="str">
        <f t="shared" si="0"/>
        <v/>
      </c>
      <c r="AK49" s="29"/>
      <c r="AL49" s="29"/>
      <c r="AM49" s="29"/>
      <c r="AN49" s="29"/>
      <c r="AO49" s="29"/>
      <c r="AP49" s="29"/>
      <c r="AQ49" s="29"/>
      <c r="AR49" s="29"/>
      <c r="AS49" s="62"/>
      <c r="AT49" s="62"/>
      <c r="AU49" s="62"/>
      <c r="AV49" s="62"/>
      <c r="AW49" s="62"/>
      <c r="AX49" s="62"/>
      <c r="AY49" s="29"/>
      <c r="AZ49" s="29"/>
      <c r="BA49" s="29"/>
      <c r="BB49" s="29"/>
      <c r="BC49" s="28"/>
      <c r="BD49" s="28"/>
    </row>
    <row r="50" spans="1:56">
      <c r="A50" s="37" t="s">
        <v>5</v>
      </c>
      <c r="B50" s="38">
        <v>31578.1486</v>
      </c>
      <c r="C50" s="39">
        <v>13</v>
      </c>
      <c r="E50" s="29"/>
      <c r="F50" s="29"/>
      <c r="G50" s="29"/>
      <c r="H50" s="29"/>
      <c r="I50" s="29"/>
      <c r="J50" s="29"/>
      <c r="K50" s="1"/>
      <c r="L50" s="29"/>
      <c r="M50" s="29"/>
      <c r="N50" s="29"/>
      <c r="O50" s="29"/>
      <c r="P50" s="29"/>
      <c r="Q50" s="29"/>
      <c r="R50" s="29"/>
      <c r="S50" s="29"/>
      <c r="T50" s="39">
        <v>7.5238925000000005</v>
      </c>
      <c r="U50" s="29"/>
      <c r="V50" s="29"/>
      <c r="W50" s="1"/>
      <c r="X50" s="29"/>
      <c r="Y50" s="29"/>
      <c r="Z50" s="29"/>
      <c r="AA50" s="29"/>
      <c r="AB50" s="29"/>
      <c r="AC50" s="29"/>
      <c r="AD50" s="29"/>
      <c r="AE50" s="29"/>
      <c r="AF50" s="29"/>
      <c r="AG50" s="1"/>
      <c r="AH50" s="1"/>
      <c r="AI50" s="29" t="str">
        <f t="shared" si="0"/>
        <v/>
      </c>
      <c r="AK50" s="29"/>
      <c r="AL50" s="29"/>
      <c r="AM50" s="29"/>
      <c r="AN50" s="29"/>
      <c r="AO50" s="29"/>
      <c r="AP50" s="29"/>
      <c r="AQ50" s="29"/>
      <c r="AR50" s="29"/>
      <c r="AS50" s="62"/>
      <c r="AT50" s="62"/>
      <c r="AU50" s="62"/>
      <c r="AV50" s="62"/>
      <c r="AW50" s="62"/>
      <c r="AX50" s="62"/>
      <c r="AY50" s="29"/>
      <c r="AZ50" s="29"/>
      <c r="BA50" s="29"/>
      <c r="BB50" s="29"/>
      <c r="BC50" s="28"/>
      <c r="BD50" s="28"/>
    </row>
    <row r="51" spans="1:56">
      <c r="A51" s="37" t="s">
        <v>5</v>
      </c>
      <c r="B51" s="38">
        <v>31669.459150000002</v>
      </c>
      <c r="C51" s="39">
        <v>13.25</v>
      </c>
      <c r="E51" s="29"/>
      <c r="F51" s="29"/>
      <c r="G51" s="29"/>
      <c r="H51" s="29"/>
      <c r="I51" s="29"/>
      <c r="J51" s="29"/>
      <c r="K51" s="1"/>
      <c r="L51" s="29"/>
      <c r="M51" s="29"/>
      <c r="N51" s="29"/>
      <c r="O51" s="29"/>
      <c r="P51" s="29"/>
      <c r="Q51" s="29"/>
      <c r="R51" s="29"/>
      <c r="S51" s="29"/>
      <c r="T51" s="39">
        <v>7.3511100000000003</v>
      </c>
      <c r="U51" s="29"/>
      <c r="V51" s="29"/>
      <c r="W51" s="1"/>
      <c r="X51" s="29"/>
      <c r="Y51" s="29"/>
      <c r="Z51" s="29"/>
      <c r="AA51" s="29"/>
      <c r="AB51" s="29"/>
      <c r="AC51" s="29"/>
      <c r="AD51" s="29"/>
      <c r="AE51" s="29"/>
      <c r="AF51" s="29"/>
      <c r="AG51" s="1"/>
      <c r="AH51" s="1"/>
      <c r="AI51" s="29" t="str">
        <f t="shared" si="0"/>
        <v/>
      </c>
      <c r="AK51" s="29"/>
      <c r="AL51" s="29"/>
      <c r="AM51" s="29"/>
      <c r="AN51" s="29"/>
      <c r="AO51" s="29"/>
      <c r="AP51" s="29"/>
      <c r="AQ51" s="29"/>
      <c r="AR51" s="29"/>
      <c r="AS51" s="62"/>
      <c r="AT51" s="62"/>
      <c r="AU51" s="62"/>
      <c r="AV51" s="62"/>
      <c r="AW51" s="62"/>
      <c r="AX51" s="62"/>
      <c r="AY51" s="29"/>
      <c r="AZ51" s="29"/>
      <c r="BA51" s="29"/>
      <c r="BB51" s="29"/>
      <c r="BC51" s="28"/>
      <c r="BD51" s="28"/>
    </row>
    <row r="52" spans="1:56">
      <c r="A52" s="37" t="s">
        <v>5</v>
      </c>
      <c r="B52" s="38">
        <v>31760.769700000001</v>
      </c>
      <c r="C52" s="39">
        <v>13.5</v>
      </c>
      <c r="E52" s="29"/>
      <c r="F52" s="29"/>
      <c r="G52" s="29"/>
      <c r="H52" s="29"/>
      <c r="I52" s="29"/>
      <c r="J52" s="29"/>
      <c r="K52" s="1"/>
      <c r="L52" s="29"/>
      <c r="M52" s="29"/>
      <c r="N52" s="29"/>
      <c r="O52" s="29"/>
      <c r="P52" s="29"/>
      <c r="Q52" s="29"/>
      <c r="R52" s="29"/>
      <c r="S52" s="29"/>
      <c r="T52" s="39">
        <v>8.4035124999999997</v>
      </c>
      <c r="U52" s="29"/>
      <c r="V52" s="29"/>
      <c r="W52" s="1"/>
      <c r="X52" s="29"/>
      <c r="Y52" s="29"/>
      <c r="Z52" s="29"/>
      <c r="AA52" s="29"/>
      <c r="AB52" s="29"/>
      <c r="AC52" s="29"/>
      <c r="AD52" s="29"/>
      <c r="AE52" s="29"/>
      <c r="AF52" s="29"/>
      <c r="AG52" s="1"/>
      <c r="AH52" s="1"/>
      <c r="AI52" s="29" t="str">
        <f t="shared" si="0"/>
        <v/>
      </c>
      <c r="AK52" s="29"/>
      <c r="AL52" s="29"/>
      <c r="AM52" s="29"/>
      <c r="AN52" s="29"/>
      <c r="AO52" s="29"/>
      <c r="AP52" s="29"/>
      <c r="AQ52" s="29"/>
      <c r="AR52" s="29"/>
      <c r="AS52" s="62"/>
      <c r="AT52" s="62"/>
      <c r="AU52" s="62"/>
      <c r="AV52" s="62"/>
      <c r="AW52" s="62"/>
      <c r="AX52" s="62"/>
      <c r="AY52" s="29"/>
      <c r="AZ52" s="29"/>
      <c r="BA52" s="29"/>
      <c r="BB52" s="29"/>
      <c r="BC52" s="28"/>
      <c r="BD52" s="28"/>
    </row>
    <row r="53" spans="1:56">
      <c r="A53" s="37" t="s">
        <v>5</v>
      </c>
      <c r="B53" s="38">
        <v>31852.080249999999</v>
      </c>
      <c r="C53" s="39">
        <v>13.75</v>
      </c>
      <c r="E53" s="29"/>
      <c r="F53" s="29"/>
      <c r="G53" s="29"/>
      <c r="H53" s="29"/>
      <c r="I53" s="29"/>
      <c r="J53" s="29"/>
      <c r="K53" s="1"/>
      <c r="L53" s="29"/>
      <c r="M53" s="29"/>
      <c r="N53" s="29"/>
      <c r="O53" s="29"/>
      <c r="P53" s="29"/>
      <c r="Q53" s="29"/>
      <c r="R53" s="29"/>
      <c r="S53" s="29"/>
      <c r="T53" s="39">
        <v>8.9532750000000014</v>
      </c>
      <c r="U53" s="29"/>
      <c r="V53" s="29"/>
      <c r="W53" s="1"/>
      <c r="X53" s="29"/>
      <c r="Y53" s="29"/>
      <c r="Z53" s="29"/>
      <c r="AA53" s="29"/>
      <c r="AB53" s="29"/>
      <c r="AC53" s="29"/>
      <c r="AD53" s="29"/>
      <c r="AE53" s="29"/>
      <c r="AF53" s="29"/>
      <c r="AG53" s="1"/>
      <c r="AH53" s="1"/>
      <c r="AI53" s="29" t="str">
        <f t="shared" si="0"/>
        <v/>
      </c>
      <c r="AK53" s="29"/>
      <c r="AL53" s="29"/>
      <c r="AM53" s="29"/>
      <c r="AN53" s="29"/>
      <c r="AO53" s="29"/>
      <c r="AP53" s="29"/>
      <c r="AQ53" s="29"/>
      <c r="AR53" s="29"/>
      <c r="AS53" s="62"/>
      <c r="AT53" s="62"/>
      <c r="AU53" s="62"/>
      <c r="AV53" s="62"/>
      <c r="AW53" s="62"/>
      <c r="AX53" s="62"/>
      <c r="AY53" s="29"/>
      <c r="AZ53" s="29"/>
      <c r="BA53" s="29"/>
      <c r="BB53" s="29"/>
      <c r="BC53" s="28"/>
      <c r="BD53" s="28"/>
    </row>
    <row r="54" spans="1:56">
      <c r="A54" s="37" t="s">
        <v>5</v>
      </c>
      <c r="B54" s="38">
        <v>31943.390800000001</v>
      </c>
      <c r="C54" s="39">
        <v>14</v>
      </c>
      <c r="E54" s="29"/>
      <c r="F54" s="29"/>
      <c r="G54" s="29"/>
      <c r="H54" s="29"/>
      <c r="I54" s="29"/>
      <c r="J54" s="29"/>
      <c r="K54" s="1"/>
      <c r="L54" s="29"/>
      <c r="M54" s="29"/>
      <c r="N54" s="29"/>
      <c r="O54" s="29"/>
      <c r="P54" s="29"/>
      <c r="Q54" s="29"/>
      <c r="R54" s="29"/>
      <c r="S54" s="29"/>
      <c r="T54" s="39">
        <v>8.4663424999999997</v>
      </c>
      <c r="U54" s="29"/>
      <c r="V54" s="29"/>
      <c r="W54" s="1"/>
      <c r="X54" s="29"/>
      <c r="Y54" s="29"/>
      <c r="Z54" s="29"/>
      <c r="AA54" s="29"/>
      <c r="AB54" s="29"/>
      <c r="AC54" s="29"/>
      <c r="AD54" s="29"/>
      <c r="AE54" s="29"/>
      <c r="AF54" s="29"/>
      <c r="AG54" s="1"/>
      <c r="AH54" s="1"/>
      <c r="AI54" s="29" t="str">
        <f t="shared" si="0"/>
        <v/>
      </c>
      <c r="AK54" s="29"/>
      <c r="AL54" s="29"/>
      <c r="AM54" s="29"/>
      <c r="AN54" s="29"/>
      <c r="AO54" s="29"/>
      <c r="AP54" s="29"/>
      <c r="AQ54" s="29"/>
      <c r="AR54" s="29"/>
      <c r="AS54" s="62"/>
      <c r="AT54" s="62"/>
      <c r="AU54" s="62"/>
      <c r="AV54" s="62"/>
      <c r="AW54" s="62"/>
      <c r="AX54" s="62"/>
      <c r="AY54" s="29"/>
      <c r="AZ54" s="29"/>
      <c r="BA54" s="29"/>
      <c r="BB54" s="29"/>
      <c r="BC54" s="28"/>
      <c r="BD54" s="28"/>
    </row>
    <row r="55" spans="1:56">
      <c r="A55" s="37" t="s">
        <v>5</v>
      </c>
      <c r="B55" s="38">
        <v>32034.701349999999</v>
      </c>
      <c r="C55" s="39">
        <v>14.25</v>
      </c>
      <c r="E55" s="29"/>
      <c r="F55" s="29"/>
      <c r="G55" s="29"/>
      <c r="H55" s="29"/>
      <c r="I55" s="29"/>
      <c r="J55" s="29"/>
      <c r="K55" s="1"/>
      <c r="L55" s="29"/>
      <c r="M55" s="29"/>
      <c r="N55" s="29"/>
      <c r="O55" s="29"/>
      <c r="P55" s="29"/>
      <c r="Q55" s="29"/>
      <c r="R55" s="29"/>
      <c r="S55" s="29"/>
      <c r="T55" s="39">
        <v>8.4035124999999997</v>
      </c>
      <c r="U55" s="29"/>
      <c r="V55" s="29"/>
      <c r="W55" s="1"/>
      <c r="X55" s="29"/>
      <c r="Y55" s="29"/>
      <c r="Z55" s="29"/>
      <c r="AA55" s="29"/>
      <c r="AB55" s="29"/>
      <c r="AC55" s="29"/>
      <c r="AD55" s="29"/>
      <c r="AE55" s="29"/>
      <c r="AF55" s="29"/>
      <c r="AG55" s="1"/>
      <c r="AH55" s="1"/>
      <c r="AI55" s="29" t="str">
        <f t="shared" si="0"/>
        <v/>
      </c>
      <c r="AK55" s="29"/>
      <c r="AL55" s="29"/>
      <c r="AM55" s="29"/>
      <c r="AN55" s="29"/>
      <c r="AO55" s="29"/>
      <c r="AP55" s="29"/>
      <c r="AQ55" s="29"/>
      <c r="AR55" s="29"/>
      <c r="AS55" s="62"/>
      <c r="AT55" s="62"/>
      <c r="AU55" s="62"/>
      <c r="AV55" s="62"/>
      <c r="AW55" s="62"/>
      <c r="AX55" s="62"/>
      <c r="AY55" s="29"/>
      <c r="AZ55" s="29"/>
      <c r="BA55" s="29"/>
      <c r="BB55" s="29"/>
      <c r="BC55" s="28"/>
      <c r="BD55" s="28"/>
    </row>
    <row r="56" spans="1:56">
      <c r="A56" s="37" t="s">
        <v>5</v>
      </c>
      <c r="B56" s="38">
        <v>32126.011900000001</v>
      </c>
      <c r="C56" s="39">
        <v>14.5</v>
      </c>
      <c r="E56" s="29"/>
      <c r="F56" s="29"/>
      <c r="G56" s="29"/>
      <c r="H56" s="29"/>
      <c r="I56" s="29"/>
      <c r="J56" s="29"/>
      <c r="K56" s="1"/>
      <c r="L56" s="29"/>
      <c r="M56" s="29"/>
      <c r="N56" s="29"/>
      <c r="O56" s="29"/>
      <c r="P56" s="29"/>
      <c r="Q56" s="29"/>
      <c r="R56" s="29"/>
      <c r="S56" s="29"/>
      <c r="T56" s="39">
        <v>9.4245000000000001</v>
      </c>
      <c r="U56" s="29"/>
      <c r="V56" s="29"/>
      <c r="W56" s="1"/>
      <c r="X56" s="29"/>
      <c r="Y56" s="29"/>
      <c r="Z56" s="29"/>
      <c r="AA56" s="29"/>
      <c r="AB56" s="29"/>
      <c r="AC56" s="29"/>
      <c r="AD56" s="29"/>
      <c r="AE56" s="29"/>
      <c r="AF56" s="29"/>
      <c r="AG56" s="1"/>
      <c r="AH56" s="1"/>
      <c r="AI56" s="29" t="str">
        <f t="shared" si="0"/>
        <v/>
      </c>
      <c r="AK56" s="29"/>
      <c r="AL56" s="29"/>
      <c r="AM56" s="29"/>
      <c r="AN56" s="29"/>
      <c r="AO56" s="29"/>
      <c r="AP56" s="29"/>
      <c r="AQ56" s="29"/>
      <c r="AR56" s="29"/>
      <c r="AS56" s="62"/>
      <c r="AT56" s="62"/>
      <c r="AU56" s="62"/>
      <c r="AV56" s="62"/>
      <c r="AW56" s="62"/>
      <c r="AX56" s="62"/>
      <c r="AY56" s="29"/>
      <c r="AZ56" s="29"/>
      <c r="BA56" s="29"/>
      <c r="BB56" s="29"/>
      <c r="BC56" s="28"/>
      <c r="BD56" s="28"/>
    </row>
    <row r="57" spans="1:56">
      <c r="A57" s="37" t="s">
        <v>5</v>
      </c>
      <c r="B57" s="38">
        <v>32217.32245</v>
      </c>
      <c r="C57" s="39">
        <v>14.75</v>
      </c>
      <c r="E57" s="29"/>
      <c r="F57" s="29"/>
      <c r="G57" s="29"/>
      <c r="H57" s="29"/>
      <c r="I57" s="29"/>
      <c r="J57" s="29"/>
      <c r="K57" s="1"/>
      <c r="L57" s="29"/>
      <c r="M57" s="29"/>
      <c r="N57" s="29"/>
      <c r="O57" s="29"/>
      <c r="P57" s="29"/>
      <c r="Q57" s="29"/>
      <c r="R57" s="29"/>
      <c r="S57" s="29"/>
      <c r="T57" s="39">
        <v>8.6391249999999999</v>
      </c>
      <c r="U57" s="29"/>
      <c r="V57" s="29"/>
      <c r="W57" s="1"/>
      <c r="X57" s="29"/>
      <c r="Y57" s="29"/>
      <c r="Z57" s="29"/>
      <c r="AA57" s="29"/>
      <c r="AB57" s="29"/>
      <c r="AC57" s="29"/>
      <c r="AD57" s="29"/>
      <c r="AE57" s="29"/>
      <c r="AF57" s="29"/>
      <c r="AG57" s="1"/>
      <c r="AH57" s="1"/>
      <c r="AI57" s="29" t="str">
        <f t="shared" si="0"/>
        <v/>
      </c>
      <c r="AK57" s="29"/>
      <c r="AL57" s="29"/>
      <c r="AM57" s="29"/>
      <c r="AN57" s="29"/>
      <c r="AO57" s="29"/>
      <c r="AP57" s="29"/>
      <c r="AQ57" s="29"/>
      <c r="AR57" s="29"/>
      <c r="AS57" s="62"/>
      <c r="AT57" s="62"/>
      <c r="AU57" s="62"/>
      <c r="AV57" s="62"/>
      <c r="AW57" s="62"/>
      <c r="AX57" s="62"/>
      <c r="AY57" s="29"/>
      <c r="AZ57" s="29"/>
      <c r="BA57" s="29"/>
      <c r="BB57" s="29"/>
      <c r="BC57" s="28"/>
      <c r="BD57" s="28"/>
    </row>
    <row r="58" spans="1:56">
      <c r="A58" s="37" t="s">
        <v>5</v>
      </c>
      <c r="B58" s="38">
        <v>32308.633000000002</v>
      </c>
      <c r="C58" s="39">
        <v>15</v>
      </c>
      <c r="E58" s="29"/>
      <c r="F58" s="29"/>
      <c r="G58" s="29"/>
      <c r="H58" s="29"/>
      <c r="I58" s="29"/>
      <c r="J58" s="29"/>
      <c r="K58" s="1"/>
      <c r="L58" s="29"/>
      <c r="M58" s="29"/>
      <c r="N58" s="29"/>
      <c r="O58" s="29"/>
      <c r="P58" s="29"/>
      <c r="Q58" s="29"/>
      <c r="R58" s="29"/>
      <c r="S58" s="29"/>
      <c r="T58" s="39">
        <v>7.8537499999999998</v>
      </c>
      <c r="U58" s="29"/>
      <c r="V58" s="29"/>
      <c r="W58" s="1"/>
      <c r="X58" s="29"/>
      <c r="Y58" s="29"/>
      <c r="Z58" s="29"/>
      <c r="AA58" s="29"/>
      <c r="AB58" s="29"/>
      <c r="AC58" s="29"/>
      <c r="AD58" s="29"/>
      <c r="AE58" s="29"/>
      <c r="AF58" s="29"/>
      <c r="AG58" s="1"/>
      <c r="AH58" s="1"/>
      <c r="AI58" s="29" t="str">
        <f t="shared" si="0"/>
        <v/>
      </c>
      <c r="AK58" s="29"/>
      <c r="AL58" s="29"/>
      <c r="AM58" s="29"/>
      <c r="AN58" s="29"/>
      <c r="AO58" s="29"/>
      <c r="AP58" s="29"/>
      <c r="AQ58" s="29"/>
      <c r="AR58" s="29"/>
      <c r="AS58" s="62"/>
      <c r="AT58" s="62"/>
      <c r="AU58" s="62"/>
      <c r="AV58" s="62"/>
      <c r="AW58" s="62"/>
      <c r="AX58" s="62"/>
      <c r="AY58" s="29"/>
      <c r="AZ58" s="29"/>
      <c r="BA58" s="29"/>
      <c r="BB58" s="29"/>
      <c r="BC58" s="28"/>
      <c r="BD58" s="28"/>
    </row>
    <row r="59" spans="1:56">
      <c r="A59" s="37" t="s">
        <v>5</v>
      </c>
      <c r="B59" s="38">
        <v>32399.94355</v>
      </c>
      <c r="C59" s="39">
        <v>15.25</v>
      </c>
      <c r="E59" s="29"/>
      <c r="F59" s="29"/>
      <c r="G59" s="29"/>
      <c r="H59" s="29"/>
      <c r="I59" s="29"/>
      <c r="J59" s="29"/>
      <c r="K59" s="1"/>
      <c r="L59" s="29"/>
      <c r="M59" s="29"/>
      <c r="N59" s="29"/>
      <c r="O59" s="29"/>
      <c r="P59" s="29"/>
      <c r="Q59" s="29"/>
      <c r="R59" s="29"/>
      <c r="S59" s="29"/>
      <c r="T59" s="39">
        <v>2.79</v>
      </c>
      <c r="U59" s="29"/>
      <c r="V59" s="29"/>
      <c r="W59" s="1"/>
      <c r="X59" s="29"/>
      <c r="Y59" s="29"/>
      <c r="Z59" s="29"/>
      <c r="AA59" s="29"/>
      <c r="AB59" s="29"/>
      <c r="AC59" s="29"/>
      <c r="AD59" s="29"/>
      <c r="AE59" s="29"/>
      <c r="AF59" s="29"/>
      <c r="AG59" s="1"/>
      <c r="AH59" s="1"/>
      <c r="AI59" s="29" t="str">
        <f t="shared" si="0"/>
        <v/>
      </c>
      <c r="AK59" s="29"/>
      <c r="AL59" s="29"/>
      <c r="AM59" s="29"/>
      <c r="AN59" s="29"/>
      <c r="AO59" s="29"/>
      <c r="AP59" s="29"/>
      <c r="AQ59" s="29"/>
      <c r="AR59" s="29"/>
      <c r="AS59" s="62"/>
      <c r="AT59" s="62"/>
      <c r="AU59" s="62"/>
      <c r="AV59" s="62"/>
      <c r="AW59" s="62"/>
      <c r="AX59" s="62"/>
      <c r="AY59" s="29"/>
      <c r="AZ59" s="29"/>
      <c r="BA59" s="29"/>
      <c r="BB59" s="29"/>
      <c r="BC59" s="28"/>
      <c r="BD59" s="28"/>
    </row>
    <row r="60" spans="1:56">
      <c r="A60" s="37" t="s">
        <v>5</v>
      </c>
      <c r="B60" s="38">
        <v>32491.254099999998</v>
      </c>
      <c r="C60" s="39">
        <v>15.5</v>
      </c>
      <c r="E60" s="29"/>
      <c r="F60" s="29"/>
      <c r="G60" s="29"/>
      <c r="H60" s="29"/>
      <c r="I60" s="29"/>
      <c r="J60" s="29"/>
      <c r="K60" s="1"/>
      <c r="L60" s="29"/>
      <c r="M60" s="29"/>
      <c r="N60" s="29"/>
      <c r="O60" s="29"/>
      <c r="P60" s="29"/>
      <c r="Q60" s="29"/>
      <c r="R60" s="29"/>
      <c r="S60" s="29"/>
      <c r="T60" s="39"/>
      <c r="U60" s="29"/>
      <c r="V60" s="29"/>
      <c r="W60" s="1"/>
      <c r="X60" s="29"/>
      <c r="Y60" s="29"/>
      <c r="Z60" s="29"/>
      <c r="AA60" s="29"/>
      <c r="AB60" s="29"/>
      <c r="AC60" s="29"/>
      <c r="AD60" s="29"/>
      <c r="AE60" s="29"/>
      <c r="AF60" s="29"/>
      <c r="AG60" s="1"/>
      <c r="AH60" s="1"/>
      <c r="AI60" s="29" t="str">
        <f t="shared" si="0"/>
        <v/>
      </c>
      <c r="AK60" s="29"/>
      <c r="AL60" s="29"/>
      <c r="AM60" s="29"/>
      <c r="AN60" s="29"/>
      <c r="AO60" s="29"/>
      <c r="AP60" s="29"/>
      <c r="AQ60" s="29"/>
      <c r="AR60" s="29"/>
      <c r="AS60" s="62"/>
      <c r="AT60" s="62"/>
      <c r="AU60" s="62"/>
      <c r="AV60" s="62"/>
      <c r="AW60" s="62"/>
      <c r="AX60" s="62"/>
      <c r="AY60" s="29"/>
      <c r="AZ60" s="29"/>
      <c r="BA60" s="29"/>
      <c r="BB60" s="29"/>
      <c r="BC60" s="28"/>
      <c r="BD60" s="28"/>
    </row>
    <row r="61" spans="1:56">
      <c r="A61" s="37" t="s">
        <v>5</v>
      </c>
      <c r="B61" s="38">
        <v>32582.56465</v>
      </c>
      <c r="C61" s="39">
        <v>15.75</v>
      </c>
      <c r="E61" s="29"/>
      <c r="F61" s="29"/>
      <c r="G61" s="29"/>
      <c r="H61" s="29"/>
      <c r="I61" s="29"/>
      <c r="J61" s="29"/>
      <c r="K61" s="1"/>
      <c r="L61" s="29"/>
      <c r="M61" s="29"/>
      <c r="N61" s="29"/>
      <c r="O61" s="29"/>
      <c r="P61" s="29"/>
      <c r="Q61" s="29"/>
      <c r="R61" s="29"/>
      <c r="S61" s="29"/>
      <c r="T61" s="39">
        <v>4.42</v>
      </c>
      <c r="U61" s="29"/>
      <c r="V61" s="29"/>
      <c r="W61" s="1"/>
      <c r="X61" s="29"/>
      <c r="Y61" s="29"/>
      <c r="Z61" s="29"/>
      <c r="AA61" s="29"/>
      <c r="AB61" s="29"/>
      <c r="AC61" s="29"/>
      <c r="AD61" s="29"/>
      <c r="AE61" s="29"/>
      <c r="AF61" s="29"/>
      <c r="AG61" s="1"/>
      <c r="AH61" s="1"/>
      <c r="AI61" s="29" t="str">
        <f t="shared" si="0"/>
        <v/>
      </c>
      <c r="AK61" s="29"/>
      <c r="AL61" s="29"/>
      <c r="AM61" s="29"/>
      <c r="AN61" s="29"/>
      <c r="AO61" s="29"/>
      <c r="AP61" s="29"/>
      <c r="AQ61" s="29"/>
      <c r="AR61" s="29"/>
      <c r="AS61" s="62"/>
      <c r="AT61" s="62"/>
      <c r="AU61" s="62"/>
      <c r="AV61" s="62"/>
      <c r="AW61" s="62"/>
      <c r="AX61" s="62"/>
      <c r="AY61" s="29"/>
      <c r="AZ61" s="29"/>
      <c r="BA61" s="29"/>
      <c r="BB61" s="29"/>
      <c r="BC61" s="28"/>
      <c r="BD61" s="28"/>
    </row>
    <row r="62" spans="1:56">
      <c r="A62" s="37" t="s">
        <v>5</v>
      </c>
      <c r="B62" s="38">
        <v>32673.875200000002</v>
      </c>
      <c r="C62" s="39">
        <v>16</v>
      </c>
      <c r="E62" s="29"/>
      <c r="F62" s="29"/>
      <c r="G62" s="29"/>
      <c r="H62" s="29"/>
      <c r="I62" s="29"/>
      <c r="J62" s="29"/>
      <c r="K62" s="1"/>
      <c r="L62" s="29"/>
      <c r="M62" s="29"/>
      <c r="N62" s="29"/>
      <c r="O62" s="29"/>
      <c r="P62" s="29"/>
      <c r="Q62" s="29"/>
      <c r="R62" s="29"/>
      <c r="S62" s="29"/>
      <c r="T62" s="39">
        <v>3.91</v>
      </c>
      <c r="U62" s="29"/>
      <c r="V62" s="29"/>
      <c r="W62" s="1"/>
      <c r="X62" s="29"/>
      <c r="Y62" s="29"/>
      <c r="Z62" s="29"/>
      <c r="AA62" s="29"/>
      <c r="AB62" s="29"/>
      <c r="AC62" s="29"/>
      <c r="AD62" s="29"/>
      <c r="AE62" s="29"/>
      <c r="AF62" s="29"/>
      <c r="AG62" s="1"/>
      <c r="AH62" s="1"/>
      <c r="AI62" s="29" t="str">
        <f t="shared" si="0"/>
        <v/>
      </c>
      <c r="AK62" s="29"/>
      <c r="AL62" s="29"/>
      <c r="AM62" s="29"/>
      <c r="AN62" s="29"/>
      <c r="AO62" s="29"/>
      <c r="AP62" s="29"/>
      <c r="AQ62" s="29"/>
      <c r="AR62" s="29"/>
      <c r="AS62" s="62"/>
      <c r="AT62" s="62"/>
      <c r="AU62" s="62"/>
      <c r="AV62" s="62"/>
      <c r="AW62" s="62"/>
      <c r="AX62" s="62"/>
      <c r="AY62" s="29"/>
      <c r="AZ62" s="29"/>
      <c r="BA62" s="29"/>
      <c r="BB62" s="29"/>
      <c r="BC62" s="28"/>
      <c r="BD62" s="28"/>
    </row>
    <row r="63" spans="1:56">
      <c r="A63" s="37" t="s">
        <v>5</v>
      </c>
      <c r="B63" s="38">
        <v>32765.185750000001</v>
      </c>
      <c r="C63" s="39">
        <v>16.25</v>
      </c>
      <c r="E63" s="29"/>
      <c r="F63" s="29"/>
      <c r="G63" s="29"/>
      <c r="H63" s="29"/>
      <c r="I63" s="29"/>
      <c r="J63" s="29"/>
      <c r="K63" s="1"/>
      <c r="L63" s="29"/>
      <c r="M63" s="29"/>
      <c r="N63" s="29"/>
      <c r="O63" s="29"/>
      <c r="P63" s="29"/>
      <c r="Q63" s="29"/>
      <c r="R63" s="29"/>
      <c r="S63" s="29"/>
      <c r="T63" s="39">
        <v>4.1100000000000003</v>
      </c>
      <c r="U63" s="29"/>
      <c r="V63" s="29"/>
      <c r="W63" s="1"/>
      <c r="X63" s="29"/>
      <c r="Y63" s="29"/>
      <c r="Z63" s="29"/>
      <c r="AA63" s="29"/>
      <c r="AB63" s="29"/>
      <c r="AC63" s="29"/>
      <c r="AD63" s="29"/>
      <c r="AE63" s="29"/>
      <c r="AF63" s="29"/>
      <c r="AG63" s="1"/>
      <c r="AH63" s="1"/>
      <c r="AI63" s="29" t="str">
        <f t="shared" si="0"/>
        <v/>
      </c>
      <c r="AK63" s="29"/>
      <c r="AL63" s="29"/>
      <c r="AM63" s="29"/>
      <c r="AN63" s="29"/>
      <c r="AO63" s="29"/>
      <c r="AP63" s="29"/>
      <c r="AQ63" s="29"/>
      <c r="AR63" s="29"/>
      <c r="AS63" s="62"/>
      <c r="AT63" s="62"/>
      <c r="AU63" s="62"/>
      <c r="AV63" s="62"/>
      <c r="AW63" s="62"/>
      <c r="AX63" s="62"/>
      <c r="AY63" s="29"/>
      <c r="AZ63" s="29"/>
      <c r="BA63" s="29"/>
      <c r="BB63" s="29"/>
      <c r="BC63" s="28"/>
      <c r="BD63" s="28"/>
    </row>
    <row r="64" spans="1:56">
      <c r="A64" s="37" t="s">
        <v>5</v>
      </c>
      <c r="B64" s="38">
        <v>32856.496299999999</v>
      </c>
      <c r="C64" s="39">
        <v>16.5</v>
      </c>
      <c r="E64" s="29"/>
      <c r="F64" s="29"/>
      <c r="G64" s="29"/>
      <c r="H64" s="29"/>
      <c r="I64" s="29"/>
      <c r="J64" s="29"/>
      <c r="K64" s="1"/>
      <c r="L64" s="29"/>
      <c r="M64" s="29"/>
      <c r="N64" s="29"/>
      <c r="O64" s="29"/>
      <c r="P64" s="29"/>
      <c r="Q64" s="29"/>
      <c r="R64" s="29"/>
      <c r="S64" s="29"/>
      <c r="T64" s="39">
        <v>1.58</v>
      </c>
      <c r="U64" s="29"/>
      <c r="V64" s="29"/>
      <c r="W64" s="1"/>
      <c r="X64" s="29"/>
      <c r="Y64" s="29"/>
      <c r="Z64" s="29"/>
      <c r="AA64" s="29"/>
      <c r="AB64" s="29"/>
      <c r="AC64" s="29"/>
      <c r="AD64" s="29"/>
      <c r="AE64" s="29"/>
      <c r="AF64" s="29"/>
      <c r="AG64" s="1"/>
      <c r="AH64" s="1"/>
      <c r="AI64" s="29" t="str">
        <f t="shared" si="0"/>
        <v/>
      </c>
      <c r="AK64" s="29"/>
      <c r="AL64" s="29"/>
      <c r="AM64" s="29"/>
      <c r="AN64" s="29"/>
      <c r="AO64" s="29"/>
      <c r="AP64" s="29"/>
      <c r="AQ64" s="29"/>
      <c r="AR64" s="29"/>
      <c r="AS64" s="62"/>
      <c r="AT64" s="62"/>
      <c r="AU64" s="62"/>
      <c r="AV64" s="62"/>
      <c r="AW64" s="62"/>
      <c r="AX64" s="62"/>
      <c r="AY64" s="29"/>
      <c r="AZ64" s="29"/>
      <c r="BA64" s="29"/>
      <c r="BB64" s="29"/>
      <c r="BC64" s="28"/>
      <c r="BD64" s="28"/>
    </row>
    <row r="65" spans="1:56">
      <c r="A65" s="37" t="s">
        <v>5</v>
      </c>
      <c r="B65" s="38">
        <v>32947.806850000001</v>
      </c>
      <c r="C65" s="39">
        <v>16.75</v>
      </c>
      <c r="E65" s="29"/>
      <c r="F65" s="29"/>
      <c r="G65" s="29"/>
      <c r="H65" s="29"/>
      <c r="I65" s="29"/>
      <c r="J65" s="29"/>
      <c r="K65" s="1"/>
      <c r="L65" s="29"/>
      <c r="M65" s="29"/>
      <c r="N65" s="29"/>
      <c r="O65" s="29"/>
      <c r="P65" s="29"/>
      <c r="Q65" s="29"/>
      <c r="R65" s="29"/>
      <c r="S65" s="29"/>
      <c r="T65" s="39">
        <v>4.4400000000000004</v>
      </c>
      <c r="U65" s="29"/>
      <c r="V65" s="29"/>
      <c r="W65" s="1"/>
      <c r="X65" s="29"/>
      <c r="Y65" s="29"/>
      <c r="Z65" s="29"/>
      <c r="AA65" s="29"/>
      <c r="AB65" s="29"/>
      <c r="AC65" s="29"/>
      <c r="AD65" s="29"/>
      <c r="AE65" s="29"/>
      <c r="AF65" s="29"/>
      <c r="AG65" s="1"/>
      <c r="AH65" s="1"/>
      <c r="AI65" s="29" t="str">
        <f t="shared" si="0"/>
        <v/>
      </c>
      <c r="AK65" s="29"/>
      <c r="AL65" s="29"/>
      <c r="AM65" s="29"/>
      <c r="AN65" s="29"/>
      <c r="AO65" s="29"/>
      <c r="AP65" s="29"/>
      <c r="AQ65" s="29"/>
      <c r="AR65" s="29"/>
      <c r="AS65" s="62"/>
      <c r="AT65" s="62"/>
      <c r="AU65" s="62"/>
      <c r="AV65" s="62"/>
      <c r="AW65" s="62"/>
      <c r="AX65" s="62"/>
      <c r="AY65" s="29"/>
      <c r="AZ65" s="29"/>
      <c r="BA65" s="29"/>
      <c r="BB65" s="29"/>
      <c r="BC65" s="28"/>
      <c r="BD65" s="28"/>
    </row>
    <row r="66" spans="1:56">
      <c r="A66" s="37" t="s">
        <v>5</v>
      </c>
      <c r="B66" s="38">
        <v>33039.117400000003</v>
      </c>
      <c r="C66" s="39">
        <v>17</v>
      </c>
      <c r="E66" s="29"/>
      <c r="F66" s="29"/>
      <c r="G66" s="29"/>
      <c r="H66" s="29"/>
      <c r="I66" s="29"/>
      <c r="J66" s="29"/>
      <c r="K66" s="1"/>
      <c r="L66" s="29"/>
      <c r="M66" s="29"/>
      <c r="N66" s="29"/>
      <c r="O66" s="29"/>
      <c r="P66" s="29"/>
      <c r="Q66" s="29"/>
      <c r="R66" s="29"/>
      <c r="S66" s="29"/>
      <c r="T66" s="39">
        <v>4.53</v>
      </c>
      <c r="U66" s="29"/>
      <c r="V66" s="29"/>
      <c r="W66" s="1"/>
      <c r="X66" s="29"/>
      <c r="Y66" s="29"/>
      <c r="Z66" s="29"/>
      <c r="AA66" s="29"/>
      <c r="AB66" s="29"/>
      <c r="AC66" s="29"/>
      <c r="AD66" s="29"/>
      <c r="AE66" s="29"/>
      <c r="AF66" s="29"/>
      <c r="AG66" s="1"/>
      <c r="AH66" s="1"/>
      <c r="AI66" s="29" t="str">
        <f t="shared" si="0"/>
        <v/>
      </c>
      <c r="AK66" s="29"/>
      <c r="AL66" s="29"/>
      <c r="AM66" s="29"/>
      <c r="AN66" s="29"/>
      <c r="AO66" s="29"/>
      <c r="AP66" s="29"/>
      <c r="AQ66" s="29"/>
      <c r="AR66" s="29"/>
      <c r="AS66" s="62"/>
      <c r="AT66" s="62"/>
      <c r="AU66" s="62"/>
      <c r="AV66" s="62"/>
      <c r="AW66" s="62"/>
      <c r="AX66" s="62"/>
      <c r="AY66" s="29"/>
      <c r="AZ66" s="29"/>
      <c r="BA66" s="29"/>
      <c r="BB66" s="29"/>
      <c r="BC66" s="28"/>
      <c r="BD66" s="28"/>
    </row>
    <row r="67" spans="1:56">
      <c r="A67" s="37" t="s">
        <v>5</v>
      </c>
      <c r="B67" s="38">
        <v>33130.427949999998</v>
      </c>
      <c r="C67" s="39">
        <v>17.25</v>
      </c>
      <c r="E67" s="29"/>
      <c r="F67" s="29"/>
      <c r="G67" s="29"/>
      <c r="H67" s="29"/>
      <c r="I67" s="29"/>
      <c r="J67" s="29"/>
      <c r="K67" s="1"/>
      <c r="L67" s="29"/>
      <c r="M67" s="29"/>
      <c r="N67" s="29"/>
      <c r="O67" s="29"/>
      <c r="P67" s="29"/>
      <c r="Q67" s="29"/>
      <c r="R67" s="29"/>
      <c r="S67" s="29"/>
      <c r="T67" s="39">
        <v>4.1500000000000004</v>
      </c>
      <c r="U67" s="29"/>
      <c r="V67" s="29"/>
      <c r="W67" s="1"/>
      <c r="X67" s="29"/>
      <c r="Y67" s="29"/>
      <c r="Z67" s="29"/>
      <c r="AA67" s="29"/>
      <c r="AB67" s="29"/>
      <c r="AC67" s="29"/>
      <c r="AD67" s="29"/>
      <c r="AE67" s="29"/>
      <c r="AF67" s="29"/>
      <c r="AG67" s="1"/>
      <c r="AH67" s="1"/>
      <c r="AI67" s="29" t="str">
        <f t="shared" ref="AI67:AI130" si="1">IF(AH67&gt;0.001,AH67/C67,"")</f>
        <v/>
      </c>
      <c r="AK67" s="29"/>
      <c r="AL67" s="29"/>
      <c r="AM67" s="29"/>
      <c r="AN67" s="29"/>
      <c r="AO67" s="29"/>
      <c r="AP67" s="29"/>
      <c r="AQ67" s="29"/>
      <c r="AR67" s="29"/>
      <c r="AS67" s="62"/>
      <c r="AT67" s="62"/>
      <c r="AU67" s="62"/>
      <c r="AV67" s="62"/>
      <c r="AW67" s="62"/>
      <c r="AX67" s="62"/>
      <c r="AY67" s="29"/>
      <c r="AZ67" s="29"/>
      <c r="BA67" s="29"/>
      <c r="BB67" s="29"/>
      <c r="BC67" s="28"/>
      <c r="BD67" s="28"/>
    </row>
    <row r="68" spans="1:56">
      <c r="A68" s="37" t="s">
        <v>5</v>
      </c>
      <c r="B68" s="38">
        <v>33221.738499999999</v>
      </c>
      <c r="C68" s="39">
        <v>17.5</v>
      </c>
      <c r="E68" s="29"/>
      <c r="F68" s="29"/>
      <c r="G68" s="29"/>
      <c r="H68" s="29"/>
      <c r="I68" s="29"/>
      <c r="J68" s="29"/>
      <c r="K68" s="1"/>
      <c r="L68" s="29"/>
      <c r="M68" s="29"/>
      <c r="N68" s="29"/>
      <c r="O68" s="29"/>
      <c r="P68" s="29"/>
      <c r="Q68" s="29"/>
      <c r="R68" s="29"/>
      <c r="S68" s="29"/>
      <c r="T68" s="39">
        <v>4.43</v>
      </c>
      <c r="U68" s="29"/>
      <c r="V68" s="29"/>
      <c r="W68" s="1"/>
      <c r="X68" s="29"/>
      <c r="Y68" s="29"/>
      <c r="Z68" s="29"/>
      <c r="AA68" s="29"/>
      <c r="AB68" s="29"/>
      <c r="AC68" s="29"/>
      <c r="AD68" s="29"/>
      <c r="AE68" s="29"/>
      <c r="AF68" s="29"/>
      <c r="AG68" s="1"/>
      <c r="AH68" s="1"/>
      <c r="AI68" s="29" t="str">
        <f t="shared" si="1"/>
        <v/>
      </c>
      <c r="AK68" s="29"/>
      <c r="AL68" s="29"/>
      <c r="AM68" s="29"/>
      <c r="AN68" s="29"/>
      <c r="AO68" s="29"/>
      <c r="AP68" s="29"/>
      <c r="AQ68" s="29"/>
      <c r="AR68" s="29"/>
      <c r="AS68" s="62"/>
      <c r="AT68" s="62"/>
      <c r="AU68" s="62"/>
      <c r="AV68" s="62"/>
      <c r="AW68" s="62"/>
      <c r="AX68" s="62"/>
      <c r="AY68" s="29"/>
      <c r="AZ68" s="29"/>
      <c r="BA68" s="29"/>
      <c r="BB68" s="29"/>
      <c r="BC68" s="28"/>
      <c r="BD68" s="28"/>
    </row>
    <row r="69" spans="1:56">
      <c r="A69" s="37" t="s">
        <v>5</v>
      </c>
      <c r="B69" s="38">
        <v>33313.049050000001</v>
      </c>
      <c r="C69" s="39">
        <v>17.75</v>
      </c>
      <c r="E69" s="29"/>
      <c r="F69" s="29"/>
      <c r="G69" s="29"/>
      <c r="H69" s="29"/>
      <c r="I69" s="29"/>
      <c r="J69" s="29"/>
      <c r="K69" s="1"/>
      <c r="L69" s="29"/>
      <c r="M69" s="29"/>
      <c r="N69" s="29"/>
      <c r="O69" s="29"/>
      <c r="P69" s="29"/>
      <c r="Q69" s="29"/>
      <c r="R69" s="29"/>
      <c r="S69" s="29"/>
      <c r="T69" s="39">
        <v>4.67</v>
      </c>
      <c r="U69" s="29"/>
      <c r="V69" s="29"/>
      <c r="W69" s="1"/>
      <c r="X69" s="29"/>
      <c r="Y69" s="29"/>
      <c r="Z69" s="29"/>
      <c r="AA69" s="29"/>
      <c r="AB69" s="29"/>
      <c r="AC69" s="29"/>
      <c r="AD69" s="29"/>
      <c r="AE69" s="29"/>
      <c r="AF69" s="29"/>
      <c r="AG69" s="1"/>
      <c r="AH69" s="1"/>
      <c r="AI69" s="29" t="str">
        <f t="shared" si="1"/>
        <v/>
      </c>
      <c r="AK69" s="29"/>
      <c r="AL69" s="29"/>
      <c r="AM69" s="29"/>
      <c r="AN69" s="29"/>
      <c r="AO69" s="29"/>
      <c r="AP69" s="29"/>
      <c r="AQ69" s="29"/>
      <c r="AR69" s="29"/>
      <c r="AS69" s="62"/>
      <c r="AT69" s="62"/>
      <c r="AU69" s="62"/>
      <c r="AV69" s="62"/>
      <c r="AW69" s="62"/>
      <c r="AX69" s="62"/>
      <c r="AY69" s="29"/>
      <c r="AZ69" s="29"/>
      <c r="BA69" s="29"/>
      <c r="BB69" s="29"/>
      <c r="BC69" s="28"/>
      <c r="BD69" s="28"/>
    </row>
    <row r="70" spans="1:56">
      <c r="A70" s="37" t="s">
        <v>5</v>
      </c>
      <c r="B70" s="38">
        <v>33404.359600000003</v>
      </c>
      <c r="C70" s="39">
        <v>18</v>
      </c>
      <c r="E70" s="29"/>
      <c r="F70" s="29"/>
      <c r="G70" s="29"/>
      <c r="H70" s="29"/>
      <c r="I70" s="29"/>
      <c r="J70" s="29"/>
      <c r="K70" s="1"/>
      <c r="L70" s="29"/>
      <c r="M70" s="29"/>
      <c r="N70" s="29"/>
      <c r="O70" s="29"/>
      <c r="P70" s="29"/>
      <c r="Q70" s="29"/>
      <c r="R70" s="29"/>
      <c r="S70" s="29"/>
      <c r="T70" s="39">
        <v>4.71</v>
      </c>
      <c r="U70" s="29"/>
      <c r="V70" s="29"/>
      <c r="W70" s="1"/>
      <c r="X70" s="29"/>
      <c r="Y70" s="29"/>
      <c r="Z70" s="29"/>
      <c r="AA70" s="29"/>
      <c r="AB70" s="29"/>
      <c r="AC70" s="29"/>
      <c r="AD70" s="29"/>
      <c r="AE70" s="29"/>
      <c r="AF70" s="29"/>
      <c r="AG70" s="1"/>
      <c r="AH70" s="1"/>
      <c r="AI70" s="29" t="str">
        <f t="shared" si="1"/>
        <v/>
      </c>
      <c r="AK70" s="29"/>
      <c r="AL70" s="29"/>
      <c r="AM70" s="29"/>
      <c r="AN70" s="29"/>
      <c r="AO70" s="29"/>
      <c r="AP70" s="29"/>
      <c r="AQ70" s="29"/>
      <c r="AR70" s="29"/>
      <c r="AS70" s="62"/>
      <c r="AT70" s="62"/>
      <c r="AU70" s="62"/>
      <c r="AV70" s="62"/>
      <c r="AW70" s="62"/>
      <c r="AX70" s="62"/>
      <c r="AY70" s="29"/>
      <c r="AZ70" s="29"/>
      <c r="BA70" s="29"/>
      <c r="BB70" s="29"/>
      <c r="BC70" s="28"/>
      <c r="BD70" s="28"/>
    </row>
    <row r="71" spans="1:56">
      <c r="A71" s="37" t="s">
        <v>5</v>
      </c>
      <c r="B71" s="38">
        <v>33495.670149999998</v>
      </c>
      <c r="C71" s="39">
        <v>18.25</v>
      </c>
      <c r="E71" s="29"/>
      <c r="F71" s="29"/>
      <c r="G71" s="29"/>
      <c r="H71" s="29"/>
      <c r="I71" s="29"/>
      <c r="J71" s="29"/>
      <c r="K71" s="1"/>
      <c r="L71" s="29"/>
      <c r="M71" s="29"/>
      <c r="N71" s="29"/>
      <c r="O71" s="29"/>
      <c r="P71" s="29"/>
      <c r="Q71" s="29"/>
      <c r="R71" s="29"/>
      <c r="S71" s="29"/>
      <c r="T71" s="39">
        <v>4.18</v>
      </c>
      <c r="U71" s="29"/>
      <c r="V71" s="29"/>
      <c r="W71" s="1"/>
      <c r="X71" s="29"/>
      <c r="Y71" s="29"/>
      <c r="Z71" s="29"/>
      <c r="AA71" s="29"/>
      <c r="AB71" s="29"/>
      <c r="AC71" s="29"/>
      <c r="AD71" s="29"/>
      <c r="AE71" s="29"/>
      <c r="AF71" s="29"/>
      <c r="AG71" s="1"/>
      <c r="AH71" s="1"/>
      <c r="AI71" s="29" t="str">
        <f t="shared" si="1"/>
        <v/>
      </c>
      <c r="AK71" s="29"/>
      <c r="AL71" s="29"/>
      <c r="AM71" s="29"/>
      <c r="AN71" s="29"/>
      <c r="AO71" s="29"/>
      <c r="AP71" s="29"/>
      <c r="AQ71" s="29"/>
      <c r="AR71" s="29"/>
      <c r="AS71" s="62"/>
      <c r="AT71" s="62"/>
      <c r="AU71" s="62"/>
      <c r="AV71" s="62"/>
      <c r="AW71" s="62"/>
      <c r="AX71" s="62"/>
      <c r="AY71" s="29"/>
      <c r="AZ71" s="29"/>
      <c r="BA71" s="29"/>
      <c r="BB71" s="29"/>
      <c r="BC71" s="28"/>
      <c r="BD71" s="28"/>
    </row>
    <row r="72" spans="1:56">
      <c r="A72" s="37" t="s">
        <v>5</v>
      </c>
      <c r="B72" s="38">
        <v>33586.9807</v>
      </c>
      <c r="C72" s="39">
        <v>18.5</v>
      </c>
      <c r="E72" s="29"/>
      <c r="F72" s="29"/>
      <c r="G72" s="29"/>
      <c r="H72" s="29"/>
      <c r="I72" s="29"/>
      <c r="J72" s="29"/>
      <c r="K72" s="1"/>
      <c r="L72" s="29"/>
      <c r="M72" s="29"/>
      <c r="N72" s="29"/>
      <c r="O72" s="29"/>
      <c r="P72" s="29"/>
      <c r="Q72" s="29"/>
      <c r="R72" s="29"/>
      <c r="S72" s="29"/>
      <c r="T72" s="39"/>
      <c r="U72" s="29"/>
      <c r="V72" s="29"/>
      <c r="W72" s="1"/>
      <c r="X72" s="29"/>
      <c r="Y72" s="29"/>
      <c r="Z72" s="29"/>
      <c r="AA72" s="29"/>
      <c r="AB72" s="29"/>
      <c r="AC72" s="29"/>
      <c r="AD72" s="29"/>
      <c r="AE72" s="29"/>
      <c r="AF72" s="29"/>
      <c r="AG72" s="1"/>
      <c r="AH72" s="1"/>
      <c r="AI72" s="29" t="str">
        <f t="shared" si="1"/>
        <v/>
      </c>
      <c r="AK72" s="29"/>
      <c r="AL72" s="29"/>
      <c r="AM72" s="29"/>
      <c r="AN72" s="29"/>
      <c r="AO72" s="29"/>
      <c r="AP72" s="29"/>
      <c r="AQ72" s="29"/>
      <c r="AR72" s="29"/>
      <c r="AS72" s="62"/>
      <c r="AT72" s="62"/>
      <c r="AU72" s="62"/>
      <c r="AV72" s="62"/>
      <c r="AW72" s="62"/>
      <c r="AX72" s="62"/>
      <c r="AY72" s="29"/>
      <c r="AZ72" s="29"/>
      <c r="BA72" s="29"/>
      <c r="BB72" s="29"/>
      <c r="BC72" s="28"/>
      <c r="BD72" s="28"/>
    </row>
    <row r="73" spans="1:56">
      <c r="A73" s="37" t="s">
        <v>5</v>
      </c>
      <c r="B73" s="38">
        <v>33678.291250000002</v>
      </c>
      <c r="C73" s="39">
        <v>18.75</v>
      </c>
      <c r="E73" s="29"/>
      <c r="F73" s="29"/>
      <c r="G73" s="29"/>
      <c r="H73" s="29"/>
      <c r="I73" s="29"/>
      <c r="J73" s="29"/>
      <c r="K73" s="1"/>
      <c r="L73" s="29"/>
      <c r="M73" s="29"/>
      <c r="N73" s="29"/>
      <c r="O73" s="29"/>
      <c r="P73" s="29"/>
      <c r="Q73" s="29"/>
      <c r="R73" s="29"/>
      <c r="S73" s="29"/>
      <c r="T73" s="39">
        <v>4.78</v>
      </c>
      <c r="U73" s="29"/>
      <c r="V73" s="29"/>
      <c r="W73" s="1"/>
      <c r="X73" s="29"/>
      <c r="Y73" s="29"/>
      <c r="Z73" s="29"/>
      <c r="AA73" s="29"/>
      <c r="AB73" s="29"/>
      <c r="AC73" s="29"/>
      <c r="AD73" s="29"/>
      <c r="AE73" s="29"/>
      <c r="AF73" s="29"/>
      <c r="AG73" s="1"/>
      <c r="AH73" s="1"/>
      <c r="AI73" s="29" t="str">
        <f t="shared" si="1"/>
        <v/>
      </c>
      <c r="AK73" s="29"/>
      <c r="AL73" s="29"/>
      <c r="AM73" s="29"/>
      <c r="AN73" s="29"/>
      <c r="AO73" s="29"/>
      <c r="AP73" s="29"/>
      <c r="AQ73" s="29"/>
      <c r="AR73" s="29"/>
      <c r="AS73" s="62"/>
      <c r="AT73" s="62"/>
      <c r="AU73" s="62"/>
      <c r="AV73" s="62"/>
      <c r="AW73" s="62"/>
      <c r="AX73" s="62"/>
      <c r="AY73" s="29"/>
      <c r="AZ73" s="29"/>
      <c r="BA73" s="29"/>
      <c r="BB73" s="29"/>
      <c r="BC73" s="28"/>
      <c r="BD73" s="28"/>
    </row>
    <row r="74" spans="1:56">
      <c r="A74" s="37" t="s">
        <v>5</v>
      </c>
      <c r="B74" s="38">
        <v>33769.601800000004</v>
      </c>
      <c r="C74" s="39">
        <v>19</v>
      </c>
      <c r="E74" s="29"/>
      <c r="F74" s="29"/>
      <c r="G74" s="29"/>
      <c r="H74" s="29"/>
      <c r="I74" s="29"/>
      <c r="J74" s="29"/>
      <c r="K74" s="1"/>
      <c r="L74" s="29"/>
      <c r="M74" s="29"/>
      <c r="N74" s="29"/>
      <c r="O74" s="29"/>
      <c r="P74" s="29"/>
      <c r="Q74" s="29"/>
      <c r="R74" s="29"/>
      <c r="S74" s="29"/>
      <c r="T74" s="39">
        <v>5.26</v>
      </c>
      <c r="U74" s="29"/>
      <c r="V74" s="29"/>
      <c r="W74" s="1"/>
      <c r="X74" s="29"/>
      <c r="Y74" s="29"/>
      <c r="Z74" s="29"/>
      <c r="AA74" s="29"/>
      <c r="AB74" s="29"/>
      <c r="AC74" s="29"/>
      <c r="AD74" s="29"/>
      <c r="AE74" s="29"/>
      <c r="AF74" s="29"/>
      <c r="AG74" s="1"/>
      <c r="AH74" s="1"/>
      <c r="AI74" s="29" t="str">
        <f t="shared" si="1"/>
        <v/>
      </c>
      <c r="AK74" s="29"/>
      <c r="AL74" s="29"/>
      <c r="AM74" s="29"/>
      <c r="AN74" s="29"/>
      <c r="AO74" s="29"/>
      <c r="AP74" s="29"/>
      <c r="AQ74" s="29"/>
      <c r="AR74" s="29"/>
      <c r="AS74" s="62"/>
      <c r="AT74" s="62"/>
      <c r="AU74" s="62"/>
      <c r="AV74" s="62"/>
      <c r="AW74" s="62"/>
      <c r="AX74" s="62"/>
      <c r="AY74" s="29"/>
      <c r="AZ74" s="29"/>
      <c r="BA74" s="29"/>
      <c r="BB74" s="29"/>
      <c r="BC74" s="28"/>
      <c r="BD74" s="28"/>
    </row>
    <row r="75" spans="1:56">
      <c r="A75" s="37" t="s">
        <v>5</v>
      </c>
      <c r="B75" s="38">
        <v>34134.843999999997</v>
      </c>
      <c r="C75" s="39">
        <v>20</v>
      </c>
      <c r="E75" s="29"/>
      <c r="F75" s="29"/>
      <c r="G75" s="29"/>
      <c r="H75" s="29"/>
      <c r="I75" s="29"/>
      <c r="J75" s="29"/>
      <c r="K75" s="1"/>
      <c r="L75" s="29"/>
      <c r="M75" s="29"/>
      <c r="N75" s="29"/>
      <c r="O75" s="29"/>
      <c r="P75" s="29"/>
      <c r="Q75" s="29"/>
      <c r="R75" s="29"/>
      <c r="S75" s="29"/>
      <c r="T75" s="39"/>
      <c r="U75" s="29"/>
      <c r="V75" s="29"/>
      <c r="W75" s="1"/>
      <c r="X75" s="29"/>
      <c r="Y75" s="29"/>
      <c r="Z75" s="29"/>
      <c r="AA75" s="29"/>
      <c r="AB75" s="29"/>
      <c r="AC75" s="29"/>
      <c r="AD75" s="29"/>
      <c r="AE75" s="29"/>
      <c r="AF75" s="29"/>
      <c r="AG75" s="1"/>
      <c r="AH75" s="1"/>
      <c r="AI75" s="29" t="str">
        <f t="shared" si="1"/>
        <v/>
      </c>
      <c r="AK75" s="29"/>
      <c r="AL75" s="29"/>
      <c r="AM75" s="29"/>
      <c r="AN75" s="29"/>
      <c r="AO75" s="29"/>
      <c r="AP75" s="29"/>
      <c r="AQ75" s="29"/>
      <c r="AR75" s="29"/>
      <c r="AS75" s="62"/>
      <c r="AT75" s="62"/>
      <c r="AU75" s="62"/>
      <c r="AV75" s="62"/>
      <c r="AW75" s="62"/>
      <c r="AX75" s="62"/>
      <c r="AY75" s="29"/>
      <c r="AZ75" s="29"/>
      <c r="BA75" s="29"/>
      <c r="BB75" s="29"/>
      <c r="BC75" s="28"/>
      <c r="BD75" s="28"/>
    </row>
    <row r="76" spans="1:56">
      <c r="A76" s="37" t="s">
        <v>6</v>
      </c>
      <c r="B76" s="38">
        <v>30573.732550000001</v>
      </c>
      <c r="C76" s="39">
        <v>10.25</v>
      </c>
      <c r="E76" s="29"/>
      <c r="F76" s="29"/>
      <c r="G76" s="29"/>
      <c r="H76" s="29"/>
      <c r="I76" s="29"/>
      <c r="J76" s="29"/>
      <c r="K76" s="1"/>
      <c r="L76" s="29"/>
      <c r="M76" s="29"/>
      <c r="N76" s="29"/>
      <c r="O76" s="29"/>
      <c r="P76" s="29"/>
      <c r="Q76" s="29"/>
      <c r="R76" s="29"/>
      <c r="S76" s="29"/>
      <c r="T76" s="39">
        <v>2.87</v>
      </c>
      <c r="U76" s="29"/>
      <c r="V76" s="29"/>
      <c r="W76" s="1"/>
      <c r="X76" s="29"/>
      <c r="Y76" s="29"/>
      <c r="Z76" s="29"/>
      <c r="AA76" s="29"/>
      <c r="AB76" s="29"/>
      <c r="AC76" s="29"/>
      <c r="AD76" s="29"/>
      <c r="AE76" s="29"/>
      <c r="AF76" s="29"/>
      <c r="AG76" s="1"/>
      <c r="AH76" s="1"/>
      <c r="AI76" s="29" t="str">
        <f t="shared" si="1"/>
        <v/>
      </c>
      <c r="AK76" s="29"/>
      <c r="AL76" s="29"/>
      <c r="AM76" s="29"/>
      <c r="AN76" s="29"/>
      <c r="AO76" s="29"/>
      <c r="AP76" s="29"/>
      <c r="AQ76" s="29"/>
      <c r="AR76" s="29"/>
      <c r="AS76" s="62"/>
      <c r="AT76" s="62"/>
      <c r="AU76" s="62"/>
      <c r="AV76" s="62"/>
      <c r="AW76" s="62"/>
      <c r="AX76" s="62"/>
      <c r="AY76" s="29"/>
      <c r="AZ76" s="29"/>
      <c r="BA76" s="29"/>
      <c r="BB76" s="29"/>
      <c r="BC76" s="28"/>
      <c r="BD76" s="28"/>
    </row>
    <row r="77" spans="1:56">
      <c r="A77" s="37" t="s">
        <v>6</v>
      </c>
      <c r="B77" s="38">
        <v>30665.043099999999</v>
      </c>
      <c r="C77" s="39">
        <v>10.5</v>
      </c>
      <c r="E77" s="29"/>
      <c r="F77" s="29"/>
      <c r="G77" s="29"/>
      <c r="H77" s="29"/>
      <c r="I77" s="29"/>
      <c r="J77" s="29"/>
      <c r="K77" s="1"/>
      <c r="L77" s="29"/>
      <c r="M77" s="29"/>
      <c r="N77" s="29"/>
      <c r="O77" s="29"/>
      <c r="P77" s="29"/>
      <c r="Q77" s="29"/>
      <c r="R77" s="29"/>
      <c r="S77" s="29"/>
      <c r="T77" s="39">
        <v>4.1900000000000004</v>
      </c>
      <c r="U77" s="29"/>
      <c r="V77" s="29"/>
      <c r="W77" s="1"/>
      <c r="X77" s="29"/>
      <c r="Y77" s="29"/>
      <c r="Z77" s="29"/>
      <c r="AA77" s="29"/>
      <c r="AB77" s="29"/>
      <c r="AC77" s="29"/>
      <c r="AD77" s="29"/>
      <c r="AE77" s="29"/>
      <c r="AF77" s="29"/>
      <c r="AG77" s="1"/>
      <c r="AH77" s="1"/>
      <c r="AI77" s="29" t="str">
        <f t="shared" si="1"/>
        <v/>
      </c>
      <c r="AK77" s="29"/>
      <c r="AL77" s="29"/>
      <c r="AM77" s="29"/>
      <c r="AN77" s="29"/>
      <c r="AO77" s="29"/>
      <c r="AP77" s="29"/>
      <c r="AQ77" s="29"/>
      <c r="AR77" s="29"/>
      <c r="AS77" s="62"/>
      <c r="AT77" s="62"/>
      <c r="AU77" s="62"/>
      <c r="AV77" s="62"/>
      <c r="AW77" s="62"/>
      <c r="AX77" s="62"/>
      <c r="AY77" s="29"/>
      <c r="AZ77" s="29"/>
      <c r="BA77" s="29"/>
      <c r="BB77" s="29"/>
      <c r="BC77" s="28"/>
      <c r="BD77" s="28"/>
    </row>
    <row r="78" spans="1:56">
      <c r="A78" s="37" t="s">
        <v>6</v>
      </c>
      <c r="B78" s="38">
        <v>30756.353650000001</v>
      </c>
      <c r="C78" s="39">
        <v>10.75</v>
      </c>
      <c r="E78" s="29"/>
      <c r="F78" s="29"/>
      <c r="G78" s="29"/>
      <c r="H78" s="29"/>
      <c r="I78" s="29"/>
      <c r="J78" s="29"/>
      <c r="K78" s="1"/>
      <c r="L78" s="29"/>
      <c r="M78" s="29"/>
      <c r="N78" s="29"/>
      <c r="O78" s="29"/>
      <c r="P78" s="29"/>
      <c r="Q78" s="29"/>
      <c r="R78" s="29"/>
      <c r="S78" s="29"/>
      <c r="T78" s="39">
        <v>5</v>
      </c>
      <c r="U78" s="29"/>
      <c r="V78" s="29"/>
      <c r="W78" s="1"/>
      <c r="X78" s="29"/>
      <c r="Y78" s="29"/>
      <c r="Z78" s="29"/>
      <c r="AA78" s="29"/>
      <c r="AB78" s="29"/>
      <c r="AC78" s="29"/>
      <c r="AD78" s="29"/>
      <c r="AE78" s="29"/>
      <c r="AF78" s="29"/>
      <c r="AG78" s="1"/>
      <c r="AH78" s="1"/>
      <c r="AI78" s="29" t="str">
        <f t="shared" si="1"/>
        <v/>
      </c>
      <c r="AK78" s="29"/>
      <c r="AL78" s="29"/>
      <c r="AM78" s="29"/>
      <c r="AN78" s="29"/>
      <c r="AO78" s="29"/>
      <c r="AP78" s="29"/>
      <c r="AQ78" s="29"/>
      <c r="AR78" s="29"/>
      <c r="AS78" s="62"/>
      <c r="AT78" s="62"/>
      <c r="AU78" s="62"/>
      <c r="AV78" s="62"/>
      <c r="AW78" s="62"/>
      <c r="AX78" s="62"/>
      <c r="AY78" s="29"/>
      <c r="AZ78" s="29"/>
      <c r="BA78" s="29"/>
      <c r="BB78" s="29"/>
      <c r="BC78" s="28"/>
      <c r="BD78" s="28"/>
    </row>
    <row r="79" spans="1:56">
      <c r="A79" s="37" t="s">
        <v>6</v>
      </c>
      <c r="B79" s="38">
        <v>30847.664199999999</v>
      </c>
      <c r="C79" s="39">
        <v>11</v>
      </c>
      <c r="E79" s="29"/>
      <c r="F79" s="29"/>
      <c r="G79" s="29"/>
      <c r="H79" s="29"/>
      <c r="I79" s="29"/>
      <c r="J79" s="29"/>
      <c r="K79" s="1"/>
      <c r="L79" s="29"/>
      <c r="M79" s="29"/>
      <c r="N79" s="29"/>
      <c r="O79" s="29"/>
      <c r="P79" s="29"/>
      <c r="Q79" s="29"/>
      <c r="R79" s="29"/>
      <c r="S79" s="29"/>
      <c r="T79" s="39">
        <v>4.7</v>
      </c>
      <c r="U79" s="29"/>
      <c r="V79" s="29"/>
      <c r="W79" s="1"/>
      <c r="X79" s="29"/>
      <c r="Y79" s="29"/>
      <c r="Z79" s="29"/>
      <c r="AA79" s="29"/>
      <c r="AB79" s="29"/>
      <c r="AC79" s="29"/>
      <c r="AD79" s="29"/>
      <c r="AE79" s="29"/>
      <c r="AF79" s="29"/>
      <c r="AG79" s="1"/>
      <c r="AH79" s="1"/>
      <c r="AI79" s="29" t="str">
        <f t="shared" si="1"/>
        <v/>
      </c>
      <c r="AK79" s="29"/>
      <c r="AL79" s="29"/>
      <c r="AM79" s="29"/>
      <c r="AN79" s="29"/>
      <c r="AO79" s="29"/>
      <c r="AP79" s="29"/>
      <c r="AQ79" s="29"/>
      <c r="AR79" s="29"/>
      <c r="AS79" s="62"/>
      <c r="AT79" s="62"/>
      <c r="AU79" s="62"/>
      <c r="AV79" s="62"/>
      <c r="AW79" s="62"/>
      <c r="AX79" s="62"/>
      <c r="AY79" s="29"/>
      <c r="AZ79" s="29"/>
      <c r="BA79" s="29"/>
      <c r="BB79" s="29"/>
      <c r="BC79" s="28"/>
      <c r="BD79" s="28"/>
    </row>
    <row r="80" spans="1:56">
      <c r="A80" s="37" t="s">
        <v>6</v>
      </c>
      <c r="B80" s="38">
        <v>30938.974750000001</v>
      </c>
      <c r="C80" s="39">
        <v>11.25</v>
      </c>
      <c r="E80" s="29"/>
      <c r="F80" s="29"/>
      <c r="G80" s="29"/>
      <c r="H80" s="29"/>
      <c r="I80" s="29"/>
      <c r="J80" s="29"/>
      <c r="K80" s="1"/>
      <c r="L80" s="29"/>
      <c r="M80" s="29"/>
      <c r="N80" s="29"/>
      <c r="O80" s="29"/>
      <c r="P80" s="29"/>
      <c r="Q80" s="29"/>
      <c r="R80" s="29"/>
      <c r="S80" s="29"/>
      <c r="T80" s="39">
        <v>4.41</v>
      </c>
      <c r="U80" s="29"/>
      <c r="V80" s="29"/>
      <c r="W80" s="1"/>
      <c r="X80" s="29"/>
      <c r="Y80" s="29"/>
      <c r="Z80" s="29"/>
      <c r="AA80" s="29"/>
      <c r="AB80" s="29"/>
      <c r="AC80" s="29"/>
      <c r="AD80" s="29"/>
      <c r="AE80" s="29"/>
      <c r="AF80" s="29"/>
      <c r="AG80" s="1"/>
      <c r="AH80" s="1"/>
      <c r="AI80" s="29" t="str">
        <f t="shared" si="1"/>
        <v/>
      </c>
      <c r="AK80" s="29"/>
      <c r="AL80" s="29"/>
      <c r="AM80" s="29"/>
      <c r="AN80" s="29"/>
      <c r="AO80" s="29"/>
      <c r="AP80" s="29"/>
      <c r="AQ80" s="29"/>
      <c r="AR80" s="29"/>
      <c r="AS80" s="62"/>
      <c r="AT80" s="62"/>
      <c r="AU80" s="62"/>
      <c r="AV80" s="62"/>
      <c r="AW80" s="62"/>
      <c r="AX80" s="62"/>
      <c r="AY80" s="29"/>
      <c r="AZ80" s="29"/>
      <c r="BA80" s="29"/>
      <c r="BB80" s="29"/>
      <c r="BC80" s="28"/>
      <c r="BD80" s="28"/>
    </row>
    <row r="81" spans="1:56">
      <c r="A81" s="37" t="s">
        <v>6</v>
      </c>
      <c r="B81" s="38">
        <v>31030.2853</v>
      </c>
      <c r="C81" s="39">
        <v>11.5</v>
      </c>
      <c r="E81" s="29"/>
      <c r="F81" s="29"/>
      <c r="G81" s="29"/>
      <c r="H81" s="29"/>
      <c r="I81" s="29"/>
      <c r="J81" s="29"/>
      <c r="K81" s="1"/>
      <c r="L81" s="29"/>
      <c r="M81" s="29"/>
      <c r="N81" s="29"/>
      <c r="O81" s="29"/>
      <c r="P81" s="29"/>
      <c r="Q81" s="29"/>
      <c r="R81" s="29"/>
      <c r="S81" s="29"/>
      <c r="T81" s="39">
        <v>6.16</v>
      </c>
      <c r="U81" s="29"/>
      <c r="V81" s="29"/>
      <c r="W81" s="1"/>
      <c r="X81" s="29"/>
      <c r="Y81" s="29"/>
      <c r="Z81" s="29"/>
      <c r="AA81" s="29"/>
      <c r="AB81" s="29"/>
      <c r="AC81" s="29"/>
      <c r="AD81" s="29"/>
      <c r="AE81" s="29"/>
      <c r="AF81" s="29"/>
      <c r="AG81" s="1"/>
      <c r="AH81" s="1"/>
      <c r="AI81" s="29" t="str">
        <f t="shared" si="1"/>
        <v/>
      </c>
      <c r="AK81" s="29"/>
      <c r="AL81" s="29"/>
      <c r="AM81" s="29"/>
      <c r="AN81" s="29"/>
      <c r="AO81" s="29"/>
      <c r="AP81" s="29"/>
      <c r="AQ81" s="29"/>
      <c r="AR81" s="29"/>
      <c r="AS81" s="62"/>
      <c r="AT81" s="62"/>
      <c r="AU81" s="62"/>
      <c r="AV81" s="62"/>
      <c r="AW81" s="62"/>
      <c r="AX81" s="62"/>
      <c r="AY81" s="29"/>
      <c r="AZ81" s="29"/>
      <c r="BA81" s="29"/>
      <c r="BB81" s="29"/>
      <c r="BC81" s="28"/>
      <c r="BD81" s="28"/>
    </row>
    <row r="82" spans="1:56">
      <c r="A82" s="37" t="s">
        <v>6</v>
      </c>
      <c r="B82" s="38">
        <v>31121.595850000002</v>
      </c>
      <c r="C82" s="39">
        <v>11.75</v>
      </c>
      <c r="E82" s="29"/>
      <c r="F82" s="29"/>
      <c r="G82" s="29"/>
      <c r="H82" s="29"/>
      <c r="I82" s="29"/>
      <c r="J82" s="29"/>
      <c r="K82" s="1"/>
      <c r="L82" s="29"/>
      <c r="M82" s="29"/>
      <c r="N82" s="29"/>
      <c r="O82" s="29"/>
      <c r="P82" s="29"/>
      <c r="Q82" s="29"/>
      <c r="R82" s="29"/>
      <c r="S82" s="29"/>
      <c r="T82" s="39">
        <v>5.5124433962264154</v>
      </c>
      <c r="U82" s="29"/>
      <c r="V82" s="29"/>
      <c r="W82" s="1"/>
      <c r="X82" s="29"/>
      <c r="Y82" s="29"/>
      <c r="Z82" s="29"/>
      <c r="AA82" s="29"/>
      <c r="AB82" s="29"/>
      <c r="AC82" s="29"/>
      <c r="AD82" s="29"/>
      <c r="AE82" s="29"/>
      <c r="AF82" s="29"/>
      <c r="AG82" s="1"/>
      <c r="AH82" s="1"/>
      <c r="AI82" s="29" t="str">
        <f t="shared" si="1"/>
        <v/>
      </c>
      <c r="AK82" s="29"/>
      <c r="AL82" s="29"/>
      <c r="AM82" s="29"/>
      <c r="AN82" s="29"/>
      <c r="AO82" s="29"/>
      <c r="AP82" s="29"/>
      <c r="AQ82" s="29"/>
      <c r="AR82" s="29"/>
      <c r="AS82" s="62"/>
      <c r="AT82" s="62"/>
      <c r="AU82" s="62"/>
      <c r="AV82" s="62"/>
      <c r="AW82" s="62"/>
      <c r="AX82" s="62"/>
      <c r="AY82" s="29"/>
      <c r="AZ82" s="29"/>
      <c r="BA82" s="29"/>
      <c r="BB82" s="29"/>
      <c r="BC82" s="28"/>
      <c r="BD82" s="28"/>
    </row>
    <row r="83" spans="1:56">
      <c r="A83" s="37" t="s">
        <v>6</v>
      </c>
      <c r="B83" s="38">
        <v>31212.9064</v>
      </c>
      <c r="C83" s="39">
        <v>12</v>
      </c>
      <c r="E83" s="29"/>
      <c r="F83" s="29"/>
      <c r="G83" s="29"/>
      <c r="H83" s="29"/>
      <c r="I83" s="29"/>
      <c r="J83" s="29"/>
      <c r="K83" s="1"/>
      <c r="L83" s="29"/>
      <c r="M83" s="29"/>
      <c r="N83" s="29"/>
      <c r="O83" s="29"/>
      <c r="P83" s="29"/>
      <c r="Q83" s="29"/>
      <c r="R83" s="29"/>
      <c r="S83" s="29"/>
      <c r="T83" s="39">
        <v>6.8955925000000002</v>
      </c>
      <c r="U83" s="29"/>
      <c r="V83" s="29"/>
      <c r="W83" s="1"/>
      <c r="X83" s="29"/>
      <c r="Y83" s="29"/>
      <c r="Z83" s="29"/>
      <c r="AA83" s="29"/>
      <c r="AB83" s="29"/>
      <c r="AC83" s="29"/>
      <c r="AD83" s="29"/>
      <c r="AE83" s="29"/>
      <c r="AF83" s="29"/>
      <c r="AG83" s="1"/>
      <c r="AH83" s="1"/>
      <c r="AI83" s="29" t="str">
        <f t="shared" si="1"/>
        <v/>
      </c>
      <c r="AK83" s="29"/>
      <c r="AL83" s="29"/>
      <c r="AM83" s="29"/>
      <c r="AN83" s="29"/>
      <c r="AO83" s="29"/>
      <c r="AP83" s="29"/>
      <c r="AQ83" s="29"/>
      <c r="AR83" s="29"/>
      <c r="AS83" s="62"/>
      <c r="AT83" s="62"/>
      <c r="AU83" s="62"/>
      <c r="AV83" s="62"/>
      <c r="AW83" s="62"/>
      <c r="AX83" s="62"/>
      <c r="AY83" s="29"/>
      <c r="AZ83" s="29"/>
      <c r="BA83" s="29"/>
      <c r="BB83" s="29"/>
      <c r="BC83" s="28"/>
      <c r="BD83" s="28"/>
    </row>
    <row r="84" spans="1:56">
      <c r="A84" s="37" t="s">
        <v>6</v>
      </c>
      <c r="B84" s="38">
        <v>31304.216950000002</v>
      </c>
      <c r="C84" s="39">
        <v>12.25</v>
      </c>
      <c r="E84" s="29"/>
      <c r="F84" s="29"/>
      <c r="G84" s="29"/>
      <c r="H84" s="29"/>
      <c r="I84" s="29"/>
      <c r="J84" s="29"/>
      <c r="K84" s="1"/>
      <c r="L84" s="29"/>
      <c r="M84" s="29"/>
      <c r="N84" s="29"/>
      <c r="O84" s="29"/>
      <c r="P84" s="29"/>
      <c r="Q84" s="29"/>
      <c r="R84" s="29"/>
      <c r="S84" s="29"/>
      <c r="T84" s="39">
        <v>6.2672925000000008</v>
      </c>
      <c r="U84" s="29"/>
      <c r="V84" s="29"/>
      <c r="W84" s="1"/>
      <c r="X84" s="29"/>
      <c r="Y84" s="29"/>
      <c r="Z84" s="29"/>
      <c r="AA84" s="29"/>
      <c r="AB84" s="29"/>
      <c r="AC84" s="29"/>
      <c r="AD84" s="29"/>
      <c r="AE84" s="29"/>
      <c r="AF84" s="29"/>
      <c r="AG84" s="1"/>
      <c r="AH84" s="1"/>
      <c r="AI84" s="29" t="str">
        <f t="shared" si="1"/>
        <v/>
      </c>
      <c r="AK84" s="29"/>
      <c r="AL84" s="29"/>
      <c r="AM84" s="29"/>
      <c r="AN84" s="29"/>
      <c r="AO84" s="29"/>
      <c r="AP84" s="29"/>
      <c r="AQ84" s="29"/>
      <c r="AR84" s="29"/>
      <c r="AS84" s="62"/>
      <c r="AT84" s="62"/>
      <c r="AU84" s="62"/>
      <c r="AV84" s="62"/>
      <c r="AW84" s="62"/>
      <c r="AX84" s="62"/>
      <c r="AY84" s="29"/>
      <c r="AZ84" s="29"/>
      <c r="BA84" s="29"/>
      <c r="BB84" s="29"/>
      <c r="BC84" s="28"/>
      <c r="BD84" s="28"/>
    </row>
    <row r="85" spans="1:56">
      <c r="A85" s="37" t="s">
        <v>6</v>
      </c>
      <c r="B85" s="38">
        <v>31395.5275</v>
      </c>
      <c r="C85" s="39">
        <v>12.5</v>
      </c>
      <c r="E85" s="29"/>
      <c r="F85" s="29"/>
      <c r="G85" s="29"/>
      <c r="H85" s="29"/>
      <c r="I85" s="29"/>
      <c r="J85" s="29"/>
      <c r="K85" s="1"/>
      <c r="L85" s="29"/>
      <c r="M85" s="29"/>
      <c r="N85" s="29"/>
      <c r="O85" s="29"/>
      <c r="P85" s="29"/>
      <c r="Q85" s="29"/>
      <c r="R85" s="29"/>
      <c r="S85" s="29"/>
      <c r="T85" s="39">
        <v>7.1783275000000009</v>
      </c>
      <c r="U85" s="29"/>
      <c r="V85" s="29"/>
      <c r="W85" s="1"/>
      <c r="X85" s="29"/>
      <c r="Y85" s="29"/>
      <c r="Z85" s="29"/>
      <c r="AA85" s="29"/>
      <c r="AB85" s="29"/>
      <c r="AC85" s="29"/>
      <c r="AD85" s="29"/>
      <c r="AE85" s="29"/>
      <c r="AF85" s="29"/>
      <c r="AG85" s="1"/>
      <c r="AH85" s="1"/>
      <c r="AI85" s="29" t="str">
        <f t="shared" si="1"/>
        <v/>
      </c>
      <c r="AK85" s="29"/>
      <c r="AL85" s="29"/>
      <c r="AM85" s="29"/>
      <c r="AN85" s="29"/>
      <c r="AO85" s="29"/>
      <c r="AP85" s="29"/>
      <c r="AQ85" s="29"/>
      <c r="AR85" s="29"/>
      <c r="AS85" s="62"/>
      <c r="AT85" s="62"/>
      <c r="AU85" s="62"/>
      <c r="AV85" s="62"/>
      <c r="AW85" s="62"/>
      <c r="AX85" s="62"/>
      <c r="AY85" s="29"/>
      <c r="AZ85" s="29"/>
      <c r="BA85" s="29"/>
      <c r="BB85" s="29"/>
      <c r="BC85" s="28"/>
      <c r="BD85" s="28"/>
    </row>
    <row r="86" spans="1:56">
      <c r="A86" s="37" t="s">
        <v>6</v>
      </c>
      <c r="B86" s="38">
        <v>31486.838049999998</v>
      </c>
      <c r="C86" s="39">
        <v>12.75</v>
      </c>
      <c r="E86" s="29"/>
      <c r="F86" s="29"/>
      <c r="G86" s="29"/>
      <c r="H86" s="29"/>
      <c r="I86" s="29"/>
      <c r="J86" s="29"/>
      <c r="K86" s="1"/>
      <c r="L86" s="29"/>
      <c r="M86" s="29"/>
      <c r="N86" s="29"/>
      <c r="O86" s="29"/>
      <c r="P86" s="29"/>
      <c r="Q86" s="29"/>
      <c r="R86" s="29"/>
      <c r="S86" s="29"/>
      <c r="T86" s="39">
        <v>8.0108250000000005</v>
      </c>
      <c r="U86" s="29"/>
      <c r="V86" s="29"/>
      <c r="W86" s="1"/>
      <c r="X86" s="29"/>
      <c r="Y86" s="29"/>
      <c r="Z86" s="29"/>
      <c r="AA86" s="29"/>
      <c r="AB86" s="29"/>
      <c r="AC86" s="29"/>
      <c r="AD86" s="29"/>
      <c r="AE86" s="29"/>
      <c r="AF86" s="29"/>
      <c r="AG86" s="1"/>
      <c r="AH86" s="1"/>
      <c r="AI86" s="29" t="str">
        <f t="shared" si="1"/>
        <v/>
      </c>
      <c r="AK86" s="29"/>
      <c r="AL86" s="29"/>
      <c r="AM86" s="29"/>
      <c r="AN86" s="29"/>
      <c r="AO86" s="29"/>
      <c r="AP86" s="29"/>
      <c r="AQ86" s="29"/>
      <c r="AR86" s="29"/>
      <c r="AS86" s="62"/>
      <c r="AT86" s="62"/>
      <c r="AU86" s="62"/>
      <c r="AV86" s="62"/>
      <c r="AW86" s="62"/>
      <c r="AX86" s="62"/>
      <c r="AY86" s="29"/>
      <c r="AZ86" s="29"/>
      <c r="BA86" s="29"/>
      <c r="BB86" s="29"/>
      <c r="BC86" s="28"/>
      <c r="BD86" s="28"/>
    </row>
    <row r="87" spans="1:56">
      <c r="A87" s="37" t="s">
        <v>6</v>
      </c>
      <c r="B87" s="38">
        <v>31578.1486</v>
      </c>
      <c r="C87" s="39">
        <v>13</v>
      </c>
      <c r="E87" s="29"/>
      <c r="F87" s="29"/>
      <c r="G87" s="29"/>
      <c r="H87" s="29"/>
      <c r="I87" s="29"/>
      <c r="J87" s="29"/>
      <c r="K87" s="1"/>
      <c r="L87" s="29"/>
      <c r="M87" s="29"/>
      <c r="N87" s="29"/>
      <c r="O87" s="29"/>
      <c r="P87" s="29"/>
      <c r="Q87" s="29"/>
      <c r="R87" s="29"/>
      <c r="S87" s="29"/>
      <c r="T87" s="39">
        <v>7.7752125000000003</v>
      </c>
      <c r="U87" s="29"/>
      <c r="V87" s="29"/>
      <c r="W87" s="1"/>
      <c r="X87" s="29"/>
      <c r="Y87" s="29"/>
      <c r="Z87" s="29"/>
      <c r="AA87" s="29"/>
      <c r="AB87" s="29"/>
      <c r="AC87" s="29"/>
      <c r="AD87" s="29"/>
      <c r="AE87" s="29"/>
      <c r="AF87" s="29"/>
      <c r="AG87" s="1"/>
      <c r="AH87" s="1"/>
      <c r="AI87" s="29" t="str">
        <f t="shared" si="1"/>
        <v/>
      </c>
      <c r="AK87" s="29"/>
      <c r="AL87" s="29"/>
      <c r="AM87" s="29"/>
      <c r="AN87" s="29"/>
      <c r="AO87" s="29"/>
      <c r="AP87" s="29"/>
      <c r="AQ87" s="29"/>
      <c r="AR87" s="29"/>
      <c r="AS87" s="62"/>
      <c r="AT87" s="62"/>
      <c r="AU87" s="62"/>
      <c r="AV87" s="62"/>
      <c r="AW87" s="62"/>
      <c r="AX87" s="62"/>
      <c r="AY87" s="29"/>
      <c r="AZ87" s="29"/>
      <c r="BA87" s="29"/>
      <c r="BB87" s="29"/>
      <c r="BC87" s="28"/>
      <c r="BD87" s="28"/>
    </row>
    <row r="88" spans="1:56">
      <c r="A88" s="37" t="s">
        <v>6</v>
      </c>
      <c r="B88" s="38">
        <v>31669.459150000002</v>
      </c>
      <c r="C88" s="39">
        <v>13.25</v>
      </c>
      <c r="E88" s="29"/>
      <c r="F88" s="29"/>
      <c r="G88" s="29"/>
      <c r="H88" s="29"/>
      <c r="I88" s="29"/>
      <c r="J88" s="29"/>
      <c r="K88" s="1"/>
      <c r="L88" s="29"/>
      <c r="M88" s="29"/>
      <c r="N88" s="29"/>
      <c r="O88" s="29"/>
      <c r="P88" s="29"/>
      <c r="Q88" s="29"/>
      <c r="R88" s="29"/>
      <c r="S88" s="29"/>
      <c r="T88" s="39">
        <v>7.5867225000000005</v>
      </c>
      <c r="U88" s="29"/>
      <c r="V88" s="29"/>
      <c r="W88" s="1"/>
      <c r="X88" s="29"/>
      <c r="Y88" s="29"/>
      <c r="Z88" s="29"/>
      <c r="AA88" s="29"/>
      <c r="AB88" s="29"/>
      <c r="AC88" s="29"/>
      <c r="AD88" s="29"/>
      <c r="AE88" s="29"/>
      <c r="AF88" s="29"/>
      <c r="AG88" s="1"/>
      <c r="AH88" s="1"/>
      <c r="AI88" s="29" t="str">
        <f t="shared" si="1"/>
        <v/>
      </c>
      <c r="AK88" s="29"/>
      <c r="AL88" s="29"/>
      <c r="AM88" s="29"/>
      <c r="AN88" s="29"/>
      <c r="AO88" s="29"/>
      <c r="AP88" s="29"/>
      <c r="AQ88" s="29"/>
      <c r="AR88" s="29"/>
      <c r="AS88" s="62"/>
      <c r="AT88" s="62"/>
      <c r="AU88" s="62"/>
      <c r="AV88" s="62"/>
      <c r="AW88" s="62"/>
      <c r="AX88" s="62"/>
      <c r="AY88" s="29"/>
      <c r="AZ88" s="29"/>
      <c r="BA88" s="29"/>
      <c r="BB88" s="29"/>
      <c r="BC88" s="28"/>
      <c r="BD88" s="28"/>
    </row>
    <row r="89" spans="1:56">
      <c r="A89" s="37" t="s">
        <v>6</v>
      </c>
      <c r="B89" s="38">
        <v>31760.769700000001</v>
      </c>
      <c r="C89" s="39">
        <v>13.5</v>
      </c>
      <c r="E89" s="29"/>
      <c r="F89" s="29"/>
      <c r="G89" s="29"/>
      <c r="H89" s="29"/>
      <c r="I89" s="29"/>
      <c r="J89" s="29"/>
      <c r="K89" s="1"/>
      <c r="L89" s="29"/>
      <c r="M89" s="29"/>
      <c r="N89" s="29"/>
      <c r="O89" s="29"/>
      <c r="P89" s="29"/>
      <c r="Q89" s="29"/>
      <c r="R89" s="29"/>
      <c r="S89" s="29"/>
      <c r="T89" s="39">
        <v>8.1993150000000004</v>
      </c>
      <c r="U89" s="29"/>
      <c r="V89" s="29"/>
      <c r="W89" s="1"/>
      <c r="X89" s="29"/>
      <c r="Y89" s="29"/>
      <c r="Z89" s="29"/>
      <c r="AA89" s="29"/>
      <c r="AB89" s="29"/>
      <c r="AC89" s="29"/>
      <c r="AD89" s="29"/>
      <c r="AE89" s="29"/>
      <c r="AF89" s="29"/>
      <c r="AG89" s="1"/>
      <c r="AH89" s="1"/>
      <c r="AI89" s="29" t="str">
        <f t="shared" si="1"/>
        <v/>
      </c>
      <c r="AK89" s="29"/>
      <c r="AL89" s="29"/>
      <c r="AM89" s="29"/>
      <c r="AN89" s="29"/>
      <c r="AO89" s="29"/>
      <c r="AP89" s="29"/>
      <c r="AQ89" s="29"/>
      <c r="AR89" s="29"/>
      <c r="AS89" s="62"/>
      <c r="AT89" s="62"/>
      <c r="AU89" s="62"/>
      <c r="AV89" s="62"/>
      <c r="AW89" s="62"/>
      <c r="AX89" s="62"/>
      <c r="AY89" s="29"/>
      <c r="AZ89" s="29"/>
      <c r="BA89" s="29"/>
      <c r="BB89" s="29"/>
      <c r="BC89" s="28"/>
      <c r="BD89" s="28"/>
    </row>
    <row r="90" spans="1:56">
      <c r="A90" s="37" t="s">
        <v>6</v>
      </c>
      <c r="B90" s="38">
        <v>31852.080249999999</v>
      </c>
      <c r="C90" s="39">
        <v>13.75</v>
      </c>
      <c r="E90" s="29"/>
      <c r="F90" s="29"/>
      <c r="G90" s="29"/>
      <c r="H90" s="29"/>
      <c r="I90" s="29"/>
      <c r="J90" s="29"/>
      <c r="K90" s="1"/>
      <c r="L90" s="29"/>
      <c r="M90" s="29"/>
      <c r="N90" s="29"/>
      <c r="O90" s="29"/>
      <c r="P90" s="29"/>
      <c r="Q90" s="29"/>
      <c r="R90" s="29"/>
      <c r="S90" s="29"/>
      <c r="T90" s="39">
        <v>9.4087925000000006</v>
      </c>
      <c r="U90" s="29"/>
      <c r="V90" s="29"/>
      <c r="W90" s="1"/>
      <c r="X90" s="29"/>
      <c r="Y90" s="29"/>
      <c r="Z90" s="29"/>
      <c r="AA90" s="29"/>
      <c r="AB90" s="29"/>
      <c r="AC90" s="29"/>
      <c r="AD90" s="29"/>
      <c r="AE90" s="29"/>
      <c r="AF90" s="29"/>
      <c r="AG90" s="1"/>
      <c r="AH90" s="1"/>
      <c r="AI90" s="29" t="str">
        <f t="shared" si="1"/>
        <v/>
      </c>
      <c r="AK90" s="29"/>
      <c r="AL90" s="29"/>
      <c r="AM90" s="29"/>
      <c r="AN90" s="29"/>
      <c r="AO90" s="29"/>
      <c r="AP90" s="29"/>
      <c r="AQ90" s="29"/>
      <c r="AR90" s="29"/>
      <c r="AS90" s="62"/>
      <c r="AT90" s="62"/>
      <c r="AU90" s="62"/>
      <c r="AV90" s="62"/>
      <c r="AW90" s="62"/>
      <c r="AX90" s="62"/>
      <c r="AY90" s="29"/>
      <c r="AZ90" s="29"/>
      <c r="BA90" s="29"/>
      <c r="BB90" s="29"/>
      <c r="BC90" s="28"/>
      <c r="BD90" s="28"/>
    </row>
    <row r="91" spans="1:56">
      <c r="A91" s="37" t="s">
        <v>6</v>
      </c>
      <c r="B91" s="38">
        <v>31943.390800000001</v>
      </c>
      <c r="C91" s="39">
        <v>14</v>
      </c>
      <c r="E91" s="29"/>
      <c r="F91" s="29"/>
      <c r="G91" s="29"/>
      <c r="H91" s="29"/>
      <c r="I91" s="29"/>
      <c r="J91" s="29"/>
      <c r="K91" s="1"/>
      <c r="L91" s="29"/>
      <c r="M91" s="29"/>
      <c r="N91" s="29"/>
      <c r="O91" s="29"/>
      <c r="P91" s="29"/>
      <c r="Q91" s="29"/>
      <c r="R91" s="29"/>
      <c r="S91" s="29"/>
      <c r="T91" s="39">
        <v>9.0632275</v>
      </c>
      <c r="U91" s="29"/>
      <c r="V91" s="29"/>
      <c r="W91" s="1"/>
      <c r="X91" s="29"/>
      <c r="Y91" s="29"/>
      <c r="Z91" s="29"/>
      <c r="AA91" s="29"/>
      <c r="AB91" s="29"/>
      <c r="AC91" s="29"/>
      <c r="AD91" s="29"/>
      <c r="AE91" s="29"/>
      <c r="AF91" s="29"/>
      <c r="AG91" s="1"/>
      <c r="AH91" s="1"/>
      <c r="AI91" s="29" t="str">
        <f t="shared" si="1"/>
        <v/>
      </c>
      <c r="AK91" s="29"/>
      <c r="AL91" s="29"/>
      <c r="AM91" s="29"/>
      <c r="AN91" s="29"/>
      <c r="AO91" s="29"/>
      <c r="AP91" s="29"/>
      <c r="AQ91" s="29"/>
      <c r="AR91" s="29"/>
      <c r="AS91" s="62"/>
      <c r="AT91" s="62"/>
      <c r="AU91" s="62"/>
      <c r="AV91" s="62"/>
      <c r="AW91" s="62"/>
      <c r="AX91" s="62"/>
      <c r="AY91" s="29"/>
      <c r="AZ91" s="29"/>
      <c r="BA91" s="29"/>
      <c r="BB91" s="29"/>
      <c r="BC91" s="28"/>
      <c r="BD91" s="28"/>
    </row>
    <row r="92" spans="1:56">
      <c r="A92" s="37" t="s">
        <v>6</v>
      </c>
      <c r="B92" s="38">
        <v>32034.701349999999</v>
      </c>
      <c r="C92" s="39">
        <v>14.25</v>
      </c>
      <c r="E92" s="29"/>
      <c r="F92" s="29"/>
      <c r="G92" s="29"/>
      <c r="H92" s="29"/>
      <c r="I92" s="29"/>
      <c r="J92" s="29"/>
      <c r="K92" s="1"/>
      <c r="L92" s="29"/>
      <c r="M92" s="29"/>
      <c r="N92" s="29"/>
      <c r="O92" s="29"/>
      <c r="P92" s="29"/>
      <c r="Q92" s="29"/>
      <c r="R92" s="29"/>
      <c r="S92" s="29"/>
      <c r="T92" s="39">
        <v>8.6862475000000003</v>
      </c>
      <c r="U92" s="29"/>
      <c r="V92" s="29"/>
      <c r="W92" s="1"/>
      <c r="X92" s="29"/>
      <c r="Y92" s="29"/>
      <c r="Z92" s="29"/>
      <c r="AA92" s="29"/>
      <c r="AB92" s="29"/>
      <c r="AC92" s="29"/>
      <c r="AD92" s="29"/>
      <c r="AE92" s="29"/>
      <c r="AF92" s="29"/>
      <c r="AG92" s="1"/>
      <c r="AH92" s="1"/>
      <c r="AI92" s="29" t="str">
        <f t="shared" si="1"/>
        <v/>
      </c>
      <c r="AK92" s="29"/>
      <c r="AL92" s="29"/>
      <c r="AM92" s="29"/>
      <c r="AN92" s="29"/>
      <c r="AO92" s="29"/>
      <c r="AP92" s="29"/>
      <c r="AQ92" s="29"/>
      <c r="AR92" s="29"/>
      <c r="AS92" s="62"/>
      <c r="AT92" s="62"/>
      <c r="AU92" s="62"/>
      <c r="AV92" s="62"/>
      <c r="AW92" s="62"/>
      <c r="AX92" s="62"/>
      <c r="AY92" s="29"/>
      <c r="AZ92" s="29"/>
      <c r="BA92" s="29"/>
      <c r="BB92" s="29"/>
      <c r="BC92" s="28"/>
      <c r="BD92" s="28"/>
    </row>
    <row r="93" spans="1:56">
      <c r="A93" s="37" t="s">
        <v>6</v>
      </c>
      <c r="B93" s="38">
        <v>32126.011900000001</v>
      </c>
      <c r="C93" s="39">
        <v>14.5</v>
      </c>
      <c r="E93" s="29"/>
      <c r="F93" s="29"/>
      <c r="G93" s="29"/>
      <c r="H93" s="29"/>
      <c r="I93" s="29"/>
      <c r="J93" s="29"/>
      <c r="K93" s="1"/>
      <c r="L93" s="29"/>
      <c r="M93" s="29"/>
      <c r="N93" s="29"/>
      <c r="O93" s="29"/>
      <c r="P93" s="29"/>
      <c r="Q93" s="29"/>
      <c r="R93" s="29"/>
      <c r="S93" s="29"/>
      <c r="T93" s="39">
        <v>9.4245000000000001</v>
      </c>
      <c r="U93" s="29"/>
      <c r="V93" s="29"/>
      <c r="W93" s="1"/>
      <c r="X93" s="29"/>
      <c r="Y93" s="29"/>
      <c r="Z93" s="29"/>
      <c r="AA93" s="29"/>
      <c r="AB93" s="29"/>
      <c r="AC93" s="29"/>
      <c r="AD93" s="29"/>
      <c r="AE93" s="29"/>
      <c r="AF93" s="29"/>
      <c r="AG93" s="1"/>
      <c r="AH93" s="1"/>
      <c r="AI93" s="29" t="str">
        <f t="shared" si="1"/>
        <v/>
      </c>
      <c r="AK93" s="29"/>
      <c r="AL93" s="29"/>
      <c r="AM93" s="29"/>
      <c r="AN93" s="29"/>
      <c r="AO93" s="29"/>
      <c r="AP93" s="29"/>
      <c r="AQ93" s="29"/>
      <c r="AR93" s="29"/>
      <c r="AS93" s="62"/>
      <c r="AT93" s="62"/>
      <c r="AU93" s="62"/>
      <c r="AV93" s="62"/>
      <c r="AW93" s="62"/>
      <c r="AX93" s="62"/>
      <c r="AY93" s="29"/>
      <c r="AZ93" s="29"/>
      <c r="BA93" s="29"/>
      <c r="BB93" s="29"/>
      <c r="BC93" s="28"/>
      <c r="BD93" s="28"/>
    </row>
    <row r="94" spans="1:56">
      <c r="A94" s="37" t="s">
        <v>6</v>
      </c>
      <c r="B94" s="38">
        <v>32217.32245</v>
      </c>
      <c r="C94" s="39">
        <v>14.75</v>
      </c>
      <c r="E94" s="29"/>
      <c r="F94" s="29"/>
      <c r="G94" s="29"/>
      <c r="H94" s="29"/>
      <c r="I94" s="29"/>
      <c r="J94" s="29"/>
      <c r="K94" s="1"/>
      <c r="L94" s="29"/>
      <c r="M94" s="29"/>
      <c r="N94" s="29"/>
      <c r="O94" s="29"/>
      <c r="P94" s="29"/>
      <c r="Q94" s="29"/>
      <c r="R94" s="29"/>
      <c r="S94" s="29"/>
      <c r="T94" s="39">
        <v>7.8537499999999998</v>
      </c>
      <c r="U94" s="29"/>
      <c r="V94" s="29"/>
      <c r="W94" s="1"/>
      <c r="X94" s="29"/>
      <c r="Y94" s="29"/>
      <c r="Z94" s="29"/>
      <c r="AA94" s="29"/>
      <c r="AB94" s="29"/>
      <c r="AC94" s="29"/>
      <c r="AD94" s="29"/>
      <c r="AE94" s="29"/>
      <c r="AF94" s="29"/>
      <c r="AG94" s="1"/>
      <c r="AH94" s="1"/>
      <c r="AI94" s="29" t="str">
        <f t="shared" si="1"/>
        <v/>
      </c>
      <c r="AK94" s="29"/>
      <c r="AL94" s="29"/>
      <c r="AM94" s="29"/>
      <c r="AN94" s="29"/>
      <c r="AO94" s="29"/>
      <c r="AP94" s="29"/>
      <c r="AQ94" s="29"/>
      <c r="AR94" s="29"/>
      <c r="AS94" s="62"/>
      <c r="AT94" s="62"/>
      <c r="AU94" s="62"/>
      <c r="AV94" s="62"/>
      <c r="AW94" s="62"/>
      <c r="AX94" s="62"/>
      <c r="AY94" s="29"/>
      <c r="AZ94" s="29"/>
      <c r="BA94" s="29"/>
      <c r="BB94" s="29"/>
      <c r="BC94" s="28"/>
      <c r="BD94" s="28"/>
    </row>
    <row r="95" spans="1:56">
      <c r="A95" s="37" t="s">
        <v>6</v>
      </c>
      <c r="B95" s="38">
        <v>32308.633000000002</v>
      </c>
      <c r="C95" s="39">
        <v>15</v>
      </c>
      <c r="E95" s="29"/>
      <c r="F95" s="29"/>
      <c r="G95" s="29"/>
      <c r="H95" s="29"/>
      <c r="I95" s="29"/>
      <c r="J95" s="29"/>
      <c r="K95" s="1"/>
      <c r="L95" s="29"/>
      <c r="M95" s="29"/>
      <c r="N95" s="29"/>
      <c r="O95" s="29"/>
      <c r="P95" s="29"/>
      <c r="Q95" s="29"/>
      <c r="R95" s="29"/>
      <c r="S95" s="29"/>
      <c r="T95" s="39">
        <v>7.8537499999999998</v>
      </c>
      <c r="U95" s="29"/>
      <c r="V95" s="29"/>
      <c r="W95" s="1"/>
      <c r="X95" s="29"/>
      <c r="Y95" s="29"/>
      <c r="Z95" s="29"/>
      <c r="AA95" s="29"/>
      <c r="AB95" s="29"/>
      <c r="AC95" s="29"/>
      <c r="AD95" s="29"/>
      <c r="AE95" s="29"/>
      <c r="AF95" s="29"/>
      <c r="AG95" s="1"/>
      <c r="AH95" s="1"/>
      <c r="AI95" s="29" t="str">
        <f t="shared" si="1"/>
        <v/>
      </c>
      <c r="AK95" s="29"/>
      <c r="AL95" s="29"/>
      <c r="AM95" s="29"/>
      <c r="AN95" s="29"/>
      <c r="AO95" s="29"/>
      <c r="AP95" s="29"/>
      <c r="AQ95" s="29"/>
      <c r="AR95" s="29"/>
      <c r="AS95" s="62"/>
      <c r="AT95" s="62"/>
      <c r="AU95" s="62"/>
      <c r="AV95" s="62"/>
      <c r="AW95" s="62"/>
      <c r="AX95" s="62"/>
      <c r="AY95" s="29"/>
      <c r="AZ95" s="29"/>
      <c r="BA95" s="29"/>
      <c r="BB95" s="29"/>
      <c r="BC95" s="28"/>
      <c r="BD95" s="28"/>
    </row>
    <row r="96" spans="1:56">
      <c r="A96" s="37" t="s">
        <v>6</v>
      </c>
      <c r="B96" s="38">
        <v>32399.94355</v>
      </c>
      <c r="C96" s="39">
        <v>15.25</v>
      </c>
      <c r="E96" s="29"/>
      <c r="F96" s="29"/>
      <c r="G96" s="29"/>
      <c r="H96" s="29"/>
      <c r="I96" s="29"/>
      <c r="J96" s="29"/>
      <c r="K96" s="1"/>
      <c r="L96" s="29"/>
      <c r="M96" s="29"/>
      <c r="N96" s="29"/>
      <c r="O96" s="29"/>
      <c r="P96" s="29"/>
      <c r="Q96" s="29"/>
      <c r="R96" s="29"/>
      <c r="S96" s="29"/>
      <c r="T96" s="39">
        <v>3.84</v>
      </c>
      <c r="U96" s="29"/>
      <c r="V96" s="29"/>
      <c r="W96" s="1"/>
      <c r="X96" s="29"/>
      <c r="Y96" s="29"/>
      <c r="Z96" s="29"/>
      <c r="AA96" s="29"/>
      <c r="AB96" s="29"/>
      <c r="AC96" s="29"/>
      <c r="AD96" s="29"/>
      <c r="AE96" s="29"/>
      <c r="AF96" s="29"/>
      <c r="AG96" s="1"/>
      <c r="AH96" s="1"/>
      <c r="AI96" s="29" t="str">
        <f t="shared" si="1"/>
        <v/>
      </c>
      <c r="AK96" s="29"/>
      <c r="AL96" s="29"/>
      <c r="AM96" s="29"/>
      <c r="AN96" s="29"/>
      <c r="AO96" s="29"/>
      <c r="AP96" s="29"/>
      <c r="AQ96" s="29"/>
      <c r="AR96" s="29"/>
      <c r="AS96" s="62"/>
      <c r="AT96" s="62"/>
      <c r="AU96" s="62"/>
      <c r="AV96" s="62"/>
      <c r="AW96" s="62"/>
      <c r="AX96" s="62"/>
      <c r="AY96" s="29"/>
      <c r="AZ96" s="29"/>
      <c r="BA96" s="29"/>
      <c r="BB96" s="29"/>
      <c r="BC96" s="28"/>
      <c r="BD96" s="28"/>
    </row>
    <row r="97" spans="1:56">
      <c r="A97" s="37" t="s">
        <v>6</v>
      </c>
      <c r="B97" s="38">
        <v>32491.254099999998</v>
      </c>
      <c r="C97" s="39">
        <v>15.5</v>
      </c>
      <c r="E97" s="29"/>
      <c r="F97" s="29"/>
      <c r="G97" s="29"/>
      <c r="H97" s="29"/>
      <c r="I97" s="29"/>
      <c r="J97" s="29"/>
      <c r="K97" s="1"/>
      <c r="L97" s="29"/>
      <c r="M97" s="29"/>
      <c r="N97" s="29"/>
      <c r="O97" s="29"/>
      <c r="P97" s="29"/>
      <c r="Q97" s="29"/>
      <c r="R97" s="29"/>
      <c r="S97" s="29"/>
      <c r="T97" s="39"/>
      <c r="U97" s="29"/>
      <c r="V97" s="29"/>
      <c r="W97" s="1"/>
      <c r="X97" s="29"/>
      <c r="Y97" s="29"/>
      <c r="Z97" s="29"/>
      <c r="AA97" s="29"/>
      <c r="AB97" s="29"/>
      <c r="AC97" s="29"/>
      <c r="AD97" s="29"/>
      <c r="AE97" s="29"/>
      <c r="AF97" s="29"/>
      <c r="AG97" s="1"/>
      <c r="AH97" s="1"/>
      <c r="AI97" s="29" t="str">
        <f t="shared" si="1"/>
        <v/>
      </c>
      <c r="AK97" s="29"/>
      <c r="AL97" s="29"/>
      <c r="AM97" s="29"/>
      <c r="AN97" s="29"/>
      <c r="AO97" s="29"/>
      <c r="AP97" s="29"/>
      <c r="AQ97" s="29"/>
      <c r="AR97" s="29"/>
      <c r="AS97" s="62"/>
      <c r="AT97" s="62"/>
      <c r="AU97" s="62"/>
      <c r="AV97" s="62"/>
      <c r="AW97" s="62"/>
      <c r="AX97" s="62"/>
      <c r="AY97" s="29"/>
      <c r="AZ97" s="29"/>
      <c r="BA97" s="29"/>
      <c r="BB97" s="29"/>
      <c r="BC97" s="28"/>
      <c r="BD97" s="28"/>
    </row>
    <row r="98" spans="1:56">
      <c r="A98" s="37" t="s">
        <v>6</v>
      </c>
      <c r="B98" s="38">
        <v>32582.56465</v>
      </c>
      <c r="C98" s="39">
        <v>15.75</v>
      </c>
      <c r="E98" s="29"/>
      <c r="F98" s="29"/>
      <c r="G98" s="29"/>
      <c r="H98" s="29"/>
      <c r="I98" s="29"/>
      <c r="J98" s="29"/>
      <c r="K98" s="1"/>
      <c r="L98" s="29"/>
      <c r="M98" s="29"/>
      <c r="N98" s="29"/>
      <c r="O98" s="29"/>
      <c r="P98" s="29"/>
      <c r="Q98" s="29"/>
      <c r="R98" s="29"/>
      <c r="S98" s="29"/>
      <c r="T98" s="39">
        <v>4.49</v>
      </c>
      <c r="U98" s="29"/>
      <c r="V98" s="29"/>
      <c r="W98" s="1"/>
      <c r="X98" s="29"/>
      <c r="Y98" s="29"/>
      <c r="Z98" s="29"/>
      <c r="AA98" s="29"/>
      <c r="AB98" s="29"/>
      <c r="AC98" s="29"/>
      <c r="AD98" s="29"/>
      <c r="AE98" s="29"/>
      <c r="AF98" s="29"/>
      <c r="AG98" s="1"/>
      <c r="AH98" s="1"/>
      <c r="AI98" s="29" t="str">
        <f t="shared" si="1"/>
        <v/>
      </c>
      <c r="AK98" s="29"/>
      <c r="AL98" s="29"/>
      <c r="AM98" s="29"/>
      <c r="AN98" s="29"/>
      <c r="AO98" s="29"/>
      <c r="AP98" s="29"/>
      <c r="AQ98" s="29"/>
      <c r="AR98" s="29"/>
      <c r="AS98" s="62"/>
      <c r="AT98" s="62"/>
      <c r="AU98" s="62"/>
      <c r="AV98" s="62"/>
      <c r="AW98" s="62"/>
      <c r="AX98" s="62"/>
      <c r="AY98" s="29"/>
      <c r="AZ98" s="29"/>
      <c r="BA98" s="29"/>
      <c r="BB98" s="29"/>
      <c r="BC98" s="28"/>
      <c r="BD98" s="28"/>
    </row>
    <row r="99" spans="1:56">
      <c r="A99" s="37" t="s">
        <v>6</v>
      </c>
      <c r="B99" s="38">
        <v>32673.875200000002</v>
      </c>
      <c r="C99" s="39">
        <v>16</v>
      </c>
      <c r="E99" s="29"/>
      <c r="F99" s="29"/>
      <c r="G99" s="29"/>
      <c r="H99" s="29"/>
      <c r="I99" s="29"/>
      <c r="J99" s="29"/>
      <c r="K99" s="1"/>
      <c r="L99" s="29"/>
      <c r="M99" s="29"/>
      <c r="N99" s="29"/>
      <c r="O99" s="29"/>
      <c r="P99" s="29"/>
      <c r="Q99" s="29"/>
      <c r="R99" s="29"/>
      <c r="S99" s="29"/>
      <c r="T99" s="39">
        <v>4.2300000000000004</v>
      </c>
      <c r="U99" s="29"/>
      <c r="V99" s="29"/>
      <c r="W99" s="1"/>
      <c r="X99" s="29"/>
      <c r="Y99" s="29"/>
      <c r="Z99" s="29"/>
      <c r="AA99" s="29"/>
      <c r="AB99" s="29"/>
      <c r="AC99" s="29"/>
      <c r="AD99" s="29"/>
      <c r="AE99" s="29"/>
      <c r="AF99" s="29"/>
      <c r="AG99" s="1"/>
      <c r="AH99" s="1"/>
      <c r="AI99" s="29" t="str">
        <f t="shared" si="1"/>
        <v/>
      </c>
      <c r="AK99" s="29"/>
      <c r="AL99" s="29"/>
      <c r="AM99" s="29"/>
      <c r="AN99" s="29"/>
      <c r="AO99" s="29"/>
      <c r="AP99" s="29"/>
      <c r="AQ99" s="29"/>
      <c r="AR99" s="29"/>
      <c r="AS99" s="62"/>
      <c r="AT99" s="62"/>
      <c r="AU99" s="62"/>
      <c r="AV99" s="62"/>
      <c r="AW99" s="62"/>
      <c r="AX99" s="62"/>
      <c r="AY99" s="29"/>
      <c r="AZ99" s="29"/>
      <c r="BA99" s="29"/>
      <c r="BB99" s="29"/>
      <c r="BC99" s="28"/>
      <c r="BD99" s="28"/>
    </row>
    <row r="100" spans="1:56">
      <c r="A100" s="37" t="s">
        <v>6</v>
      </c>
      <c r="B100" s="38">
        <v>32765.185750000001</v>
      </c>
      <c r="C100" s="39">
        <v>16.25</v>
      </c>
      <c r="E100" s="29"/>
      <c r="F100" s="29"/>
      <c r="G100" s="29"/>
      <c r="H100" s="29"/>
      <c r="I100" s="29"/>
      <c r="J100" s="29"/>
      <c r="K100" s="1"/>
      <c r="L100" s="29"/>
      <c r="M100" s="29"/>
      <c r="N100" s="29"/>
      <c r="O100" s="29"/>
      <c r="P100" s="29"/>
      <c r="Q100" s="29"/>
      <c r="R100" s="29"/>
      <c r="S100" s="29"/>
      <c r="T100" s="39">
        <v>4.45</v>
      </c>
      <c r="U100" s="29"/>
      <c r="V100" s="29"/>
      <c r="W100" s="1"/>
      <c r="X100" s="29"/>
      <c r="Y100" s="29"/>
      <c r="Z100" s="29"/>
      <c r="AA100" s="29"/>
      <c r="AB100" s="29"/>
      <c r="AC100" s="29"/>
      <c r="AD100" s="29"/>
      <c r="AE100" s="29"/>
      <c r="AF100" s="29"/>
      <c r="AG100" s="1"/>
      <c r="AH100" s="1"/>
      <c r="AI100" s="29" t="str">
        <f t="shared" si="1"/>
        <v/>
      </c>
      <c r="AK100" s="29"/>
      <c r="AL100" s="29"/>
      <c r="AM100" s="29"/>
      <c r="AN100" s="29"/>
      <c r="AO100" s="29"/>
      <c r="AP100" s="29"/>
      <c r="AQ100" s="29"/>
      <c r="AR100" s="29"/>
      <c r="AS100" s="62"/>
      <c r="AT100" s="62"/>
      <c r="AU100" s="62"/>
      <c r="AV100" s="62"/>
      <c r="AW100" s="62"/>
      <c r="AX100" s="62"/>
      <c r="AY100" s="29"/>
      <c r="AZ100" s="29"/>
      <c r="BA100" s="29"/>
      <c r="BB100" s="29"/>
      <c r="BC100" s="28"/>
      <c r="BD100" s="28"/>
    </row>
    <row r="101" spans="1:56">
      <c r="A101" s="37" t="s">
        <v>6</v>
      </c>
      <c r="B101" s="38">
        <v>32856.496299999999</v>
      </c>
      <c r="C101" s="39">
        <v>16.5</v>
      </c>
      <c r="E101" s="29"/>
      <c r="F101" s="29"/>
      <c r="G101" s="29"/>
      <c r="H101" s="29"/>
      <c r="I101" s="29"/>
      <c r="J101" s="29"/>
      <c r="K101" s="1"/>
      <c r="L101" s="29"/>
      <c r="M101" s="29"/>
      <c r="N101" s="29"/>
      <c r="O101" s="29"/>
      <c r="P101" s="29"/>
      <c r="Q101" s="29"/>
      <c r="R101" s="29"/>
      <c r="S101" s="29"/>
      <c r="T101" s="39">
        <v>4.88</v>
      </c>
      <c r="U101" s="29"/>
      <c r="V101" s="29"/>
      <c r="W101" s="1"/>
      <c r="X101" s="29"/>
      <c r="Y101" s="29"/>
      <c r="Z101" s="29"/>
      <c r="AA101" s="29"/>
      <c r="AB101" s="29"/>
      <c r="AC101" s="29"/>
      <c r="AD101" s="29"/>
      <c r="AE101" s="29"/>
      <c r="AF101" s="29"/>
      <c r="AG101" s="1"/>
      <c r="AH101" s="1"/>
      <c r="AI101" s="29" t="str">
        <f t="shared" si="1"/>
        <v/>
      </c>
      <c r="AK101" s="29"/>
      <c r="AL101" s="29"/>
      <c r="AM101" s="29"/>
      <c r="AN101" s="29"/>
      <c r="AO101" s="29"/>
      <c r="AP101" s="29"/>
      <c r="AQ101" s="29"/>
      <c r="AR101" s="29"/>
      <c r="AS101" s="62"/>
      <c r="AT101" s="62"/>
      <c r="AU101" s="62"/>
      <c r="AV101" s="62"/>
      <c r="AW101" s="62"/>
      <c r="AX101" s="62"/>
      <c r="AY101" s="29"/>
      <c r="AZ101" s="29"/>
      <c r="BA101" s="29"/>
      <c r="BB101" s="29"/>
      <c r="BC101" s="28"/>
      <c r="BD101" s="28"/>
    </row>
    <row r="102" spans="1:56">
      <c r="A102" s="37" t="s">
        <v>6</v>
      </c>
      <c r="B102" s="38">
        <v>32947.806850000001</v>
      </c>
      <c r="C102" s="39">
        <v>16.75</v>
      </c>
      <c r="E102" s="29"/>
      <c r="F102" s="29"/>
      <c r="G102" s="29"/>
      <c r="H102" s="29"/>
      <c r="I102" s="29"/>
      <c r="J102" s="29"/>
      <c r="K102" s="1"/>
      <c r="L102" s="29"/>
      <c r="M102" s="29"/>
      <c r="N102" s="29"/>
      <c r="O102" s="29"/>
      <c r="P102" s="29"/>
      <c r="Q102" s="29"/>
      <c r="R102" s="29"/>
      <c r="S102" s="29"/>
      <c r="T102" s="39">
        <v>4.8</v>
      </c>
      <c r="U102" s="29"/>
      <c r="V102" s="29"/>
      <c r="W102" s="1"/>
      <c r="X102" s="29"/>
      <c r="Y102" s="29"/>
      <c r="Z102" s="29"/>
      <c r="AA102" s="29"/>
      <c r="AB102" s="29"/>
      <c r="AC102" s="29"/>
      <c r="AD102" s="29"/>
      <c r="AE102" s="29"/>
      <c r="AF102" s="29"/>
      <c r="AG102" s="1"/>
      <c r="AH102" s="1"/>
      <c r="AI102" s="29" t="str">
        <f t="shared" si="1"/>
        <v/>
      </c>
      <c r="AK102" s="29"/>
      <c r="AL102" s="29"/>
      <c r="AM102" s="29"/>
      <c r="AN102" s="29"/>
      <c r="AO102" s="29"/>
      <c r="AP102" s="29"/>
      <c r="AQ102" s="29"/>
      <c r="AR102" s="29"/>
      <c r="AS102" s="62"/>
      <c r="AT102" s="62"/>
      <c r="AU102" s="62"/>
      <c r="AV102" s="62"/>
      <c r="AW102" s="62"/>
      <c r="AX102" s="62"/>
      <c r="AY102" s="29"/>
      <c r="AZ102" s="29"/>
      <c r="BA102" s="29"/>
      <c r="BB102" s="29"/>
      <c r="BC102" s="28"/>
      <c r="BD102" s="28"/>
    </row>
    <row r="103" spans="1:56">
      <c r="A103" s="37" t="s">
        <v>6</v>
      </c>
      <c r="B103" s="38">
        <v>33039.117400000003</v>
      </c>
      <c r="C103" s="39">
        <v>17</v>
      </c>
      <c r="E103" s="29"/>
      <c r="F103" s="29"/>
      <c r="G103" s="29"/>
      <c r="H103" s="29"/>
      <c r="I103" s="29"/>
      <c r="J103" s="29"/>
      <c r="K103" s="1"/>
      <c r="L103" s="29"/>
      <c r="M103" s="29"/>
      <c r="N103" s="29"/>
      <c r="O103" s="29"/>
      <c r="P103" s="29"/>
      <c r="Q103" s="29"/>
      <c r="R103" s="29"/>
      <c r="S103" s="29"/>
      <c r="T103" s="39">
        <v>4.24</v>
      </c>
      <c r="U103" s="29"/>
      <c r="V103" s="29"/>
      <c r="W103" s="1"/>
      <c r="X103" s="29"/>
      <c r="Y103" s="29"/>
      <c r="Z103" s="29"/>
      <c r="AA103" s="29"/>
      <c r="AB103" s="29"/>
      <c r="AC103" s="29"/>
      <c r="AD103" s="29"/>
      <c r="AE103" s="29"/>
      <c r="AF103" s="29"/>
      <c r="AG103" s="1"/>
      <c r="AH103" s="1"/>
      <c r="AI103" s="29" t="str">
        <f t="shared" si="1"/>
        <v/>
      </c>
      <c r="AK103" s="29"/>
      <c r="AL103" s="29"/>
      <c r="AM103" s="29"/>
      <c r="AN103" s="29"/>
      <c r="AO103" s="29"/>
      <c r="AP103" s="29"/>
      <c r="AQ103" s="29"/>
      <c r="AR103" s="29"/>
      <c r="AS103" s="62"/>
      <c r="AT103" s="62"/>
      <c r="AU103" s="62"/>
      <c r="AV103" s="62"/>
      <c r="AW103" s="62"/>
      <c r="AX103" s="62"/>
      <c r="AY103" s="29"/>
      <c r="AZ103" s="29"/>
      <c r="BA103" s="29"/>
      <c r="BB103" s="29"/>
      <c r="BC103" s="28"/>
      <c r="BD103" s="28"/>
    </row>
    <row r="104" spans="1:56">
      <c r="A104" s="37" t="s">
        <v>6</v>
      </c>
      <c r="B104" s="38">
        <v>33130.427949999998</v>
      </c>
      <c r="C104" s="39">
        <v>17.25</v>
      </c>
      <c r="E104" s="29"/>
      <c r="F104" s="29"/>
      <c r="G104" s="29"/>
      <c r="H104" s="29"/>
      <c r="I104" s="29"/>
      <c r="J104" s="29"/>
      <c r="K104" s="1"/>
      <c r="L104" s="29"/>
      <c r="M104" s="29"/>
      <c r="N104" s="29"/>
      <c r="O104" s="29"/>
      <c r="P104" s="29"/>
      <c r="Q104" s="29"/>
      <c r="R104" s="29"/>
      <c r="S104" s="29"/>
      <c r="T104" s="39">
        <v>4.01</v>
      </c>
      <c r="U104" s="29"/>
      <c r="V104" s="29"/>
      <c r="W104" s="1"/>
      <c r="X104" s="29"/>
      <c r="Y104" s="29"/>
      <c r="Z104" s="29"/>
      <c r="AA104" s="29"/>
      <c r="AB104" s="29"/>
      <c r="AC104" s="29"/>
      <c r="AD104" s="29"/>
      <c r="AE104" s="29"/>
      <c r="AF104" s="29"/>
      <c r="AG104" s="1"/>
      <c r="AH104" s="1"/>
      <c r="AI104" s="29" t="str">
        <f t="shared" si="1"/>
        <v/>
      </c>
      <c r="AK104" s="29"/>
      <c r="AL104" s="29"/>
      <c r="AM104" s="29"/>
      <c r="AN104" s="29"/>
      <c r="AO104" s="29"/>
      <c r="AP104" s="29"/>
      <c r="AQ104" s="29"/>
      <c r="AR104" s="29"/>
      <c r="AS104" s="62"/>
      <c r="AT104" s="62"/>
      <c r="AU104" s="62"/>
      <c r="AV104" s="62"/>
      <c r="AW104" s="62"/>
      <c r="AX104" s="62"/>
      <c r="AY104" s="29"/>
      <c r="AZ104" s="29"/>
      <c r="BA104" s="29"/>
      <c r="BB104" s="29"/>
      <c r="BC104" s="28"/>
      <c r="BD104" s="28"/>
    </row>
    <row r="105" spans="1:56">
      <c r="A105" s="37" t="s">
        <v>6</v>
      </c>
      <c r="B105" s="38">
        <v>33221.738499999999</v>
      </c>
      <c r="C105" s="39">
        <v>17.5</v>
      </c>
      <c r="E105" s="29"/>
      <c r="F105" s="29"/>
      <c r="G105" s="29"/>
      <c r="H105" s="29"/>
      <c r="I105" s="29"/>
      <c r="J105" s="29"/>
      <c r="K105" s="1"/>
      <c r="L105" s="29"/>
      <c r="M105" s="29"/>
      <c r="N105" s="29"/>
      <c r="O105" s="29"/>
      <c r="P105" s="29"/>
      <c r="Q105" s="29"/>
      <c r="R105" s="29"/>
      <c r="S105" s="29"/>
      <c r="T105" s="39">
        <v>4.71</v>
      </c>
      <c r="U105" s="29"/>
      <c r="V105" s="29"/>
      <c r="W105" s="1"/>
      <c r="X105" s="29"/>
      <c r="Y105" s="29"/>
      <c r="Z105" s="29"/>
      <c r="AA105" s="29"/>
      <c r="AB105" s="29"/>
      <c r="AC105" s="29"/>
      <c r="AD105" s="29"/>
      <c r="AE105" s="29"/>
      <c r="AF105" s="29"/>
      <c r="AG105" s="1"/>
      <c r="AH105" s="1"/>
      <c r="AI105" s="29" t="str">
        <f t="shared" si="1"/>
        <v/>
      </c>
      <c r="AK105" s="29"/>
      <c r="AL105" s="29"/>
      <c r="AM105" s="29"/>
      <c r="AN105" s="29"/>
      <c r="AO105" s="29"/>
      <c r="AP105" s="29"/>
      <c r="AQ105" s="29"/>
      <c r="AR105" s="29"/>
      <c r="AS105" s="62"/>
      <c r="AT105" s="62"/>
      <c r="AU105" s="62"/>
      <c r="AV105" s="62"/>
      <c r="AW105" s="62"/>
      <c r="AX105" s="62"/>
      <c r="AY105" s="29"/>
      <c r="AZ105" s="29"/>
      <c r="BA105" s="29"/>
      <c r="BB105" s="29"/>
      <c r="BC105" s="28"/>
      <c r="BD105" s="28"/>
    </row>
    <row r="106" spans="1:56">
      <c r="A106" s="37" t="s">
        <v>6</v>
      </c>
      <c r="B106" s="38">
        <v>33313.049050000001</v>
      </c>
      <c r="C106" s="39">
        <v>17.75</v>
      </c>
      <c r="E106" s="29"/>
      <c r="F106" s="29"/>
      <c r="G106" s="29"/>
      <c r="H106" s="29"/>
      <c r="I106" s="29"/>
      <c r="J106" s="29"/>
      <c r="K106" s="1"/>
      <c r="L106" s="29"/>
      <c r="M106" s="29"/>
      <c r="N106" s="29"/>
      <c r="O106" s="29"/>
      <c r="P106" s="29"/>
      <c r="Q106" s="29"/>
      <c r="R106" s="29"/>
      <c r="S106" s="29"/>
      <c r="T106" s="39">
        <v>5.23</v>
      </c>
      <c r="U106" s="29"/>
      <c r="V106" s="29"/>
      <c r="W106" s="1"/>
      <c r="X106" s="29"/>
      <c r="Y106" s="29"/>
      <c r="Z106" s="29"/>
      <c r="AA106" s="29"/>
      <c r="AB106" s="29"/>
      <c r="AC106" s="29"/>
      <c r="AD106" s="29"/>
      <c r="AE106" s="29"/>
      <c r="AF106" s="29"/>
      <c r="AG106" s="1"/>
      <c r="AH106" s="1"/>
      <c r="AI106" s="29" t="str">
        <f t="shared" si="1"/>
        <v/>
      </c>
      <c r="AK106" s="29"/>
      <c r="AL106" s="29"/>
      <c r="AM106" s="29"/>
      <c r="AN106" s="29"/>
      <c r="AO106" s="29"/>
      <c r="AP106" s="29"/>
      <c r="AQ106" s="29"/>
      <c r="AR106" s="29"/>
      <c r="AS106" s="62"/>
      <c r="AT106" s="62"/>
      <c r="AU106" s="62"/>
      <c r="AV106" s="62"/>
      <c r="AW106" s="62"/>
      <c r="AX106" s="62"/>
      <c r="AY106" s="29"/>
      <c r="AZ106" s="29"/>
      <c r="BA106" s="29"/>
      <c r="BB106" s="29"/>
      <c r="BC106" s="28"/>
      <c r="BD106" s="28"/>
    </row>
    <row r="107" spans="1:56">
      <c r="A107" s="37" t="s">
        <v>6</v>
      </c>
      <c r="B107" s="38">
        <v>33404.359600000003</v>
      </c>
      <c r="C107" s="39">
        <v>18</v>
      </c>
      <c r="E107" s="29"/>
      <c r="F107" s="29"/>
      <c r="G107" s="29"/>
      <c r="H107" s="29"/>
      <c r="I107" s="29"/>
      <c r="J107" s="29"/>
      <c r="K107" s="1"/>
      <c r="L107" s="29"/>
      <c r="M107" s="29"/>
      <c r="N107" s="29"/>
      <c r="O107" s="29"/>
      <c r="P107" s="29"/>
      <c r="Q107" s="29"/>
      <c r="R107" s="29"/>
      <c r="S107" s="29"/>
      <c r="T107" s="39">
        <v>4.57</v>
      </c>
      <c r="U107" s="29"/>
      <c r="V107" s="29"/>
      <c r="W107" s="1"/>
      <c r="X107" s="29"/>
      <c r="Y107" s="29"/>
      <c r="Z107" s="29"/>
      <c r="AA107" s="29"/>
      <c r="AB107" s="29"/>
      <c r="AC107" s="29"/>
      <c r="AD107" s="29"/>
      <c r="AE107" s="29"/>
      <c r="AF107" s="29"/>
      <c r="AG107" s="1"/>
      <c r="AH107" s="1"/>
      <c r="AI107" s="29" t="str">
        <f t="shared" si="1"/>
        <v/>
      </c>
      <c r="AK107" s="29"/>
      <c r="AL107" s="29"/>
      <c r="AM107" s="29"/>
      <c r="AN107" s="29"/>
      <c r="AO107" s="29"/>
      <c r="AP107" s="29"/>
      <c r="AQ107" s="29"/>
      <c r="AR107" s="29"/>
      <c r="AS107" s="62"/>
      <c r="AT107" s="62"/>
      <c r="AU107" s="62"/>
      <c r="AV107" s="62"/>
      <c r="AW107" s="62"/>
      <c r="AX107" s="62"/>
      <c r="AY107" s="29"/>
      <c r="AZ107" s="29"/>
      <c r="BA107" s="29"/>
      <c r="BB107" s="29"/>
      <c r="BC107" s="28"/>
      <c r="BD107" s="28"/>
    </row>
    <row r="108" spans="1:56">
      <c r="A108" s="37" t="s">
        <v>6</v>
      </c>
      <c r="B108" s="38">
        <v>33495.670149999998</v>
      </c>
      <c r="C108" s="39">
        <v>18.25</v>
      </c>
      <c r="E108" s="29"/>
      <c r="F108" s="29"/>
      <c r="G108" s="29"/>
      <c r="H108" s="29"/>
      <c r="I108" s="29"/>
      <c r="J108" s="29"/>
      <c r="K108" s="1"/>
      <c r="L108" s="29"/>
      <c r="M108" s="29"/>
      <c r="N108" s="29"/>
      <c r="O108" s="29"/>
      <c r="P108" s="29"/>
      <c r="Q108" s="29"/>
      <c r="R108" s="29"/>
      <c r="S108" s="29"/>
      <c r="T108" s="39">
        <v>4.57</v>
      </c>
      <c r="U108" s="29"/>
      <c r="V108" s="29"/>
      <c r="W108" s="1"/>
      <c r="X108" s="29"/>
      <c r="Y108" s="29"/>
      <c r="Z108" s="29"/>
      <c r="AA108" s="29"/>
      <c r="AB108" s="29"/>
      <c r="AC108" s="29"/>
      <c r="AD108" s="29"/>
      <c r="AE108" s="29"/>
      <c r="AF108" s="29"/>
      <c r="AG108" s="1"/>
      <c r="AH108" s="1"/>
      <c r="AI108" s="29" t="str">
        <f t="shared" si="1"/>
        <v/>
      </c>
      <c r="AK108" s="29"/>
      <c r="AL108" s="29"/>
      <c r="AM108" s="29"/>
      <c r="AN108" s="29"/>
      <c r="AO108" s="29"/>
      <c r="AP108" s="29"/>
      <c r="AQ108" s="29"/>
      <c r="AR108" s="29"/>
      <c r="AS108" s="62"/>
      <c r="AT108" s="62"/>
      <c r="AU108" s="62"/>
      <c r="AV108" s="62"/>
      <c r="AW108" s="62"/>
      <c r="AX108" s="62"/>
      <c r="AY108" s="29"/>
      <c r="AZ108" s="29"/>
      <c r="BA108" s="29"/>
      <c r="BB108" s="29"/>
      <c r="BC108" s="28"/>
      <c r="BD108" s="28"/>
    </row>
    <row r="109" spans="1:56">
      <c r="A109" s="37" t="s">
        <v>6</v>
      </c>
      <c r="B109" s="38">
        <v>33586.9807</v>
      </c>
      <c r="C109" s="39">
        <v>18.5</v>
      </c>
      <c r="E109" s="29"/>
      <c r="F109" s="29"/>
      <c r="G109" s="29"/>
      <c r="H109" s="29"/>
      <c r="I109" s="29"/>
      <c r="J109" s="29"/>
      <c r="K109" s="1"/>
      <c r="L109" s="29"/>
      <c r="M109" s="29"/>
      <c r="N109" s="29"/>
      <c r="O109" s="29"/>
      <c r="P109" s="29"/>
      <c r="Q109" s="29"/>
      <c r="R109" s="29"/>
      <c r="S109" s="29"/>
      <c r="T109" s="39"/>
      <c r="U109" s="29"/>
      <c r="V109" s="29"/>
      <c r="W109" s="1"/>
      <c r="X109" s="29"/>
      <c r="Y109" s="29"/>
      <c r="Z109" s="29"/>
      <c r="AA109" s="29"/>
      <c r="AB109" s="29"/>
      <c r="AC109" s="29"/>
      <c r="AD109" s="29"/>
      <c r="AE109" s="29"/>
      <c r="AF109" s="29"/>
      <c r="AG109" s="1"/>
      <c r="AH109" s="1"/>
      <c r="AI109" s="29" t="str">
        <f t="shared" si="1"/>
        <v/>
      </c>
      <c r="AK109" s="29"/>
      <c r="AL109" s="29"/>
      <c r="AM109" s="29"/>
      <c r="AN109" s="29"/>
      <c r="AO109" s="29"/>
      <c r="AP109" s="29"/>
      <c r="AQ109" s="29"/>
      <c r="AR109" s="29"/>
      <c r="AS109" s="62"/>
      <c r="AT109" s="62"/>
      <c r="AU109" s="62"/>
      <c r="AV109" s="62"/>
      <c r="AW109" s="62"/>
      <c r="AX109" s="62"/>
      <c r="AY109" s="29"/>
      <c r="AZ109" s="29"/>
      <c r="BA109" s="29"/>
      <c r="BB109" s="29"/>
      <c r="BC109" s="28"/>
      <c r="BD109" s="28"/>
    </row>
    <row r="110" spans="1:56">
      <c r="A110" s="37" t="s">
        <v>6</v>
      </c>
      <c r="B110" s="38">
        <v>33678.291250000002</v>
      </c>
      <c r="C110" s="39">
        <v>18.75</v>
      </c>
      <c r="E110" s="29"/>
      <c r="F110" s="29"/>
      <c r="G110" s="29"/>
      <c r="H110" s="29"/>
      <c r="I110" s="29"/>
      <c r="J110" s="29"/>
      <c r="K110" s="1"/>
      <c r="L110" s="29"/>
      <c r="M110" s="29"/>
      <c r="N110" s="29"/>
      <c r="O110" s="29"/>
      <c r="P110" s="29"/>
      <c r="Q110" s="29"/>
      <c r="R110" s="29"/>
      <c r="S110" s="29"/>
      <c r="T110" s="39">
        <v>5.14</v>
      </c>
      <c r="U110" s="29"/>
      <c r="V110" s="29"/>
      <c r="W110" s="1"/>
      <c r="X110" s="29"/>
      <c r="Y110" s="29"/>
      <c r="Z110" s="29"/>
      <c r="AA110" s="29"/>
      <c r="AB110" s="29"/>
      <c r="AC110" s="29"/>
      <c r="AD110" s="29"/>
      <c r="AE110" s="29"/>
      <c r="AF110" s="29"/>
      <c r="AG110" s="1"/>
      <c r="AH110" s="1"/>
      <c r="AI110" s="29" t="str">
        <f t="shared" si="1"/>
        <v/>
      </c>
      <c r="AK110" s="29"/>
      <c r="AL110" s="29"/>
      <c r="AM110" s="29"/>
      <c r="AN110" s="29"/>
      <c r="AO110" s="29"/>
      <c r="AP110" s="29"/>
      <c r="AQ110" s="29"/>
      <c r="AR110" s="29"/>
      <c r="AS110" s="62"/>
      <c r="AT110" s="62"/>
      <c r="AU110" s="62"/>
      <c r="AV110" s="62"/>
      <c r="AW110" s="62"/>
      <c r="AX110" s="62"/>
      <c r="AY110" s="29"/>
      <c r="AZ110" s="29"/>
      <c r="BA110" s="29"/>
      <c r="BB110" s="29"/>
      <c r="BC110" s="28"/>
      <c r="BD110" s="28"/>
    </row>
    <row r="111" spans="1:56">
      <c r="A111" s="37" t="s">
        <v>6</v>
      </c>
      <c r="B111" s="38">
        <v>33769.601800000004</v>
      </c>
      <c r="C111" s="39">
        <v>19</v>
      </c>
      <c r="E111" s="29"/>
      <c r="F111" s="29"/>
      <c r="G111" s="29"/>
      <c r="H111" s="29"/>
      <c r="I111" s="29"/>
      <c r="J111" s="29"/>
      <c r="K111" s="1"/>
      <c r="L111" s="29"/>
      <c r="M111" s="29"/>
      <c r="N111" s="29"/>
      <c r="O111" s="29"/>
      <c r="P111" s="29"/>
      <c r="Q111" s="29"/>
      <c r="R111" s="29"/>
      <c r="S111" s="29"/>
      <c r="T111" s="39">
        <v>4.66</v>
      </c>
      <c r="U111" s="29"/>
      <c r="V111" s="29"/>
      <c r="W111" s="1"/>
      <c r="X111" s="29"/>
      <c r="Y111" s="29"/>
      <c r="Z111" s="29"/>
      <c r="AA111" s="29"/>
      <c r="AB111" s="29"/>
      <c r="AC111" s="29"/>
      <c r="AD111" s="29"/>
      <c r="AE111" s="29"/>
      <c r="AF111" s="29"/>
      <c r="AG111" s="1"/>
      <c r="AH111" s="1"/>
      <c r="AI111" s="29" t="str">
        <f t="shared" si="1"/>
        <v/>
      </c>
      <c r="AK111" s="29"/>
      <c r="AL111" s="29"/>
      <c r="AM111" s="29"/>
      <c r="AN111" s="29"/>
      <c r="AO111" s="29"/>
      <c r="AP111" s="29"/>
      <c r="AQ111" s="29"/>
      <c r="AR111" s="29"/>
      <c r="AS111" s="62"/>
      <c r="AT111" s="62"/>
      <c r="AU111" s="62"/>
      <c r="AV111" s="62"/>
      <c r="AW111" s="62"/>
      <c r="AX111" s="62"/>
      <c r="AY111" s="29"/>
      <c r="AZ111" s="29"/>
      <c r="BA111" s="29"/>
      <c r="BB111" s="29"/>
      <c r="BC111" s="28"/>
      <c r="BD111" s="28"/>
    </row>
    <row r="112" spans="1:56">
      <c r="A112" s="37" t="s">
        <v>6</v>
      </c>
      <c r="B112" s="38">
        <v>34134.843999999997</v>
      </c>
      <c r="C112" s="39">
        <v>20</v>
      </c>
      <c r="E112" s="29"/>
      <c r="F112" s="29"/>
      <c r="G112" s="29"/>
      <c r="H112" s="29"/>
      <c r="I112" s="29"/>
      <c r="J112" s="29"/>
      <c r="K112" s="1"/>
      <c r="L112" s="29"/>
      <c r="M112" s="29"/>
      <c r="N112" s="29"/>
      <c r="O112" s="29"/>
      <c r="P112" s="29"/>
      <c r="Q112" s="29"/>
      <c r="R112" s="29"/>
      <c r="S112" s="29"/>
      <c r="T112" s="39">
        <v>3</v>
      </c>
      <c r="U112" s="29"/>
      <c r="V112" s="29"/>
      <c r="W112" s="1"/>
      <c r="X112" s="29"/>
      <c r="Y112" s="29"/>
      <c r="Z112" s="29"/>
      <c r="AA112" s="29"/>
      <c r="AB112" s="29"/>
      <c r="AC112" s="29"/>
      <c r="AD112" s="29"/>
      <c r="AE112" s="29"/>
      <c r="AF112" s="29"/>
      <c r="AG112" s="1"/>
      <c r="AH112" s="1"/>
      <c r="AI112" s="29" t="str">
        <f t="shared" si="1"/>
        <v/>
      </c>
      <c r="AK112" s="29"/>
      <c r="AL112" s="29"/>
      <c r="AM112" s="29"/>
      <c r="AN112" s="29"/>
      <c r="AO112" s="29"/>
      <c r="AP112" s="29"/>
      <c r="AQ112" s="29"/>
      <c r="AR112" s="29"/>
      <c r="AS112" s="62"/>
      <c r="AT112" s="62"/>
      <c r="AU112" s="62"/>
      <c r="AV112" s="62"/>
      <c r="AW112" s="62"/>
      <c r="AX112" s="62"/>
      <c r="AY112" s="29"/>
      <c r="AZ112" s="29"/>
      <c r="BA112" s="29"/>
      <c r="BB112" s="29"/>
      <c r="BC112" s="28"/>
      <c r="BD112" s="28"/>
    </row>
    <row r="113" spans="1:56">
      <c r="A113" s="37" t="s">
        <v>16</v>
      </c>
      <c r="B113" s="38">
        <v>30573.732550000001</v>
      </c>
      <c r="C113" s="39">
        <v>10.25</v>
      </c>
      <c r="E113" s="29"/>
      <c r="F113" s="29"/>
      <c r="G113" s="29"/>
      <c r="H113" s="29"/>
      <c r="I113" s="29"/>
      <c r="J113" s="29"/>
      <c r="K113" s="1"/>
      <c r="L113" s="29"/>
      <c r="M113" s="29"/>
      <c r="N113" s="29"/>
      <c r="O113" s="29"/>
      <c r="P113" s="29"/>
      <c r="Q113" s="29"/>
      <c r="R113" s="29"/>
      <c r="S113" s="29"/>
      <c r="T113" s="39">
        <v>3.17</v>
      </c>
      <c r="U113" s="29"/>
      <c r="V113" s="29"/>
      <c r="W113" s="1"/>
      <c r="X113" s="29"/>
      <c r="Y113" s="29"/>
      <c r="Z113" s="29"/>
      <c r="AA113" s="29"/>
      <c r="AB113" s="29"/>
      <c r="AC113" s="29"/>
      <c r="AD113" s="29"/>
      <c r="AE113" s="29"/>
      <c r="AF113" s="29"/>
      <c r="AG113" s="1"/>
      <c r="AH113" s="1"/>
      <c r="AI113" s="29" t="str">
        <f t="shared" si="1"/>
        <v/>
      </c>
      <c r="AK113" s="29"/>
      <c r="AL113" s="29"/>
      <c r="AM113" s="29"/>
      <c r="AN113" s="29"/>
      <c r="AO113" s="29"/>
      <c r="AP113" s="29"/>
      <c r="AQ113" s="29"/>
      <c r="AR113" s="29"/>
      <c r="AS113" s="62"/>
      <c r="AT113" s="62"/>
      <c r="AU113" s="62"/>
      <c r="AV113" s="62"/>
      <c r="AW113" s="62"/>
      <c r="AX113" s="62"/>
      <c r="AY113" s="29"/>
      <c r="AZ113" s="29"/>
      <c r="BA113" s="29"/>
      <c r="BB113" s="29"/>
      <c r="BC113" s="28"/>
      <c r="BD113" s="28"/>
    </row>
    <row r="114" spans="1:56">
      <c r="A114" s="37" t="s">
        <v>16</v>
      </c>
      <c r="B114" s="38">
        <v>30665.043099999999</v>
      </c>
      <c r="C114" s="39">
        <v>10.5</v>
      </c>
      <c r="E114" s="29"/>
      <c r="F114" s="29"/>
      <c r="G114" s="29"/>
      <c r="H114" s="29"/>
      <c r="I114" s="29"/>
      <c r="J114" s="29"/>
      <c r="K114" s="1"/>
      <c r="L114" s="29"/>
      <c r="M114" s="29"/>
      <c r="N114" s="29"/>
      <c r="O114" s="29"/>
      <c r="P114" s="29"/>
      <c r="Q114" s="29"/>
      <c r="R114" s="29"/>
      <c r="S114" s="29"/>
      <c r="T114" s="39">
        <v>5.04</v>
      </c>
      <c r="U114" s="29"/>
      <c r="V114" s="29"/>
      <c r="W114" s="1"/>
      <c r="X114" s="29"/>
      <c r="Y114" s="29"/>
      <c r="Z114" s="29"/>
      <c r="AA114" s="29"/>
      <c r="AB114" s="29"/>
      <c r="AC114" s="29"/>
      <c r="AD114" s="29"/>
      <c r="AE114" s="29"/>
      <c r="AF114" s="29"/>
      <c r="AG114" s="1"/>
      <c r="AH114" s="1"/>
      <c r="AI114" s="29" t="str">
        <f t="shared" si="1"/>
        <v/>
      </c>
      <c r="AK114" s="29"/>
      <c r="AL114" s="29"/>
      <c r="AM114" s="29"/>
      <c r="AN114" s="29"/>
      <c r="AO114" s="29"/>
      <c r="AP114" s="29"/>
      <c r="AQ114" s="29"/>
      <c r="AR114" s="29"/>
      <c r="AS114" s="62"/>
      <c r="AT114" s="62"/>
      <c r="AU114" s="62"/>
      <c r="AV114" s="62"/>
      <c r="AW114" s="62"/>
      <c r="AX114" s="62"/>
      <c r="AY114" s="29"/>
      <c r="AZ114" s="29"/>
      <c r="BA114" s="29"/>
      <c r="BB114" s="29"/>
      <c r="BC114" s="28"/>
      <c r="BD114" s="28"/>
    </row>
    <row r="115" spans="1:56">
      <c r="A115" s="37" t="s">
        <v>16</v>
      </c>
      <c r="B115" s="38">
        <v>30756.353650000001</v>
      </c>
      <c r="C115" s="39">
        <v>10.75</v>
      </c>
      <c r="E115" s="29"/>
      <c r="F115" s="29"/>
      <c r="G115" s="29"/>
      <c r="H115" s="29"/>
      <c r="I115" s="29"/>
      <c r="J115" s="29"/>
      <c r="K115" s="1"/>
      <c r="L115" s="29"/>
      <c r="M115" s="29"/>
      <c r="N115" s="29"/>
      <c r="O115" s="29"/>
      <c r="P115" s="29"/>
      <c r="Q115" s="29"/>
      <c r="R115" s="29"/>
      <c r="S115" s="29"/>
      <c r="T115" s="39">
        <v>6.31</v>
      </c>
      <c r="U115" s="29"/>
      <c r="V115" s="29"/>
      <c r="W115" s="1"/>
      <c r="X115" s="29"/>
      <c r="Y115" s="29"/>
      <c r="Z115" s="29"/>
      <c r="AA115" s="29"/>
      <c r="AB115" s="29"/>
      <c r="AC115" s="29"/>
      <c r="AD115" s="29"/>
      <c r="AE115" s="29"/>
      <c r="AF115" s="29"/>
      <c r="AG115" s="1"/>
      <c r="AH115" s="1"/>
      <c r="AI115" s="29" t="str">
        <f t="shared" si="1"/>
        <v/>
      </c>
      <c r="AK115" s="29"/>
      <c r="AL115" s="29"/>
      <c r="AM115" s="29"/>
      <c r="AN115" s="29"/>
      <c r="AO115" s="29"/>
      <c r="AP115" s="29"/>
      <c r="AQ115" s="29"/>
      <c r="AR115" s="29"/>
      <c r="AS115" s="62"/>
      <c r="AT115" s="62"/>
      <c r="AU115" s="62"/>
      <c r="AV115" s="62"/>
      <c r="AW115" s="62"/>
      <c r="AX115" s="62"/>
      <c r="AY115" s="29"/>
      <c r="AZ115" s="29"/>
      <c r="BA115" s="29"/>
      <c r="BB115" s="29"/>
      <c r="BC115" s="28"/>
      <c r="BD115" s="28"/>
    </row>
    <row r="116" spans="1:56">
      <c r="A116" s="37" t="s">
        <v>16</v>
      </c>
      <c r="B116" s="38">
        <v>30847.664199999999</v>
      </c>
      <c r="C116" s="39">
        <v>11</v>
      </c>
      <c r="E116" s="29"/>
      <c r="F116" s="29"/>
      <c r="G116" s="29"/>
      <c r="H116" s="29"/>
      <c r="I116" s="29"/>
      <c r="J116" s="29"/>
      <c r="K116" s="1"/>
      <c r="L116" s="29"/>
      <c r="M116" s="29"/>
      <c r="N116" s="29"/>
      <c r="O116" s="29"/>
      <c r="P116" s="29"/>
      <c r="Q116" s="29"/>
      <c r="R116" s="29"/>
      <c r="S116" s="29"/>
      <c r="T116" s="39">
        <v>5.86</v>
      </c>
      <c r="U116" s="29"/>
      <c r="V116" s="29"/>
      <c r="W116" s="1"/>
      <c r="X116" s="29"/>
      <c r="Y116" s="29"/>
      <c r="Z116" s="29"/>
      <c r="AA116" s="29"/>
      <c r="AB116" s="29"/>
      <c r="AC116" s="29"/>
      <c r="AD116" s="29"/>
      <c r="AE116" s="29"/>
      <c r="AF116" s="29"/>
      <c r="AG116" s="1"/>
      <c r="AH116" s="1"/>
      <c r="AI116" s="29" t="str">
        <f t="shared" si="1"/>
        <v/>
      </c>
      <c r="AK116" s="29"/>
      <c r="AL116" s="29"/>
      <c r="AM116" s="29"/>
      <c r="AN116" s="29"/>
      <c r="AO116" s="29"/>
      <c r="AP116" s="29"/>
      <c r="AQ116" s="29"/>
      <c r="AR116" s="29"/>
      <c r="AS116" s="62"/>
      <c r="AT116" s="62"/>
      <c r="AU116" s="62"/>
      <c r="AV116" s="62"/>
      <c r="AW116" s="62"/>
      <c r="AX116" s="62"/>
      <c r="AY116" s="29"/>
      <c r="AZ116" s="29"/>
      <c r="BA116" s="29"/>
      <c r="BB116" s="29"/>
      <c r="BC116" s="28"/>
      <c r="BD116" s="28"/>
    </row>
    <row r="117" spans="1:56">
      <c r="A117" s="37" t="s">
        <v>16</v>
      </c>
      <c r="B117" s="38">
        <v>30938.974750000001</v>
      </c>
      <c r="C117" s="39">
        <v>11.25</v>
      </c>
      <c r="E117" s="29"/>
      <c r="F117" s="29"/>
      <c r="G117" s="29"/>
      <c r="H117" s="29"/>
      <c r="I117" s="29"/>
      <c r="J117" s="29"/>
      <c r="K117" s="1"/>
      <c r="L117" s="29"/>
      <c r="M117" s="29"/>
      <c r="N117" s="29"/>
      <c r="O117" s="29"/>
      <c r="P117" s="29"/>
      <c r="Q117" s="29"/>
      <c r="R117" s="29"/>
      <c r="S117" s="29"/>
      <c r="T117" s="39">
        <v>5.45</v>
      </c>
      <c r="U117" s="29"/>
      <c r="V117" s="29"/>
      <c r="W117" s="1"/>
      <c r="X117" s="29"/>
      <c r="Y117" s="29"/>
      <c r="Z117" s="29"/>
      <c r="AA117" s="29"/>
      <c r="AB117" s="29"/>
      <c r="AC117" s="29"/>
      <c r="AD117" s="29"/>
      <c r="AE117" s="29"/>
      <c r="AF117" s="29"/>
      <c r="AG117" s="1"/>
      <c r="AH117" s="1"/>
      <c r="AI117" s="29" t="str">
        <f t="shared" si="1"/>
        <v/>
      </c>
      <c r="AK117" s="29"/>
      <c r="AL117" s="29"/>
      <c r="AM117" s="29"/>
      <c r="AN117" s="29"/>
      <c r="AO117" s="29"/>
      <c r="AP117" s="29"/>
      <c r="AQ117" s="29"/>
      <c r="AR117" s="29"/>
      <c r="AS117" s="62"/>
      <c r="AT117" s="62"/>
      <c r="AU117" s="62"/>
      <c r="AV117" s="62"/>
      <c r="AW117" s="62"/>
      <c r="AX117" s="62"/>
      <c r="AY117" s="29"/>
      <c r="AZ117" s="29"/>
      <c r="BA117" s="29"/>
      <c r="BB117" s="29"/>
      <c r="BC117" s="28"/>
      <c r="BD117" s="28"/>
    </row>
    <row r="118" spans="1:56">
      <c r="A118" s="37" t="s">
        <v>16</v>
      </c>
      <c r="B118" s="38">
        <v>31030.2853</v>
      </c>
      <c r="C118" s="39">
        <v>11.5</v>
      </c>
      <c r="E118" s="29"/>
      <c r="F118" s="29"/>
      <c r="G118" s="29"/>
      <c r="H118" s="29"/>
      <c r="I118" s="29"/>
      <c r="J118" s="29"/>
      <c r="K118" s="1"/>
      <c r="L118" s="29"/>
      <c r="M118" s="29"/>
      <c r="N118" s="29"/>
      <c r="O118" s="29"/>
      <c r="P118" s="29"/>
      <c r="Q118" s="29"/>
      <c r="R118" s="29"/>
      <c r="S118" s="29"/>
      <c r="T118" s="39">
        <v>8.89</v>
      </c>
      <c r="U118" s="29"/>
      <c r="V118" s="29"/>
      <c r="W118" s="1"/>
      <c r="X118" s="29"/>
      <c r="Y118" s="29"/>
      <c r="Z118" s="29"/>
      <c r="AA118" s="29"/>
      <c r="AB118" s="29"/>
      <c r="AC118" s="29"/>
      <c r="AD118" s="29"/>
      <c r="AE118" s="29"/>
      <c r="AF118" s="29"/>
      <c r="AG118" s="1"/>
      <c r="AH118" s="1"/>
      <c r="AI118" s="29" t="str">
        <f t="shared" si="1"/>
        <v/>
      </c>
      <c r="AK118" s="29"/>
      <c r="AL118" s="29"/>
      <c r="AM118" s="29"/>
      <c r="AN118" s="29"/>
      <c r="AO118" s="29"/>
      <c r="AP118" s="29"/>
      <c r="AQ118" s="29"/>
      <c r="AR118" s="29"/>
      <c r="AS118" s="62"/>
      <c r="AT118" s="62"/>
      <c r="AU118" s="62"/>
      <c r="AV118" s="62"/>
      <c r="AW118" s="62"/>
      <c r="AX118" s="62"/>
      <c r="AY118" s="29"/>
      <c r="AZ118" s="29"/>
      <c r="BA118" s="29"/>
      <c r="BB118" s="29"/>
      <c r="BC118" s="28"/>
      <c r="BD118" s="28"/>
    </row>
    <row r="119" spans="1:56">
      <c r="A119" s="37" t="s">
        <v>16</v>
      </c>
      <c r="B119" s="38">
        <v>31121.595850000002</v>
      </c>
      <c r="C119" s="39">
        <v>11.75</v>
      </c>
      <c r="E119" s="29"/>
      <c r="F119" s="29"/>
      <c r="G119" s="29"/>
      <c r="H119" s="29"/>
      <c r="I119" s="29"/>
      <c r="J119" s="29"/>
      <c r="K119" s="1"/>
      <c r="L119" s="29"/>
      <c r="M119" s="29"/>
      <c r="N119" s="29"/>
      <c r="O119" s="29"/>
      <c r="P119" s="29"/>
      <c r="Q119" s="29"/>
      <c r="R119" s="29"/>
      <c r="S119" s="29"/>
      <c r="T119" s="39">
        <v>10.52</v>
      </c>
      <c r="U119" s="29"/>
      <c r="V119" s="29"/>
      <c r="W119" s="1"/>
      <c r="X119" s="29"/>
      <c r="Y119" s="29"/>
      <c r="Z119" s="29"/>
      <c r="AA119" s="29"/>
      <c r="AB119" s="29"/>
      <c r="AC119" s="29"/>
      <c r="AD119" s="29"/>
      <c r="AE119" s="29"/>
      <c r="AF119" s="29"/>
      <c r="AG119" s="1"/>
      <c r="AH119" s="1"/>
      <c r="AI119" s="29" t="str">
        <f t="shared" si="1"/>
        <v/>
      </c>
      <c r="AK119" s="29"/>
      <c r="AL119" s="29"/>
      <c r="AM119" s="29"/>
      <c r="AN119" s="29"/>
      <c r="AO119" s="29"/>
      <c r="AP119" s="29"/>
      <c r="AQ119" s="29"/>
      <c r="AR119" s="29"/>
      <c r="AS119" s="62"/>
      <c r="AT119" s="62"/>
      <c r="AU119" s="62"/>
      <c r="AV119" s="62"/>
      <c r="AW119" s="62"/>
      <c r="AX119" s="62"/>
      <c r="AY119" s="29"/>
      <c r="AZ119" s="29"/>
      <c r="BA119" s="29"/>
      <c r="BB119" s="29"/>
      <c r="BC119" s="28"/>
      <c r="BD119" s="28"/>
    </row>
    <row r="120" spans="1:56">
      <c r="A120" s="37" t="s">
        <v>16</v>
      </c>
      <c r="B120" s="38">
        <v>31212.9064</v>
      </c>
      <c r="C120" s="39">
        <v>12</v>
      </c>
      <c r="E120" s="29"/>
      <c r="F120" s="29"/>
      <c r="G120" s="29"/>
      <c r="H120" s="29"/>
      <c r="I120" s="29"/>
      <c r="J120" s="29"/>
      <c r="K120" s="1"/>
      <c r="L120" s="29"/>
      <c r="M120" s="29"/>
      <c r="N120" s="29"/>
      <c r="O120" s="29"/>
      <c r="P120" s="29"/>
      <c r="Q120" s="29"/>
      <c r="R120" s="29"/>
      <c r="S120" s="29"/>
      <c r="T120" s="39">
        <v>9.42</v>
      </c>
      <c r="U120" s="29"/>
      <c r="V120" s="29"/>
      <c r="W120" s="1"/>
      <c r="X120" s="29"/>
      <c r="Y120" s="29"/>
      <c r="Z120" s="29"/>
      <c r="AA120" s="29"/>
      <c r="AB120" s="29"/>
      <c r="AC120" s="29"/>
      <c r="AD120" s="29"/>
      <c r="AE120" s="29"/>
      <c r="AF120" s="29"/>
      <c r="AG120" s="1"/>
      <c r="AH120" s="1"/>
      <c r="AI120" s="29" t="str">
        <f t="shared" si="1"/>
        <v/>
      </c>
      <c r="AK120" s="29"/>
      <c r="AL120" s="29"/>
      <c r="AM120" s="29"/>
      <c r="AN120" s="29"/>
      <c r="AO120" s="29"/>
      <c r="AP120" s="29"/>
      <c r="AQ120" s="29"/>
      <c r="AR120" s="29"/>
      <c r="AS120" s="62"/>
      <c r="AT120" s="62"/>
      <c r="AU120" s="62"/>
      <c r="AV120" s="62"/>
      <c r="AW120" s="62"/>
      <c r="AX120" s="62"/>
      <c r="AY120" s="29"/>
      <c r="AZ120" s="29"/>
      <c r="BA120" s="29"/>
      <c r="BB120" s="29"/>
      <c r="BC120" s="28"/>
      <c r="BD120" s="28"/>
    </row>
    <row r="121" spans="1:56">
      <c r="A121" s="37" t="s">
        <v>16</v>
      </c>
      <c r="B121" s="38">
        <v>31304.216950000002</v>
      </c>
      <c r="C121" s="39">
        <v>12.25</v>
      </c>
      <c r="E121" s="29"/>
      <c r="F121" s="29"/>
      <c r="G121" s="29"/>
      <c r="H121" s="29"/>
      <c r="I121" s="29"/>
      <c r="J121" s="29"/>
      <c r="K121" s="1"/>
      <c r="L121" s="29"/>
      <c r="M121" s="29"/>
      <c r="N121" s="29"/>
      <c r="O121" s="29"/>
      <c r="P121" s="29"/>
      <c r="Q121" s="29"/>
      <c r="R121" s="29"/>
      <c r="S121" s="29"/>
      <c r="T121" s="39">
        <v>8.18</v>
      </c>
      <c r="U121" s="29"/>
      <c r="V121" s="29"/>
      <c r="W121" s="1"/>
      <c r="X121" s="29"/>
      <c r="Y121" s="29"/>
      <c r="Z121" s="29"/>
      <c r="AA121" s="29"/>
      <c r="AB121" s="29"/>
      <c r="AC121" s="29"/>
      <c r="AD121" s="29"/>
      <c r="AE121" s="29"/>
      <c r="AF121" s="29"/>
      <c r="AG121" s="1"/>
      <c r="AH121" s="1"/>
      <c r="AI121" s="29" t="str">
        <f t="shared" si="1"/>
        <v/>
      </c>
      <c r="AK121" s="29"/>
      <c r="AL121" s="29"/>
      <c r="AM121" s="29"/>
      <c r="AN121" s="29"/>
      <c r="AO121" s="29"/>
      <c r="AP121" s="29"/>
      <c r="AQ121" s="29"/>
      <c r="AR121" s="29"/>
      <c r="AS121" s="62"/>
      <c r="AT121" s="62"/>
      <c r="AU121" s="62"/>
      <c r="AV121" s="62"/>
      <c r="AW121" s="62"/>
      <c r="AX121" s="62"/>
      <c r="AY121" s="29"/>
      <c r="AZ121" s="29"/>
      <c r="BA121" s="29"/>
      <c r="BB121" s="29"/>
      <c r="BC121" s="28"/>
      <c r="BD121" s="28"/>
    </row>
    <row r="122" spans="1:56">
      <c r="A122" s="37" t="s">
        <v>16</v>
      </c>
      <c r="B122" s="38">
        <v>31395.5275</v>
      </c>
      <c r="C122" s="39">
        <v>12.5</v>
      </c>
      <c r="E122" s="29"/>
      <c r="F122" s="29"/>
      <c r="G122" s="29"/>
      <c r="H122" s="29"/>
      <c r="I122" s="29"/>
      <c r="J122" s="29"/>
      <c r="K122" s="1"/>
      <c r="L122" s="29"/>
      <c r="M122" s="29"/>
      <c r="N122" s="29"/>
      <c r="O122" s="29"/>
      <c r="P122" s="29"/>
      <c r="Q122" s="29"/>
      <c r="R122" s="29"/>
      <c r="S122" s="29"/>
      <c r="T122" s="39">
        <v>9.64</v>
      </c>
      <c r="U122" s="29"/>
      <c r="V122" s="29"/>
      <c r="W122" s="1"/>
      <c r="X122" s="29"/>
      <c r="Y122" s="29"/>
      <c r="Z122" s="29"/>
      <c r="AA122" s="29"/>
      <c r="AB122" s="29"/>
      <c r="AC122" s="29"/>
      <c r="AD122" s="29"/>
      <c r="AE122" s="29"/>
      <c r="AF122" s="29"/>
      <c r="AG122" s="1"/>
      <c r="AH122" s="1"/>
      <c r="AI122" s="29" t="str">
        <f t="shared" si="1"/>
        <v/>
      </c>
      <c r="AK122" s="29"/>
      <c r="AL122" s="29"/>
      <c r="AM122" s="29"/>
      <c r="AN122" s="29"/>
      <c r="AO122" s="29"/>
      <c r="AP122" s="29"/>
      <c r="AQ122" s="29"/>
      <c r="AR122" s="29"/>
      <c r="AS122" s="62"/>
      <c r="AT122" s="62"/>
      <c r="AU122" s="62"/>
      <c r="AV122" s="62"/>
      <c r="AW122" s="62"/>
      <c r="AX122" s="62"/>
      <c r="AY122" s="29"/>
      <c r="AZ122" s="29"/>
      <c r="BA122" s="29"/>
      <c r="BB122" s="29"/>
      <c r="BC122" s="28"/>
      <c r="BD122" s="28"/>
    </row>
    <row r="123" spans="1:56">
      <c r="A123" s="37" t="s">
        <v>16</v>
      </c>
      <c r="B123" s="38">
        <v>31486.838049999998</v>
      </c>
      <c r="C123" s="39">
        <v>12.75</v>
      </c>
      <c r="E123" s="29"/>
      <c r="F123" s="29"/>
      <c r="G123" s="29"/>
      <c r="H123" s="29"/>
      <c r="I123" s="29"/>
      <c r="J123" s="29"/>
      <c r="K123" s="1"/>
      <c r="L123" s="29"/>
      <c r="M123" s="29"/>
      <c r="N123" s="29"/>
      <c r="O123" s="29"/>
      <c r="P123" s="29"/>
      <c r="Q123" s="29"/>
      <c r="R123" s="29"/>
      <c r="S123" s="29"/>
      <c r="T123" s="39">
        <v>10.45</v>
      </c>
      <c r="U123" s="29"/>
      <c r="V123" s="29"/>
      <c r="W123" s="1"/>
      <c r="X123" s="29"/>
      <c r="Y123" s="29"/>
      <c r="Z123" s="29"/>
      <c r="AA123" s="29"/>
      <c r="AB123" s="29"/>
      <c r="AC123" s="29"/>
      <c r="AD123" s="29"/>
      <c r="AE123" s="29"/>
      <c r="AF123" s="29"/>
      <c r="AG123" s="1"/>
      <c r="AH123" s="1"/>
      <c r="AI123" s="29" t="str">
        <f t="shared" si="1"/>
        <v/>
      </c>
      <c r="AK123" s="29"/>
      <c r="AL123" s="29"/>
      <c r="AM123" s="29"/>
      <c r="AN123" s="29"/>
      <c r="AO123" s="29"/>
      <c r="AP123" s="29"/>
      <c r="AQ123" s="29"/>
      <c r="AR123" s="29"/>
      <c r="AS123" s="62"/>
      <c r="AT123" s="62"/>
      <c r="AU123" s="62"/>
      <c r="AV123" s="62"/>
      <c r="AW123" s="62"/>
      <c r="AX123" s="62"/>
      <c r="AY123" s="29"/>
      <c r="AZ123" s="29"/>
      <c r="BA123" s="29"/>
      <c r="BB123" s="29"/>
      <c r="BC123" s="28"/>
      <c r="BD123" s="28"/>
    </row>
    <row r="124" spans="1:56">
      <c r="A124" s="37" t="s">
        <v>16</v>
      </c>
      <c r="B124" s="38">
        <v>31578.1486</v>
      </c>
      <c r="C124" s="39">
        <v>13</v>
      </c>
      <c r="E124" s="29"/>
      <c r="F124" s="29"/>
      <c r="G124" s="29"/>
      <c r="H124" s="29"/>
      <c r="I124" s="29"/>
      <c r="J124" s="29"/>
      <c r="K124" s="1"/>
      <c r="L124" s="29"/>
      <c r="M124" s="29"/>
      <c r="N124" s="29"/>
      <c r="O124" s="29"/>
      <c r="P124" s="29"/>
      <c r="Q124" s="29"/>
      <c r="R124" s="29"/>
      <c r="S124" s="29"/>
      <c r="T124" s="39">
        <v>9.86</v>
      </c>
      <c r="U124" s="29"/>
      <c r="V124" s="29"/>
      <c r="W124" s="1"/>
      <c r="X124" s="29"/>
      <c r="Y124" s="29"/>
      <c r="Z124" s="29"/>
      <c r="AA124" s="29"/>
      <c r="AB124" s="29"/>
      <c r="AC124" s="29"/>
      <c r="AD124" s="29"/>
      <c r="AE124" s="29"/>
      <c r="AF124" s="29"/>
      <c r="AG124" s="1"/>
      <c r="AH124" s="1"/>
      <c r="AI124" s="29" t="str">
        <f t="shared" si="1"/>
        <v/>
      </c>
      <c r="AK124" s="29"/>
      <c r="AL124" s="29"/>
      <c r="AM124" s="29"/>
      <c r="AN124" s="29"/>
      <c r="AO124" s="29"/>
      <c r="AP124" s="29"/>
      <c r="AQ124" s="29"/>
      <c r="AR124" s="29"/>
      <c r="AS124" s="62"/>
      <c r="AT124" s="62"/>
      <c r="AU124" s="62"/>
      <c r="AV124" s="62"/>
      <c r="AW124" s="62"/>
      <c r="AX124" s="62"/>
      <c r="AY124" s="29"/>
      <c r="AZ124" s="29"/>
      <c r="BA124" s="29"/>
      <c r="BB124" s="29"/>
      <c r="BC124" s="28"/>
      <c r="BD124" s="28"/>
    </row>
    <row r="125" spans="1:56">
      <c r="A125" s="37" t="s">
        <v>16</v>
      </c>
      <c r="B125" s="38">
        <v>31669.459150000002</v>
      </c>
      <c r="C125" s="39">
        <v>13.25</v>
      </c>
      <c r="E125" s="29"/>
      <c r="F125" s="29"/>
      <c r="G125" s="29"/>
      <c r="H125" s="29"/>
      <c r="I125" s="29"/>
      <c r="J125" s="29"/>
      <c r="K125" s="1"/>
      <c r="L125" s="29"/>
      <c r="M125" s="29"/>
      <c r="N125" s="29"/>
      <c r="O125" s="29"/>
      <c r="P125" s="29"/>
      <c r="Q125" s="29"/>
      <c r="R125" s="29"/>
      <c r="S125" s="29"/>
      <c r="T125" s="39">
        <v>9.58</v>
      </c>
      <c r="U125" s="29"/>
      <c r="V125" s="29"/>
      <c r="W125" s="1"/>
      <c r="X125" s="29"/>
      <c r="Y125" s="29"/>
      <c r="Z125" s="29"/>
      <c r="AA125" s="29"/>
      <c r="AB125" s="29"/>
      <c r="AC125" s="29"/>
      <c r="AD125" s="29"/>
      <c r="AE125" s="29"/>
      <c r="AF125" s="29"/>
      <c r="AG125" s="1"/>
      <c r="AH125" s="1"/>
      <c r="AI125" s="29" t="str">
        <f t="shared" si="1"/>
        <v/>
      </c>
      <c r="AK125" s="29"/>
      <c r="AL125" s="29"/>
      <c r="AM125" s="29"/>
      <c r="AN125" s="29"/>
      <c r="AO125" s="29"/>
      <c r="AP125" s="29"/>
      <c r="AQ125" s="29"/>
      <c r="AR125" s="29"/>
      <c r="AS125" s="62"/>
      <c r="AT125" s="62"/>
      <c r="AU125" s="62"/>
      <c r="AV125" s="62"/>
      <c r="AW125" s="62"/>
      <c r="AX125" s="62"/>
      <c r="AY125" s="29"/>
      <c r="AZ125" s="29"/>
      <c r="BA125" s="29"/>
      <c r="BB125" s="29"/>
      <c r="BC125" s="28"/>
      <c r="BD125" s="28"/>
    </row>
    <row r="126" spans="1:56">
      <c r="A126" s="37" t="s">
        <v>16</v>
      </c>
      <c r="B126" s="38">
        <v>31760.769700000001</v>
      </c>
      <c r="C126" s="39">
        <v>13.5</v>
      </c>
      <c r="E126" s="29"/>
      <c r="F126" s="29"/>
      <c r="G126" s="29"/>
      <c r="H126" s="29"/>
      <c r="I126" s="29"/>
      <c r="J126" s="29"/>
      <c r="K126" s="1"/>
      <c r="L126" s="29"/>
      <c r="M126" s="29"/>
      <c r="N126" s="29"/>
      <c r="O126" s="29"/>
      <c r="P126" s="29"/>
      <c r="Q126" s="29"/>
      <c r="R126" s="29"/>
      <c r="S126" s="29"/>
      <c r="T126" s="39">
        <v>10.52</v>
      </c>
      <c r="U126" s="29"/>
      <c r="V126" s="29"/>
      <c r="W126" s="1"/>
      <c r="X126" s="29"/>
      <c r="Y126" s="29"/>
      <c r="Z126" s="29"/>
      <c r="AA126" s="29"/>
      <c r="AB126" s="29"/>
      <c r="AC126" s="29"/>
      <c r="AD126" s="29"/>
      <c r="AE126" s="29"/>
      <c r="AF126" s="29"/>
      <c r="AG126" s="1"/>
      <c r="AH126" s="1"/>
      <c r="AI126" s="29" t="str">
        <f t="shared" si="1"/>
        <v/>
      </c>
      <c r="AK126" s="29"/>
      <c r="AL126" s="29"/>
      <c r="AM126" s="29"/>
      <c r="AN126" s="29"/>
      <c r="AO126" s="29"/>
      <c r="AP126" s="29"/>
      <c r="AQ126" s="29"/>
      <c r="AR126" s="29"/>
      <c r="AS126" s="62"/>
      <c r="AT126" s="62"/>
      <c r="AU126" s="62"/>
      <c r="AV126" s="62"/>
      <c r="AW126" s="62"/>
      <c r="AX126" s="62"/>
      <c r="AY126" s="29"/>
      <c r="AZ126" s="29"/>
      <c r="BA126" s="29"/>
      <c r="BB126" s="29"/>
      <c r="BC126" s="28"/>
      <c r="BD126" s="28"/>
    </row>
    <row r="127" spans="1:56">
      <c r="A127" s="37" t="s">
        <v>16</v>
      </c>
      <c r="B127" s="38">
        <v>31852.080249999999</v>
      </c>
      <c r="C127" s="39">
        <v>13.75</v>
      </c>
      <c r="E127" s="29"/>
      <c r="F127" s="29"/>
      <c r="G127" s="29"/>
      <c r="H127" s="29"/>
      <c r="I127" s="29"/>
      <c r="J127" s="29"/>
      <c r="K127" s="1"/>
      <c r="L127" s="29"/>
      <c r="M127" s="29"/>
      <c r="N127" s="29"/>
      <c r="O127" s="29"/>
      <c r="P127" s="29"/>
      <c r="Q127" s="29"/>
      <c r="R127" s="29"/>
      <c r="S127" s="29"/>
      <c r="T127" s="39">
        <v>12.25</v>
      </c>
      <c r="U127" s="29"/>
      <c r="V127" s="29"/>
      <c r="W127" s="1"/>
      <c r="X127" s="29"/>
      <c r="Y127" s="29"/>
      <c r="Z127" s="29"/>
      <c r="AA127" s="29"/>
      <c r="AB127" s="29"/>
      <c r="AC127" s="29"/>
      <c r="AD127" s="29"/>
      <c r="AE127" s="29"/>
      <c r="AF127" s="29"/>
      <c r="AG127" s="1"/>
      <c r="AH127" s="1"/>
      <c r="AI127" s="29" t="str">
        <f t="shared" si="1"/>
        <v/>
      </c>
      <c r="AK127" s="29"/>
      <c r="AL127" s="29"/>
      <c r="AM127" s="29"/>
      <c r="AN127" s="29"/>
      <c r="AO127" s="29"/>
      <c r="AP127" s="29"/>
      <c r="AQ127" s="29"/>
      <c r="AR127" s="29"/>
      <c r="AS127" s="62"/>
      <c r="AT127" s="62"/>
      <c r="AU127" s="62"/>
      <c r="AV127" s="62"/>
      <c r="AW127" s="62"/>
      <c r="AX127" s="62"/>
      <c r="AY127" s="29"/>
      <c r="AZ127" s="29"/>
      <c r="BA127" s="29"/>
      <c r="BB127" s="29"/>
      <c r="BC127" s="28"/>
      <c r="BD127" s="28"/>
    </row>
    <row r="128" spans="1:56">
      <c r="A128" s="37" t="s">
        <v>16</v>
      </c>
      <c r="B128" s="38">
        <v>31943.390800000001</v>
      </c>
      <c r="C128" s="39">
        <v>14</v>
      </c>
      <c r="E128" s="29"/>
      <c r="F128" s="29"/>
      <c r="G128" s="29"/>
      <c r="H128" s="29"/>
      <c r="I128" s="29"/>
      <c r="J128" s="29"/>
      <c r="K128" s="1"/>
      <c r="L128" s="29"/>
      <c r="M128" s="29"/>
      <c r="N128" s="29"/>
      <c r="O128" s="29"/>
      <c r="P128" s="29"/>
      <c r="Q128" s="29"/>
      <c r="R128" s="29"/>
      <c r="S128" s="29"/>
      <c r="T128" s="39">
        <v>11.04</v>
      </c>
      <c r="U128" s="29"/>
      <c r="V128" s="29"/>
      <c r="W128" s="1"/>
      <c r="X128" s="29"/>
      <c r="Y128" s="29"/>
      <c r="Z128" s="29"/>
      <c r="AA128" s="29"/>
      <c r="AB128" s="29"/>
      <c r="AC128" s="29"/>
      <c r="AD128" s="29"/>
      <c r="AE128" s="29"/>
      <c r="AF128" s="29"/>
      <c r="AG128" s="1"/>
      <c r="AH128" s="1"/>
      <c r="AI128" s="29" t="str">
        <f t="shared" si="1"/>
        <v/>
      </c>
      <c r="AK128" s="29"/>
      <c r="AL128" s="29"/>
      <c r="AM128" s="29"/>
      <c r="AN128" s="29"/>
      <c r="AO128" s="29"/>
      <c r="AP128" s="29"/>
      <c r="AQ128" s="29"/>
      <c r="AR128" s="29"/>
      <c r="AS128" s="62"/>
      <c r="AT128" s="62"/>
      <c r="AU128" s="62"/>
      <c r="AV128" s="62"/>
      <c r="AW128" s="62"/>
      <c r="AX128" s="62"/>
      <c r="AY128" s="29"/>
      <c r="AZ128" s="29"/>
      <c r="BA128" s="29"/>
      <c r="BB128" s="29"/>
      <c r="BC128" s="28"/>
      <c r="BD128" s="28"/>
    </row>
    <row r="129" spans="1:56">
      <c r="A129" s="37" t="s">
        <v>16</v>
      </c>
      <c r="B129" s="38">
        <v>32034.701349999999</v>
      </c>
      <c r="C129" s="39">
        <v>14.25</v>
      </c>
      <c r="E129" s="29"/>
      <c r="F129" s="29"/>
      <c r="G129" s="29"/>
      <c r="H129" s="29"/>
      <c r="I129" s="29"/>
      <c r="J129" s="29"/>
      <c r="K129" s="1"/>
      <c r="L129" s="29"/>
      <c r="M129" s="29"/>
      <c r="N129" s="29"/>
      <c r="O129" s="29"/>
      <c r="P129" s="29"/>
      <c r="Q129" s="29"/>
      <c r="R129" s="29"/>
      <c r="S129" s="29"/>
      <c r="T129" s="39">
        <v>10.130000000000001</v>
      </c>
      <c r="U129" s="29"/>
      <c r="V129" s="29"/>
      <c r="W129" s="1"/>
      <c r="X129" s="29"/>
      <c r="Y129" s="29"/>
      <c r="Z129" s="29"/>
      <c r="AA129" s="29"/>
      <c r="AB129" s="29"/>
      <c r="AC129" s="29"/>
      <c r="AD129" s="29"/>
      <c r="AE129" s="29"/>
      <c r="AF129" s="29"/>
      <c r="AG129" s="1"/>
      <c r="AH129" s="1"/>
      <c r="AI129" s="29" t="str">
        <f t="shared" si="1"/>
        <v/>
      </c>
      <c r="AK129" s="29"/>
      <c r="AL129" s="29"/>
      <c r="AM129" s="29"/>
      <c r="AN129" s="29"/>
      <c r="AO129" s="29"/>
      <c r="AP129" s="29"/>
      <c r="AQ129" s="29"/>
      <c r="AR129" s="29"/>
      <c r="AS129" s="62"/>
      <c r="AT129" s="62"/>
      <c r="AU129" s="62"/>
      <c r="AV129" s="62"/>
      <c r="AW129" s="62"/>
      <c r="AX129" s="62"/>
      <c r="AY129" s="29"/>
      <c r="AZ129" s="29"/>
      <c r="BA129" s="29"/>
      <c r="BB129" s="29"/>
      <c r="BC129" s="28"/>
      <c r="BD129" s="28"/>
    </row>
    <row r="130" spans="1:56">
      <c r="A130" s="37" t="s">
        <v>16</v>
      </c>
      <c r="B130" s="38">
        <v>32126.011900000001</v>
      </c>
      <c r="C130" s="39">
        <v>14.5</v>
      </c>
      <c r="E130" s="29"/>
      <c r="F130" s="29"/>
      <c r="G130" s="29"/>
      <c r="H130" s="29"/>
      <c r="I130" s="29"/>
      <c r="J130" s="29"/>
      <c r="K130" s="1"/>
      <c r="L130" s="29"/>
      <c r="M130" s="29"/>
      <c r="N130" s="29"/>
      <c r="O130" s="29"/>
      <c r="P130" s="29"/>
      <c r="Q130" s="29"/>
      <c r="R130" s="29"/>
      <c r="S130" s="29"/>
      <c r="T130" s="39">
        <v>11.78</v>
      </c>
      <c r="U130" s="29"/>
      <c r="V130" s="29"/>
      <c r="W130" s="1"/>
      <c r="X130" s="29"/>
      <c r="Y130" s="29"/>
      <c r="Z130" s="29"/>
      <c r="AA130" s="29"/>
      <c r="AB130" s="29"/>
      <c r="AC130" s="29"/>
      <c r="AD130" s="29"/>
      <c r="AE130" s="29"/>
      <c r="AF130" s="29"/>
      <c r="AG130" s="1"/>
      <c r="AH130" s="1"/>
      <c r="AI130" s="29" t="str">
        <f t="shared" si="1"/>
        <v/>
      </c>
      <c r="AK130" s="29"/>
      <c r="AL130" s="29"/>
      <c r="AM130" s="29"/>
      <c r="AN130" s="29"/>
      <c r="AO130" s="29"/>
      <c r="AP130" s="29"/>
      <c r="AQ130" s="29"/>
      <c r="AR130" s="29"/>
      <c r="AS130" s="62"/>
      <c r="AT130" s="62"/>
      <c r="AU130" s="62"/>
      <c r="AV130" s="62"/>
      <c r="AW130" s="62"/>
      <c r="AX130" s="62"/>
      <c r="AY130" s="29"/>
      <c r="AZ130" s="29"/>
      <c r="BA130" s="29"/>
      <c r="BB130" s="29"/>
      <c r="BC130" s="28"/>
      <c r="BD130" s="28"/>
    </row>
    <row r="131" spans="1:56">
      <c r="A131" s="37" t="s">
        <v>16</v>
      </c>
      <c r="B131" s="38">
        <v>32217.32245</v>
      </c>
      <c r="C131" s="39">
        <v>14.75</v>
      </c>
      <c r="E131" s="29"/>
      <c r="F131" s="29"/>
      <c r="G131" s="29"/>
      <c r="H131" s="29"/>
      <c r="I131" s="29"/>
      <c r="J131" s="29"/>
      <c r="K131" s="1"/>
      <c r="L131" s="29"/>
      <c r="M131" s="29"/>
      <c r="N131" s="29"/>
      <c r="O131" s="29"/>
      <c r="P131" s="29"/>
      <c r="Q131" s="29"/>
      <c r="R131" s="29"/>
      <c r="S131" s="29"/>
      <c r="T131" s="39">
        <v>11</v>
      </c>
      <c r="U131" s="29"/>
      <c r="V131" s="29"/>
      <c r="W131" s="1"/>
      <c r="X131" s="29"/>
      <c r="Y131" s="29"/>
      <c r="Z131" s="29"/>
      <c r="AA131" s="29"/>
      <c r="AB131" s="29"/>
      <c r="AC131" s="29"/>
      <c r="AD131" s="29"/>
      <c r="AE131" s="29"/>
      <c r="AF131" s="29"/>
      <c r="AG131" s="1"/>
      <c r="AH131" s="1"/>
      <c r="AI131" s="29" t="str">
        <f t="shared" ref="AI131:AI194" si="2">IF(AH131&gt;0.001,AH131/C131,"")</f>
        <v/>
      </c>
      <c r="AK131" s="29"/>
      <c r="AL131" s="29"/>
      <c r="AM131" s="29"/>
      <c r="AN131" s="29"/>
      <c r="AO131" s="29"/>
      <c r="AP131" s="29"/>
      <c r="AQ131" s="29"/>
      <c r="AR131" s="29"/>
      <c r="AS131" s="62"/>
      <c r="AT131" s="62"/>
      <c r="AU131" s="62"/>
      <c r="AV131" s="62"/>
      <c r="AW131" s="62"/>
      <c r="AX131" s="62"/>
      <c r="AY131" s="29"/>
      <c r="AZ131" s="29"/>
      <c r="BA131" s="29"/>
      <c r="BB131" s="29"/>
      <c r="BC131" s="28"/>
      <c r="BD131" s="28"/>
    </row>
    <row r="132" spans="1:56">
      <c r="A132" s="37" t="s">
        <v>16</v>
      </c>
      <c r="B132" s="38">
        <v>32308.633000000002</v>
      </c>
      <c r="C132" s="39">
        <v>15</v>
      </c>
      <c r="E132" s="29"/>
      <c r="F132" s="29"/>
      <c r="G132" s="29"/>
      <c r="H132" s="29"/>
      <c r="I132" s="29"/>
      <c r="J132" s="29"/>
      <c r="K132" s="1"/>
      <c r="L132" s="29"/>
      <c r="M132" s="29"/>
      <c r="N132" s="29"/>
      <c r="O132" s="29"/>
      <c r="P132" s="29"/>
      <c r="Q132" s="29"/>
      <c r="R132" s="29"/>
      <c r="S132" s="29"/>
      <c r="T132" s="39">
        <v>9.43</v>
      </c>
      <c r="U132" s="29"/>
      <c r="V132" s="29"/>
      <c r="W132" s="1"/>
      <c r="X132" s="29"/>
      <c r="Y132" s="29"/>
      <c r="Z132" s="29"/>
      <c r="AA132" s="29"/>
      <c r="AB132" s="29"/>
      <c r="AC132" s="29"/>
      <c r="AD132" s="29"/>
      <c r="AE132" s="29"/>
      <c r="AF132" s="29"/>
      <c r="AG132" s="1"/>
      <c r="AH132" s="1"/>
      <c r="AI132" s="29" t="str">
        <f t="shared" si="2"/>
        <v/>
      </c>
      <c r="AK132" s="29"/>
      <c r="AL132" s="29"/>
      <c r="AM132" s="29"/>
      <c r="AN132" s="29"/>
      <c r="AO132" s="29"/>
      <c r="AP132" s="29"/>
      <c r="AQ132" s="29"/>
      <c r="AR132" s="29"/>
      <c r="AS132" s="62"/>
      <c r="AT132" s="62"/>
      <c r="AU132" s="62"/>
      <c r="AV132" s="62"/>
      <c r="AW132" s="62"/>
      <c r="AX132" s="62"/>
      <c r="AY132" s="29"/>
      <c r="AZ132" s="29"/>
      <c r="BA132" s="29"/>
      <c r="BB132" s="29"/>
      <c r="BC132" s="28"/>
      <c r="BD132" s="28"/>
    </row>
    <row r="133" spans="1:56">
      <c r="A133" s="37" t="s">
        <v>16</v>
      </c>
      <c r="B133" s="38">
        <v>32399.94355</v>
      </c>
      <c r="C133" s="39">
        <v>15.25</v>
      </c>
      <c r="E133" s="29"/>
      <c r="F133" s="29"/>
      <c r="G133" s="29"/>
      <c r="H133" s="29"/>
      <c r="I133" s="29"/>
      <c r="J133" s="29"/>
      <c r="K133" s="1"/>
      <c r="L133" s="29"/>
      <c r="M133" s="29"/>
      <c r="N133" s="29"/>
      <c r="O133" s="29"/>
      <c r="P133" s="29"/>
      <c r="Q133" s="29"/>
      <c r="R133" s="29"/>
      <c r="S133" s="29"/>
      <c r="T133" s="39">
        <v>4.8499999999999996</v>
      </c>
      <c r="U133" s="29"/>
      <c r="V133" s="29"/>
      <c r="W133" s="1"/>
      <c r="X133" s="29"/>
      <c r="Y133" s="29"/>
      <c r="Z133" s="29"/>
      <c r="AA133" s="29"/>
      <c r="AB133" s="29"/>
      <c r="AC133" s="29"/>
      <c r="AD133" s="29"/>
      <c r="AE133" s="29"/>
      <c r="AF133" s="29"/>
      <c r="AG133" s="1"/>
      <c r="AH133" s="1"/>
      <c r="AI133" s="29" t="str">
        <f t="shared" si="2"/>
        <v/>
      </c>
      <c r="AK133" s="29"/>
      <c r="AL133" s="29"/>
      <c r="AM133" s="29"/>
      <c r="AN133" s="29"/>
      <c r="AO133" s="29"/>
      <c r="AP133" s="29"/>
      <c r="AQ133" s="29"/>
      <c r="AR133" s="29"/>
      <c r="AS133" s="62"/>
      <c r="AT133" s="62"/>
      <c r="AU133" s="62"/>
      <c r="AV133" s="62"/>
      <c r="AW133" s="62"/>
      <c r="AX133" s="62"/>
      <c r="AY133" s="29"/>
      <c r="AZ133" s="29"/>
      <c r="BA133" s="29"/>
      <c r="BB133" s="29"/>
      <c r="BC133" s="28"/>
      <c r="BD133" s="28"/>
    </row>
    <row r="134" spans="1:56">
      <c r="A134" s="37" t="s">
        <v>16</v>
      </c>
      <c r="B134" s="38">
        <v>32491.254099999998</v>
      </c>
      <c r="C134" s="39">
        <v>15.5</v>
      </c>
      <c r="E134" s="29"/>
      <c r="F134" s="29"/>
      <c r="G134" s="29"/>
      <c r="H134" s="29"/>
      <c r="I134" s="29"/>
      <c r="J134" s="29"/>
      <c r="K134" s="1"/>
      <c r="L134" s="29"/>
      <c r="M134" s="29"/>
      <c r="N134" s="29"/>
      <c r="O134" s="29"/>
      <c r="P134" s="29"/>
      <c r="Q134" s="29"/>
      <c r="R134" s="29"/>
      <c r="S134" s="29"/>
      <c r="T134" s="39"/>
      <c r="U134" s="29"/>
      <c r="V134" s="29"/>
      <c r="W134" s="1"/>
      <c r="X134" s="29"/>
      <c r="Y134" s="29"/>
      <c r="Z134" s="29"/>
      <c r="AA134" s="29"/>
      <c r="AB134" s="29"/>
      <c r="AC134" s="29"/>
      <c r="AD134" s="29"/>
      <c r="AE134" s="29"/>
      <c r="AF134" s="29"/>
      <c r="AG134" s="1"/>
      <c r="AH134" s="1"/>
      <c r="AI134" s="29" t="str">
        <f t="shared" si="2"/>
        <v/>
      </c>
      <c r="AK134" s="29"/>
      <c r="AL134" s="29"/>
      <c r="AM134" s="29"/>
      <c r="AN134" s="29"/>
      <c r="AO134" s="29"/>
      <c r="AP134" s="29"/>
      <c r="AQ134" s="29"/>
      <c r="AR134" s="29"/>
      <c r="AS134" s="62"/>
      <c r="AT134" s="62"/>
      <c r="AU134" s="62"/>
      <c r="AV134" s="62"/>
      <c r="AW134" s="62"/>
      <c r="AX134" s="62"/>
      <c r="AY134" s="29"/>
      <c r="AZ134" s="29"/>
      <c r="BA134" s="29"/>
      <c r="BB134" s="29"/>
      <c r="BC134" s="28"/>
      <c r="BD134" s="28"/>
    </row>
    <row r="135" spans="1:56">
      <c r="A135" s="37" t="s">
        <v>16</v>
      </c>
      <c r="B135" s="38">
        <v>32582.56465</v>
      </c>
      <c r="C135" s="39">
        <v>15.75</v>
      </c>
      <c r="E135" s="29"/>
      <c r="F135" s="29"/>
      <c r="G135" s="29"/>
      <c r="H135" s="29"/>
      <c r="I135" s="29"/>
      <c r="J135" s="29"/>
      <c r="K135" s="1"/>
      <c r="L135" s="29"/>
      <c r="M135" s="29"/>
      <c r="N135" s="29"/>
      <c r="O135" s="29"/>
      <c r="P135" s="29"/>
      <c r="Q135" s="29"/>
      <c r="R135" s="29"/>
      <c r="S135" s="29"/>
      <c r="T135" s="39">
        <v>6.05</v>
      </c>
      <c r="U135" s="29"/>
      <c r="V135" s="29"/>
      <c r="W135" s="1"/>
      <c r="X135" s="29"/>
      <c r="Y135" s="29"/>
      <c r="Z135" s="29"/>
      <c r="AA135" s="29"/>
      <c r="AB135" s="29"/>
      <c r="AC135" s="29"/>
      <c r="AD135" s="29"/>
      <c r="AE135" s="29"/>
      <c r="AF135" s="29"/>
      <c r="AG135" s="1"/>
      <c r="AH135" s="1"/>
      <c r="AI135" s="29" t="str">
        <f t="shared" si="2"/>
        <v/>
      </c>
      <c r="AK135" s="29"/>
      <c r="AL135" s="29"/>
      <c r="AM135" s="29"/>
      <c r="AN135" s="29"/>
      <c r="AO135" s="29"/>
      <c r="AP135" s="29"/>
      <c r="AQ135" s="29"/>
      <c r="AR135" s="29"/>
      <c r="AS135" s="62"/>
      <c r="AT135" s="62"/>
      <c r="AU135" s="62"/>
      <c r="AV135" s="62"/>
      <c r="AW135" s="62"/>
      <c r="AX135" s="62"/>
      <c r="AY135" s="29"/>
      <c r="AZ135" s="29"/>
      <c r="BA135" s="29"/>
      <c r="BB135" s="29"/>
      <c r="BC135" s="28"/>
      <c r="BD135" s="28"/>
    </row>
    <row r="136" spans="1:56">
      <c r="A136" s="37" t="s">
        <v>16</v>
      </c>
      <c r="B136" s="38">
        <v>32673.875200000002</v>
      </c>
      <c r="C136" s="39">
        <v>16</v>
      </c>
      <c r="E136" s="29"/>
      <c r="F136" s="29"/>
      <c r="G136" s="29"/>
      <c r="H136" s="29"/>
      <c r="I136" s="29"/>
      <c r="J136" s="29"/>
      <c r="K136" s="1"/>
      <c r="L136" s="29"/>
      <c r="M136" s="29"/>
      <c r="N136" s="29"/>
      <c r="O136" s="29"/>
      <c r="P136" s="29"/>
      <c r="Q136" s="29"/>
      <c r="R136" s="29"/>
      <c r="S136" s="29"/>
      <c r="T136" s="39">
        <v>5.36</v>
      </c>
      <c r="U136" s="29"/>
      <c r="V136" s="29"/>
      <c r="W136" s="1"/>
      <c r="X136" s="29"/>
      <c r="Y136" s="29"/>
      <c r="Z136" s="29"/>
      <c r="AA136" s="29"/>
      <c r="AB136" s="29"/>
      <c r="AC136" s="29"/>
      <c r="AD136" s="29"/>
      <c r="AE136" s="29"/>
      <c r="AF136" s="29"/>
      <c r="AG136" s="1"/>
      <c r="AH136" s="1"/>
      <c r="AI136" s="29" t="str">
        <f t="shared" si="2"/>
        <v/>
      </c>
      <c r="AK136" s="29"/>
      <c r="AL136" s="29"/>
      <c r="AM136" s="29"/>
      <c r="AN136" s="29"/>
      <c r="AO136" s="29"/>
      <c r="AP136" s="29"/>
      <c r="AQ136" s="29"/>
      <c r="AR136" s="29"/>
      <c r="AS136" s="62"/>
      <c r="AT136" s="62"/>
      <c r="AU136" s="62"/>
      <c r="AV136" s="62"/>
      <c r="AW136" s="62"/>
      <c r="AX136" s="62"/>
      <c r="AY136" s="29"/>
      <c r="AZ136" s="29"/>
      <c r="BA136" s="29"/>
      <c r="BB136" s="29"/>
      <c r="BC136" s="28"/>
      <c r="BD136" s="28"/>
    </row>
    <row r="137" spans="1:56">
      <c r="A137" s="37" t="s">
        <v>16</v>
      </c>
      <c r="B137" s="38">
        <v>32765.185750000001</v>
      </c>
      <c r="C137" s="39">
        <v>16.25</v>
      </c>
      <c r="E137" s="29"/>
      <c r="F137" s="29"/>
      <c r="G137" s="29"/>
      <c r="H137" s="29"/>
      <c r="I137" s="29"/>
      <c r="J137" s="29"/>
      <c r="K137" s="1"/>
      <c r="L137" s="29"/>
      <c r="M137" s="29"/>
      <c r="N137" s="29"/>
      <c r="O137" s="29"/>
      <c r="P137" s="29"/>
      <c r="Q137" s="29"/>
      <c r="R137" s="29"/>
      <c r="S137" s="29"/>
      <c r="T137" s="39">
        <v>5.86</v>
      </c>
      <c r="U137" s="29"/>
      <c r="V137" s="29"/>
      <c r="W137" s="1"/>
      <c r="X137" s="29"/>
      <c r="Y137" s="29"/>
      <c r="Z137" s="29"/>
      <c r="AA137" s="29"/>
      <c r="AB137" s="29"/>
      <c r="AC137" s="29"/>
      <c r="AD137" s="29"/>
      <c r="AE137" s="29"/>
      <c r="AF137" s="29"/>
      <c r="AG137" s="1"/>
      <c r="AH137" s="1"/>
      <c r="AI137" s="29" t="str">
        <f t="shared" si="2"/>
        <v/>
      </c>
      <c r="AK137" s="29"/>
      <c r="AL137" s="29"/>
      <c r="AM137" s="29"/>
      <c r="AN137" s="29"/>
      <c r="AO137" s="29"/>
      <c r="AP137" s="29"/>
      <c r="AQ137" s="29"/>
      <c r="AR137" s="29"/>
      <c r="AS137" s="62"/>
      <c r="AT137" s="62"/>
      <c r="AU137" s="62"/>
      <c r="AV137" s="62"/>
      <c r="AW137" s="62"/>
      <c r="AX137" s="62"/>
      <c r="AY137" s="29"/>
      <c r="AZ137" s="29"/>
      <c r="BA137" s="29"/>
      <c r="BB137" s="29"/>
      <c r="BC137" s="28"/>
      <c r="BD137" s="28"/>
    </row>
    <row r="138" spans="1:56">
      <c r="A138" s="37" t="s">
        <v>16</v>
      </c>
      <c r="B138" s="38">
        <v>32856.496299999999</v>
      </c>
      <c r="C138" s="39">
        <v>16.5</v>
      </c>
      <c r="E138" s="29"/>
      <c r="F138" s="29"/>
      <c r="G138" s="29"/>
      <c r="H138" s="29"/>
      <c r="I138" s="29"/>
      <c r="J138" s="29"/>
      <c r="K138" s="1"/>
      <c r="L138" s="29"/>
      <c r="M138" s="29"/>
      <c r="N138" s="29"/>
      <c r="O138" s="29"/>
      <c r="P138" s="29"/>
      <c r="Q138" s="29"/>
      <c r="R138" s="29"/>
      <c r="S138" s="29"/>
      <c r="T138" s="39">
        <v>5.0999999999999996</v>
      </c>
      <c r="U138" s="29"/>
      <c r="V138" s="29"/>
      <c r="W138" s="1"/>
      <c r="X138" s="29"/>
      <c r="Y138" s="29"/>
      <c r="Z138" s="29"/>
      <c r="AA138" s="29"/>
      <c r="AB138" s="29"/>
      <c r="AC138" s="29"/>
      <c r="AD138" s="29"/>
      <c r="AE138" s="29"/>
      <c r="AF138" s="29"/>
      <c r="AG138" s="1"/>
      <c r="AH138" s="1"/>
      <c r="AI138" s="29" t="str">
        <f t="shared" si="2"/>
        <v/>
      </c>
      <c r="AK138" s="29"/>
      <c r="AL138" s="29"/>
      <c r="AM138" s="29"/>
      <c r="AN138" s="29"/>
      <c r="AO138" s="29"/>
      <c r="AP138" s="29"/>
      <c r="AQ138" s="29"/>
      <c r="AR138" s="29"/>
      <c r="AS138" s="62"/>
      <c r="AT138" s="62"/>
      <c r="AU138" s="62"/>
      <c r="AV138" s="62"/>
      <c r="AW138" s="62"/>
      <c r="AX138" s="62"/>
      <c r="AY138" s="29"/>
      <c r="AZ138" s="29"/>
      <c r="BA138" s="29"/>
      <c r="BB138" s="29"/>
      <c r="BC138" s="28"/>
      <c r="BD138" s="28"/>
    </row>
    <row r="139" spans="1:56">
      <c r="A139" s="37" t="s">
        <v>16</v>
      </c>
      <c r="B139" s="38">
        <v>32947.806850000001</v>
      </c>
      <c r="C139" s="39">
        <v>16.75</v>
      </c>
      <c r="E139" s="29"/>
      <c r="F139" s="29"/>
      <c r="G139" s="29"/>
      <c r="H139" s="29"/>
      <c r="I139" s="29"/>
      <c r="J139" s="29"/>
      <c r="K139" s="1"/>
      <c r="L139" s="29"/>
      <c r="M139" s="29"/>
      <c r="N139" s="29"/>
      <c r="O139" s="29"/>
      <c r="P139" s="29"/>
      <c r="Q139" s="29"/>
      <c r="R139" s="29"/>
      <c r="S139" s="29"/>
      <c r="T139" s="39">
        <v>5.88</v>
      </c>
      <c r="U139" s="29"/>
      <c r="V139" s="29"/>
      <c r="W139" s="1"/>
      <c r="X139" s="29"/>
      <c r="Y139" s="29"/>
      <c r="Z139" s="29"/>
      <c r="AA139" s="29"/>
      <c r="AB139" s="29"/>
      <c r="AC139" s="29"/>
      <c r="AD139" s="29"/>
      <c r="AE139" s="29"/>
      <c r="AF139" s="29"/>
      <c r="AG139" s="1"/>
      <c r="AH139" s="1"/>
      <c r="AI139" s="29" t="str">
        <f t="shared" si="2"/>
        <v/>
      </c>
      <c r="AK139" s="29"/>
      <c r="AL139" s="29"/>
      <c r="AM139" s="29"/>
      <c r="AN139" s="29"/>
      <c r="AO139" s="29"/>
      <c r="AP139" s="29"/>
      <c r="AQ139" s="29"/>
      <c r="AR139" s="29"/>
      <c r="AS139" s="62"/>
      <c r="AT139" s="62"/>
      <c r="AU139" s="62"/>
      <c r="AV139" s="62"/>
      <c r="AW139" s="62"/>
      <c r="AX139" s="62"/>
      <c r="AY139" s="29"/>
      <c r="AZ139" s="29"/>
      <c r="BA139" s="29"/>
      <c r="BB139" s="29"/>
      <c r="BC139" s="28"/>
      <c r="BD139" s="28"/>
    </row>
    <row r="140" spans="1:56">
      <c r="A140" s="37" t="s">
        <v>16</v>
      </c>
      <c r="B140" s="38">
        <v>33039.117400000003</v>
      </c>
      <c r="C140" s="39">
        <v>17</v>
      </c>
      <c r="E140" s="29"/>
      <c r="F140" s="29"/>
      <c r="G140" s="29"/>
      <c r="H140" s="29"/>
      <c r="I140" s="29"/>
      <c r="J140" s="29"/>
      <c r="K140" s="1"/>
      <c r="L140" s="29"/>
      <c r="M140" s="29"/>
      <c r="N140" s="29"/>
      <c r="O140" s="29"/>
      <c r="P140" s="29"/>
      <c r="Q140" s="29"/>
      <c r="R140" s="29"/>
      <c r="S140" s="29"/>
      <c r="T140" s="39">
        <v>5.54</v>
      </c>
      <c r="U140" s="29"/>
      <c r="V140" s="29"/>
      <c r="W140" s="1"/>
      <c r="X140" s="29"/>
      <c r="Y140" s="29"/>
      <c r="Z140" s="29"/>
      <c r="AA140" s="29"/>
      <c r="AB140" s="29"/>
      <c r="AC140" s="29"/>
      <c r="AD140" s="29"/>
      <c r="AE140" s="29"/>
      <c r="AF140" s="29"/>
      <c r="AG140" s="1"/>
      <c r="AH140" s="1"/>
      <c r="AI140" s="29" t="str">
        <f t="shared" si="2"/>
        <v/>
      </c>
      <c r="AK140" s="29"/>
      <c r="AL140" s="29"/>
      <c r="AM140" s="29"/>
      <c r="AN140" s="29"/>
      <c r="AO140" s="29"/>
      <c r="AP140" s="29"/>
      <c r="AQ140" s="29"/>
      <c r="AR140" s="29"/>
      <c r="AS140" s="62"/>
      <c r="AT140" s="62"/>
      <c r="AU140" s="62"/>
      <c r="AV140" s="62"/>
      <c r="AW140" s="62"/>
      <c r="AX140" s="62"/>
      <c r="AY140" s="29"/>
      <c r="AZ140" s="29"/>
      <c r="BA140" s="29"/>
      <c r="BB140" s="29"/>
      <c r="BC140" s="28"/>
      <c r="BD140" s="28"/>
    </row>
    <row r="141" spans="1:56">
      <c r="A141" s="37" t="s">
        <v>16</v>
      </c>
      <c r="B141" s="38">
        <v>33130.427949999998</v>
      </c>
      <c r="C141" s="39">
        <v>17.25</v>
      </c>
      <c r="E141" s="29"/>
      <c r="F141" s="29"/>
      <c r="G141" s="29"/>
      <c r="H141" s="29"/>
      <c r="I141" s="29"/>
      <c r="J141" s="29"/>
      <c r="K141" s="1"/>
      <c r="L141" s="29"/>
      <c r="M141" s="29"/>
      <c r="N141" s="29"/>
      <c r="O141" s="29"/>
      <c r="P141" s="29"/>
      <c r="Q141" s="29"/>
      <c r="R141" s="29"/>
      <c r="S141" s="29"/>
      <c r="T141" s="39">
        <v>5.4</v>
      </c>
      <c r="U141" s="29"/>
      <c r="V141" s="29"/>
      <c r="W141" s="1"/>
      <c r="X141" s="29"/>
      <c r="Y141" s="29"/>
      <c r="Z141" s="29"/>
      <c r="AA141" s="29"/>
      <c r="AB141" s="29"/>
      <c r="AC141" s="29"/>
      <c r="AD141" s="29"/>
      <c r="AE141" s="29"/>
      <c r="AF141" s="29"/>
      <c r="AG141" s="1"/>
      <c r="AH141" s="1"/>
      <c r="AI141" s="29" t="str">
        <f t="shared" si="2"/>
        <v/>
      </c>
      <c r="AK141" s="29"/>
      <c r="AL141" s="29"/>
      <c r="AM141" s="29"/>
      <c r="AN141" s="29"/>
      <c r="AO141" s="29"/>
      <c r="AP141" s="29"/>
      <c r="AQ141" s="29"/>
      <c r="AR141" s="29"/>
      <c r="AS141" s="62"/>
      <c r="AT141" s="62"/>
      <c r="AU141" s="62"/>
      <c r="AV141" s="62"/>
      <c r="AW141" s="62"/>
      <c r="AX141" s="62"/>
      <c r="AY141" s="29"/>
      <c r="AZ141" s="29"/>
      <c r="BA141" s="29"/>
      <c r="BB141" s="29"/>
      <c r="BC141" s="28"/>
      <c r="BD141" s="28"/>
    </row>
    <row r="142" spans="1:56">
      <c r="A142" s="37" t="s">
        <v>16</v>
      </c>
      <c r="B142" s="38">
        <v>33221.738499999999</v>
      </c>
      <c r="C142" s="39">
        <v>17.5</v>
      </c>
      <c r="E142" s="29"/>
      <c r="F142" s="29"/>
      <c r="G142" s="29"/>
      <c r="H142" s="29"/>
      <c r="I142" s="29"/>
      <c r="J142" s="29"/>
      <c r="K142" s="1"/>
      <c r="L142" s="29"/>
      <c r="M142" s="29"/>
      <c r="N142" s="29"/>
      <c r="O142" s="29"/>
      <c r="P142" s="29"/>
      <c r="Q142" s="29"/>
      <c r="R142" s="29"/>
      <c r="S142" s="29"/>
      <c r="T142" s="39">
        <v>6.49</v>
      </c>
      <c r="U142" s="29"/>
      <c r="V142" s="29"/>
      <c r="W142" s="1"/>
      <c r="X142" s="29"/>
      <c r="Y142" s="29"/>
      <c r="Z142" s="29"/>
      <c r="AA142" s="29"/>
      <c r="AB142" s="29"/>
      <c r="AC142" s="29"/>
      <c r="AD142" s="29"/>
      <c r="AE142" s="29"/>
      <c r="AF142" s="29"/>
      <c r="AG142" s="1"/>
      <c r="AH142" s="1"/>
      <c r="AI142" s="29" t="str">
        <f t="shared" si="2"/>
        <v/>
      </c>
      <c r="AK142" s="29"/>
      <c r="AL142" s="29"/>
      <c r="AM142" s="29"/>
      <c r="AN142" s="29"/>
      <c r="AO142" s="29"/>
      <c r="AP142" s="29"/>
      <c r="AQ142" s="29"/>
      <c r="AR142" s="29"/>
      <c r="AS142" s="62"/>
      <c r="AT142" s="62"/>
      <c r="AU142" s="62"/>
      <c r="AV142" s="62"/>
      <c r="AW142" s="62"/>
      <c r="AX142" s="62"/>
      <c r="AY142" s="29"/>
      <c r="AZ142" s="29"/>
      <c r="BA142" s="29"/>
      <c r="BB142" s="29"/>
      <c r="BC142" s="28"/>
      <c r="BD142" s="28"/>
    </row>
    <row r="143" spans="1:56">
      <c r="A143" s="37" t="s">
        <v>16</v>
      </c>
      <c r="B143" s="38">
        <v>33313.049050000001</v>
      </c>
      <c r="C143" s="39">
        <v>17.75</v>
      </c>
      <c r="E143" s="29"/>
      <c r="F143" s="29"/>
      <c r="G143" s="29"/>
      <c r="H143" s="29"/>
      <c r="I143" s="29"/>
      <c r="J143" s="29"/>
      <c r="K143" s="1"/>
      <c r="L143" s="29"/>
      <c r="M143" s="29"/>
      <c r="N143" s="29"/>
      <c r="O143" s="29"/>
      <c r="P143" s="29"/>
      <c r="Q143" s="29"/>
      <c r="R143" s="29"/>
      <c r="S143" s="29"/>
      <c r="T143" s="39">
        <v>6.76</v>
      </c>
      <c r="U143" s="29"/>
      <c r="V143" s="29"/>
      <c r="W143" s="1"/>
      <c r="X143" s="29"/>
      <c r="Y143" s="29"/>
      <c r="Z143" s="29"/>
      <c r="AA143" s="29"/>
      <c r="AB143" s="29"/>
      <c r="AC143" s="29"/>
      <c r="AD143" s="29"/>
      <c r="AE143" s="29"/>
      <c r="AF143" s="29"/>
      <c r="AG143" s="1"/>
      <c r="AH143" s="1"/>
      <c r="AI143" s="29" t="str">
        <f t="shared" si="2"/>
        <v/>
      </c>
      <c r="AK143" s="29"/>
      <c r="AL143" s="29"/>
      <c r="AM143" s="29"/>
      <c r="AN143" s="29"/>
      <c r="AO143" s="29"/>
      <c r="AP143" s="29"/>
      <c r="AQ143" s="29"/>
      <c r="AR143" s="29"/>
      <c r="AS143" s="62"/>
      <c r="AT143" s="62"/>
      <c r="AU143" s="62"/>
      <c r="AV143" s="62"/>
      <c r="AW143" s="62"/>
      <c r="AX143" s="62"/>
      <c r="AY143" s="29"/>
      <c r="AZ143" s="29"/>
      <c r="BA143" s="29"/>
      <c r="BB143" s="29"/>
      <c r="BC143" s="28"/>
      <c r="BD143" s="28"/>
    </row>
    <row r="144" spans="1:56">
      <c r="A144" s="37" t="s">
        <v>16</v>
      </c>
      <c r="B144" s="38">
        <v>33404.359600000003</v>
      </c>
      <c r="C144" s="39">
        <v>18</v>
      </c>
      <c r="E144" s="29"/>
      <c r="F144" s="29"/>
      <c r="G144" s="29"/>
      <c r="H144" s="29"/>
      <c r="I144" s="29"/>
      <c r="J144" s="29"/>
      <c r="K144" s="1"/>
      <c r="L144" s="29"/>
      <c r="M144" s="29"/>
      <c r="N144" s="29"/>
      <c r="O144" s="29"/>
      <c r="P144" s="29"/>
      <c r="Q144" s="29"/>
      <c r="R144" s="29"/>
      <c r="S144" s="29"/>
      <c r="T144" s="39">
        <v>5.75</v>
      </c>
      <c r="U144" s="29"/>
      <c r="V144" s="29"/>
      <c r="W144" s="1"/>
      <c r="X144" s="29"/>
      <c r="Y144" s="29"/>
      <c r="Z144" s="29"/>
      <c r="AA144" s="29"/>
      <c r="AB144" s="29"/>
      <c r="AC144" s="29"/>
      <c r="AD144" s="29"/>
      <c r="AE144" s="29"/>
      <c r="AF144" s="29"/>
      <c r="AG144" s="1"/>
      <c r="AH144" s="1"/>
      <c r="AI144" s="29" t="str">
        <f t="shared" si="2"/>
        <v/>
      </c>
      <c r="AK144" s="29"/>
      <c r="AL144" s="29"/>
      <c r="AM144" s="29"/>
      <c r="AN144" s="29"/>
      <c r="AO144" s="29"/>
      <c r="AP144" s="29"/>
      <c r="AQ144" s="29"/>
      <c r="AR144" s="29"/>
      <c r="AS144" s="62"/>
      <c r="AT144" s="62"/>
      <c r="AU144" s="62"/>
      <c r="AV144" s="62"/>
      <c r="AW144" s="62"/>
      <c r="AX144" s="62"/>
      <c r="AY144" s="29"/>
      <c r="AZ144" s="29"/>
      <c r="BA144" s="29"/>
      <c r="BB144" s="29"/>
      <c r="BC144" s="28"/>
      <c r="BD144" s="28"/>
    </row>
    <row r="145" spans="1:56">
      <c r="A145" s="37" t="s">
        <v>16</v>
      </c>
      <c r="B145" s="38">
        <v>33495.670149999998</v>
      </c>
      <c r="C145" s="39">
        <v>18.25</v>
      </c>
      <c r="E145" s="29"/>
      <c r="F145" s="29"/>
      <c r="G145" s="29"/>
      <c r="H145" s="29"/>
      <c r="I145" s="29"/>
      <c r="J145" s="29"/>
      <c r="K145" s="1"/>
      <c r="L145" s="29"/>
      <c r="M145" s="29"/>
      <c r="N145" s="29"/>
      <c r="O145" s="29"/>
      <c r="P145" s="29"/>
      <c r="Q145" s="29"/>
      <c r="R145" s="29"/>
      <c r="S145" s="29"/>
      <c r="T145" s="39">
        <v>5.07</v>
      </c>
      <c r="U145" s="29"/>
      <c r="V145" s="29"/>
      <c r="W145" s="1"/>
      <c r="X145" s="29"/>
      <c r="Y145" s="29"/>
      <c r="Z145" s="29"/>
      <c r="AA145" s="29"/>
      <c r="AB145" s="29"/>
      <c r="AC145" s="29"/>
      <c r="AD145" s="29"/>
      <c r="AE145" s="29"/>
      <c r="AF145" s="29"/>
      <c r="AG145" s="1"/>
      <c r="AH145" s="1"/>
      <c r="AI145" s="29" t="str">
        <f t="shared" si="2"/>
        <v/>
      </c>
      <c r="AK145" s="29"/>
      <c r="AL145" s="29"/>
      <c r="AM145" s="29"/>
      <c r="AN145" s="29"/>
      <c r="AO145" s="29"/>
      <c r="AP145" s="29"/>
      <c r="AQ145" s="29"/>
      <c r="AR145" s="29"/>
      <c r="AS145" s="62"/>
      <c r="AT145" s="62"/>
      <c r="AU145" s="62"/>
      <c r="AV145" s="62"/>
      <c r="AW145" s="62"/>
      <c r="AX145" s="62"/>
      <c r="AY145" s="29"/>
      <c r="AZ145" s="29"/>
      <c r="BA145" s="29"/>
      <c r="BB145" s="29"/>
      <c r="BC145" s="28"/>
      <c r="BD145" s="28"/>
    </row>
    <row r="146" spans="1:56">
      <c r="A146" s="37" t="s">
        <v>16</v>
      </c>
      <c r="B146" s="38">
        <v>33586.9807</v>
      </c>
      <c r="C146" s="39">
        <v>18.5</v>
      </c>
      <c r="E146" s="29"/>
      <c r="F146" s="29"/>
      <c r="G146" s="29"/>
      <c r="H146" s="29"/>
      <c r="I146" s="29"/>
      <c r="J146" s="29"/>
      <c r="K146" s="1"/>
      <c r="L146" s="29"/>
      <c r="M146" s="29"/>
      <c r="N146" s="29"/>
      <c r="O146" s="29"/>
      <c r="P146" s="29"/>
      <c r="Q146" s="29"/>
      <c r="R146" s="29"/>
      <c r="S146" s="29"/>
      <c r="T146" s="39"/>
      <c r="U146" s="29"/>
      <c r="V146" s="29"/>
      <c r="W146" s="1"/>
      <c r="X146" s="29"/>
      <c r="Y146" s="29"/>
      <c r="Z146" s="29"/>
      <c r="AA146" s="29"/>
      <c r="AB146" s="29"/>
      <c r="AC146" s="29"/>
      <c r="AD146" s="29"/>
      <c r="AE146" s="29"/>
      <c r="AF146" s="29"/>
      <c r="AG146" s="1"/>
      <c r="AH146" s="1"/>
      <c r="AI146" s="29" t="str">
        <f t="shared" si="2"/>
        <v/>
      </c>
      <c r="AK146" s="29"/>
      <c r="AL146" s="29"/>
      <c r="AM146" s="29"/>
      <c r="AN146" s="29"/>
      <c r="AO146" s="29"/>
      <c r="AP146" s="29"/>
      <c r="AQ146" s="29"/>
      <c r="AR146" s="29"/>
      <c r="AS146" s="62"/>
      <c r="AT146" s="62"/>
      <c r="AU146" s="62"/>
      <c r="AV146" s="62"/>
      <c r="AW146" s="62"/>
      <c r="AX146" s="62"/>
      <c r="AY146" s="29"/>
      <c r="AZ146" s="29"/>
      <c r="BA146" s="29"/>
      <c r="BB146" s="29"/>
      <c r="BC146" s="28"/>
      <c r="BD146" s="28"/>
    </row>
    <row r="147" spans="1:56">
      <c r="A147" s="37" t="s">
        <v>16</v>
      </c>
      <c r="B147" s="38">
        <v>33678.291250000002</v>
      </c>
      <c r="C147" s="39">
        <v>18.75</v>
      </c>
      <c r="E147" s="29"/>
      <c r="F147" s="29"/>
      <c r="G147" s="29"/>
      <c r="H147" s="29"/>
      <c r="I147" s="29"/>
      <c r="J147" s="29"/>
      <c r="K147" s="1"/>
      <c r="L147" s="29"/>
      <c r="M147" s="29"/>
      <c r="N147" s="29"/>
      <c r="O147" s="29"/>
      <c r="P147" s="29"/>
      <c r="Q147" s="29"/>
      <c r="R147" s="29"/>
      <c r="S147" s="29"/>
      <c r="T147" s="39">
        <v>6.69</v>
      </c>
      <c r="U147" s="29"/>
      <c r="V147" s="29"/>
      <c r="W147" s="1"/>
      <c r="X147" s="29"/>
      <c r="Y147" s="29"/>
      <c r="Z147" s="29"/>
      <c r="AA147" s="29"/>
      <c r="AB147" s="29"/>
      <c r="AC147" s="29"/>
      <c r="AD147" s="29"/>
      <c r="AE147" s="29"/>
      <c r="AF147" s="29"/>
      <c r="AG147" s="1"/>
      <c r="AH147" s="1"/>
      <c r="AI147" s="29" t="str">
        <f t="shared" si="2"/>
        <v/>
      </c>
      <c r="AK147" s="29"/>
      <c r="AL147" s="29"/>
      <c r="AM147" s="29"/>
      <c r="AN147" s="29"/>
      <c r="AO147" s="29"/>
      <c r="AP147" s="29"/>
      <c r="AQ147" s="29"/>
      <c r="AR147" s="29"/>
      <c r="AS147" s="62"/>
      <c r="AT147" s="62"/>
      <c r="AU147" s="62"/>
      <c r="AV147" s="62"/>
      <c r="AW147" s="62"/>
      <c r="AX147" s="62"/>
      <c r="AY147" s="29"/>
      <c r="AZ147" s="29"/>
      <c r="BA147" s="29"/>
      <c r="BB147" s="29"/>
      <c r="BC147" s="28"/>
      <c r="BD147" s="28"/>
    </row>
    <row r="148" spans="1:56">
      <c r="A148" s="37" t="s">
        <v>16</v>
      </c>
      <c r="B148" s="38">
        <v>33769.601800000004</v>
      </c>
      <c r="C148" s="39">
        <v>19</v>
      </c>
      <c r="E148" s="29"/>
      <c r="F148" s="29"/>
      <c r="G148" s="29"/>
      <c r="H148" s="29"/>
      <c r="I148" s="29"/>
      <c r="J148" s="29"/>
      <c r="K148" s="1"/>
      <c r="L148" s="29"/>
      <c r="M148" s="29"/>
      <c r="N148" s="29"/>
      <c r="O148" s="29"/>
      <c r="P148" s="29"/>
      <c r="Q148" s="29"/>
      <c r="R148" s="29"/>
      <c r="S148" s="29"/>
      <c r="T148" s="39">
        <v>6.19</v>
      </c>
      <c r="U148" s="29"/>
      <c r="V148" s="29"/>
      <c r="W148" s="1"/>
      <c r="X148" s="29"/>
      <c r="Y148" s="29"/>
      <c r="Z148" s="29"/>
      <c r="AA148" s="29"/>
      <c r="AB148" s="29"/>
      <c r="AC148" s="29"/>
      <c r="AD148" s="29"/>
      <c r="AE148" s="29"/>
      <c r="AF148" s="29"/>
      <c r="AG148" s="1"/>
      <c r="AH148" s="1"/>
      <c r="AI148" s="29" t="str">
        <f t="shared" si="2"/>
        <v/>
      </c>
      <c r="AK148" s="29"/>
      <c r="AL148" s="29"/>
      <c r="AM148" s="29"/>
      <c r="AN148" s="29"/>
      <c r="AO148" s="29"/>
      <c r="AP148" s="29"/>
      <c r="AQ148" s="29"/>
      <c r="AR148" s="29"/>
      <c r="AS148" s="62"/>
      <c r="AT148" s="62"/>
      <c r="AU148" s="62"/>
      <c r="AV148" s="62"/>
      <c r="AW148" s="62"/>
      <c r="AX148" s="62"/>
      <c r="AY148" s="29"/>
      <c r="AZ148" s="29"/>
      <c r="BA148" s="29"/>
      <c r="BB148" s="29"/>
      <c r="BC148" s="28"/>
      <c r="BD148" s="28"/>
    </row>
    <row r="149" spans="1:56">
      <c r="A149" s="37" t="s">
        <v>16</v>
      </c>
      <c r="B149" s="38">
        <v>34134.843999999997</v>
      </c>
      <c r="C149" s="39">
        <v>20</v>
      </c>
      <c r="E149" s="29"/>
      <c r="F149" s="29"/>
      <c r="G149" s="29"/>
      <c r="H149" s="29"/>
      <c r="I149" s="29"/>
      <c r="J149" s="29"/>
      <c r="K149" s="1"/>
      <c r="L149" s="29"/>
      <c r="M149" s="29"/>
      <c r="N149" s="29"/>
      <c r="O149" s="29"/>
      <c r="P149" s="29"/>
      <c r="Q149" s="29"/>
      <c r="R149" s="29"/>
      <c r="S149" s="29"/>
      <c r="T149" s="37"/>
      <c r="U149" s="29"/>
      <c r="V149" s="29"/>
      <c r="W149" s="1"/>
      <c r="X149" s="29"/>
      <c r="Y149" s="29"/>
      <c r="Z149" s="29"/>
      <c r="AA149" s="29"/>
      <c r="AB149" s="29"/>
      <c r="AC149" s="29"/>
      <c r="AD149" s="29"/>
      <c r="AE149" s="29"/>
      <c r="AF149" s="29"/>
      <c r="AG149" s="1"/>
      <c r="AH149" s="1"/>
      <c r="AI149" s="29" t="str">
        <f t="shared" si="2"/>
        <v/>
      </c>
      <c r="AK149" s="29"/>
      <c r="AL149" s="29"/>
      <c r="AM149" s="29"/>
      <c r="AN149" s="29"/>
      <c r="AO149" s="29"/>
      <c r="AP149" s="29"/>
      <c r="AQ149" s="29"/>
      <c r="AR149" s="29"/>
      <c r="AS149" s="62"/>
      <c r="AT149" s="62"/>
      <c r="AU149" s="62"/>
      <c r="AV149" s="62"/>
      <c r="AW149" s="62"/>
      <c r="AX149" s="62"/>
      <c r="AY149" s="29"/>
      <c r="AZ149" s="29"/>
      <c r="BA149" s="29"/>
      <c r="BB149" s="29"/>
      <c r="BC149" s="28"/>
      <c r="BD149" s="28"/>
    </row>
    <row r="150" spans="1:56">
      <c r="A150" s="37" t="s">
        <v>17</v>
      </c>
      <c r="B150" s="38">
        <v>30573.732550000001</v>
      </c>
      <c r="C150" s="39">
        <v>10.25</v>
      </c>
      <c r="E150" s="29"/>
      <c r="F150" s="29"/>
      <c r="G150" s="29"/>
      <c r="H150" s="29"/>
      <c r="I150" s="29"/>
      <c r="J150" s="29"/>
      <c r="K150" s="1"/>
      <c r="L150" s="29"/>
      <c r="M150" s="29"/>
      <c r="N150" s="29"/>
      <c r="O150" s="29"/>
      <c r="P150" s="29"/>
      <c r="Q150" s="29"/>
      <c r="R150" s="29"/>
      <c r="S150" s="29"/>
      <c r="T150" s="39">
        <v>3.08</v>
      </c>
      <c r="U150" s="29"/>
      <c r="V150" s="29"/>
      <c r="W150" s="1"/>
      <c r="X150" s="29"/>
      <c r="Y150" s="29"/>
      <c r="Z150" s="29"/>
      <c r="AA150" s="29"/>
      <c r="AB150" s="29"/>
      <c r="AC150" s="29"/>
      <c r="AD150" s="29"/>
      <c r="AE150" s="29"/>
      <c r="AF150" s="29"/>
      <c r="AG150" s="1"/>
      <c r="AH150" s="1"/>
      <c r="AI150" s="29" t="str">
        <f t="shared" si="2"/>
        <v/>
      </c>
      <c r="AK150" s="29"/>
      <c r="AL150" s="29"/>
      <c r="AM150" s="29"/>
      <c r="AN150" s="29"/>
      <c r="AO150" s="29"/>
      <c r="AP150" s="29"/>
      <c r="AQ150" s="29"/>
      <c r="AR150" s="29"/>
      <c r="AS150" s="62"/>
      <c r="AT150" s="62"/>
      <c r="AU150" s="62"/>
      <c r="AV150" s="62"/>
      <c r="AW150" s="62"/>
      <c r="AX150" s="62"/>
      <c r="AY150" s="29"/>
      <c r="AZ150" s="29"/>
      <c r="BA150" s="29"/>
      <c r="BB150" s="29"/>
      <c r="BC150" s="28"/>
      <c r="BD150" s="28"/>
    </row>
    <row r="151" spans="1:56">
      <c r="A151" s="37" t="s">
        <v>17</v>
      </c>
      <c r="B151" s="38">
        <v>30665.043099999999</v>
      </c>
      <c r="C151" s="39">
        <v>10.5</v>
      </c>
      <c r="E151" s="29"/>
      <c r="F151" s="29"/>
      <c r="G151" s="29"/>
      <c r="H151" s="29"/>
      <c r="I151" s="29"/>
      <c r="J151" s="29"/>
      <c r="K151" s="1"/>
      <c r="L151" s="29"/>
      <c r="M151" s="29"/>
      <c r="N151" s="29"/>
      <c r="O151" s="29"/>
      <c r="P151" s="29"/>
      <c r="Q151" s="29"/>
      <c r="R151" s="29"/>
      <c r="S151" s="29"/>
      <c r="T151" s="39">
        <v>4.62</v>
      </c>
      <c r="U151" s="29"/>
      <c r="V151" s="29"/>
      <c r="W151" s="1"/>
      <c r="X151" s="29"/>
      <c r="Y151" s="29"/>
      <c r="Z151" s="29"/>
      <c r="AA151" s="29"/>
      <c r="AB151" s="29"/>
      <c r="AC151" s="29"/>
      <c r="AD151" s="29"/>
      <c r="AE151" s="29"/>
      <c r="AF151" s="29"/>
      <c r="AG151" s="1"/>
      <c r="AH151" s="1"/>
      <c r="AI151" s="29" t="str">
        <f t="shared" si="2"/>
        <v/>
      </c>
      <c r="AK151" s="29"/>
      <c r="AL151" s="29"/>
      <c r="AM151" s="29"/>
      <c r="AN151" s="29"/>
      <c r="AO151" s="29"/>
      <c r="AP151" s="29"/>
      <c r="AQ151" s="29"/>
      <c r="AR151" s="29"/>
      <c r="AS151" s="62"/>
      <c r="AT151" s="62"/>
      <c r="AU151" s="62"/>
      <c r="AV151" s="62"/>
      <c r="AW151" s="62"/>
      <c r="AX151" s="62"/>
      <c r="AY151" s="29"/>
      <c r="AZ151" s="29"/>
      <c r="BA151" s="29"/>
      <c r="BB151" s="29"/>
      <c r="BC151" s="28"/>
      <c r="BD151" s="28"/>
    </row>
    <row r="152" spans="1:56">
      <c r="A152" s="37" t="s">
        <v>17</v>
      </c>
      <c r="B152" s="38">
        <v>30756.353650000001</v>
      </c>
      <c r="C152" s="39">
        <v>10.75</v>
      </c>
      <c r="E152" s="29"/>
      <c r="F152" s="29"/>
      <c r="G152" s="29"/>
      <c r="H152" s="29"/>
      <c r="I152" s="29"/>
      <c r="J152" s="29"/>
      <c r="K152" s="1"/>
      <c r="L152" s="29"/>
      <c r="M152" s="29"/>
      <c r="N152" s="29"/>
      <c r="O152" s="29"/>
      <c r="P152" s="29"/>
      <c r="Q152" s="29"/>
      <c r="R152" s="29"/>
      <c r="S152" s="29"/>
      <c r="T152" s="39">
        <v>5.45</v>
      </c>
      <c r="U152" s="29"/>
      <c r="V152" s="29"/>
      <c r="W152" s="1"/>
      <c r="X152" s="29"/>
      <c r="Y152" s="29"/>
      <c r="Z152" s="29"/>
      <c r="AA152" s="29"/>
      <c r="AB152" s="29"/>
      <c r="AC152" s="29"/>
      <c r="AD152" s="29"/>
      <c r="AE152" s="29"/>
      <c r="AF152" s="29"/>
      <c r="AG152" s="1"/>
      <c r="AH152" s="1"/>
      <c r="AI152" s="29" t="str">
        <f t="shared" si="2"/>
        <v/>
      </c>
      <c r="AK152" s="29"/>
      <c r="AL152" s="29"/>
      <c r="AM152" s="29"/>
      <c r="AN152" s="29"/>
      <c r="AO152" s="29"/>
      <c r="AP152" s="29"/>
      <c r="AQ152" s="29"/>
      <c r="AR152" s="29"/>
      <c r="AS152" s="62"/>
      <c r="AT152" s="62"/>
      <c r="AU152" s="62"/>
      <c r="AV152" s="62"/>
      <c r="AW152" s="62"/>
      <c r="AX152" s="62"/>
      <c r="AY152" s="29"/>
      <c r="AZ152" s="29"/>
      <c r="BA152" s="29"/>
      <c r="BB152" s="29"/>
      <c r="BC152" s="28"/>
      <c r="BD152" s="28"/>
    </row>
    <row r="153" spans="1:56">
      <c r="A153" s="37" t="s">
        <v>17</v>
      </c>
      <c r="B153" s="38">
        <v>30847.664199999999</v>
      </c>
      <c r="C153" s="39">
        <v>11</v>
      </c>
      <c r="E153" s="29"/>
      <c r="F153" s="29"/>
      <c r="G153" s="29"/>
      <c r="H153" s="29"/>
      <c r="I153" s="29"/>
      <c r="J153" s="29"/>
      <c r="K153" s="1"/>
      <c r="L153" s="29"/>
      <c r="M153" s="29"/>
      <c r="N153" s="29"/>
      <c r="O153" s="29"/>
      <c r="P153" s="29"/>
      <c r="Q153" s="29"/>
      <c r="R153" s="29"/>
      <c r="S153" s="29"/>
      <c r="T153" s="39">
        <v>5.23</v>
      </c>
      <c r="U153" s="29"/>
      <c r="V153" s="29"/>
      <c r="W153" s="1"/>
      <c r="X153" s="29"/>
      <c r="Y153" s="29"/>
      <c r="Z153" s="29"/>
      <c r="AA153" s="29"/>
      <c r="AB153" s="29"/>
      <c r="AC153" s="29"/>
      <c r="AD153" s="29"/>
      <c r="AE153" s="29"/>
      <c r="AF153" s="29"/>
      <c r="AG153" s="1"/>
      <c r="AH153" s="1"/>
      <c r="AI153" s="29" t="str">
        <f t="shared" si="2"/>
        <v/>
      </c>
      <c r="AK153" s="29"/>
      <c r="AL153" s="29"/>
      <c r="AM153" s="29"/>
      <c r="AN153" s="29"/>
      <c r="AO153" s="29"/>
      <c r="AP153" s="29"/>
      <c r="AQ153" s="29"/>
      <c r="AR153" s="29"/>
      <c r="AS153" s="62"/>
      <c r="AT153" s="62"/>
      <c r="AU153" s="62"/>
      <c r="AV153" s="62"/>
      <c r="AW153" s="62"/>
      <c r="AX153" s="62"/>
      <c r="AY153" s="29"/>
      <c r="AZ153" s="29"/>
      <c r="BA153" s="29"/>
      <c r="BB153" s="29"/>
      <c r="BC153" s="28"/>
      <c r="BD153" s="28"/>
    </row>
    <row r="154" spans="1:56">
      <c r="A154" s="37" t="s">
        <v>17</v>
      </c>
      <c r="B154" s="38">
        <v>30938.974750000001</v>
      </c>
      <c r="C154" s="39">
        <v>11.25</v>
      </c>
      <c r="E154" s="29"/>
      <c r="F154" s="29"/>
      <c r="G154" s="29"/>
      <c r="H154" s="29"/>
      <c r="I154" s="29"/>
      <c r="J154" s="29"/>
      <c r="K154" s="1"/>
      <c r="L154" s="29"/>
      <c r="M154" s="29"/>
      <c r="N154" s="29"/>
      <c r="O154" s="29"/>
      <c r="P154" s="29"/>
      <c r="Q154" s="29"/>
      <c r="R154" s="29"/>
      <c r="S154" s="29"/>
      <c r="T154" s="39">
        <v>4.95</v>
      </c>
      <c r="U154" s="29"/>
      <c r="V154" s="29"/>
      <c r="W154" s="1"/>
      <c r="X154" s="29"/>
      <c r="Y154" s="29"/>
      <c r="Z154" s="29"/>
      <c r="AA154" s="29"/>
      <c r="AB154" s="29"/>
      <c r="AC154" s="29"/>
      <c r="AD154" s="29"/>
      <c r="AE154" s="29"/>
      <c r="AF154" s="29"/>
      <c r="AG154" s="1"/>
      <c r="AH154" s="1"/>
      <c r="AI154" s="29" t="str">
        <f t="shared" si="2"/>
        <v/>
      </c>
      <c r="AK154" s="29"/>
      <c r="AL154" s="29"/>
      <c r="AM154" s="29"/>
      <c r="AN154" s="29"/>
      <c r="AO154" s="29"/>
      <c r="AP154" s="29"/>
      <c r="AQ154" s="29"/>
      <c r="AR154" s="29"/>
      <c r="AS154" s="62"/>
      <c r="AT154" s="62"/>
      <c r="AU154" s="62"/>
      <c r="AV154" s="62"/>
      <c r="AW154" s="62"/>
      <c r="AX154" s="62"/>
      <c r="AY154" s="29"/>
      <c r="AZ154" s="29"/>
      <c r="BA154" s="29"/>
      <c r="BB154" s="29"/>
      <c r="BC154" s="28"/>
      <c r="BD154" s="28"/>
    </row>
    <row r="155" spans="1:56">
      <c r="A155" s="37" t="s">
        <v>17</v>
      </c>
      <c r="B155" s="38">
        <v>31030.2853</v>
      </c>
      <c r="C155" s="39">
        <v>11.5</v>
      </c>
      <c r="E155" s="29"/>
      <c r="F155" s="29"/>
      <c r="G155" s="29"/>
      <c r="H155" s="29"/>
      <c r="I155" s="29"/>
      <c r="J155" s="29"/>
      <c r="K155" s="1"/>
      <c r="L155" s="29"/>
      <c r="M155" s="29"/>
      <c r="N155" s="29"/>
      <c r="O155" s="29"/>
      <c r="P155" s="29"/>
      <c r="Q155" s="29"/>
      <c r="R155" s="29"/>
      <c r="S155" s="29"/>
      <c r="T155" s="39">
        <v>7.32</v>
      </c>
      <c r="U155" s="29"/>
      <c r="V155" s="29"/>
      <c r="W155" s="1"/>
      <c r="X155" s="29"/>
      <c r="Y155" s="29"/>
      <c r="Z155" s="29"/>
      <c r="AA155" s="29"/>
      <c r="AB155" s="29"/>
      <c r="AC155" s="29"/>
      <c r="AD155" s="29"/>
      <c r="AE155" s="29"/>
      <c r="AF155" s="29"/>
      <c r="AG155" s="1"/>
      <c r="AH155" s="1"/>
      <c r="AI155" s="29" t="str">
        <f t="shared" si="2"/>
        <v/>
      </c>
      <c r="AK155" s="29"/>
      <c r="AL155" s="29"/>
      <c r="AM155" s="29"/>
      <c r="AN155" s="29"/>
      <c r="AO155" s="29"/>
      <c r="AP155" s="29"/>
      <c r="AQ155" s="29"/>
      <c r="AR155" s="29"/>
      <c r="AS155" s="62"/>
      <c r="AT155" s="62"/>
      <c r="AU155" s="62"/>
      <c r="AV155" s="62"/>
      <c r="AW155" s="62"/>
      <c r="AX155" s="62"/>
      <c r="AY155" s="29"/>
      <c r="AZ155" s="29"/>
      <c r="BA155" s="29"/>
      <c r="BB155" s="29"/>
      <c r="BC155" s="28"/>
      <c r="BD155" s="28"/>
    </row>
    <row r="156" spans="1:56">
      <c r="A156" s="37" t="s">
        <v>17</v>
      </c>
      <c r="B156" s="38">
        <v>31121.595850000002</v>
      </c>
      <c r="C156" s="39">
        <v>11.75</v>
      </c>
      <c r="E156" s="29"/>
      <c r="F156" s="29"/>
      <c r="G156" s="29"/>
      <c r="H156" s="29"/>
      <c r="I156" s="29"/>
      <c r="J156" s="29"/>
      <c r="K156" s="1"/>
      <c r="L156" s="29"/>
      <c r="M156" s="29"/>
      <c r="N156" s="29"/>
      <c r="O156" s="29"/>
      <c r="P156" s="29"/>
      <c r="Q156" s="29"/>
      <c r="R156" s="29"/>
      <c r="S156" s="29"/>
      <c r="T156" s="39">
        <v>8.77</v>
      </c>
      <c r="U156" s="29"/>
      <c r="V156" s="29"/>
      <c r="W156" s="1"/>
      <c r="X156" s="29"/>
      <c r="Y156" s="29"/>
      <c r="Z156" s="29"/>
      <c r="AA156" s="29"/>
      <c r="AB156" s="29"/>
      <c r="AC156" s="29"/>
      <c r="AD156" s="29"/>
      <c r="AE156" s="29"/>
      <c r="AF156" s="29"/>
      <c r="AG156" s="1"/>
      <c r="AH156" s="1"/>
      <c r="AI156" s="29" t="str">
        <f t="shared" si="2"/>
        <v/>
      </c>
      <c r="AK156" s="29"/>
      <c r="AL156" s="29"/>
      <c r="AM156" s="29"/>
      <c r="AN156" s="29"/>
      <c r="AO156" s="29"/>
      <c r="AP156" s="29"/>
      <c r="AQ156" s="29"/>
      <c r="AR156" s="29"/>
      <c r="AS156" s="62"/>
      <c r="AT156" s="62"/>
      <c r="AU156" s="62"/>
      <c r="AV156" s="62"/>
      <c r="AW156" s="62"/>
      <c r="AX156" s="62"/>
      <c r="AY156" s="29"/>
      <c r="AZ156" s="29"/>
      <c r="BA156" s="29"/>
      <c r="BB156" s="29"/>
      <c r="BC156" s="28"/>
      <c r="BD156" s="28"/>
    </row>
    <row r="157" spans="1:56">
      <c r="A157" s="37" t="s">
        <v>17</v>
      </c>
      <c r="B157" s="38">
        <v>31212.9064</v>
      </c>
      <c r="C157" s="39">
        <v>12</v>
      </c>
      <c r="E157" s="29"/>
      <c r="F157" s="29"/>
      <c r="G157" s="29"/>
      <c r="H157" s="29"/>
      <c r="I157" s="29"/>
      <c r="J157" s="29"/>
      <c r="K157" s="1"/>
      <c r="L157" s="29"/>
      <c r="M157" s="29"/>
      <c r="N157" s="29"/>
      <c r="O157" s="29"/>
      <c r="P157" s="29"/>
      <c r="Q157" s="29"/>
      <c r="R157" s="29"/>
      <c r="S157" s="29"/>
      <c r="T157" s="39">
        <v>8.26</v>
      </c>
      <c r="U157" s="29"/>
      <c r="V157" s="29"/>
      <c r="W157" s="1"/>
      <c r="X157" s="29"/>
      <c r="Y157" s="29"/>
      <c r="Z157" s="29"/>
      <c r="AA157" s="29"/>
      <c r="AB157" s="29"/>
      <c r="AC157" s="29"/>
      <c r="AD157" s="29"/>
      <c r="AE157" s="29"/>
      <c r="AF157" s="29"/>
      <c r="AG157" s="1"/>
      <c r="AH157" s="1"/>
      <c r="AI157" s="29" t="str">
        <f t="shared" si="2"/>
        <v/>
      </c>
      <c r="AK157" s="29"/>
      <c r="AL157" s="29"/>
      <c r="AM157" s="29"/>
      <c r="AN157" s="29"/>
      <c r="AO157" s="29"/>
      <c r="AP157" s="29"/>
      <c r="AQ157" s="29"/>
      <c r="AR157" s="29"/>
      <c r="AS157" s="62"/>
      <c r="AT157" s="62"/>
      <c r="AU157" s="62"/>
      <c r="AV157" s="62"/>
      <c r="AW157" s="62"/>
      <c r="AX157" s="62"/>
      <c r="AY157" s="29"/>
      <c r="AZ157" s="29"/>
      <c r="BA157" s="29"/>
      <c r="BB157" s="29"/>
      <c r="BC157" s="28"/>
      <c r="BD157" s="28"/>
    </row>
    <row r="158" spans="1:56">
      <c r="A158" s="37" t="s">
        <v>17</v>
      </c>
      <c r="B158" s="38">
        <v>31304.216950000002</v>
      </c>
      <c r="C158" s="39">
        <v>12.25</v>
      </c>
      <c r="E158" s="29"/>
      <c r="F158" s="29"/>
      <c r="G158" s="29"/>
      <c r="H158" s="29"/>
      <c r="I158" s="29"/>
      <c r="J158" s="29"/>
      <c r="K158" s="1"/>
      <c r="L158" s="29"/>
      <c r="M158" s="29"/>
      <c r="N158" s="29"/>
      <c r="O158" s="29"/>
      <c r="P158" s="29"/>
      <c r="Q158" s="29"/>
      <c r="R158" s="29"/>
      <c r="S158" s="29"/>
      <c r="T158" s="39">
        <v>7.76</v>
      </c>
      <c r="U158" s="29"/>
      <c r="V158" s="29"/>
      <c r="W158" s="1"/>
      <c r="X158" s="29"/>
      <c r="Y158" s="29"/>
      <c r="Z158" s="29"/>
      <c r="AA158" s="29"/>
      <c r="AB158" s="29"/>
      <c r="AC158" s="29"/>
      <c r="AD158" s="29"/>
      <c r="AE158" s="29"/>
      <c r="AF158" s="29"/>
      <c r="AG158" s="1"/>
      <c r="AH158" s="1"/>
      <c r="AI158" s="29" t="str">
        <f t="shared" si="2"/>
        <v/>
      </c>
      <c r="AK158" s="29"/>
      <c r="AL158" s="29"/>
      <c r="AM158" s="29"/>
      <c r="AN158" s="29"/>
      <c r="AO158" s="29"/>
      <c r="AP158" s="29"/>
      <c r="AQ158" s="29"/>
      <c r="AR158" s="29"/>
      <c r="AS158" s="62"/>
      <c r="AT158" s="62"/>
      <c r="AU158" s="62"/>
      <c r="AV158" s="62"/>
      <c r="AW158" s="62"/>
      <c r="AX158" s="62"/>
      <c r="AY158" s="29"/>
      <c r="AZ158" s="29"/>
      <c r="BA158" s="29"/>
      <c r="BB158" s="29"/>
      <c r="BC158" s="28"/>
      <c r="BD158" s="28"/>
    </row>
    <row r="159" spans="1:56">
      <c r="A159" s="37" t="s">
        <v>17</v>
      </c>
      <c r="B159" s="38">
        <v>31395.5275</v>
      </c>
      <c r="C159" s="39">
        <v>12.5</v>
      </c>
      <c r="E159" s="29"/>
      <c r="F159" s="29"/>
      <c r="G159" s="29"/>
      <c r="H159" s="29"/>
      <c r="I159" s="29"/>
      <c r="J159" s="29"/>
      <c r="K159" s="1"/>
      <c r="L159" s="29"/>
      <c r="M159" s="29"/>
      <c r="N159" s="29"/>
      <c r="O159" s="29"/>
      <c r="P159" s="29"/>
      <c r="Q159" s="29"/>
      <c r="R159" s="29"/>
      <c r="S159" s="29"/>
      <c r="T159" s="39">
        <v>9.11</v>
      </c>
      <c r="U159" s="29"/>
      <c r="V159" s="29"/>
      <c r="W159" s="1"/>
      <c r="X159" s="29"/>
      <c r="Y159" s="29"/>
      <c r="Z159" s="29"/>
      <c r="AA159" s="29"/>
      <c r="AB159" s="29"/>
      <c r="AC159" s="29"/>
      <c r="AD159" s="29"/>
      <c r="AE159" s="29"/>
      <c r="AF159" s="29"/>
      <c r="AG159" s="1"/>
      <c r="AH159" s="1"/>
      <c r="AI159" s="29" t="str">
        <f t="shared" si="2"/>
        <v/>
      </c>
      <c r="AK159" s="29"/>
      <c r="AL159" s="29"/>
      <c r="AM159" s="29"/>
      <c r="AN159" s="29"/>
      <c r="AO159" s="29"/>
      <c r="AP159" s="29"/>
      <c r="AQ159" s="29"/>
      <c r="AR159" s="29"/>
      <c r="AS159" s="62"/>
      <c r="AT159" s="62"/>
      <c r="AU159" s="62"/>
      <c r="AV159" s="62"/>
      <c r="AW159" s="62"/>
      <c r="AX159" s="62"/>
      <c r="AY159" s="29"/>
      <c r="AZ159" s="29"/>
      <c r="BA159" s="29"/>
      <c r="BB159" s="29"/>
      <c r="BC159" s="28"/>
      <c r="BD159" s="28"/>
    </row>
    <row r="160" spans="1:56">
      <c r="A160" s="37" t="s">
        <v>17</v>
      </c>
      <c r="B160" s="38">
        <v>31486.838049999998</v>
      </c>
      <c r="C160" s="39">
        <v>12.75</v>
      </c>
      <c r="E160" s="29"/>
      <c r="F160" s="29"/>
      <c r="G160" s="29"/>
      <c r="H160" s="29"/>
      <c r="I160" s="29"/>
      <c r="J160" s="29"/>
      <c r="K160" s="1"/>
      <c r="L160" s="29"/>
      <c r="M160" s="29"/>
      <c r="N160" s="29"/>
      <c r="O160" s="29"/>
      <c r="P160" s="29"/>
      <c r="Q160" s="29"/>
      <c r="R160" s="29"/>
      <c r="S160" s="29"/>
      <c r="T160" s="39">
        <v>11.44</v>
      </c>
      <c r="U160" s="29"/>
      <c r="V160" s="29"/>
      <c r="W160" s="1"/>
      <c r="X160" s="29"/>
      <c r="Y160" s="29"/>
      <c r="Z160" s="29"/>
      <c r="AA160" s="29"/>
      <c r="AB160" s="29"/>
      <c r="AC160" s="29"/>
      <c r="AD160" s="29"/>
      <c r="AE160" s="29"/>
      <c r="AF160" s="29"/>
      <c r="AG160" s="1"/>
      <c r="AH160" s="1"/>
      <c r="AI160" s="29" t="str">
        <f t="shared" si="2"/>
        <v/>
      </c>
      <c r="AK160" s="29"/>
      <c r="AL160" s="29"/>
      <c r="AM160" s="29"/>
      <c r="AN160" s="29"/>
      <c r="AO160" s="29"/>
      <c r="AP160" s="29"/>
      <c r="AQ160" s="29"/>
      <c r="AR160" s="29"/>
      <c r="AS160" s="62"/>
      <c r="AT160" s="62"/>
      <c r="AU160" s="62"/>
      <c r="AV160" s="62"/>
      <c r="AW160" s="62"/>
      <c r="AX160" s="62"/>
      <c r="AY160" s="29"/>
      <c r="AZ160" s="29"/>
      <c r="BA160" s="29"/>
      <c r="BB160" s="29"/>
      <c r="BC160" s="28"/>
      <c r="BD160" s="28"/>
    </row>
    <row r="161" spans="1:56">
      <c r="A161" s="37" t="s">
        <v>17</v>
      </c>
      <c r="B161" s="38">
        <v>31578.1486</v>
      </c>
      <c r="C161" s="39">
        <v>13</v>
      </c>
      <c r="E161" s="29"/>
      <c r="F161" s="29"/>
      <c r="G161" s="29"/>
      <c r="H161" s="29"/>
      <c r="I161" s="29"/>
      <c r="J161" s="29"/>
      <c r="K161" s="1"/>
      <c r="L161" s="29"/>
      <c r="M161" s="29"/>
      <c r="N161" s="29"/>
      <c r="O161" s="29"/>
      <c r="P161" s="29"/>
      <c r="Q161" s="29"/>
      <c r="R161" s="29"/>
      <c r="S161" s="29"/>
      <c r="T161" s="39">
        <v>10.19</v>
      </c>
      <c r="U161" s="29"/>
      <c r="V161" s="29"/>
      <c r="W161" s="1"/>
      <c r="X161" s="29"/>
      <c r="Y161" s="29"/>
      <c r="Z161" s="29"/>
      <c r="AA161" s="29"/>
      <c r="AB161" s="29"/>
      <c r="AC161" s="29"/>
      <c r="AD161" s="29"/>
      <c r="AE161" s="29"/>
      <c r="AF161" s="29"/>
      <c r="AG161" s="1"/>
      <c r="AH161" s="1"/>
      <c r="AI161" s="29" t="str">
        <f t="shared" si="2"/>
        <v/>
      </c>
      <c r="AK161" s="29"/>
      <c r="AL161" s="29"/>
      <c r="AM161" s="29"/>
      <c r="AN161" s="29"/>
      <c r="AO161" s="29"/>
      <c r="AP161" s="29"/>
      <c r="AQ161" s="29"/>
      <c r="AR161" s="29"/>
      <c r="AS161" s="62"/>
      <c r="AT161" s="62"/>
      <c r="AU161" s="62"/>
      <c r="AV161" s="62"/>
      <c r="AW161" s="62"/>
      <c r="AX161" s="62"/>
      <c r="AY161" s="29"/>
      <c r="AZ161" s="29"/>
      <c r="BA161" s="29"/>
      <c r="BB161" s="29"/>
      <c r="BC161" s="28"/>
      <c r="BD161" s="28"/>
    </row>
    <row r="162" spans="1:56">
      <c r="A162" s="37" t="s">
        <v>17</v>
      </c>
      <c r="B162" s="38">
        <v>31669.459150000002</v>
      </c>
      <c r="C162" s="39">
        <v>13.25</v>
      </c>
      <c r="E162" s="29"/>
      <c r="F162" s="29"/>
      <c r="G162" s="29"/>
      <c r="H162" s="29"/>
      <c r="I162" s="29"/>
      <c r="J162" s="29"/>
      <c r="K162" s="1"/>
      <c r="L162" s="29"/>
      <c r="M162" s="29"/>
      <c r="N162" s="29"/>
      <c r="O162" s="29"/>
      <c r="P162" s="29"/>
      <c r="Q162" s="29"/>
      <c r="R162" s="29"/>
      <c r="S162" s="29"/>
      <c r="T162" s="39">
        <v>9.3800000000000008</v>
      </c>
      <c r="U162" s="29"/>
      <c r="V162" s="29"/>
      <c r="W162" s="1"/>
      <c r="X162" s="29"/>
      <c r="Y162" s="29"/>
      <c r="Z162" s="29"/>
      <c r="AA162" s="29"/>
      <c r="AB162" s="29"/>
      <c r="AC162" s="29"/>
      <c r="AD162" s="29"/>
      <c r="AE162" s="29"/>
      <c r="AF162" s="29"/>
      <c r="AG162" s="1"/>
      <c r="AH162" s="1"/>
      <c r="AI162" s="29" t="str">
        <f t="shared" si="2"/>
        <v/>
      </c>
      <c r="AK162" s="29"/>
      <c r="AL162" s="29"/>
      <c r="AM162" s="29"/>
      <c r="AN162" s="29"/>
      <c r="AO162" s="29"/>
      <c r="AP162" s="29"/>
      <c r="AQ162" s="29"/>
      <c r="AR162" s="29"/>
      <c r="AS162" s="62"/>
      <c r="AT162" s="62"/>
      <c r="AU162" s="62"/>
      <c r="AV162" s="62"/>
      <c r="AW162" s="62"/>
      <c r="AX162" s="62"/>
      <c r="AY162" s="29"/>
      <c r="AZ162" s="29"/>
      <c r="BA162" s="29"/>
      <c r="BB162" s="29"/>
      <c r="BC162" s="28"/>
      <c r="BD162" s="28"/>
    </row>
    <row r="163" spans="1:56">
      <c r="A163" s="37" t="s">
        <v>17</v>
      </c>
      <c r="B163" s="38">
        <v>31760.769700000001</v>
      </c>
      <c r="C163" s="39">
        <v>13.5</v>
      </c>
      <c r="E163" s="29"/>
      <c r="F163" s="29"/>
      <c r="G163" s="29"/>
      <c r="H163" s="29"/>
      <c r="I163" s="29"/>
      <c r="J163" s="29"/>
      <c r="K163" s="1"/>
      <c r="L163" s="29"/>
      <c r="M163" s="29"/>
      <c r="N163" s="29"/>
      <c r="O163" s="29"/>
      <c r="P163" s="29"/>
      <c r="Q163" s="29"/>
      <c r="R163" s="29"/>
      <c r="S163" s="29"/>
      <c r="T163" s="39">
        <v>10.78</v>
      </c>
      <c r="U163" s="29"/>
      <c r="V163" s="29"/>
      <c r="W163" s="1"/>
      <c r="X163" s="29"/>
      <c r="Y163" s="29"/>
      <c r="Z163" s="29"/>
      <c r="AA163" s="29"/>
      <c r="AB163" s="29"/>
      <c r="AC163" s="29"/>
      <c r="AD163" s="29"/>
      <c r="AE163" s="29"/>
      <c r="AF163" s="29"/>
      <c r="AG163" s="1"/>
      <c r="AH163" s="1"/>
      <c r="AI163" s="29" t="str">
        <f t="shared" si="2"/>
        <v/>
      </c>
      <c r="AK163" s="29"/>
      <c r="AL163" s="29"/>
      <c r="AM163" s="29"/>
      <c r="AN163" s="29"/>
      <c r="AO163" s="29"/>
      <c r="AP163" s="29"/>
      <c r="AQ163" s="29"/>
      <c r="AR163" s="29"/>
      <c r="AS163" s="62"/>
      <c r="AT163" s="62"/>
      <c r="AU163" s="62"/>
      <c r="AV163" s="62"/>
      <c r="AW163" s="62"/>
      <c r="AX163" s="62"/>
      <c r="AY163" s="29"/>
      <c r="AZ163" s="29"/>
      <c r="BA163" s="29"/>
      <c r="BB163" s="29"/>
      <c r="BC163" s="28"/>
      <c r="BD163" s="28"/>
    </row>
    <row r="164" spans="1:56">
      <c r="A164" s="37" t="s">
        <v>17</v>
      </c>
      <c r="B164" s="38">
        <v>31852.080249999999</v>
      </c>
      <c r="C164" s="39">
        <v>13.75</v>
      </c>
      <c r="E164" s="29"/>
      <c r="F164" s="29"/>
      <c r="G164" s="29"/>
      <c r="H164" s="29"/>
      <c r="I164" s="29"/>
      <c r="J164" s="29"/>
      <c r="K164" s="1"/>
      <c r="L164" s="29"/>
      <c r="M164" s="29"/>
      <c r="N164" s="29"/>
      <c r="O164" s="29"/>
      <c r="P164" s="29"/>
      <c r="Q164" s="29"/>
      <c r="R164" s="29"/>
      <c r="S164" s="29"/>
      <c r="T164" s="39">
        <v>12.74</v>
      </c>
      <c r="U164" s="29"/>
      <c r="V164" s="29"/>
      <c r="W164" s="1"/>
      <c r="X164" s="29"/>
      <c r="Y164" s="29"/>
      <c r="Z164" s="29"/>
      <c r="AA164" s="29"/>
      <c r="AB164" s="29"/>
      <c r="AC164" s="29"/>
      <c r="AD164" s="29"/>
      <c r="AE164" s="29"/>
      <c r="AF164" s="29"/>
      <c r="AG164" s="1"/>
      <c r="AH164" s="1"/>
      <c r="AI164" s="29" t="str">
        <f t="shared" si="2"/>
        <v/>
      </c>
      <c r="AK164" s="29"/>
      <c r="AL164" s="29"/>
      <c r="AM164" s="29"/>
      <c r="AN164" s="29"/>
      <c r="AO164" s="29"/>
      <c r="AP164" s="29"/>
      <c r="AQ164" s="29"/>
      <c r="AR164" s="29"/>
      <c r="AS164" s="62"/>
      <c r="AT164" s="62"/>
      <c r="AU164" s="62"/>
      <c r="AV164" s="62"/>
      <c r="AW164" s="62"/>
      <c r="AX164" s="62"/>
      <c r="AY164" s="29"/>
      <c r="AZ164" s="29"/>
      <c r="BA164" s="29"/>
      <c r="BB164" s="29"/>
      <c r="BC164" s="28"/>
      <c r="BD164" s="28"/>
    </row>
    <row r="165" spans="1:56">
      <c r="A165" s="37" t="s">
        <v>17</v>
      </c>
      <c r="B165" s="38">
        <v>31943.390800000001</v>
      </c>
      <c r="C165" s="39">
        <v>14</v>
      </c>
      <c r="E165" s="29"/>
      <c r="F165" s="29"/>
      <c r="G165" s="29"/>
      <c r="H165" s="29"/>
      <c r="I165" s="29"/>
      <c r="J165" s="29"/>
      <c r="K165" s="1"/>
      <c r="L165" s="29"/>
      <c r="M165" s="29"/>
      <c r="N165" s="29"/>
      <c r="O165" s="29"/>
      <c r="P165" s="29"/>
      <c r="Q165" s="29"/>
      <c r="R165" s="29"/>
      <c r="S165" s="29"/>
      <c r="T165" s="39">
        <v>11.12</v>
      </c>
      <c r="U165" s="29"/>
      <c r="V165" s="29"/>
      <c r="W165" s="1"/>
      <c r="X165" s="29"/>
      <c r="Y165" s="29"/>
      <c r="Z165" s="29"/>
      <c r="AA165" s="29"/>
      <c r="AB165" s="29"/>
      <c r="AC165" s="29"/>
      <c r="AD165" s="29"/>
      <c r="AE165" s="29"/>
      <c r="AF165" s="29"/>
      <c r="AG165" s="1"/>
      <c r="AH165" s="1"/>
      <c r="AI165" s="29" t="str">
        <f t="shared" si="2"/>
        <v/>
      </c>
      <c r="AK165" s="29"/>
      <c r="AL165" s="29"/>
      <c r="AM165" s="29"/>
      <c r="AN165" s="29"/>
      <c r="AO165" s="29"/>
      <c r="AP165" s="29"/>
      <c r="AQ165" s="29"/>
      <c r="AR165" s="29"/>
      <c r="AS165" s="62"/>
      <c r="AT165" s="62"/>
      <c r="AU165" s="62"/>
      <c r="AV165" s="62"/>
      <c r="AW165" s="62"/>
      <c r="AX165" s="62"/>
      <c r="AY165" s="29"/>
      <c r="AZ165" s="29"/>
      <c r="BA165" s="29"/>
      <c r="BB165" s="29"/>
      <c r="BC165" s="28"/>
      <c r="BD165" s="28"/>
    </row>
    <row r="166" spans="1:56">
      <c r="A166" s="37" t="s">
        <v>17</v>
      </c>
      <c r="B166" s="38">
        <v>32034.701349999999</v>
      </c>
      <c r="C166" s="39">
        <v>14.25</v>
      </c>
      <c r="E166" s="29"/>
      <c r="F166" s="29"/>
      <c r="G166" s="29"/>
      <c r="H166" s="29"/>
      <c r="I166" s="29"/>
      <c r="J166" s="29"/>
      <c r="K166" s="1"/>
      <c r="L166" s="29"/>
      <c r="M166" s="29"/>
      <c r="N166" s="29"/>
      <c r="O166" s="29"/>
      <c r="P166" s="29"/>
      <c r="Q166" s="29"/>
      <c r="R166" s="29"/>
      <c r="S166" s="29"/>
      <c r="T166" s="39">
        <v>10.01</v>
      </c>
      <c r="U166" s="29"/>
      <c r="V166" s="29"/>
      <c r="W166" s="1"/>
      <c r="X166" s="29"/>
      <c r="Y166" s="29"/>
      <c r="Z166" s="29"/>
      <c r="AA166" s="29"/>
      <c r="AB166" s="29"/>
      <c r="AC166" s="29"/>
      <c r="AD166" s="29"/>
      <c r="AE166" s="29"/>
      <c r="AF166" s="29"/>
      <c r="AG166" s="1"/>
      <c r="AH166" s="1"/>
      <c r="AI166" s="29" t="str">
        <f t="shared" si="2"/>
        <v/>
      </c>
      <c r="AK166" s="29"/>
      <c r="AL166" s="29"/>
      <c r="AM166" s="29"/>
      <c r="AN166" s="29"/>
      <c r="AO166" s="29"/>
      <c r="AP166" s="29"/>
      <c r="AQ166" s="29"/>
      <c r="AR166" s="29"/>
      <c r="AS166" s="62"/>
      <c r="AT166" s="62"/>
      <c r="AU166" s="62"/>
      <c r="AV166" s="62"/>
      <c r="AW166" s="62"/>
      <c r="AX166" s="62"/>
      <c r="AY166" s="29"/>
      <c r="AZ166" s="29"/>
      <c r="BA166" s="29"/>
      <c r="BB166" s="29"/>
      <c r="BC166" s="28"/>
      <c r="BD166" s="28"/>
    </row>
    <row r="167" spans="1:56">
      <c r="A167" s="37" t="s">
        <v>17</v>
      </c>
      <c r="B167" s="38">
        <v>32126.011900000001</v>
      </c>
      <c r="C167" s="39">
        <v>14.5</v>
      </c>
      <c r="E167" s="29"/>
      <c r="F167" s="29"/>
      <c r="G167" s="29"/>
      <c r="H167" s="29"/>
      <c r="I167" s="29"/>
      <c r="J167" s="29"/>
      <c r="K167" s="1"/>
      <c r="L167" s="29"/>
      <c r="M167" s="29"/>
      <c r="N167" s="29"/>
      <c r="O167" s="29"/>
      <c r="P167" s="29"/>
      <c r="Q167" s="29"/>
      <c r="R167" s="29"/>
      <c r="S167" s="29"/>
      <c r="T167" s="39">
        <v>12.57</v>
      </c>
      <c r="U167" s="29"/>
      <c r="V167" s="29"/>
      <c r="W167" s="1"/>
      <c r="X167" s="29"/>
      <c r="Y167" s="29"/>
      <c r="Z167" s="29"/>
      <c r="AA167" s="29"/>
      <c r="AB167" s="29"/>
      <c r="AC167" s="29"/>
      <c r="AD167" s="29"/>
      <c r="AE167" s="29"/>
      <c r="AF167" s="29"/>
      <c r="AG167" s="1"/>
      <c r="AH167" s="1"/>
      <c r="AI167" s="29" t="str">
        <f t="shared" si="2"/>
        <v/>
      </c>
      <c r="AK167" s="29"/>
      <c r="AL167" s="29"/>
      <c r="AM167" s="29"/>
      <c r="AN167" s="29"/>
      <c r="AO167" s="29"/>
      <c r="AP167" s="29"/>
      <c r="AQ167" s="29"/>
      <c r="AR167" s="29"/>
      <c r="AS167" s="62"/>
      <c r="AT167" s="62"/>
      <c r="AU167" s="62"/>
      <c r="AV167" s="62"/>
      <c r="AW167" s="62"/>
      <c r="AX167" s="62"/>
      <c r="AY167" s="29"/>
      <c r="AZ167" s="29"/>
      <c r="BA167" s="29"/>
      <c r="BB167" s="29"/>
      <c r="BC167" s="28"/>
      <c r="BD167" s="28"/>
    </row>
    <row r="168" spans="1:56">
      <c r="A168" s="37" t="s">
        <v>17</v>
      </c>
      <c r="B168" s="38">
        <v>32217.32245</v>
      </c>
      <c r="C168" s="39">
        <v>14.75</v>
      </c>
      <c r="E168" s="29"/>
      <c r="F168" s="29"/>
      <c r="G168" s="29"/>
      <c r="H168" s="29"/>
      <c r="I168" s="29"/>
      <c r="J168" s="29"/>
      <c r="K168" s="1"/>
      <c r="L168" s="29"/>
      <c r="M168" s="29"/>
      <c r="N168" s="29"/>
      <c r="O168" s="29"/>
      <c r="P168" s="29"/>
      <c r="Q168" s="29"/>
      <c r="R168" s="29"/>
      <c r="S168" s="29"/>
      <c r="T168" s="39">
        <v>12.57</v>
      </c>
      <c r="U168" s="29"/>
      <c r="V168" s="29"/>
      <c r="W168" s="1"/>
      <c r="X168" s="29"/>
      <c r="Y168" s="29"/>
      <c r="Z168" s="29"/>
      <c r="AA168" s="29"/>
      <c r="AB168" s="29"/>
      <c r="AC168" s="29"/>
      <c r="AD168" s="29"/>
      <c r="AE168" s="29"/>
      <c r="AF168" s="29"/>
      <c r="AG168" s="1"/>
      <c r="AH168" s="1"/>
      <c r="AI168" s="29" t="str">
        <f t="shared" si="2"/>
        <v/>
      </c>
      <c r="AK168" s="29"/>
      <c r="AL168" s="29"/>
      <c r="AM168" s="29"/>
      <c r="AN168" s="29"/>
      <c r="AO168" s="29"/>
      <c r="AP168" s="29"/>
      <c r="AQ168" s="29"/>
      <c r="AR168" s="29"/>
      <c r="AS168" s="62"/>
      <c r="AT168" s="62"/>
      <c r="AU168" s="62"/>
      <c r="AV168" s="62"/>
      <c r="AW168" s="62"/>
      <c r="AX168" s="62"/>
      <c r="AY168" s="29"/>
      <c r="AZ168" s="29"/>
      <c r="BA168" s="29"/>
      <c r="BB168" s="29"/>
      <c r="BC168" s="28"/>
      <c r="BD168" s="28"/>
    </row>
    <row r="169" spans="1:56">
      <c r="A169" s="37" t="s">
        <v>17</v>
      </c>
      <c r="B169" s="38">
        <v>32308.633000000002</v>
      </c>
      <c r="C169" s="39">
        <v>15</v>
      </c>
      <c r="E169" s="29"/>
      <c r="F169" s="29"/>
      <c r="G169" s="29"/>
      <c r="H169" s="29"/>
      <c r="I169" s="29"/>
      <c r="J169" s="29"/>
      <c r="K169" s="1"/>
      <c r="L169" s="29"/>
      <c r="M169" s="29"/>
      <c r="N169" s="29"/>
      <c r="O169" s="29"/>
      <c r="P169" s="29"/>
      <c r="Q169" s="29"/>
      <c r="R169" s="29"/>
      <c r="S169" s="29"/>
      <c r="T169" s="39">
        <v>9.4499999999999993</v>
      </c>
      <c r="U169" s="29"/>
      <c r="V169" s="29"/>
      <c r="W169" s="1"/>
      <c r="X169" s="29"/>
      <c r="Y169" s="29"/>
      <c r="Z169" s="29"/>
      <c r="AA169" s="29"/>
      <c r="AB169" s="29"/>
      <c r="AC169" s="29"/>
      <c r="AD169" s="29"/>
      <c r="AE169" s="29"/>
      <c r="AF169" s="29"/>
      <c r="AG169" s="1"/>
      <c r="AH169" s="1"/>
      <c r="AI169" s="29" t="str">
        <f t="shared" si="2"/>
        <v/>
      </c>
      <c r="AK169" s="29"/>
      <c r="AL169" s="29"/>
      <c r="AM169" s="29"/>
      <c r="AN169" s="29"/>
      <c r="AO169" s="29"/>
      <c r="AP169" s="29"/>
      <c r="AQ169" s="29"/>
      <c r="AR169" s="29"/>
      <c r="AS169" s="62"/>
      <c r="AT169" s="62"/>
      <c r="AU169" s="62"/>
      <c r="AV169" s="62"/>
      <c r="AW169" s="62"/>
      <c r="AX169" s="62"/>
      <c r="AY169" s="29"/>
      <c r="AZ169" s="29"/>
      <c r="BA169" s="29"/>
      <c r="BB169" s="29"/>
      <c r="BC169" s="28"/>
      <c r="BD169" s="28"/>
    </row>
    <row r="170" spans="1:56">
      <c r="A170" s="37" t="s">
        <v>17</v>
      </c>
      <c r="B170" s="38">
        <v>32399.94355</v>
      </c>
      <c r="C170" s="39">
        <v>15.25</v>
      </c>
      <c r="E170" s="29"/>
      <c r="F170" s="29"/>
      <c r="G170" s="29"/>
      <c r="H170" s="29"/>
      <c r="I170" s="29"/>
      <c r="J170" s="29"/>
      <c r="K170" s="1"/>
      <c r="L170" s="29"/>
      <c r="M170" s="29"/>
      <c r="N170" s="29"/>
      <c r="O170" s="29"/>
      <c r="P170" s="29"/>
      <c r="Q170" s="29"/>
      <c r="R170" s="29"/>
      <c r="S170" s="29"/>
      <c r="T170" s="39">
        <v>5.31</v>
      </c>
      <c r="U170" s="29"/>
      <c r="V170" s="29"/>
      <c r="W170" s="1"/>
      <c r="X170" s="29"/>
      <c r="Y170" s="29"/>
      <c r="Z170" s="29"/>
      <c r="AA170" s="29"/>
      <c r="AB170" s="29"/>
      <c r="AC170" s="29"/>
      <c r="AD170" s="29"/>
      <c r="AE170" s="29"/>
      <c r="AF170" s="29"/>
      <c r="AG170" s="1"/>
      <c r="AH170" s="1"/>
      <c r="AI170" s="29" t="str">
        <f t="shared" si="2"/>
        <v/>
      </c>
      <c r="AK170" s="29"/>
      <c r="AL170" s="29"/>
      <c r="AM170" s="29"/>
      <c r="AN170" s="29"/>
      <c r="AO170" s="29"/>
      <c r="AP170" s="29"/>
      <c r="AQ170" s="29"/>
      <c r="AR170" s="29"/>
      <c r="AS170" s="62"/>
      <c r="AT170" s="62"/>
      <c r="AU170" s="62"/>
      <c r="AV170" s="62"/>
      <c r="AW170" s="62"/>
      <c r="AX170" s="62"/>
      <c r="AY170" s="29"/>
      <c r="AZ170" s="29"/>
      <c r="BA170" s="29"/>
      <c r="BB170" s="29"/>
      <c r="BC170" s="28"/>
      <c r="BD170" s="28"/>
    </row>
    <row r="171" spans="1:56">
      <c r="A171" s="37" t="s">
        <v>17</v>
      </c>
      <c r="B171" s="38">
        <v>32491.254099999998</v>
      </c>
      <c r="C171" s="39">
        <v>15.5</v>
      </c>
      <c r="E171" s="29"/>
      <c r="F171" s="29"/>
      <c r="G171" s="29"/>
      <c r="H171" s="29"/>
      <c r="I171" s="29"/>
      <c r="J171" s="29"/>
      <c r="K171" s="1"/>
      <c r="L171" s="29"/>
      <c r="M171" s="29"/>
      <c r="N171" s="29"/>
      <c r="O171" s="29"/>
      <c r="P171" s="29"/>
      <c r="Q171" s="29"/>
      <c r="R171" s="29"/>
      <c r="S171" s="29"/>
      <c r="T171" s="39"/>
      <c r="U171" s="29"/>
      <c r="V171" s="29"/>
      <c r="W171" s="1"/>
      <c r="X171" s="29"/>
      <c r="Y171" s="29"/>
      <c r="Z171" s="29"/>
      <c r="AA171" s="29"/>
      <c r="AB171" s="29"/>
      <c r="AC171" s="29"/>
      <c r="AD171" s="29"/>
      <c r="AE171" s="29"/>
      <c r="AF171" s="29"/>
      <c r="AG171" s="1"/>
      <c r="AH171" s="1"/>
      <c r="AI171" s="29" t="str">
        <f t="shared" si="2"/>
        <v/>
      </c>
      <c r="AK171" s="29"/>
      <c r="AL171" s="29"/>
      <c r="AM171" s="29"/>
      <c r="AN171" s="29"/>
      <c r="AO171" s="29"/>
      <c r="AP171" s="29"/>
      <c r="AQ171" s="29"/>
      <c r="AR171" s="29"/>
      <c r="AS171" s="62"/>
      <c r="AT171" s="62"/>
      <c r="AU171" s="62"/>
      <c r="AV171" s="62"/>
      <c r="AW171" s="62"/>
      <c r="AX171" s="62"/>
      <c r="AY171" s="29"/>
      <c r="AZ171" s="29"/>
      <c r="BA171" s="29"/>
      <c r="BB171" s="29"/>
      <c r="BC171" s="28"/>
      <c r="BD171" s="28"/>
    </row>
    <row r="172" spans="1:56">
      <c r="A172" s="37" t="s">
        <v>17</v>
      </c>
      <c r="B172" s="38">
        <v>32582.56465</v>
      </c>
      <c r="C172" s="39">
        <v>15.75</v>
      </c>
      <c r="E172" s="29"/>
      <c r="F172" s="29"/>
      <c r="G172" s="29"/>
      <c r="H172" s="29"/>
      <c r="I172" s="29"/>
      <c r="J172" s="29"/>
      <c r="K172" s="1"/>
      <c r="L172" s="29"/>
      <c r="M172" s="29"/>
      <c r="N172" s="29"/>
      <c r="O172" s="29"/>
      <c r="P172" s="29"/>
      <c r="Q172" s="29"/>
      <c r="R172" s="29"/>
      <c r="S172" s="29"/>
      <c r="T172" s="39">
        <v>7.25</v>
      </c>
      <c r="U172" s="29"/>
      <c r="V172" s="29"/>
      <c r="W172" s="1"/>
      <c r="X172" s="29"/>
      <c r="Y172" s="29"/>
      <c r="Z172" s="29"/>
      <c r="AA172" s="29"/>
      <c r="AB172" s="29"/>
      <c r="AC172" s="29"/>
      <c r="AD172" s="29"/>
      <c r="AE172" s="29"/>
      <c r="AF172" s="29"/>
      <c r="AG172" s="1"/>
      <c r="AH172" s="1"/>
      <c r="AI172" s="29" t="str">
        <f t="shared" si="2"/>
        <v/>
      </c>
      <c r="AK172" s="29"/>
      <c r="AL172" s="29"/>
      <c r="AM172" s="29"/>
      <c r="AN172" s="29"/>
      <c r="AO172" s="29"/>
      <c r="AP172" s="29"/>
      <c r="AQ172" s="29"/>
      <c r="AR172" s="29"/>
      <c r="AS172" s="62"/>
      <c r="AT172" s="62"/>
      <c r="AU172" s="62"/>
      <c r="AV172" s="62"/>
      <c r="AW172" s="62"/>
      <c r="AX172" s="62"/>
      <c r="AY172" s="29"/>
      <c r="AZ172" s="29"/>
      <c r="BA172" s="29"/>
      <c r="BB172" s="29"/>
      <c r="BC172" s="28"/>
      <c r="BD172" s="28"/>
    </row>
    <row r="173" spans="1:56">
      <c r="A173" s="37" t="s">
        <v>17</v>
      </c>
      <c r="B173" s="38">
        <v>32673.875200000002</v>
      </c>
      <c r="C173" s="39">
        <v>16</v>
      </c>
      <c r="E173" s="29"/>
      <c r="F173" s="29"/>
      <c r="G173" s="29"/>
      <c r="H173" s="29"/>
      <c r="I173" s="29"/>
      <c r="J173" s="29"/>
      <c r="K173" s="1"/>
      <c r="L173" s="29"/>
      <c r="M173" s="29"/>
      <c r="N173" s="29"/>
      <c r="O173" s="29"/>
      <c r="P173" s="29"/>
      <c r="Q173" s="29"/>
      <c r="R173" s="29"/>
      <c r="S173" s="29"/>
      <c r="T173" s="39">
        <v>7.22</v>
      </c>
      <c r="U173" s="29"/>
      <c r="V173" s="29"/>
      <c r="W173" s="1"/>
      <c r="X173" s="29"/>
      <c r="Y173" s="29"/>
      <c r="Z173" s="29"/>
      <c r="AA173" s="29"/>
      <c r="AB173" s="29"/>
      <c r="AC173" s="29"/>
      <c r="AD173" s="29"/>
      <c r="AE173" s="29"/>
      <c r="AF173" s="29"/>
      <c r="AG173" s="1"/>
      <c r="AH173" s="1"/>
      <c r="AI173" s="29" t="str">
        <f t="shared" si="2"/>
        <v/>
      </c>
      <c r="AK173" s="29"/>
      <c r="AL173" s="29"/>
      <c r="AM173" s="29"/>
      <c r="AN173" s="29"/>
      <c r="AO173" s="29"/>
      <c r="AP173" s="29"/>
      <c r="AQ173" s="29"/>
      <c r="AR173" s="29"/>
      <c r="AS173" s="62"/>
      <c r="AT173" s="62"/>
      <c r="AU173" s="62"/>
      <c r="AV173" s="62"/>
      <c r="AW173" s="62"/>
      <c r="AX173" s="62"/>
      <c r="AY173" s="29"/>
      <c r="AZ173" s="29"/>
      <c r="BA173" s="29"/>
      <c r="BB173" s="29"/>
      <c r="BC173" s="28"/>
      <c r="BD173" s="28"/>
    </row>
    <row r="174" spans="1:56">
      <c r="A174" s="37" t="s">
        <v>17</v>
      </c>
      <c r="B174" s="38">
        <v>32765.185750000001</v>
      </c>
      <c r="C174" s="39">
        <v>16.25</v>
      </c>
      <c r="E174" s="29"/>
      <c r="F174" s="29"/>
      <c r="G174" s="29"/>
      <c r="H174" s="29"/>
      <c r="I174" s="29"/>
      <c r="J174" s="29"/>
      <c r="K174" s="1"/>
      <c r="L174" s="29"/>
      <c r="M174" s="29"/>
      <c r="N174" s="29"/>
      <c r="O174" s="29"/>
      <c r="P174" s="29"/>
      <c r="Q174" s="29"/>
      <c r="R174" s="29"/>
      <c r="S174" s="29"/>
      <c r="T174" s="39">
        <v>7.07</v>
      </c>
      <c r="U174" s="29"/>
      <c r="V174" s="29"/>
      <c r="W174" s="1"/>
      <c r="X174" s="29"/>
      <c r="Y174" s="29"/>
      <c r="Z174" s="29"/>
      <c r="AA174" s="29"/>
      <c r="AB174" s="29"/>
      <c r="AC174" s="29"/>
      <c r="AD174" s="29"/>
      <c r="AE174" s="29"/>
      <c r="AF174" s="29"/>
      <c r="AG174" s="1"/>
      <c r="AH174" s="1"/>
      <c r="AI174" s="29" t="str">
        <f t="shared" si="2"/>
        <v/>
      </c>
      <c r="AK174" s="29"/>
      <c r="AL174" s="29"/>
      <c r="AM174" s="29"/>
      <c r="AN174" s="29"/>
      <c r="AO174" s="29"/>
      <c r="AP174" s="29"/>
      <c r="AQ174" s="29"/>
      <c r="AR174" s="29"/>
      <c r="AS174" s="62"/>
      <c r="AT174" s="62"/>
      <c r="AU174" s="62"/>
      <c r="AV174" s="62"/>
      <c r="AW174" s="62"/>
      <c r="AX174" s="62"/>
      <c r="AY174" s="29"/>
      <c r="AZ174" s="29"/>
      <c r="BA174" s="29"/>
      <c r="BB174" s="29"/>
      <c r="BC174" s="28"/>
      <c r="BD174" s="28"/>
    </row>
    <row r="175" spans="1:56">
      <c r="A175" s="37" t="s">
        <v>17</v>
      </c>
      <c r="B175" s="38">
        <v>32856.496299999999</v>
      </c>
      <c r="C175" s="39">
        <v>16.5</v>
      </c>
      <c r="E175" s="29"/>
      <c r="F175" s="29"/>
      <c r="G175" s="29"/>
      <c r="H175" s="29"/>
      <c r="I175" s="29"/>
      <c r="J175" s="29"/>
      <c r="K175" s="1"/>
      <c r="L175" s="29"/>
      <c r="M175" s="29"/>
      <c r="N175" s="29"/>
      <c r="O175" s="29"/>
      <c r="P175" s="29"/>
      <c r="Q175" s="29"/>
      <c r="R175" s="29"/>
      <c r="S175" s="29"/>
      <c r="T175" s="39">
        <v>7.46</v>
      </c>
      <c r="U175" s="29"/>
      <c r="V175" s="29"/>
      <c r="W175" s="1"/>
      <c r="X175" s="29"/>
      <c r="Y175" s="29"/>
      <c r="Z175" s="29"/>
      <c r="AA175" s="29"/>
      <c r="AB175" s="29"/>
      <c r="AC175" s="29"/>
      <c r="AD175" s="29"/>
      <c r="AE175" s="29"/>
      <c r="AF175" s="29"/>
      <c r="AG175" s="1"/>
      <c r="AH175" s="1"/>
      <c r="AI175" s="29" t="str">
        <f t="shared" si="2"/>
        <v/>
      </c>
      <c r="AK175" s="29"/>
      <c r="AL175" s="29"/>
      <c r="AM175" s="29"/>
      <c r="AN175" s="29"/>
      <c r="AO175" s="29"/>
      <c r="AP175" s="29"/>
      <c r="AQ175" s="29"/>
      <c r="AR175" s="29"/>
      <c r="AS175" s="62"/>
      <c r="AT175" s="62"/>
      <c r="AU175" s="62"/>
      <c r="AV175" s="62"/>
      <c r="AW175" s="62"/>
      <c r="AX175" s="62"/>
      <c r="AY175" s="29"/>
      <c r="AZ175" s="29"/>
      <c r="BA175" s="29"/>
      <c r="BB175" s="29"/>
      <c r="BC175" s="28"/>
      <c r="BD175" s="28"/>
    </row>
    <row r="176" spans="1:56">
      <c r="A176" s="37" t="s">
        <v>17</v>
      </c>
      <c r="B176" s="38">
        <v>32947.806850000001</v>
      </c>
      <c r="C176" s="39">
        <v>16.75</v>
      </c>
      <c r="E176" s="29"/>
      <c r="F176" s="29"/>
      <c r="G176" s="29"/>
      <c r="H176" s="29"/>
      <c r="I176" s="29"/>
      <c r="J176" s="29"/>
      <c r="K176" s="1"/>
      <c r="L176" s="29"/>
      <c r="M176" s="29"/>
      <c r="N176" s="29"/>
      <c r="O176" s="29"/>
      <c r="P176" s="29"/>
      <c r="Q176" s="29"/>
      <c r="R176" s="29"/>
      <c r="S176" s="29"/>
      <c r="T176" s="39">
        <v>7.06</v>
      </c>
      <c r="U176" s="29"/>
      <c r="V176" s="29"/>
      <c r="W176" s="1"/>
      <c r="X176" s="29"/>
      <c r="Y176" s="29"/>
      <c r="Z176" s="29"/>
      <c r="AA176" s="29"/>
      <c r="AB176" s="29"/>
      <c r="AC176" s="29"/>
      <c r="AD176" s="29"/>
      <c r="AE176" s="29"/>
      <c r="AF176" s="29"/>
      <c r="AG176" s="1"/>
      <c r="AH176" s="1"/>
      <c r="AI176" s="29" t="str">
        <f t="shared" si="2"/>
        <v/>
      </c>
      <c r="AK176" s="29"/>
      <c r="AL176" s="29"/>
      <c r="AM176" s="29"/>
      <c r="AN176" s="29"/>
      <c r="AO176" s="29"/>
      <c r="AP176" s="29"/>
      <c r="AQ176" s="29"/>
      <c r="AR176" s="29"/>
      <c r="AS176" s="62"/>
      <c r="AT176" s="62"/>
      <c r="AU176" s="62"/>
      <c r="AV176" s="62"/>
      <c r="AW176" s="62"/>
      <c r="AX176" s="62"/>
      <c r="AY176" s="29"/>
      <c r="AZ176" s="29"/>
      <c r="BA176" s="29"/>
      <c r="BB176" s="29"/>
      <c r="BC176" s="28"/>
      <c r="BD176" s="28"/>
    </row>
    <row r="177" spans="1:56">
      <c r="A177" s="37" t="s">
        <v>17</v>
      </c>
      <c r="B177" s="38">
        <v>33039.117400000003</v>
      </c>
      <c r="C177" s="39">
        <v>17</v>
      </c>
      <c r="E177" s="29"/>
      <c r="F177" s="29"/>
      <c r="G177" s="29"/>
      <c r="H177" s="29"/>
      <c r="I177" s="29"/>
      <c r="J177" s="29"/>
      <c r="K177" s="1"/>
      <c r="L177" s="29"/>
      <c r="M177" s="29"/>
      <c r="N177" s="29"/>
      <c r="O177" s="29"/>
      <c r="P177" s="29"/>
      <c r="Q177" s="29"/>
      <c r="R177" s="29"/>
      <c r="S177" s="29"/>
      <c r="T177" s="39">
        <v>7.55</v>
      </c>
      <c r="U177" s="29"/>
      <c r="V177" s="29"/>
      <c r="W177" s="1"/>
      <c r="X177" s="29"/>
      <c r="Y177" s="29"/>
      <c r="Z177" s="29"/>
      <c r="AA177" s="29"/>
      <c r="AB177" s="29"/>
      <c r="AC177" s="29"/>
      <c r="AD177" s="29"/>
      <c r="AE177" s="29"/>
      <c r="AF177" s="29"/>
      <c r="AG177" s="1"/>
      <c r="AH177" s="1"/>
      <c r="AI177" s="29" t="str">
        <f t="shared" si="2"/>
        <v/>
      </c>
      <c r="AK177" s="29"/>
      <c r="AL177" s="29"/>
      <c r="AM177" s="29"/>
      <c r="AN177" s="29"/>
      <c r="AO177" s="29"/>
      <c r="AP177" s="29"/>
      <c r="AQ177" s="29"/>
      <c r="AR177" s="29"/>
      <c r="AS177" s="62"/>
      <c r="AT177" s="62"/>
      <c r="AU177" s="62"/>
      <c r="AV177" s="62"/>
      <c r="AW177" s="62"/>
      <c r="AX177" s="62"/>
      <c r="AY177" s="29"/>
      <c r="AZ177" s="29"/>
      <c r="BA177" s="29"/>
      <c r="BB177" s="29"/>
      <c r="BC177" s="28"/>
      <c r="BD177" s="28"/>
    </row>
    <row r="178" spans="1:56">
      <c r="A178" s="37" t="s">
        <v>17</v>
      </c>
      <c r="B178" s="38">
        <v>33130.427949999998</v>
      </c>
      <c r="C178" s="39">
        <v>17.25</v>
      </c>
      <c r="E178" s="29"/>
      <c r="F178" s="29"/>
      <c r="G178" s="29"/>
      <c r="H178" s="29"/>
      <c r="I178" s="29"/>
      <c r="J178" s="29"/>
      <c r="K178" s="1"/>
      <c r="L178" s="29"/>
      <c r="M178" s="29"/>
      <c r="N178" s="29"/>
      <c r="O178" s="29"/>
      <c r="P178" s="29"/>
      <c r="Q178" s="29"/>
      <c r="R178" s="29"/>
      <c r="S178" s="29"/>
      <c r="T178" s="39">
        <v>7.02</v>
      </c>
      <c r="U178" s="29"/>
      <c r="V178" s="29"/>
      <c r="W178" s="1"/>
      <c r="X178" s="29"/>
      <c r="Y178" s="29"/>
      <c r="Z178" s="29"/>
      <c r="AA178" s="29"/>
      <c r="AB178" s="29"/>
      <c r="AC178" s="29"/>
      <c r="AD178" s="29"/>
      <c r="AE178" s="29"/>
      <c r="AF178" s="29"/>
      <c r="AG178" s="1"/>
      <c r="AH178" s="1"/>
      <c r="AI178" s="29" t="str">
        <f t="shared" si="2"/>
        <v/>
      </c>
      <c r="AK178" s="29"/>
      <c r="AL178" s="29"/>
      <c r="AM178" s="29"/>
      <c r="AN178" s="29"/>
      <c r="AO178" s="29"/>
      <c r="AP178" s="29"/>
      <c r="AQ178" s="29"/>
      <c r="AR178" s="29"/>
      <c r="AS178" s="62"/>
      <c r="AT178" s="62"/>
      <c r="AU178" s="62"/>
      <c r="AV178" s="62"/>
      <c r="AW178" s="62"/>
      <c r="AX178" s="62"/>
      <c r="AY178" s="29"/>
      <c r="AZ178" s="29"/>
      <c r="BA178" s="29"/>
      <c r="BB178" s="29"/>
      <c r="BC178" s="28"/>
      <c r="BD178" s="28"/>
    </row>
    <row r="179" spans="1:56">
      <c r="A179" s="37" t="s">
        <v>17</v>
      </c>
      <c r="B179" s="38">
        <v>33221.738499999999</v>
      </c>
      <c r="C179" s="39">
        <v>17.5</v>
      </c>
      <c r="E179" s="29"/>
      <c r="F179" s="29"/>
      <c r="G179" s="29"/>
      <c r="H179" s="29"/>
      <c r="I179" s="29"/>
      <c r="J179" s="29"/>
      <c r="K179" s="1"/>
      <c r="L179" s="29"/>
      <c r="M179" s="29"/>
      <c r="N179" s="29"/>
      <c r="O179" s="29"/>
      <c r="P179" s="29"/>
      <c r="Q179" s="29"/>
      <c r="R179" s="29"/>
      <c r="S179" s="29"/>
      <c r="T179" s="39">
        <v>7.84</v>
      </c>
      <c r="U179" s="29"/>
      <c r="V179" s="29"/>
      <c r="W179" s="1"/>
      <c r="X179" s="29"/>
      <c r="Y179" s="29"/>
      <c r="Z179" s="29"/>
      <c r="AA179" s="29"/>
      <c r="AB179" s="29"/>
      <c r="AC179" s="29"/>
      <c r="AD179" s="29"/>
      <c r="AE179" s="29"/>
      <c r="AF179" s="29"/>
      <c r="AG179" s="1"/>
      <c r="AH179" s="1"/>
      <c r="AI179" s="29" t="str">
        <f t="shared" si="2"/>
        <v/>
      </c>
      <c r="AK179" s="29"/>
      <c r="AL179" s="29"/>
      <c r="AM179" s="29"/>
      <c r="AN179" s="29"/>
      <c r="AO179" s="29"/>
      <c r="AP179" s="29"/>
      <c r="AQ179" s="29"/>
      <c r="AR179" s="29"/>
      <c r="AS179" s="62"/>
      <c r="AT179" s="62"/>
      <c r="AU179" s="62"/>
      <c r="AV179" s="62"/>
      <c r="AW179" s="62"/>
      <c r="AX179" s="62"/>
      <c r="AY179" s="29"/>
      <c r="AZ179" s="29"/>
      <c r="BA179" s="29"/>
      <c r="BB179" s="29"/>
      <c r="BC179" s="28"/>
      <c r="BD179" s="28"/>
    </row>
    <row r="180" spans="1:56">
      <c r="A180" s="37" t="s">
        <v>17</v>
      </c>
      <c r="B180" s="38">
        <v>33313.049050000001</v>
      </c>
      <c r="C180" s="39">
        <v>17.75</v>
      </c>
      <c r="E180" s="29"/>
      <c r="F180" s="29"/>
      <c r="G180" s="29"/>
      <c r="H180" s="29"/>
      <c r="I180" s="29"/>
      <c r="J180" s="29"/>
      <c r="K180" s="1"/>
      <c r="L180" s="29"/>
      <c r="M180" s="29"/>
      <c r="N180" s="29"/>
      <c r="O180" s="29"/>
      <c r="P180" s="29"/>
      <c r="Q180" s="29"/>
      <c r="R180" s="29"/>
      <c r="S180" s="29"/>
      <c r="T180" s="39">
        <v>8.18</v>
      </c>
      <c r="U180" s="29"/>
      <c r="V180" s="29"/>
      <c r="W180" s="1"/>
      <c r="X180" s="29"/>
      <c r="Y180" s="29"/>
      <c r="Z180" s="29"/>
      <c r="AA180" s="29"/>
      <c r="AB180" s="29"/>
      <c r="AC180" s="29"/>
      <c r="AD180" s="29"/>
      <c r="AE180" s="29"/>
      <c r="AF180" s="29"/>
      <c r="AG180" s="1"/>
      <c r="AH180" s="1"/>
      <c r="AI180" s="29" t="str">
        <f t="shared" si="2"/>
        <v/>
      </c>
      <c r="AK180" s="29"/>
      <c r="AL180" s="29"/>
      <c r="AM180" s="29"/>
      <c r="AN180" s="29"/>
      <c r="AO180" s="29"/>
      <c r="AP180" s="29"/>
      <c r="AQ180" s="29"/>
      <c r="AR180" s="29"/>
      <c r="AS180" s="62"/>
      <c r="AT180" s="62"/>
      <c r="AU180" s="62"/>
      <c r="AV180" s="62"/>
      <c r="AW180" s="62"/>
      <c r="AX180" s="62"/>
      <c r="AY180" s="29"/>
      <c r="AZ180" s="29"/>
      <c r="BA180" s="29"/>
      <c r="BB180" s="29"/>
      <c r="BC180" s="28"/>
      <c r="BD180" s="28"/>
    </row>
    <row r="181" spans="1:56">
      <c r="A181" s="37" t="s">
        <v>17</v>
      </c>
      <c r="B181" s="38">
        <v>33404.359600000003</v>
      </c>
      <c r="C181" s="39">
        <v>18</v>
      </c>
      <c r="E181" s="29"/>
      <c r="F181" s="29"/>
      <c r="G181" s="29"/>
      <c r="H181" s="29"/>
      <c r="I181" s="29"/>
      <c r="J181" s="29"/>
      <c r="K181" s="1"/>
      <c r="L181" s="29"/>
      <c r="M181" s="29"/>
      <c r="N181" s="29"/>
      <c r="O181" s="29"/>
      <c r="P181" s="29"/>
      <c r="Q181" s="29"/>
      <c r="R181" s="29"/>
      <c r="S181" s="29"/>
      <c r="T181" s="39">
        <v>7.13</v>
      </c>
      <c r="U181" s="29"/>
      <c r="V181" s="29"/>
      <c r="W181" s="1"/>
      <c r="X181" s="29"/>
      <c r="Y181" s="29"/>
      <c r="Z181" s="29"/>
      <c r="AA181" s="29"/>
      <c r="AB181" s="29"/>
      <c r="AC181" s="29"/>
      <c r="AD181" s="29"/>
      <c r="AE181" s="29"/>
      <c r="AF181" s="29"/>
      <c r="AG181" s="1"/>
      <c r="AH181" s="1"/>
      <c r="AI181" s="29" t="str">
        <f t="shared" si="2"/>
        <v/>
      </c>
      <c r="AK181" s="29"/>
      <c r="AL181" s="29"/>
      <c r="AM181" s="29"/>
      <c r="AN181" s="29"/>
      <c r="AO181" s="29"/>
      <c r="AP181" s="29"/>
      <c r="AQ181" s="29"/>
      <c r="AR181" s="29"/>
      <c r="AS181" s="62"/>
      <c r="AT181" s="62"/>
      <c r="AU181" s="62"/>
      <c r="AV181" s="62"/>
      <c r="AW181" s="62"/>
      <c r="AX181" s="62"/>
      <c r="AY181" s="29"/>
      <c r="AZ181" s="29"/>
      <c r="BA181" s="29"/>
      <c r="BB181" s="29"/>
      <c r="BC181" s="28"/>
      <c r="BD181" s="28"/>
    </row>
    <row r="182" spans="1:56">
      <c r="A182" s="37" t="s">
        <v>17</v>
      </c>
      <c r="B182" s="38">
        <v>33495.670149999998</v>
      </c>
      <c r="C182" s="39">
        <v>18.25</v>
      </c>
      <c r="E182" s="29"/>
      <c r="F182" s="29"/>
      <c r="G182" s="29"/>
      <c r="H182" s="29"/>
      <c r="I182" s="29"/>
      <c r="J182" s="29"/>
      <c r="K182" s="1"/>
      <c r="L182" s="29"/>
      <c r="M182" s="29"/>
      <c r="N182" s="29"/>
      <c r="O182" s="29"/>
      <c r="P182" s="29"/>
      <c r="Q182" s="29"/>
      <c r="R182" s="29"/>
      <c r="S182" s="29"/>
      <c r="T182" s="39">
        <v>6.67</v>
      </c>
      <c r="U182" s="29"/>
      <c r="V182" s="29"/>
      <c r="W182" s="1"/>
      <c r="X182" s="29"/>
      <c r="Y182" s="29"/>
      <c r="Z182" s="29"/>
      <c r="AA182" s="29"/>
      <c r="AB182" s="29"/>
      <c r="AC182" s="29"/>
      <c r="AD182" s="29"/>
      <c r="AE182" s="29"/>
      <c r="AF182" s="29"/>
      <c r="AG182" s="1"/>
      <c r="AH182" s="1"/>
      <c r="AI182" s="29" t="str">
        <f t="shared" si="2"/>
        <v/>
      </c>
      <c r="AK182" s="29"/>
      <c r="AL182" s="29"/>
      <c r="AM182" s="29"/>
      <c r="AN182" s="29"/>
      <c r="AO182" s="29"/>
      <c r="AP182" s="29"/>
      <c r="AQ182" s="29"/>
      <c r="AR182" s="29"/>
      <c r="AS182" s="62"/>
      <c r="AT182" s="62"/>
      <c r="AU182" s="62"/>
      <c r="AV182" s="62"/>
      <c r="AW182" s="62"/>
      <c r="AX182" s="62"/>
      <c r="AY182" s="29"/>
      <c r="AZ182" s="29"/>
      <c r="BA182" s="29"/>
      <c r="BB182" s="29"/>
      <c r="BC182" s="28"/>
      <c r="BD182" s="28"/>
    </row>
    <row r="183" spans="1:56">
      <c r="A183" s="37" t="s">
        <v>17</v>
      </c>
      <c r="B183" s="38">
        <v>33586.9807</v>
      </c>
      <c r="C183" s="39">
        <v>18.5</v>
      </c>
      <c r="E183" s="29"/>
      <c r="F183" s="29"/>
      <c r="G183" s="29"/>
      <c r="H183" s="29"/>
      <c r="I183" s="29"/>
      <c r="J183" s="29"/>
      <c r="K183" s="1"/>
      <c r="L183" s="29"/>
      <c r="M183" s="29"/>
      <c r="N183" s="29"/>
      <c r="O183" s="29"/>
      <c r="P183" s="29"/>
      <c r="Q183" s="29"/>
      <c r="R183" s="29"/>
      <c r="S183" s="29"/>
      <c r="T183" s="39"/>
      <c r="U183" s="29"/>
      <c r="V183" s="29"/>
      <c r="W183" s="1"/>
      <c r="X183" s="29"/>
      <c r="Y183" s="29"/>
      <c r="Z183" s="29"/>
      <c r="AA183" s="29"/>
      <c r="AB183" s="29"/>
      <c r="AC183" s="29"/>
      <c r="AD183" s="29"/>
      <c r="AE183" s="29"/>
      <c r="AF183" s="29"/>
      <c r="AG183" s="1"/>
      <c r="AH183" s="1"/>
      <c r="AI183" s="29" t="str">
        <f t="shared" si="2"/>
        <v/>
      </c>
      <c r="AK183" s="29"/>
      <c r="AL183" s="29"/>
      <c r="AM183" s="29"/>
      <c r="AN183" s="29"/>
      <c r="AO183" s="29"/>
      <c r="AP183" s="29"/>
      <c r="AQ183" s="29"/>
      <c r="AR183" s="29"/>
      <c r="AS183" s="62"/>
      <c r="AT183" s="62"/>
      <c r="AU183" s="62"/>
      <c r="AV183" s="62"/>
      <c r="AW183" s="62"/>
      <c r="AX183" s="62"/>
      <c r="AY183" s="29"/>
      <c r="AZ183" s="29"/>
      <c r="BA183" s="29"/>
      <c r="BB183" s="29"/>
      <c r="BC183" s="28"/>
      <c r="BD183" s="28"/>
    </row>
    <row r="184" spans="1:56">
      <c r="A184" s="37" t="s">
        <v>17</v>
      </c>
      <c r="B184" s="38">
        <v>33678.291250000002</v>
      </c>
      <c r="C184" s="39">
        <v>18.75</v>
      </c>
      <c r="E184" s="29"/>
      <c r="F184" s="29"/>
      <c r="G184" s="29"/>
      <c r="H184" s="29"/>
      <c r="I184" s="29"/>
      <c r="J184" s="29"/>
      <c r="K184" s="1"/>
      <c r="L184" s="29"/>
      <c r="M184" s="29"/>
      <c r="N184" s="29"/>
      <c r="O184" s="29"/>
      <c r="P184" s="29"/>
      <c r="Q184" s="29"/>
      <c r="R184" s="29"/>
      <c r="S184" s="29"/>
      <c r="T184" s="39">
        <v>7.46</v>
      </c>
      <c r="U184" s="29"/>
      <c r="V184" s="29"/>
      <c r="W184" s="1"/>
      <c r="X184" s="29"/>
      <c r="Y184" s="29"/>
      <c r="Z184" s="29"/>
      <c r="AA184" s="29"/>
      <c r="AB184" s="29"/>
      <c r="AC184" s="29"/>
      <c r="AD184" s="29"/>
      <c r="AE184" s="29"/>
      <c r="AF184" s="29"/>
      <c r="AG184" s="1"/>
      <c r="AH184" s="1"/>
      <c r="AI184" s="29" t="str">
        <f t="shared" si="2"/>
        <v/>
      </c>
      <c r="AK184" s="29"/>
      <c r="AL184" s="29"/>
      <c r="AM184" s="29"/>
      <c r="AN184" s="29"/>
      <c r="AO184" s="29"/>
      <c r="AP184" s="29"/>
      <c r="AQ184" s="29"/>
      <c r="AR184" s="29"/>
      <c r="AS184" s="62"/>
      <c r="AT184" s="62"/>
      <c r="AU184" s="62"/>
      <c r="AV184" s="62"/>
      <c r="AW184" s="62"/>
      <c r="AX184" s="62"/>
      <c r="AY184" s="29"/>
      <c r="AZ184" s="29"/>
      <c r="BA184" s="29"/>
      <c r="BB184" s="29"/>
      <c r="BC184" s="28"/>
      <c r="BD184" s="28"/>
    </row>
    <row r="185" spans="1:56">
      <c r="A185" s="37" t="s">
        <v>17</v>
      </c>
      <c r="B185" s="38">
        <v>33769.601800000004</v>
      </c>
      <c r="C185" s="39">
        <v>19</v>
      </c>
      <c r="E185" s="29"/>
      <c r="F185" s="29"/>
      <c r="G185" s="29"/>
      <c r="H185" s="29"/>
      <c r="I185" s="29"/>
      <c r="J185" s="29"/>
      <c r="K185" s="1"/>
      <c r="L185" s="29"/>
      <c r="M185" s="29"/>
      <c r="N185" s="29"/>
      <c r="O185" s="29"/>
      <c r="P185" s="29"/>
      <c r="Q185" s="29"/>
      <c r="R185" s="29"/>
      <c r="S185" s="29"/>
      <c r="T185" s="39">
        <v>7.36</v>
      </c>
      <c r="U185" s="29"/>
      <c r="V185" s="29"/>
      <c r="W185" s="1"/>
      <c r="X185" s="29"/>
      <c r="Y185" s="29"/>
      <c r="Z185" s="29"/>
      <c r="AA185" s="29"/>
      <c r="AB185" s="29"/>
      <c r="AC185" s="29"/>
      <c r="AD185" s="29"/>
      <c r="AE185" s="29"/>
      <c r="AF185" s="29"/>
      <c r="AG185" s="1"/>
      <c r="AH185" s="1"/>
      <c r="AI185" s="29" t="str">
        <f t="shared" si="2"/>
        <v/>
      </c>
      <c r="AK185" s="29"/>
      <c r="AL185" s="29"/>
      <c r="AM185" s="29"/>
      <c r="AN185" s="29"/>
      <c r="AO185" s="29"/>
      <c r="AP185" s="29"/>
      <c r="AQ185" s="29"/>
      <c r="AR185" s="29"/>
      <c r="AS185" s="62"/>
      <c r="AT185" s="62"/>
      <c r="AU185" s="62"/>
      <c r="AV185" s="62"/>
      <c r="AW185" s="62"/>
      <c r="AX185" s="62"/>
      <c r="AY185" s="29"/>
      <c r="AZ185" s="29"/>
      <c r="BA185" s="29"/>
      <c r="BB185" s="29"/>
      <c r="BC185" s="28"/>
      <c r="BD185" s="28"/>
    </row>
    <row r="186" spans="1:56">
      <c r="A186" s="37" t="s">
        <v>17</v>
      </c>
      <c r="B186" s="38">
        <v>34134.843999999997</v>
      </c>
      <c r="C186" s="39">
        <v>20</v>
      </c>
      <c r="E186" s="29"/>
      <c r="F186" s="29"/>
      <c r="G186" s="29"/>
      <c r="H186" s="29"/>
      <c r="I186" s="29"/>
      <c r="J186" s="29"/>
      <c r="K186" s="1"/>
      <c r="L186" s="29"/>
      <c r="M186" s="29"/>
      <c r="N186" s="29"/>
      <c r="O186" s="29"/>
      <c r="P186" s="29"/>
      <c r="Q186" s="29"/>
      <c r="R186" s="29"/>
      <c r="S186" s="29"/>
      <c r="T186" s="39">
        <v>4.5999999999999996</v>
      </c>
      <c r="U186" s="29"/>
      <c r="V186" s="29"/>
      <c r="W186" s="1"/>
      <c r="X186" s="29"/>
      <c r="Y186" s="29"/>
      <c r="Z186" s="29"/>
      <c r="AA186" s="29"/>
      <c r="AB186" s="29"/>
      <c r="AC186" s="29"/>
      <c r="AD186" s="29"/>
      <c r="AE186" s="29"/>
      <c r="AF186" s="29"/>
      <c r="AG186" s="1"/>
      <c r="AH186" s="1"/>
      <c r="AI186" s="29" t="str">
        <f t="shared" si="2"/>
        <v/>
      </c>
      <c r="AK186" s="29"/>
      <c r="AL186" s="29"/>
      <c r="AM186" s="29"/>
      <c r="AN186" s="29"/>
      <c r="AO186" s="29"/>
      <c r="AP186" s="29"/>
      <c r="AQ186" s="29"/>
      <c r="AR186" s="29"/>
      <c r="AS186" s="62"/>
      <c r="AT186" s="62"/>
      <c r="AU186" s="62"/>
      <c r="AV186" s="62"/>
      <c r="AW186" s="62"/>
      <c r="AX186" s="62"/>
      <c r="AY186" s="29"/>
      <c r="AZ186" s="29"/>
      <c r="BA186" s="29"/>
      <c r="BB186" s="29"/>
      <c r="BC186" s="28"/>
      <c r="BD186" s="28"/>
    </row>
    <row r="187" spans="1:56">
      <c r="A187" s="37" t="s">
        <v>18</v>
      </c>
      <c r="B187" s="38">
        <v>30573.732550000001</v>
      </c>
      <c r="C187" s="39">
        <v>10.25</v>
      </c>
      <c r="E187" s="29"/>
      <c r="F187" s="29"/>
      <c r="G187" s="29"/>
      <c r="H187" s="29"/>
      <c r="I187" s="29"/>
      <c r="J187" s="29"/>
      <c r="K187" s="1"/>
      <c r="L187" s="29"/>
      <c r="M187" s="29"/>
      <c r="N187" s="29"/>
      <c r="O187" s="29"/>
      <c r="P187" s="29"/>
      <c r="Q187" s="29"/>
      <c r="R187" s="29"/>
      <c r="S187" s="29"/>
      <c r="T187" s="39">
        <v>3.0629625000000003</v>
      </c>
      <c r="U187" s="29"/>
      <c r="V187" s="29"/>
      <c r="W187" s="1"/>
      <c r="X187" s="29"/>
      <c r="Y187" s="29"/>
      <c r="Z187" s="29"/>
      <c r="AA187" s="29"/>
      <c r="AB187" s="29"/>
      <c r="AC187" s="29"/>
      <c r="AD187" s="29"/>
      <c r="AE187" s="29"/>
      <c r="AF187" s="29"/>
      <c r="AG187" s="1"/>
      <c r="AH187" s="1"/>
      <c r="AI187" s="29" t="str">
        <f t="shared" si="2"/>
        <v/>
      </c>
      <c r="AK187" s="29"/>
      <c r="AL187" s="29"/>
      <c r="AM187" s="29"/>
      <c r="AN187" s="29"/>
      <c r="AO187" s="29"/>
      <c r="AP187" s="29"/>
      <c r="AQ187" s="29"/>
      <c r="AR187" s="29"/>
      <c r="AS187" s="62"/>
      <c r="AT187" s="62"/>
      <c r="AU187" s="62"/>
      <c r="AV187" s="62"/>
      <c r="AW187" s="62"/>
      <c r="AX187" s="62"/>
      <c r="AY187" s="29"/>
      <c r="AZ187" s="29"/>
      <c r="BA187" s="29"/>
      <c r="BB187" s="29"/>
      <c r="BC187" s="28"/>
      <c r="BD187" s="28"/>
    </row>
    <row r="188" spans="1:56">
      <c r="A188" s="37" t="s">
        <v>18</v>
      </c>
      <c r="B188" s="38">
        <v>30665.043099999999</v>
      </c>
      <c r="C188" s="39">
        <v>10.5</v>
      </c>
      <c r="E188" s="29"/>
      <c r="F188" s="29"/>
      <c r="G188" s="29"/>
      <c r="H188" s="29"/>
      <c r="I188" s="29"/>
      <c r="J188" s="29"/>
      <c r="K188" s="1"/>
      <c r="L188" s="29"/>
      <c r="M188" s="29"/>
      <c r="N188" s="29"/>
      <c r="O188" s="29"/>
      <c r="P188" s="29"/>
      <c r="Q188" s="29"/>
      <c r="R188" s="29"/>
      <c r="S188" s="29"/>
      <c r="T188" s="39">
        <v>4.7593724999999996</v>
      </c>
      <c r="U188" s="29"/>
      <c r="V188" s="29"/>
      <c r="W188" s="1"/>
      <c r="X188" s="29"/>
      <c r="Y188" s="29"/>
      <c r="Z188" s="29"/>
      <c r="AA188" s="29"/>
      <c r="AB188" s="29"/>
      <c r="AC188" s="29"/>
      <c r="AD188" s="29"/>
      <c r="AE188" s="29"/>
      <c r="AF188" s="29"/>
      <c r="AG188" s="1"/>
      <c r="AH188" s="1"/>
      <c r="AI188" s="29" t="str">
        <f t="shared" si="2"/>
        <v/>
      </c>
      <c r="AK188" s="29"/>
      <c r="AL188" s="29"/>
      <c r="AM188" s="29"/>
      <c r="AN188" s="29"/>
      <c r="AO188" s="29"/>
      <c r="AP188" s="29"/>
      <c r="AQ188" s="29"/>
      <c r="AR188" s="29"/>
      <c r="AS188" s="62"/>
      <c r="AT188" s="62"/>
      <c r="AU188" s="62"/>
      <c r="AV188" s="62"/>
      <c r="AW188" s="62"/>
      <c r="AX188" s="62"/>
      <c r="AY188" s="29"/>
      <c r="AZ188" s="29"/>
      <c r="BA188" s="29"/>
      <c r="BB188" s="29"/>
      <c r="BC188" s="28"/>
      <c r="BD188" s="28"/>
    </row>
    <row r="189" spans="1:56">
      <c r="A189" s="37" t="s">
        <v>18</v>
      </c>
      <c r="B189" s="38">
        <v>30756.353650000001</v>
      </c>
      <c r="C189" s="39">
        <v>10.75</v>
      </c>
      <c r="E189" s="29"/>
      <c r="F189" s="29"/>
      <c r="G189" s="29"/>
      <c r="H189" s="29"/>
      <c r="I189" s="29"/>
      <c r="J189" s="29"/>
      <c r="K189" s="1"/>
      <c r="L189" s="29"/>
      <c r="M189" s="29"/>
      <c r="N189" s="29"/>
      <c r="O189" s="29"/>
      <c r="P189" s="29"/>
      <c r="Q189" s="29"/>
      <c r="R189" s="29"/>
      <c r="S189" s="29"/>
      <c r="T189" s="39">
        <v>6.110217500000001</v>
      </c>
      <c r="U189" s="29"/>
      <c r="V189" s="29"/>
      <c r="W189" s="1"/>
      <c r="X189" s="29"/>
      <c r="Y189" s="29"/>
      <c r="Z189" s="29"/>
      <c r="AA189" s="29"/>
      <c r="AB189" s="29"/>
      <c r="AC189" s="29"/>
      <c r="AD189" s="29"/>
      <c r="AE189" s="29"/>
      <c r="AF189" s="29"/>
      <c r="AG189" s="1"/>
      <c r="AH189" s="1"/>
      <c r="AI189" s="29" t="str">
        <f t="shared" si="2"/>
        <v/>
      </c>
      <c r="AK189" s="29"/>
      <c r="AL189" s="29"/>
      <c r="AM189" s="29"/>
      <c r="AN189" s="29"/>
      <c r="AO189" s="29"/>
      <c r="AP189" s="29"/>
      <c r="AQ189" s="29"/>
      <c r="AR189" s="29"/>
      <c r="AS189" s="62"/>
      <c r="AT189" s="62"/>
      <c r="AU189" s="62"/>
      <c r="AV189" s="62"/>
      <c r="AW189" s="62"/>
      <c r="AX189" s="62"/>
      <c r="AY189" s="29"/>
      <c r="AZ189" s="29"/>
      <c r="BA189" s="29"/>
      <c r="BB189" s="29"/>
      <c r="BC189" s="28"/>
      <c r="BD189" s="28"/>
    </row>
    <row r="190" spans="1:56">
      <c r="A190" s="37" t="s">
        <v>18</v>
      </c>
      <c r="B190" s="38">
        <v>30847.664199999999</v>
      </c>
      <c r="C190" s="39">
        <v>11</v>
      </c>
      <c r="E190" s="29"/>
      <c r="F190" s="29"/>
      <c r="G190" s="29"/>
      <c r="H190" s="29"/>
      <c r="I190" s="29"/>
      <c r="J190" s="29"/>
      <c r="K190" s="1"/>
      <c r="L190" s="29"/>
      <c r="M190" s="29"/>
      <c r="N190" s="29"/>
      <c r="O190" s="29"/>
      <c r="P190" s="29"/>
      <c r="Q190" s="29"/>
      <c r="R190" s="29"/>
      <c r="S190" s="29"/>
      <c r="T190" s="39">
        <v>5.4976250000000002</v>
      </c>
      <c r="U190" s="29"/>
      <c r="V190" s="29"/>
      <c r="W190" s="1"/>
      <c r="X190" s="29"/>
      <c r="Y190" s="29"/>
      <c r="Z190" s="29"/>
      <c r="AA190" s="29"/>
      <c r="AB190" s="29"/>
      <c r="AC190" s="29"/>
      <c r="AD190" s="29"/>
      <c r="AE190" s="29"/>
      <c r="AF190" s="29"/>
      <c r="AG190" s="1"/>
      <c r="AH190" s="1"/>
      <c r="AI190" s="29" t="str">
        <f t="shared" si="2"/>
        <v/>
      </c>
      <c r="AK190" s="29"/>
      <c r="AL190" s="29"/>
      <c r="AM190" s="29"/>
      <c r="AN190" s="29"/>
      <c r="AO190" s="29"/>
      <c r="AP190" s="29"/>
      <c r="AQ190" s="29"/>
      <c r="AR190" s="29"/>
      <c r="AS190" s="62"/>
      <c r="AT190" s="62"/>
      <c r="AU190" s="62"/>
      <c r="AV190" s="62"/>
      <c r="AW190" s="62"/>
      <c r="AX190" s="62"/>
      <c r="AY190" s="29"/>
      <c r="AZ190" s="29"/>
      <c r="BA190" s="29"/>
      <c r="BB190" s="29"/>
      <c r="BC190" s="28"/>
      <c r="BD190" s="28"/>
    </row>
    <row r="191" spans="1:56">
      <c r="A191" s="37" t="s">
        <v>18</v>
      </c>
      <c r="B191" s="38">
        <v>30938.974750000001</v>
      </c>
      <c r="C191" s="39">
        <v>11.25</v>
      </c>
      <c r="E191" s="29"/>
      <c r="F191" s="29"/>
      <c r="G191" s="29"/>
      <c r="H191" s="29"/>
      <c r="I191" s="29"/>
      <c r="J191" s="29"/>
      <c r="K191" s="1"/>
      <c r="L191" s="29"/>
      <c r="M191" s="29"/>
      <c r="N191" s="29"/>
      <c r="O191" s="29"/>
      <c r="P191" s="29"/>
      <c r="Q191" s="29"/>
      <c r="R191" s="29"/>
      <c r="S191" s="29"/>
      <c r="T191" s="39">
        <v>5.2148900000000005</v>
      </c>
      <c r="U191" s="29"/>
      <c r="V191" s="29"/>
      <c r="W191" s="1"/>
      <c r="X191" s="29"/>
      <c r="Y191" s="29"/>
      <c r="Z191" s="29"/>
      <c r="AA191" s="29"/>
      <c r="AB191" s="29"/>
      <c r="AC191" s="29"/>
      <c r="AD191" s="29"/>
      <c r="AE191" s="29"/>
      <c r="AF191" s="29"/>
      <c r="AG191" s="1"/>
      <c r="AH191" s="1"/>
      <c r="AI191" s="29" t="str">
        <f t="shared" si="2"/>
        <v/>
      </c>
      <c r="AK191" s="29"/>
      <c r="AL191" s="29"/>
      <c r="AM191" s="29"/>
      <c r="AN191" s="29"/>
      <c r="AO191" s="29"/>
      <c r="AP191" s="29"/>
      <c r="AQ191" s="29"/>
      <c r="AR191" s="29"/>
      <c r="AS191" s="62"/>
      <c r="AT191" s="62"/>
      <c r="AU191" s="62"/>
      <c r="AV191" s="62"/>
      <c r="AW191" s="62"/>
      <c r="AX191" s="62"/>
      <c r="AY191" s="29"/>
      <c r="AZ191" s="29"/>
      <c r="BA191" s="29"/>
      <c r="BB191" s="29"/>
      <c r="BC191" s="28"/>
      <c r="BD191" s="28"/>
    </row>
    <row r="192" spans="1:56">
      <c r="A192" s="37" t="s">
        <v>18</v>
      </c>
      <c r="B192" s="38">
        <v>31030.2853</v>
      </c>
      <c r="C192" s="39">
        <v>11.5</v>
      </c>
      <c r="E192" s="29"/>
      <c r="F192" s="29"/>
      <c r="G192" s="29"/>
      <c r="H192" s="29"/>
      <c r="I192" s="29"/>
      <c r="J192" s="29"/>
      <c r="K192" s="1"/>
      <c r="L192" s="29"/>
      <c r="M192" s="29"/>
      <c r="N192" s="29"/>
      <c r="O192" s="29"/>
      <c r="P192" s="29"/>
      <c r="Q192" s="29"/>
      <c r="R192" s="29"/>
      <c r="S192" s="29"/>
      <c r="T192" s="39">
        <v>7.7280899999999999</v>
      </c>
      <c r="U192" s="29"/>
      <c r="V192" s="29"/>
      <c r="W192" s="1"/>
      <c r="X192" s="29"/>
      <c r="Y192" s="29"/>
      <c r="Z192" s="29"/>
      <c r="AA192" s="29"/>
      <c r="AB192" s="29"/>
      <c r="AC192" s="29"/>
      <c r="AD192" s="29"/>
      <c r="AE192" s="29"/>
      <c r="AF192" s="29"/>
      <c r="AG192" s="1"/>
      <c r="AH192" s="1"/>
      <c r="AI192" s="29" t="str">
        <f t="shared" si="2"/>
        <v/>
      </c>
      <c r="AK192" s="29"/>
      <c r="AL192" s="29"/>
      <c r="AM192" s="29"/>
      <c r="AN192" s="29"/>
      <c r="AO192" s="29"/>
      <c r="AP192" s="29"/>
      <c r="AQ192" s="29"/>
      <c r="AR192" s="29"/>
      <c r="AS192" s="62"/>
      <c r="AT192" s="62"/>
      <c r="AU192" s="62"/>
      <c r="AV192" s="62"/>
      <c r="AW192" s="62"/>
      <c r="AX192" s="62"/>
      <c r="AY192" s="29"/>
      <c r="AZ192" s="29"/>
      <c r="BA192" s="29"/>
      <c r="BB192" s="29"/>
      <c r="BC192" s="28"/>
      <c r="BD192" s="28"/>
    </row>
    <row r="193" spans="1:56">
      <c r="A193" s="37" t="s">
        <v>18</v>
      </c>
      <c r="B193" s="38">
        <v>31121.595850000002</v>
      </c>
      <c r="C193" s="39">
        <v>11.75</v>
      </c>
      <c r="E193" s="29"/>
      <c r="F193" s="29"/>
      <c r="G193" s="29"/>
      <c r="H193" s="29"/>
      <c r="I193" s="29"/>
      <c r="J193" s="29"/>
      <c r="K193" s="1"/>
      <c r="L193" s="29"/>
      <c r="M193" s="29"/>
      <c r="N193" s="29"/>
      <c r="O193" s="29"/>
      <c r="P193" s="29"/>
      <c r="Q193" s="29"/>
      <c r="R193" s="29"/>
      <c r="S193" s="29"/>
      <c r="T193" s="39">
        <v>7.60243</v>
      </c>
      <c r="U193" s="29"/>
      <c r="V193" s="29"/>
      <c r="W193" s="1"/>
      <c r="X193" s="29"/>
      <c r="Y193" s="29"/>
      <c r="Z193" s="29"/>
      <c r="AA193" s="29"/>
      <c r="AB193" s="29"/>
      <c r="AC193" s="29"/>
      <c r="AD193" s="29"/>
      <c r="AE193" s="29"/>
      <c r="AF193" s="29"/>
      <c r="AG193" s="1"/>
      <c r="AH193" s="1"/>
      <c r="AI193" s="29" t="str">
        <f t="shared" si="2"/>
        <v/>
      </c>
      <c r="AK193" s="29"/>
      <c r="AL193" s="29"/>
      <c r="AM193" s="29"/>
      <c r="AN193" s="29"/>
      <c r="AO193" s="29"/>
      <c r="AP193" s="29"/>
      <c r="AQ193" s="29"/>
      <c r="AR193" s="29"/>
      <c r="AS193" s="62"/>
      <c r="AT193" s="62"/>
      <c r="AU193" s="62"/>
      <c r="AV193" s="62"/>
      <c r="AW193" s="62"/>
      <c r="AX193" s="62"/>
      <c r="AY193" s="29"/>
      <c r="AZ193" s="29"/>
      <c r="BA193" s="29"/>
      <c r="BB193" s="29"/>
      <c r="BC193" s="28"/>
      <c r="BD193" s="28"/>
    </row>
    <row r="194" spans="1:56">
      <c r="A194" s="37" t="s">
        <v>18</v>
      </c>
      <c r="B194" s="38">
        <v>31212.9064</v>
      </c>
      <c r="C194" s="39">
        <v>12</v>
      </c>
      <c r="E194" s="29"/>
      <c r="F194" s="29"/>
      <c r="G194" s="29"/>
      <c r="H194" s="29"/>
      <c r="I194" s="29"/>
      <c r="J194" s="29"/>
      <c r="K194" s="1"/>
      <c r="L194" s="29"/>
      <c r="M194" s="29"/>
      <c r="N194" s="29"/>
      <c r="O194" s="29"/>
      <c r="P194" s="29"/>
      <c r="Q194" s="29"/>
      <c r="R194" s="29"/>
      <c r="S194" s="29"/>
      <c r="T194" s="39">
        <v>6.7542249999999999</v>
      </c>
      <c r="U194" s="29"/>
      <c r="V194" s="29"/>
      <c r="W194" s="1"/>
      <c r="X194" s="29"/>
      <c r="Y194" s="29"/>
      <c r="Z194" s="29"/>
      <c r="AA194" s="29"/>
      <c r="AB194" s="29"/>
      <c r="AC194" s="29"/>
      <c r="AD194" s="29"/>
      <c r="AE194" s="29"/>
      <c r="AF194" s="29"/>
      <c r="AG194" s="1"/>
      <c r="AH194" s="1"/>
      <c r="AI194" s="29" t="str">
        <f t="shared" si="2"/>
        <v/>
      </c>
      <c r="AK194" s="29"/>
      <c r="AL194" s="29"/>
      <c r="AM194" s="29"/>
      <c r="AN194" s="29"/>
      <c r="AO194" s="29"/>
      <c r="AP194" s="29"/>
      <c r="AQ194" s="29"/>
      <c r="AR194" s="29"/>
      <c r="AS194" s="62"/>
      <c r="AT194" s="62"/>
      <c r="AU194" s="62"/>
      <c r="AV194" s="62"/>
      <c r="AW194" s="62"/>
      <c r="AX194" s="62"/>
      <c r="AY194" s="29"/>
      <c r="AZ194" s="29"/>
      <c r="BA194" s="29"/>
      <c r="BB194" s="29"/>
      <c r="BC194" s="28"/>
      <c r="BD194" s="28"/>
    </row>
    <row r="195" spans="1:56">
      <c r="A195" s="37" t="s">
        <v>18</v>
      </c>
      <c r="B195" s="38">
        <v>31304.216950000002</v>
      </c>
      <c r="C195" s="39">
        <v>12.25</v>
      </c>
      <c r="E195" s="29"/>
      <c r="F195" s="29"/>
      <c r="G195" s="29"/>
      <c r="H195" s="29"/>
      <c r="I195" s="29"/>
      <c r="J195" s="29"/>
      <c r="K195" s="1"/>
      <c r="L195" s="29"/>
      <c r="M195" s="29"/>
      <c r="N195" s="29"/>
      <c r="O195" s="29"/>
      <c r="P195" s="29"/>
      <c r="Q195" s="29"/>
      <c r="R195" s="29"/>
      <c r="S195" s="29"/>
      <c r="T195" s="39">
        <v>6.2515850000000004</v>
      </c>
      <c r="U195" s="29"/>
      <c r="V195" s="29"/>
      <c r="W195" s="1"/>
      <c r="X195" s="29"/>
      <c r="Y195" s="29"/>
      <c r="Z195" s="29"/>
      <c r="AA195" s="29"/>
      <c r="AB195" s="29"/>
      <c r="AC195" s="29"/>
      <c r="AD195" s="29"/>
      <c r="AE195" s="29"/>
      <c r="AF195" s="29"/>
      <c r="AG195" s="1"/>
      <c r="AH195" s="1"/>
      <c r="AI195" s="29" t="str">
        <f t="shared" ref="AI195:AI258" si="3">IF(AH195&gt;0.001,AH195/C195,"")</f>
        <v/>
      </c>
      <c r="AK195" s="29"/>
      <c r="AL195" s="29"/>
      <c r="AM195" s="29"/>
      <c r="AN195" s="29"/>
      <c r="AO195" s="29"/>
      <c r="AP195" s="29"/>
      <c r="AQ195" s="29"/>
      <c r="AR195" s="29"/>
      <c r="AS195" s="62"/>
      <c r="AT195" s="62"/>
      <c r="AU195" s="62"/>
      <c r="AV195" s="62"/>
      <c r="AW195" s="62"/>
      <c r="AX195" s="62"/>
      <c r="AY195" s="29"/>
      <c r="AZ195" s="29"/>
      <c r="BA195" s="29"/>
      <c r="BB195" s="29"/>
      <c r="BC195" s="28"/>
      <c r="BD195" s="28"/>
    </row>
    <row r="196" spans="1:56">
      <c r="A196" s="37" t="s">
        <v>18</v>
      </c>
      <c r="B196" s="38">
        <v>31395.5275</v>
      </c>
      <c r="C196" s="39">
        <v>12.5</v>
      </c>
      <c r="E196" s="29"/>
      <c r="F196" s="29"/>
      <c r="G196" s="29"/>
      <c r="H196" s="29"/>
      <c r="I196" s="29"/>
      <c r="J196" s="29"/>
      <c r="K196" s="1"/>
      <c r="L196" s="29"/>
      <c r="M196" s="29"/>
      <c r="N196" s="29"/>
      <c r="O196" s="29"/>
      <c r="P196" s="29"/>
      <c r="Q196" s="29"/>
      <c r="R196" s="29"/>
      <c r="S196" s="29"/>
      <c r="T196" s="39">
        <v>6.4243674999999998</v>
      </c>
      <c r="U196" s="29"/>
      <c r="V196" s="29"/>
      <c r="W196" s="1"/>
      <c r="X196" s="29"/>
      <c r="Y196" s="29"/>
      <c r="Z196" s="29"/>
      <c r="AA196" s="29"/>
      <c r="AB196" s="29"/>
      <c r="AC196" s="29"/>
      <c r="AD196" s="29"/>
      <c r="AE196" s="29"/>
      <c r="AF196" s="29"/>
      <c r="AG196" s="1"/>
      <c r="AH196" s="1"/>
      <c r="AI196" s="29" t="str">
        <f t="shared" si="3"/>
        <v/>
      </c>
      <c r="AK196" s="29"/>
      <c r="AL196" s="29"/>
      <c r="AM196" s="29"/>
      <c r="AN196" s="29"/>
      <c r="AO196" s="29"/>
      <c r="AP196" s="29"/>
      <c r="AQ196" s="29"/>
      <c r="AR196" s="29"/>
      <c r="AS196" s="62"/>
      <c r="AT196" s="62"/>
      <c r="AU196" s="62"/>
      <c r="AV196" s="62"/>
      <c r="AW196" s="62"/>
      <c r="AX196" s="62"/>
      <c r="AY196" s="29"/>
      <c r="AZ196" s="29"/>
      <c r="BA196" s="29"/>
      <c r="BB196" s="29"/>
      <c r="BC196" s="28"/>
      <c r="BD196" s="28"/>
    </row>
    <row r="197" spans="1:56">
      <c r="A197" s="37" t="s">
        <v>18</v>
      </c>
      <c r="B197" s="38">
        <v>31486.838049999998</v>
      </c>
      <c r="C197" s="39">
        <v>12.75</v>
      </c>
      <c r="E197" s="29"/>
      <c r="F197" s="29"/>
      <c r="G197" s="29"/>
      <c r="H197" s="29"/>
      <c r="I197" s="29"/>
      <c r="J197" s="29"/>
      <c r="K197" s="1"/>
      <c r="L197" s="29"/>
      <c r="M197" s="29"/>
      <c r="N197" s="29"/>
      <c r="O197" s="29"/>
      <c r="P197" s="29"/>
      <c r="Q197" s="29"/>
      <c r="R197" s="29"/>
      <c r="S197" s="29"/>
      <c r="T197" s="39">
        <v>8.3563900000000011</v>
      </c>
      <c r="U197" s="29"/>
      <c r="V197" s="29"/>
      <c r="W197" s="1"/>
      <c r="X197" s="29"/>
      <c r="Y197" s="29"/>
      <c r="Z197" s="29"/>
      <c r="AA197" s="29"/>
      <c r="AB197" s="29"/>
      <c r="AC197" s="29"/>
      <c r="AD197" s="29"/>
      <c r="AE197" s="29"/>
      <c r="AF197" s="29"/>
      <c r="AG197" s="1"/>
      <c r="AH197" s="1"/>
      <c r="AI197" s="29" t="str">
        <f t="shared" si="3"/>
        <v/>
      </c>
      <c r="AK197" s="29"/>
      <c r="AL197" s="29"/>
      <c r="AM197" s="29"/>
      <c r="AN197" s="29"/>
      <c r="AO197" s="29"/>
      <c r="AP197" s="29"/>
      <c r="AQ197" s="29"/>
      <c r="AR197" s="29"/>
      <c r="AS197" s="62"/>
      <c r="AT197" s="62"/>
      <c r="AU197" s="62"/>
      <c r="AV197" s="62"/>
      <c r="AW197" s="62"/>
      <c r="AX197" s="62"/>
      <c r="AY197" s="29"/>
      <c r="AZ197" s="29"/>
      <c r="BA197" s="29"/>
      <c r="BB197" s="29"/>
      <c r="BC197" s="28"/>
      <c r="BD197" s="28"/>
    </row>
    <row r="198" spans="1:56">
      <c r="A198" s="37" t="s">
        <v>18</v>
      </c>
      <c r="B198" s="38">
        <v>31578.1486</v>
      </c>
      <c r="C198" s="39">
        <v>13</v>
      </c>
      <c r="E198" s="29"/>
      <c r="F198" s="29"/>
      <c r="G198" s="29"/>
      <c r="H198" s="29"/>
      <c r="I198" s="29"/>
      <c r="J198" s="29"/>
      <c r="K198" s="1"/>
      <c r="L198" s="29"/>
      <c r="M198" s="29"/>
      <c r="N198" s="29"/>
      <c r="O198" s="29"/>
      <c r="P198" s="29"/>
      <c r="Q198" s="29"/>
      <c r="R198" s="29"/>
      <c r="S198" s="29"/>
      <c r="T198" s="39">
        <v>7.5238925000000005</v>
      </c>
      <c r="U198" s="29"/>
      <c r="V198" s="29"/>
      <c r="W198" s="1"/>
      <c r="X198" s="29"/>
      <c r="Y198" s="29"/>
      <c r="Z198" s="29"/>
      <c r="AA198" s="29"/>
      <c r="AB198" s="29"/>
      <c r="AC198" s="29"/>
      <c r="AD198" s="29"/>
      <c r="AE198" s="29"/>
      <c r="AF198" s="29"/>
      <c r="AG198" s="1"/>
      <c r="AH198" s="1"/>
      <c r="AI198" s="29" t="str">
        <f t="shared" si="3"/>
        <v/>
      </c>
      <c r="AK198" s="29"/>
      <c r="AL198" s="29"/>
      <c r="AM198" s="29"/>
      <c r="AN198" s="29"/>
      <c r="AO198" s="29"/>
      <c r="AP198" s="29"/>
      <c r="AQ198" s="29"/>
      <c r="AR198" s="29"/>
      <c r="AS198" s="62"/>
      <c r="AT198" s="62"/>
      <c r="AU198" s="62"/>
      <c r="AV198" s="62"/>
      <c r="AW198" s="62"/>
      <c r="AX198" s="62"/>
      <c r="AY198" s="29"/>
      <c r="AZ198" s="29"/>
      <c r="BA198" s="29"/>
      <c r="BB198" s="29"/>
      <c r="BC198" s="28"/>
      <c r="BD198" s="28"/>
    </row>
    <row r="199" spans="1:56">
      <c r="A199" s="37" t="s">
        <v>18</v>
      </c>
      <c r="B199" s="38">
        <v>31669.459150000002</v>
      </c>
      <c r="C199" s="39">
        <v>13.25</v>
      </c>
      <c r="E199" s="29"/>
      <c r="F199" s="29"/>
      <c r="G199" s="29"/>
      <c r="H199" s="29"/>
      <c r="I199" s="29"/>
      <c r="J199" s="29"/>
      <c r="K199" s="1"/>
      <c r="L199" s="29"/>
      <c r="M199" s="29"/>
      <c r="N199" s="29"/>
      <c r="O199" s="29"/>
      <c r="P199" s="29"/>
      <c r="Q199" s="29"/>
      <c r="R199" s="29"/>
      <c r="S199" s="29"/>
      <c r="T199" s="39">
        <v>7.3511100000000003</v>
      </c>
      <c r="U199" s="29"/>
      <c r="V199" s="29"/>
      <c r="W199" s="1"/>
      <c r="X199" s="29"/>
      <c r="Y199" s="29"/>
      <c r="Z199" s="29"/>
      <c r="AA199" s="29"/>
      <c r="AB199" s="29"/>
      <c r="AC199" s="29"/>
      <c r="AD199" s="29"/>
      <c r="AE199" s="29"/>
      <c r="AF199" s="29"/>
      <c r="AG199" s="1"/>
      <c r="AH199" s="1"/>
      <c r="AI199" s="29" t="str">
        <f t="shared" si="3"/>
        <v/>
      </c>
      <c r="AK199" s="29"/>
      <c r="AL199" s="29"/>
      <c r="AM199" s="29"/>
      <c r="AN199" s="29"/>
      <c r="AO199" s="29"/>
      <c r="AP199" s="29"/>
      <c r="AQ199" s="29"/>
      <c r="AR199" s="29"/>
      <c r="AS199" s="62"/>
      <c r="AT199" s="62"/>
      <c r="AU199" s="62"/>
      <c r="AV199" s="62"/>
      <c r="AW199" s="62"/>
      <c r="AX199" s="62"/>
      <c r="AY199" s="29"/>
      <c r="AZ199" s="29"/>
      <c r="BA199" s="29"/>
      <c r="BB199" s="29"/>
      <c r="BC199" s="28"/>
      <c r="BD199" s="28"/>
    </row>
    <row r="200" spans="1:56">
      <c r="A200" s="37" t="s">
        <v>18</v>
      </c>
      <c r="B200" s="38">
        <v>31760.769700000001</v>
      </c>
      <c r="C200" s="39">
        <v>13.5</v>
      </c>
      <c r="E200" s="29"/>
      <c r="F200" s="29"/>
      <c r="G200" s="29"/>
      <c r="H200" s="29"/>
      <c r="I200" s="29"/>
      <c r="J200" s="29"/>
      <c r="K200" s="1"/>
      <c r="L200" s="29"/>
      <c r="M200" s="29"/>
      <c r="N200" s="29"/>
      <c r="O200" s="29"/>
      <c r="P200" s="29"/>
      <c r="Q200" s="29"/>
      <c r="R200" s="29"/>
      <c r="S200" s="29"/>
      <c r="T200" s="39">
        <v>8.4035124999999997</v>
      </c>
      <c r="U200" s="29"/>
      <c r="V200" s="29"/>
      <c r="W200" s="1"/>
      <c r="X200" s="29"/>
      <c r="Y200" s="29"/>
      <c r="Z200" s="29"/>
      <c r="AA200" s="29"/>
      <c r="AB200" s="29"/>
      <c r="AC200" s="29"/>
      <c r="AD200" s="29"/>
      <c r="AE200" s="29"/>
      <c r="AF200" s="29"/>
      <c r="AG200" s="1"/>
      <c r="AH200" s="1"/>
      <c r="AI200" s="29" t="str">
        <f t="shared" si="3"/>
        <v/>
      </c>
      <c r="AK200" s="29"/>
      <c r="AL200" s="29"/>
      <c r="AM200" s="29"/>
      <c r="AN200" s="29"/>
      <c r="AO200" s="29"/>
      <c r="AP200" s="29"/>
      <c r="AQ200" s="29"/>
      <c r="AR200" s="29"/>
      <c r="AS200" s="62"/>
      <c r="AT200" s="62"/>
      <c r="AU200" s="62"/>
      <c r="AV200" s="62"/>
      <c r="AW200" s="62"/>
      <c r="AX200" s="62"/>
      <c r="AY200" s="29"/>
      <c r="AZ200" s="29"/>
      <c r="BA200" s="29"/>
      <c r="BB200" s="29"/>
      <c r="BC200" s="28"/>
      <c r="BD200" s="28"/>
    </row>
    <row r="201" spans="1:56">
      <c r="A201" s="37" t="s">
        <v>18</v>
      </c>
      <c r="B201" s="38">
        <v>31852.080249999999</v>
      </c>
      <c r="C201" s="39">
        <v>13.75</v>
      </c>
      <c r="E201" s="29"/>
      <c r="F201" s="29"/>
      <c r="G201" s="29"/>
      <c r="H201" s="29"/>
      <c r="I201" s="29"/>
      <c r="J201" s="29"/>
      <c r="K201" s="1"/>
      <c r="L201" s="29"/>
      <c r="M201" s="29"/>
      <c r="N201" s="29"/>
      <c r="O201" s="29"/>
      <c r="P201" s="29"/>
      <c r="Q201" s="29"/>
      <c r="R201" s="29"/>
      <c r="S201" s="29"/>
      <c r="T201" s="39">
        <v>8.9532750000000014</v>
      </c>
      <c r="U201" s="29"/>
      <c r="V201" s="29"/>
      <c r="W201" s="1"/>
      <c r="X201" s="29"/>
      <c r="Y201" s="29"/>
      <c r="Z201" s="29"/>
      <c r="AA201" s="29"/>
      <c r="AB201" s="29"/>
      <c r="AC201" s="29"/>
      <c r="AD201" s="29"/>
      <c r="AE201" s="29"/>
      <c r="AF201" s="29"/>
      <c r="AG201" s="1"/>
      <c r="AH201" s="1"/>
      <c r="AI201" s="29" t="str">
        <f t="shared" si="3"/>
        <v/>
      </c>
      <c r="AK201" s="29"/>
      <c r="AL201" s="29"/>
      <c r="AM201" s="29"/>
      <c r="AN201" s="29"/>
      <c r="AO201" s="29"/>
      <c r="AP201" s="29"/>
      <c r="AQ201" s="29"/>
      <c r="AR201" s="29"/>
      <c r="AS201" s="62"/>
      <c r="AT201" s="62"/>
      <c r="AU201" s="62"/>
      <c r="AV201" s="62"/>
      <c r="AW201" s="62"/>
      <c r="AX201" s="62"/>
      <c r="AY201" s="29"/>
      <c r="AZ201" s="29"/>
      <c r="BA201" s="29"/>
      <c r="BB201" s="29"/>
      <c r="BC201" s="28"/>
      <c r="BD201" s="28"/>
    </row>
    <row r="202" spans="1:56">
      <c r="A202" s="37" t="s">
        <v>18</v>
      </c>
      <c r="B202" s="38">
        <v>31943.390800000001</v>
      </c>
      <c r="C202" s="39">
        <v>14</v>
      </c>
      <c r="E202" s="29"/>
      <c r="F202" s="29"/>
      <c r="G202" s="29"/>
      <c r="H202" s="29"/>
      <c r="I202" s="29"/>
      <c r="J202" s="29"/>
      <c r="K202" s="1"/>
      <c r="L202" s="29"/>
      <c r="M202" s="29"/>
      <c r="N202" s="29"/>
      <c r="O202" s="29"/>
      <c r="P202" s="29"/>
      <c r="Q202" s="29"/>
      <c r="R202" s="29"/>
      <c r="S202" s="29"/>
      <c r="T202" s="39">
        <v>8.4663424999999997</v>
      </c>
      <c r="U202" s="29"/>
      <c r="V202" s="29"/>
      <c r="W202" s="1"/>
      <c r="X202" s="29"/>
      <c r="Y202" s="29"/>
      <c r="Z202" s="29"/>
      <c r="AA202" s="29"/>
      <c r="AB202" s="29"/>
      <c r="AC202" s="29"/>
      <c r="AD202" s="29"/>
      <c r="AE202" s="29"/>
      <c r="AF202" s="29"/>
      <c r="AG202" s="1"/>
      <c r="AH202" s="1"/>
      <c r="AI202" s="29" t="str">
        <f t="shared" si="3"/>
        <v/>
      </c>
      <c r="AK202" s="29"/>
      <c r="AL202" s="29"/>
      <c r="AM202" s="29"/>
      <c r="AN202" s="29"/>
      <c r="AO202" s="29"/>
      <c r="AP202" s="29"/>
      <c r="AQ202" s="29"/>
      <c r="AR202" s="29"/>
      <c r="AS202" s="62"/>
      <c r="AT202" s="62"/>
      <c r="AU202" s="62"/>
      <c r="AV202" s="62"/>
      <c r="AW202" s="62"/>
      <c r="AX202" s="62"/>
      <c r="AY202" s="29"/>
      <c r="AZ202" s="29"/>
      <c r="BA202" s="29"/>
      <c r="BB202" s="29"/>
      <c r="BC202" s="28"/>
      <c r="BD202" s="28"/>
    </row>
    <row r="203" spans="1:56">
      <c r="A203" s="37" t="s">
        <v>18</v>
      </c>
      <c r="B203" s="38">
        <v>32034.701349999999</v>
      </c>
      <c r="C203" s="39">
        <v>14.25</v>
      </c>
      <c r="E203" s="29"/>
      <c r="F203" s="29"/>
      <c r="G203" s="29"/>
      <c r="H203" s="29"/>
      <c r="I203" s="29"/>
      <c r="J203" s="29"/>
      <c r="K203" s="1"/>
      <c r="L203" s="29"/>
      <c r="M203" s="29"/>
      <c r="N203" s="29"/>
      <c r="O203" s="29"/>
      <c r="P203" s="29"/>
      <c r="Q203" s="29"/>
      <c r="R203" s="29"/>
      <c r="S203" s="29"/>
      <c r="T203" s="39">
        <v>8.4035124999999997</v>
      </c>
      <c r="U203" s="29"/>
      <c r="V203" s="29"/>
      <c r="W203" s="1"/>
      <c r="X203" s="29"/>
      <c r="Y203" s="29"/>
      <c r="Z203" s="29"/>
      <c r="AA203" s="29"/>
      <c r="AB203" s="29"/>
      <c r="AC203" s="29"/>
      <c r="AD203" s="29"/>
      <c r="AE203" s="29"/>
      <c r="AF203" s="29"/>
      <c r="AG203" s="1"/>
      <c r="AH203" s="1"/>
      <c r="AI203" s="29" t="str">
        <f t="shared" si="3"/>
        <v/>
      </c>
      <c r="AK203" s="29"/>
      <c r="AL203" s="29"/>
      <c r="AM203" s="29"/>
      <c r="AN203" s="29"/>
      <c r="AO203" s="29"/>
      <c r="AP203" s="29"/>
      <c r="AQ203" s="29"/>
      <c r="AR203" s="29"/>
      <c r="AS203" s="62"/>
      <c r="AT203" s="62"/>
      <c r="AU203" s="62"/>
      <c r="AV203" s="62"/>
      <c r="AW203" s="62"/>
      <c r="AX203" s="62"/>
      <c r="AY203" s="29"/>
      <c r="AZ203" s="29"/>
      <c r="BA203" s="29"/>
      <c r="BB203" s="29"/>
      <c r="BC203" s="28"/>
      <c r="BD203" s="28"/>
    </row>
    <row r="204" spans="1:56">
      <c r="A204" s="37" t="s">
        <v>18</v>
      </c>
      <c r="B204" s="38">
        <v>32126.011900000001</v>
      </c>
      <c r="C204" s="39">
        <v>14.5</v>
      </c>
      <c r="E204" s="29"/>
      <c r="F204" s="29"/>
      <c r="G204" s="29"/>
      <c r="H204" s="29"/>
      <c r="I204" s="29"/>
      <c r="J204" s="29"/>
      <c r="K204" s="1"/>
      <c r="L204" s="29"/>
      <c r="M204" s="29"/>
      <c r="N204" s="29"/>
      <c r="O204" s="29"/>
      <c r="P204" s="29"/>
      <c r="Q204" s="29"/>
      <c r="R204" s="29"/>
      <c r="S204" s="29"/>
      <c r="T204" s="39">
        <v>9.4245000000000001</v>
      </c>
      <c r="U204" s="29"/>
      <c r="V204" s="29"/>
      <c r="W204" s="1"/>
      <c r="X204" s="29"/>
      <c r="Y204" s="29"/>
      <c r="Z204" s="29"/>
      <c r="AA204" s="29"/>
      <c r="AB204" s="29"/>
      <c r="AC204" s="29"/>
      <c r="AD204" s="29"/>
      <c r="AE204" s="29"/>
      <c r="AF204" s="29"/>
      <c r="AG204" s="1"/>
      <c r="AH204" s="1"/>
      <c r="AI204" s="29" t="str">
        <f t="shared" si="3"/>
        <v/>
      </c>
      <c r="AK204" s="29"/>
      <c r="AL204" s="29"/>
      <c r="AM204" s="29"/>
      <c r="AN204" s="29"/>
      <c r="AO204" s="29"/>
      <c r="AP204" s="29"/>
      <c r="AQ204" s="29"/>
      <c r="AR204" s="29"/>
      <c r="AS204" s="62"/>
      <c r="AT204" s="62"/>
      <c r="AU204" s="62"/>
      <c r="AV204" s="62"/>
      <c r="AW204" s="62"/>
      <c r="AX204" s="62"/>
      <c r="AY204" s="29"/>
      <c r="AZ204" s="29"/>
      <c r="BA204" s="29"/>
      <c r="BB204" s="29"/>
      <c r="BC204" s="28"/>
      <c r="BD204" s="28"/>
    </row>
    <row r="205" spans="1:56">
      <c r="A205" s="37" t="s">
        <v>18</v>
      </c>
      <c r="B205" s="38">
        <v>32217.32245</v>
      </c>
      <c r="C205" s="39">
        <v>14.75</v>
      </c>
      <c r="E205" s="29"/>
      <c r="F205" s="29"/>
      <c r="G205" s="29"/>
      <c r="H205" s="29"/>
      <c r="I205" s="29"/>
      <c r="J205" s="29"/>
      <c r="K205" s="1"/>
      <c r="L205" s="29"/>
      <c r="M205" s="29"/>
      <c r="N205" s="29"/>
      <c r="O205" s="29"/>
      <c r="P205" s="29"/>
      <c r="Q205" s="29"/>
      <c r="R205" s="29"/>
      <c r="S205" s="29"/>
      <c r="T205" s="39">
        <v>8.6391249999999999</v>
      </c>
      <c r="U205" s="29"/>
      <c r="V205" s="29"/>
      <c r="W205" s="1"/>
      <c r="X205" s="29"/>
      <c r="Y205" s="29"/>
      <c r="Z205" s="29"/>
      <c r="AA205" s="29"/>
      <c r="AB205" s="29"/>
      <c r="AC205" s="29"/>
      <c r="AD205" s="29"/>
      <c r="AE205" s="29"/>
      <c r="AF205" s="29"/>
      <c r="AG205" s="1"/>
      <c r="AH205" s="1"/>
      <c r="AI205" s="29" t="str">
        <f t="shared" si="3"/>
        <v/>
      </c>
      <c r="AK205" s="29"/>
      <c r="AL205" s="29"/>
      <c r="AM205" s="29"/>
      <c r="AN205" s="29"/>
      <c r="AO205" s="29"/>
      <c r="AP205" s="29"/>
      <c r="AQ205" s="29"/>
      <c r="AR205" s="29"/>
      <c r="AS205" s="62"/>
      <c r="AT205" s="62"/>
      <c r="AU205" s="62"/>
      <c r="AV205" s="62"/>
      <c r="AW205" s="62"/>
      <c r="AX205" s="62"/>
      <c r="AY205" s="29"/>
      <c r="AZ205" s="29"/>
      <c r="BA205" s="29"/>
      <c r="BB205" s="29"/>
      <c r="BC205" s="28"/>
      <c r="BD205" s="28"/>
    </row>
    <row r="206" spans="1:56">
      <c r="A206" s="37" t="s">
        <v>18</v>
      </c>
      <c r="B206" s="38">
        <v>32308.633000000002</v>
      </c>
      <c r="C206" s="39">
        <v>15</v>
      </c>
      <c r="E206" s="29"/>
      <c r="F206" s="29"/>
      <c r="G206" s="29"/>
      <c r="H206" s="29"/>
      <c r="I206" s="29"/>
      <c r="J206" s="29"/>
      <c r="K206" s="1"/>
      <c r="L206" s="29"/>
      <c r="M206" s="29"/>
      <c r="N206" s="29"/>
      <c r="O206" s="29"/>
      <c r="P206" s="29"/>
      <c r="Q206" s="29"/>
      <c r="R206" s="29"/>
      <c r="S206" s="29"/>
      <c r="T206" s="39">
        <v>7.8537499999999998</v>
      </c>
      <c r="U206" s="29"/>
      <c r="V206" s="29"/>
      <c r="W206" s="1"/>
      <c r="X206" s="29"/>
      <c r="Y206" s="29"/>
      <c r="Z206" s="29"/>
      <c r="AA206" s="29"/>
      <c r="AB206" s="29"/>
      <c r="AC206" s="29"/>
      <c r="AD206" s="29"/>
      <c r="AE206" s="29"/>
      <c r="AF206" s="29"/>
      <c r="AG206" s="1"/>
      <c r="AH206" s="1"/>
      <c r="AI206" s="29" t="str">
        <f t="shared" si="3"/>
        <v/>
      </c>
      <c r="AK206" s="29"/>
      <c r="AL206" s="29"/>
      <c r="AM206" s="29"/>
      <c r="AN206" s="29"/>
      <c r="AO206" s="29"/>
      <c r="AP206" s="29"/>
      <c r="AQ206" s="29"/>
      <c r="AR206" s="29"/>
      <c r="AS206" s="62"/>
      <c r="AT206" s="62"/>
      <c r="AU206" s="62"/>
      <c r="AV206" s="62"/>
      <c r="AW206" s="62"/>
      <c r="AX206" s="62"/>
      <c r="AY206" s="29"/>
      <c r="AZ206" s="29"/>
      <c r="BA206" s="29"/>
      <c r="BB206" s="29"/>
      <c r="BC206" s="28"/>
      <c r="BD206" s="28"/>
    </row>
    <row r="207" spans="1:56">
      <c r="A207" s="37" t="s">
        <v>18</v>
      </c>
      <c r="B207" s="38">
        <v>32399.94355</v>
      </c>
      <c r="C207" s="39">
        <v>15.25</v>
      </c>
      <c r="E207" s="29"/>
      <c r="F207" s="29"/>
      <c r="G207" s="29"/>
      <c r="H207" s="29"/>
      <c r="I207" s="29"/>
      <c r="J207" s="29"/>
      <c r="K207" s="1"/>
      <c r="L207" s="29"/>
      <c r="M207" s="29"/>
      <c r="N207" s="29"/>
      <c r="O207" s="29"/>
      <c r="P207" s="29"/>
      <c r="Q207" s="29"/>
      <c r="R207" s="29"/>
      <c r="S207" s="29"/>
      <c r="T207" s="39">
        <v>6</v>
      </c>
      <c r="U207" s="29"/>
      <c r="V207" s="29"/>
      <c r="W207" s="1"/>
      <c r="X207" s="29"/>
      <c r="Y207" s="29"/>
      <c r="Z207" s="29"/>
      <c r="AA207" s="29"/>
      <c r="AB207" s="29"/>
      <c r="AC207" s="29"/>
      <c r="AD207" s="29"/>
      <c r="AE207" s="29"/>
      <c r="AF207" s="29"/>
      <c r="AG207" s="1"/>
      <c r="AH207" s="1"/>
      <c r="AI207" s="29" t="str">
        <f t="shared" si="3"/>
        <v/>
      </c>
      <c r="AK207" s="29"/>
      <c r="AL207" s="29"/>
      <c r="AM207" s="29"/>
      <c r="AN207" s="29"/>
      <c r="AO207" s="29"/>
      <c r="AP207" s="29"/>
      <c r="AQ207" s="29"/>
      <c r="AR207" s="29"/>
      <c r="AS207" s="62"/>
      <c r="AT207" s="62"/>
      <c r="AU207" s="62"/>
      <c r="AV207" s="62"/>
      <c r="AW207" s="62"/>
      <c r="AX207" s="62"/>
      <c r="AY207" s="29"/>
      <c r="AZ207" s="29"/>
      <c r="BA207" s="29"/>
      <c r="BB207" s="29"/>
      <c r="BC207" s="28"/>
      <c r="BD207" s="28"/>
    </row>
    <row r="208" spans="1:56">
      <c r="A208" s="37" t="s">
        <v>18</v>
      </c>
      <c r="B208" s="38">
        <v>32491.254099999998</v>
      </c>
      <c r="C208" s="39">
        <v>15.5</v>
      </c>
      <c r="E208" s="29"/>
      <c r="F208" s="29"/>
      <c r="G208" s="29"/>
      <c r="H208" s="29"/>
      <c r="I208" s="29"/>
      <c r="J208" s="29"/>
      <c r="K208" s="1"/>
      <c r="L208" s="29"/>
      <c r="M208" s="29"/>
      <c r="N208" s="29"/>
      <c r="O208" s="29"/>
      <c r="P208" s="29"/>
      <c r="Q208" s="29"/>
      <c r="R208" s="29"/>
      <c r="S208" s="29"/>
      <c r="T208" s="39"/>
      <c r="U208" s="29"/>
      <c r="V208" s="29"/>
      <c r="W208" s="1"/>
      <c r="X208" s="29"/>
      <c r="Y208" s="29"/>
      <c r="Z208" s="29"/>
      <c r="AA208" s="29"/>
      <c r="AB208" s="29"/>
      <c r="AC208" s="29"/>
      <c r="AD208" s="29"/>
      <c r="AE208" s="29"/>
      <c r="AF208" s="29"/>
      <c r="AG208" s="1"/>
      <c r="AH208" s="1"/>
      <c r="AI208" s="29" t="str">
        <f t="shared" si="3"/>
        <v/>
      </c>
      <c r="AK208" s="29"/>
      <c r="AL208" s="29"/>
      <c r="AM208" s="29"/>
      <c r="AN208" s="29"/>
      <c r="AO208" s="29"/>
      <c r="AP208" s="29"/>
      <c r="AQ208" s="29"/>
      <c r="AR208" s="29"/>
      <c r="AS208" s="62"/>
      <c r="AT208" s="62"/>
      <c r="AU208" s="62"/>
      <c r="AV208" s="62"/>
      <c r="AW208" s="62"/>
      <c r="AX208" s="62"/>
      <c r="AY208" s="29"/>
      <c r="AZ208" s="29"/>
      <c r="BA208" s="29"/>
      <c r="BB208" s="29"/>
      <c r="BC208" s="28"/>
      <c r="BD208" s="28"/>
    </row>
    <row r="209" spans="1:56">
      <c r="A209" s="37" t="s">
        <v>18</v>
      </c>
      <c r="B209" s="38">
        <v>32582.56465</v>
      </c>
      <c r="C209" s="39">
        <v>15.75</v>
      </c>
      <c r="E209" s="29"/>
      <c r="F209" s="29"/>
      <c r="G209" s="29"/>
      <c r="H209" s="29"/>
      <c r="I209" s="29"/>
      <c r="J209" s="29"/>
      <c r="K209" s="1"/>
      <c r="L209" s="29"/>
      <c r="M209" s="29"/>
      <c r="N209" s="29"/>
      <c r="O209" s="29"/>
      <c r="P209" s="29"/>
      <c r="Q209" s="29"/>
      <c r="R209" s="29"/>
      <c r="S209" s="29"/>
      <c r="T209" s="39">
        <v>7.69</v>
      </c>
      <c r="U209" s="29"/>
      <c r="V209" s="29"/>
      <c r="W209" s="1"/>
      <c r="X209" s="29"/>
      <c r="Y209" s="29"/>
      <c r="Z209" s="29"/>
      <c r="AA209" s="29"/>
      <c r="AB209" s="29"/>
      <c r="AC209" s="29"/>
      <c r="AD209" s="29"/>
      <c r="AE209" s="29"/>
      <c r="AF209" s="29"/>
      <c r="AG209" s="1"/>
      <c r="AH209" s="1"/>
      <c r="AI209" s="29" t="str">
        <f t="shared" si="3"/>
        <v/>
      </c>
      <c r="AK209" s="29"/>
      <c r="AL209" s="29"/>
      <c r="AM209" s="29"/>
      <c r="AN209" s="29"/>
      <c r="AO209" s="29"/>
      <c r="AP209" s="29"/>
      <c r="AQ209" s="29"/>
      <c r="AR209" s="29"/>
      <c r="AS209" s="62"/>
      <c r="AT209" s="62"/>
      <c r="AU209" s="62"/>
      <c r="AV209" s="62"/>
      <c r="AW209" s="62"/>
      <c r="AX209" s="62"/>
      <c r="AY209" s="29"/>
      <c r="AZ209" s="29"/>
      <c r="BA209" s="29"/>
      <c r="BB209" s="29"/>
      <c r="BC209" s="28"/>
      <c r="BD209" s="28"/>
    </row>
    <row r="210" spans="1:56">
      <c r="A210" s="37" t="s">
        <v>18</v>
      </c>
      <c r="B210" s="38">
        <v>32673.875200000002</v>
      </c>
      <c r="C210" s="39">
        <v>16</v>
      </c>
      <c r="E210" s="29"/>
      <c r="F210" s="29"/>
      <c r="G210" s="29"/>
      <c r="H210" s="29"/>
      <c r="I210" s="29"/>
      <c r="J210" s="29"/>
      <c r="K210" s="1"/>
      <c r="L210" s="29"/>
      <c r="M210" s="29"/>
      <c r="N210" s="29"/>
      <c r="O210" s="29"/>
      <c r="P210" s="29"/>
      <c r="Q210" s="29"/>
      <c r="R210" s="29"/>
      <c r="S210" s="29"/>
      <c r="T210" s="39">
        <v>6.69</v>
      </c>
      <c r="U210" s="29"/>
      <c r="V210" s="29"/>
      <c r="W210" s="1"/>
      <c r="X210" s="29"/>
      <c r="Y210" s="29"/>
      <c r="Z210" s="29"/>
      <c r="AA210" s="29"/>
      <c r="AB210" s="29"/>
      <c r="AC210" s="29"/>
      <c r="AD210" s="29"/>
      <c r="AE210" s="29"/>
      <c r="AF210" s="29"/>
      <c r="AG210" s="1"/>
      <c r="AH210" s="1"/>
      <c r="AI210" s="29" t="str">
        <f t="shared" si="3"/>
        <v/>
      </c>
      <c r="AK210" s="29"/>
      <c r="AL210" s="29"/>
      <c r="AM210" s="29"/>
      <c r="AN210" s="29"/>
      <c r="AO210" s="29"/>
      <c r="AP210" s="29"/>
      <c r="AQ210" s="29"/>
      <c r="AR210" s="29"/>
      <c r="AS210" s="62"/>
      <c r="AT210" s="62"/>
      <c r="AU210" s="62"/>
      <c r="AV210" s="62"/>
      <c r="AW210" s="62"/>
      <c r="AX210" s="62"/>
      <c r="AY210" s="29"/>
      <c r="AZ210" s="29"/>
      <c r="BA210" s="29"/>
      <c r="BB210" s="29"/>
      <c r="BC210" s="28"/>
      <c r="BD210" s="28"/>
    </row>
    <row r="211" spans="1:56">
      <c r="A211" s="37" t="s">
        <v>18</v>
      </c>
      <c r="B211" s="38">
        <v>32765.185750000001</v>
      </c>
      <c r="C211" s="39">
        <v>16.25</v>
      </c>
      <c r="E211" s="29"/>
      <c r="F211" s="29"/>
      <c r="G211" s="29"/>
      <c r="H211" s="29"/>
      <c r="I211" s="29"/>
      <c r="J211" s="29"/>
      <c r="K211" s="1"/>
      <c r="L211" s="29"/>
      <c r="M211" s="29"/>
      <c r="N211" s="29"/>
      <c r="O211" s="29"/>
      <c r="P211" s="29"/>
      <c r="Q211" s="29"/>
      <c r="R211" s="29"/>
      <c r="S211" s="29"/>
      <c r="T211" s="39">
        <v>8.1199999999999992</v>
      </c>
      <c r="U211" s="29"/>
      <c r="V211" s="29"/>
      <c r="W211" s="1"/>
      <c r="X211" s="29"/>
      <c r="Y211" s="29"/>
      <c r="Z211" s="29"/>
      <c r="AA211" s="29"/>
      <c r="AB211" s="29"/>
      <c r="AC211" s="29"/>
      <c r="AD211" s="29"/>
      <c r="AE211" s="29"/>
      <c r="AF211" s="29"/>
      <c r="AG211" s="1"/>
      <c r="AH211" s="1"/>
      <c r="AI211" s="29" t="str">
        <f t="shared" si="3"/>
        <v/>
      </c>
      <c r="AK211" s="29"/>
      <c r="AL211" s="29"/>
      <c r="AM211" s="29"/>
      <c r="AN211" s="29"/>
      <c r="AO211" s="29"/>
      <c r="AP211" s="29"/>
      <c r="AQ211" s="29"/>
      <c r="AR211" s="29"/>
      <c r="AS211" s="62"/>
      <c r="AT211" s="62"/>
      <c r="AU211" s="62"/>
      <c r="AV211" s="62"/>
      <c r="AW211" s="62"/>
      <c r="AX211" s="62"/>
      <c r="AY211" s="29"/>
      <c r="AZ211" s="29"/>
      <c r="BA211" s="29"/>
      <c r="BB211" s="29"/>
      <c r="BC211" s="28"/>
      <c r="BD211" s="28"/>
    </row>
    <row r="212" spans="1:56">
      <c r="A212" s="37" t="s">
        <v>18</v>
      </c>
      <c r="B212" s="38">
        <v>32856.496299999999</v>
      </c>
      <c r="C212" s="39">
        <v>16.5</v>
      </c>
      <c r="E212" s="29"/>
      <c r="F212" s="29"/>
      <c r="G212" s="29"/>
      <c r="H212" s="29"/>
      <c r="I212" s="29"/>
      <c r="J212" s="29"/>
      <c r="K212" s="1"/>
      <c r="L212" s="29"/>
      <c r="M212" s="29"/>
      <c r="N212" s="29"/>
      <c r="O212" s="29"/>
      <c r="P212" s="29"/>
      <c r="Q212" s="29"/>
      <c r="R212" s="29"/>
      <c r="S212" s="29"/>
      <c r="T212" s="39">
        <v>4.5199999999999996</v>
      </c>
      <c r="U212" s="29"/>
      <c r="V212" s="29"/>
      <c r="W212" s="1"/>
      <c r="X212" s="29"/>
      <c r="Y212" s="29"/>
      <c r="Z212" s="29"/>
      <c r="AA212" s="29"/>
      <c r="AB212" s="29"/>
      <c r="AC212" s="29"/>
      <c r="AD212" s="29"/>
      <c r="AE212" s="29"/>
      <c r="AF212" s="29"/>
      <c r="AG212" s="1"/>
      <c r="AH212" s="1"/>
      <c r="AI212" s="29" t="str">
        <f t="shared" si="3"/>
        <v/>
      </c>
      <c r="AK212" s="29"/>
      <c r="AL212" s="29"/>
      <c r="AM212" s="29"/>
      <c r="AN212" s="29"/>
      <c r="AO212" s="29"/>
      <c r="AP212" s="29"/>
      <c r="AQ212" s="29"/>
      <c r="AR212" s="29"/>
      <c r="AS212" s="62"/>
      <c r="AT212" s="62"/>
      <c r="AU212" s="62"/>
      <c r="AV212" s="62"/>
      <c r="AW212" s="62"/>
      <c r="AX212" s="62"/>
      <c r="AY212" s="29"/>
      <c r="AZ212" s="29"/>
      <c r="BA212" s="29"/>
      <c r="BB212" s="29"/>
      <c r="BC212" s="28"/>
      <c r="BD212" s="28"/>
    </row>
    <row r="213" spans="1:56">
      <c r="A213" s="37" t="s">
        <v>18</v>
      </c>
      <c r="B213" s="38">
        <v>32947.806850000001</v>
      </c>
      <c r="C213" s="39">
        <v>16.75</v>
      </c>
      <c r="E213" s="29"/>
      <c r="F213" s="29"/>
      <c r="G213" s="29"/>
      <c r="H213" s="29"/>
      <c r="I213" s="29"/>
      <c r="J213" s="29"/>
      <c r="K213" s="1"/>
      <c r="L213" s="29"/>
      <c r="M213" s="29"/>
      <c r="N213" s="29"/>
      <c r="O213" s="29"/>
      <c r="P213" s="29"/>
      <c r="Q213" s="29"/>
      <c r="R213" s="29"/>
      <c r="S213" s="29"/>
      <c r="T213" s="39">
        <v>5.87</v>
      </c>
      <c r="U213" s="29"/>
      <c r="V213" s="29"/>
      <c r="W213" s="1"/>
      <c r="X213" s="29"/>
      <c r="Y213" s="29"/>
      <c r="Z213" s="29"/>
      <c r="AA213" s="29"/>
      <c r="AB213" s="29"/>
      <c r="AC213" s="29"/>
      <c r="AD213" s="29"/>
      <c r="AE213" s="29"/>
      <c r="AF213" s="29"/>
      <c r="AG213" s="1"/>
      <c r="AH213" s="1"/>
      <c r="AI213" s="29" t="str">
        <f t="shared" si="3"/>
        <v/>
      </c>
      <c r="AK213" s="29"/>
      <c r="AL213" s="29"/>
      <c r="AM213" s="29"/>
      <c r="AN213" s="29"/>
      <c r="AO213" s="29"/>
      <c r="AP213" s="29"/>
      <c r="AQ213" s="29"/>
      <c r="AR213" s="29"/>
      <c r="AS213" s="62"/>
      <c r="AT213" s="62"/>
      <c r="AU213" s="62"/>
      <c r="AV213" s="62"/>
      <c r="AW213" s="62"/>
      <c r="AX213" s="62"/>
      <c r="AY213" s="29"/>
      <c r="AZ213" s="29"/>
      <c r="BA213" s="29"/>
      <c r="BB213" s="29"/>
      <c r="BC213" s="28"/>
      <c r="BD213" s="28"/>
    </row>
    <row r="214" spans="1:56">
      <c r="A214" s="37" t="s">
        <v>18</v>
      </c>
      <c r="B214" s="38">
        <v>33039.117400000003</v>
      </c>
      <c r="C214" s="39">
        <v>17</v>
      </c>
      <c r="E214" s="29"/>
      <c r="F214" s="29"/>
      <c r="G214" s="29"/>
      <c r="H214" s="29"/>
      <c r="I214" s="29"/>
      <c r="J214" s="29"/>
      <c r="K214" s="1"/>
      <c r="L214" s="29"/>
      <c r="M214" s="29"/>
      <c r="N214" s="29"/>
      <c r="O214" s="29"/>
      <c r="P214" s="29"/>
      <c r="Q214" s="29"/>
      <c r="R214" s="29"/>
      <c r="S214" s="29"/>
      <c r="T214" s="39">
        <v>5.91</v>
      </c>
      <c r="U214" s="29"/>
      <c r="V214" s="29"/>
      <c r="W214" s="1"/>
      <c r="X214" s="29"/>
      <c r="Y214" s="29"/>
      <c r="Z214" s="29"/>
      <c r="AA214" s="29"/>
      <c r="AB214" s="29"/>
      <c r="AC214" s="29"/>
      <c r="AD214" s="29"/>
      <c r="AE214" s="29"/>
      <c r="AF214" s="29"/>
      <c r="AG214" s="1"/>
      <c r="AH214" s="1"/>
      <c r="AI214" s="29" t="str">
        <f t="shared" si="3"/>
        <v/>
      </c>
      <c r="AK214" s="29"/>
      <c r="AL214" s="29"/>
      <c r="AM214" s="29"/>
      <c r="AN214" s="29"/>
      <c r="AO214" s="29"/>
      <c r="AP214" s="29"/>
      <c r="AQ214" s="29"/>
      <c r="AR214" s="29"/>
      <c r="AS214" s="62"/>
      <c r="AT214" s="62"/>
      <c r="AU214" s="62"/>
      <c r="AV214" s="62"/>
      <c r="AW214" s="62"/>
      <c r="AX214" s="62"/>
      <c r="AY214" s="29"/>
      <c r="AZ214" s="29"/>
      <c r="BA214" s="29"/>
      <c r="BB214" s="29"/>
      <c r="BC214" s="28"/>
      <c r="BD214" s="28"/>
    </row>
    <row r="215" spans="1:56">
      <c r="A215" s="37" t="s">
        <v>18</v>
      </c>
      <c r="B215" s="38">
        <v>33130.427949999998</v>
      </c>
      <c r="C215" s="39">
        <v>17.25</v>
      </c>
      <c r="E215" s="29"/>
      <c r="F215" s="29"/>
      <c r="G215" s="29"/>
      <c r="H215" s="29"/>
      <c r="I215" s="29"/>
      <c r="J215" s="29"/>
      <c r="K215" s="1"/>
      <c r="L215" s="29"/>
      <c r="M215" s="29"/>
      <c r="N215" s="29"/>
      <c r="O215" s="29"/>
      <c r="P215" s="29"/>
      <c r="Q215" s="29"/>
      <c r="R215" s="29"/>
      <c r="S215" s="29"/>
      <c r="T215" s="39">
        <v>5.93</v>
      </c>
      <c r="U215" s="29"/>
      <c r="V215" s="29"/>
      <c r="W215" s="1"/>
      <c r="X215" s="29"/>
      <c r="Y215" s="29"/>
      <c r="Z215" s="29"/>
      <c r="AA215" s="29"/>
      <c r="AB215" s="29"/>
      <c r="AC215" s="29"/>
      <c r="AD215" s="29"/>
      <c r="AE215" s="29"/>
      <c r="AF215" s="29"/>
      <c r="AG215" s="1"/>
      <c r="AH215" s="1"/>
      <c r="AI215" s="29" t="str">
        <f t="shared" si="3"/>
        <v/>
      </c>
      <c r="AK215" s="29"/>
      <c r="AL215" s="29"/>
      <c r="AM215" s="29"/>
      <c r="AN215" s="29"/>
      <c r="AO215" s="29"/>
      <c r="AP215" s="29"/>
      <c r="AQ215" s="29"/>
      <c r="AR215" s="29"/>
      <c r="AS215" s="62"/>
      <c r="AT215" s="62"/>
      <c r="AU215" s="62"/>
      <c r="AV215" s="62"/>
      <c r="AW215" s="62"/>
      <c r="AX215" s="62"/>
      <c r="AY215" s="29"/>
      <c r="AZ215" s="29"/>
      <c r="BA215" s="29"/>
      <c r="BB215" s="29"/>
      <c r="BC215" s="28"/>
      <c r="BD215" s="28"/>
    </row>
    <row r="216" spans="1:56">
      <c r="A216" s="37" t="s">
        <v>18</v>
      </c>
      <c r="B216" s="38">
        <v>33221.738499999999</v>
      </c>
      <c r="C216" s="39">
        <v>17.5</v>
      </c>
      <c r="E216" s="29"/>
      <c r="F216" s="29"/>
      <c r="G216" s="29"/>
      <c r="H216" s="29"/>
      <c r="I216" s="29"/>
      <c r="J216" s="29"/>
      <c r="K216" s="1"/>
      <c r="L216" s="29"/>
      <c r="M216" s="29"/>
      <c r="N216" s="29"/>
      <c r="O216" s="29"/>
      <c r="P216" s="29"/>
      <c r="Q216" s="29"/>
      <c r="R216" s="29"/>
      <c r="S216" s="29"/>
      <c r="T216" s="39">
        <v>5.66</v>
      </c>
      <c r="U216" s="29"/>
      <c r="V216" s="29"/>
      <c r="W216" s="1"/>
      <c r="X216" s="29"/>
      <c r="Y216" s="29"/>
      <c r="Z216" s="29"/>
      <c r="AA216" s="29"/>
      <c r="AB216" s="29"/>
      <c r="AC216" s="29"/>
      <c r="AD216" s="29"/>
      <c r="AE216" s="29"/>
      <c r="AF216" s="29"/>
      <c r="AG216" s="1"/>
      <c r="AH216" s="1"/>
      <c r="AI216" s="29" t="str">
        <f t="shared" si="3"/>
        <v/>
      </c>
      <c r="AK216" s="29"/>
      <c r="AL216" s="29"/>
      <c r="AM216" s="29"/>
      <c r="AN216" s="29"/>
      <c r="AO216" s="29"/>
      <c r="AP216" s="29"/>
      <c r="AQ216" s="29"/>
      <c r="AR216" s="29"/>
      <c r="AS216" s="62"/>
      <c r="AT216" s="62"/>
      <c r="AU216" s="62"/>
      <c r="AV216" s="62"/>
      <c r="AW216" s="62"/>
      <c r="AX216" s="62"/>
      <c r="AY216" s="29"/>
      <c r="AZ216" s="29"/>
      <c r="BA216" s="29"/>
      <c r="BB216" s="29"/>
      <c r="BC216" s="28"/>
      <c r="BD216" s="28"/>
    </row>
    <row r="217" spans="1:56">
      <c r="A217" s="37" t="s">
        <v>18</v>
      </c>
      <c r="B217" s="38">
        <v>33313.049050000001</v>
      </c>
      <c r="C217" s="39">
        <v>17.75</v>
      </c>
      <c r="E217" s="29"/>
      <c r="F217" s="29"/>
      <c r="G217" s="29"/>
      <c r="H217" s="29"/>
      <c r="I217" s="29"/>
      <c r="J217" s="29"/>
      <c r="K217" s="1"/>
      <c r="L217" s="29"/>
      <c r="M217" s="29"/>
      <c r="N217" s="29"/>
      <c r="O217" s="29"/>
      <c r="P217" s="29"/>
      <c r="Q217" s="29"/>
      <c r="R217" s="29"/>
      <c r="S217" s="29"/>
      <c r="T217" s="39">
        <v>6.38</v>
      </c>
      <c r="U217" s="29"/>
      <c r="V217" s="29"/>
      <c r="W217" s="1"/>
      <c r="X217" s="29"/>
      <c r="Y217" s="29"/>
      <c r="Z217" s="29"/>
      <c r="AA217" s="29"/>
      <c r="AB217" s="29"/>
      <c r="AC217" s="29"/>
      <c r="AD217" s="29"/>
      <c r="AE217" s="29"/>
      <c r="AF217" s="29"/>
      <c r="AG217" s="1"/>
      <c r="AH217" s="1"/>
      <c r="AI217" s="29" t="str">
        <f t="shared" si="3"/>
        <v/>
      </c>
      <c r="AK217" s="29"/>
      <c r="AL217" s="29"/>
      <c r="AM217" s="29"/>
      <c r="AN217" s="29"/>
      <c r="AO217" s="29"/>
      <c r="AP217" s="29"/>
      <c r="AQ217" s="29"/>
      <c r="AR217" s="29"/>
      <c r="AS217" s="62"/>
      <c r="AT217" s="62"/>
      <c r="AU217" s="62"/>
      <c r="AV217" s="62"/>
      <c r="AW217" s="62"/>
      <c r="AX217" s="62"/>
      <c r="AY217" s="29"/>
      <c r="AZ217" s="29"/>
      <c r="BA217" s="29"/>
      <c r="BB217" s="29"/>
      <c r="BC217" s="28"/>
      <c r="BD217" s="28"/>
    </row>
    <row r="218" spans="1:56">
      <c r="A218" s="37" t="s">
        <v>18</v>
      </c>
      <c r="B218" s="38">
        <v>33404.359600000003</v>
      </c>
      <c r="C218" s="39">
        <v>18</v>
      </c>
      <c r="E218" s="29"/>
      <c r="F218" s="29"/>
      <c r="G218" s="29"/>
      <c r="H218" s="29"/>
      <c r="I218" s="29"/>
      <c r="J218" s="29"/>
      <c r="K218" s="1"/>
      <c r="L218" s="29"/>
      <c r="M218" s="29"/>
      <c r="N218" s="29"/>
      <c r="O218" s="29"/>
      <c r="P218" s="29"/>
      <c r="Q218" s="29"/>
      <c r="R218" s="29"/>
      <c r="S218" s="29"/>
      <c r="T218" s="39">
        <v>5.67</v>
      </c>
      <c r="U218" s="29"/>
      <c r="V218" s="29"/>
      <c r="W218" s="1"/>
      <c r="X218" s="29"/>
      <c r="Y218" s="29"/>
      <c r="Z218" s="29"/>
      <c r="AA218" s="29"/>
      <c r="AB218" s="29"/>
      <c r="AC218" s="29"/>
      <c r="AD218" s="29"/>
      <c r="AE218" s="29"/>
      <c r="AF218" s="29"/>
      <c r="AG218" s="1"/>
      <c r="AH218" s="1"/>
      <c r="AI218" s="29" t="str">
        <f t="shared" si="3"/>
        <v/>
      </c>
      <c r="AK218" s="29"/>
      <c r="AL218" s="29"/>
      <c r="AM218" s="29"/>
      <c r="AN218" s="29"/>
      <c r="AO218" s="29"/>
      <c r="AP218" s="29"/>
      <c r="AQ218" s="29"/>
      <c r="AR218" s="29"/>
      <c r="AS218" s="62"/>
      <c r="AT218" s="62"/>
      <c r="AU218" s="62"/>
      <c r="AV218" s="62"/>
      <c r="AW218" s="62"/>
      <c r="AX218" s="62"/>
      <c r="AY218" s="29"/>
      <c r="AZ218" s="29"/>
      <c r="BA218" s="29"/>
      <c r="BB218" s="29"/>
      <c r="BC218" s="28"/>
      <c r="BD218" s="28"/>
    </row>
    <row r="219" spans="1:56">
      <c r="A219" s="37" t="s">
        <v>18</v>
      </c>
      <c r="B219" s="38">
        <v>33495.670149999998</v>
      </c>
      <c r="C219" s="39">
        <v>18.25</v>
      </c>
      <c r="E219" s="29"/>
      <c r="F219" s="29"/>
      <c r="G219" s="29"/>
      <c r="H219" s="29"/>
      <c r="I219" s="29"/>
      <c r="J219" s="29"/>
      <c r="K219" s="1"/>
      <c r="L219" s="29"/>
      <c r="M219" s="29"/>
      <c r="N219" s="29"/>
      <c r="O219" s="29"/>
      <c r="P219" s="29"/>
      <c r="Q219" s="29"/>
      <c r="R219" s="29"/>
      <c r="S219" s="29"/>
      <c r="T219" s="39">
        <v>4.78</v>
      </c>
      <c r="U219" s="29"/>
      <c r="V219" s="29"/>
      <c r="W219" s="1"/>
      <c r="X219" s="29"/>
      <c r="Y219" s="29"/>
      <c r="Z219" s="29"/>
      <c r="AA219" s="29"/>
      <c r="AB219" s="29"/>
      <c r="AC219" s="29"/>
      <c r="AD219" s="29"/>
      <c r="AE219" s="29"/>
      <c r="AF219" s="29"/>
      <c r="AG219" s="1"/>
      <c r="AH219" s="1"/>
      <c r="AI219" s="29" t="str">
        <f t="shared" si="3"/>
        <v/>
      </c>
      <c r="AK219" s="29"/>
      <c r="AL219" s="29"/>
      <c r="AM219" s="29"/>
      <c r="AN219" s="29"/>
      <c r="AO219" s="29"/>
      <c r="AP219" s="29"/>
      <c r="AQ219" s="29"/>
      <c r="AR219" s="29"/>
      <c r="AS219" s="62"/>
      <c r="AT219" s="62"/>
      <c r="AU219" s="62"/>
      <c r="AV219" s="62"/>
      <c r="AW219" s="62"/>
      <c r="AX219" s="62"/>
      <c r="AY219" s="29"/>
      <c r="AZ219" s="29"/>
      <c r="BA219" s="29"/>
      <c r="BB219" s="29"/>
      <c r="BC219" s="28"/>
      <c r="BD219" s="28"/>
    </row>
    <row r="220" spans="1:56">
      <c r="A220" s="37" t="s">
        <v>18</v>
      </c>
      <c r="B220" s="38">
        <v>33586.9807</v>
      </c>
      <c r="C220" s="39">
        <v>18.5</v>
      </c>
      <c r="E220" s="29"/>
      <c r="F220" s="29"/>
      <c r="G220" s="29"/>
      <c r="H220" s="29"/>
      <c r="I220" s="29"/>
      <c r="J220" s="29"/>
      <c r="K220" s="1"/>
      <c r="L220" s="29"/>
      <c r="M220" s="29"/>
      <c r="N220" s="29"/>
      <c r="O220" s="29"/>
      <c r="P220" s="29"/>
      <c r="Q220" s="29"/>
      <c r="R220" s="29"/>
      <c r="S220" s="29"/>
      <c r="T220" s="39"/>
      <c r="U220" s="29"/>
      <c r="V220" s="29"/>
      <c r="W220" s="1"/>
      <c r="X220" s="29"/>
      <c r="Y220" s="29"/>
      <c r="Z220" s="29"/>
      <c r="AA220" s="29"/>
      <c r="AB220" s="29"/>
      <c r="AC220" s="29"/>
      <c r="AD220" s="29"/>
      <c r="AE220" s="29"/>
      <c r="AF220" s="29"/>
      <c r="AG220" s="1"/>
      <c r="AH220" s="1"/>
      <c r="AI220" s="29" t="str">
        <f t="shared" si="3"/>
        <v/>
      </c>
      <c r="AK220" s="29"/>
      <c r="AL220" s="29"/>
      <c r="AM220" s="29"/>
      <c r="AN220" s="29"/>
      <c r="AO220" s="29"/>
      <c r="AP220" s="29"/>
      <c r="AQ220" s="29"/>
      <c r="AR220" s="29"/>
      <c r="AS220" s="62"/>
      <c r="AT220" s="62"/>
      <c r="AU220" s="62"/>
      <c r="AV220" s="62"/>
      <c r="AW220" s="62"/>
      <c r="AX220" s="62"/>
      <c r="AY220" s="29"/>
      <c r="AZ220" s="29"/>
      <c r="BA220" s="29"/>
      <c r="BB220" s="29"/>
      <c r="BC220" s="28"/>
      <c r="BD220" s="28"/>
    </row>
    <row r="221" spans="1:56">
      <c r="A221" s="37" t="s">
        <v>18</v>
      </c>
      <c r="B221" s="38">
        <v>33678.291250000002</v>
      </c>
      <c r="C221" s="39">
        <v>18.75</v>
      </c>
      <c r="E221" s="29"/>
      <c r="F221" s="29"/>
      <c r="G221" s="29"/>
      <c r="H221" s="29"/>
      <c r="I221" s="29"/>
      <c r="J221" s="29"/>
      <c r="K221" s="1"/>
      <c r="L221" s="29"/>
      <c r="M221" s="29"/>
      <c r="N221" s="29"/>
      <c r="O221" s="29"/>
      <c r="P221" s="29"/>
      <c r="Q221" s="29"/>
      <c r="R221" s="29"/>
      <c r="S221" s="29"/>
      <c r="T221" s="39">
        <v>6.08</v>
      </c>
      <c r="U221" s="29"/>
      <c r="V221" s="29"/>
      <c r="W221" s="1"/>
      <c r="X221" s="29"/>
      <c r="Y221" s="29"/>
      <c r="Z221" s="29"/>
      <c r="AA221" s="29"/>
      <c r="AB221" s="29"/>
      <c r="AC221" s="29"/>
      <c r="AD221" s="29"/>
      <c r="AE221" s="29"/>
      <c r="AF221" s="29"/>
      <c r="AG221" s="1"/>
      <c r="AH221" s="1"/>
      <c r="AI221" s="29" t="str">
        <f t="shared" si="3"/>
        <v/>
      </c>
      <c r="AK221" s="29"/>
      <c r="AL221" s="29"/>
      <c r="AM221" s="29"/>
      <c r="AN221" s="29"/>
      <c r="AO221" s="29"/>
      <c r="AP221" s="29"/>
      <c r="AQ221" s="29"/>
      <c r="AR221" s="29"/>
      <c r="AS221" s="62"/>
      <c r="AT221" s="62"/>
      <c r="AU221" s="62"/>
      <c r="AV221" s="62"/>
      <c r="AW221" s="62"/>
      <c r="AX221" s="62"/>
      <c r="AY221" s="29"/>
      <c r="AZ221" s="29"/>
      <c r="BA221" s="29"/>
      <c r="BB221" s="29"/>
      <c r="BC221" s="28"/>
      <c r="BD221" s="28"/>
    </row>
    <row r="222" spans="1:56">
      <c r="A222" s="37" t="s">
        <v>18</v>
      </c>
      <c r="B222" s="38">
        <v>33769.601800000004</v>
      </c>
      <c r="C222" s="39">
        <v>19</v>
      </c>
      <c r="E222" s="29"/>
      <c r="F222" s="29"/>
      <c r="G222" s="29"/>
      <c r="H222" s="29"/>
      <c r="I222" s="29"/>
      <c r="J222" s="29"/>
      <c r="K222" s="1"/>
      <c r="L222" s="29"/>
      <c r="M222" s="29"/>
      <c r="N222" s="29"/>
      <c r="O222" s="29"/>
      <c r="P222" s="29"/>
      <c r="Q222" s="29"/>
      <c r="R222" s="29"/>
      <c r="S222" s="29"/>
      <c r="T222" s="39">
        <v>5.88</v>
      </c>
      <c r="U222" s="29"/>
      <c r="V222" s="29"/>
      <c r="W222" s="1"/>
      <c r="X222" s="29"/>
      <c r="Y222" s="29"/>
      <c r="Z222" s="29"/>
      <c r="AA222" s="29"/>
      <c r="AB222" s="29"/>
      <c r="AC222" s="29"/>
      <c r="AD222" s="29"/>
      <c r="AE222" s="29"/>
      <c r="AF222" s="29"/>
      <c r="AG222" s="1"/>
      <c r="AH222" s="1"/>
      <c r="AI222" s="29" t="str">
        <f t="shared" si="3"/>
        <v/>
      </c>
      <c r="AK222" s="29"/>
      <c r="AL222" s="29"/>
      <c r="AM222" s="29"/>
      <c r="AN222" s="29"/>
      <c r="AO222" s="29"/>
      <c r="AP222" s="29"/>
      <c r="AQ222" s="29"/>
      <c r="AR222" s="29"/>
      <c r="AS222" s="62"/>
      <c r="AT222" s="62"/>
      <c r="AU222" s="62"/>
      <c r="AV222" s="62"/>
      <c r="AW222" s="62"/>
      <c r="AX222" s="62"/>
      <c r="AY222" s="29"/>
      <c r="AZ222" s="29"/>
      <c r="BA222" s="29"/>
      <c r="BB222" s="29"/>
      <c r="BC222" s="28"/>
      <c r="BD222" s="28"/>
    </row>
    <row r="223" spans="1:56">
      <c r="A223" s="37" t="s">
        <v>18</v>
      </c>
      <c r="B223" s="38">
        <v>34134.843999999997</v>
      </c>
      <c r="C223" s="39">
        <v>20</v>
      </c>
      <c r="E223" s="29"/>
      <c r="F223" s="29"/>
      <c r="G223" s="29"/>
      <c r="H223" s="29"/>
      <c r="I223" s="29"/>
      <c r="J223" s="29"/>
      <c r="K223" s="1"/>
      <c r="L223" s="29"/>
      <c r="M223" s="29"/>
      <c r="N223" s="29"/>
      <c r="O223" s="29"/>
      <c r="P223" s="29"/>
      <c r="Q223" s="29"/>
      <c r="R223" s="29"/>
      <c r="S223" s="29"/>
      <c r="T223" s="37"/>
      <c r="U223" s="29"/>
      <c r="V223" s="29"/>
      <c r="W223" s="1"/>
      <c r="X223" s="29"/>
      <c r="Y223" s="29"/>
      <c r="Z223" s="29"/>
      <c r="AA223" s="29"/>
      <c r="AB223" s="29"/>
      <c r="AC223" s="29"/>
      <c r="AD223" s="29"/>
      <c r="AE223" s="29"/>
      <c r="AF223" s="29"/>
      <c r="AG223" s="1"/>
      <c r="AH223" s="1"/>
      <c r="AI223" s="29" t="str">
        <f t="shared" si="3"/>
        <v/>
      </c>
      <c r="AK223" s="29"/>
      <c r="AL223" s="29"/>
      <c r="AM223" s="29"/>
      <c r="AN223" s="29"/>
      <c r="AO223" s="29"/>
      <c r="AP223" s="29"/>
      <c r="AQ223" s="29"/>
      <c r="AR223" s="29"/>
      <c r="AS223" s="62"/>
      <c r="AT223" s="62"/>
      <c r="AU223" s="62"/>
      <c r="AV223" s="62"/>
      <c r="AW223" s="62"/>
      <c r="AX223" s="62"/>
      <c r="AY223" s="29"/>
      <c r="AZ223" s="29"/>
      <c r="BA223" s="29"/>
      <c r="BB223" s="29"/>
      <c r="BC223" s="28"/>
      <c r="BD223" s="28"/>
    </row>
    <row r="224" spans="1:56">
      <c r="A224" s="1" t="s">
        <v>4</v>
      </c>
      <c r="B224" s="16">
        <v>26831</v>
      </c>
      <c r="C224" s="8">
        <v>2.7000000000000001E-3</v>
      </c>
      <c r="D224" s="3">
        <v>100</v>
      </c>
      <c r="E224" s="3">
        <v>997</v>
      </c>
      <c r="G224" s="1"/>
      <c r="I224" s="1"/>
      <c r="J224" s="1"/>
      <c r="K224" s="1"/>
      <c r="L224" s="1"/>
      <c r="M224" s="1"/>
      <c r="N224" s="1"/>
      <c r="O224" s="1"/>
      <c r="P224" s="1"/>
      <c r="Q224" s="1"/>
      <c r="S224" s="1"/>
      <c r="X224" s="1"/>
      <c r="Y224" s="1"/>
      <c r="AA224" s="1"/>
      <c r="AB224" s="1"/>
      <c r="AC224" s="1"/>
      <c r="AD224" s="1"/>
      <c r="AE224" s="1"/>
      <c r="AF224" s="1"/>
      <c r="AG224" s="1"/>
      <c r="AH224" s="1"/>
      <c r="AI224" s="29" t="str">
        <f t="shared" si="3"/>
        <v/>
      </c>
      <c r="AJ224" s="1"/>
      <c r="AK224" s="1"/>
      <c r="AL224" s="1"/>
      <c r="AM224" s="1"/>
      <c r="AN224" s="1"/>
      <c r="AO224" s="1"/>
      <c r="AP224" s="1"/>
      <c r="AQ224" s="1"/>
      <c r="AR224" s="1"/>
      <c r="AS224" s="60"/>
      <c r="AT224" s="60"/>
      <c r="AU224" s="60"/>
      <c r="AV224" s="60"/>
      <c r="AW224" s="60"/>
      <c r="AX224" s="56"/>
      <c r="BA224" s="1" t="s">
        <v>11</v>
      </c>
      <c r="BB224" s="1"/>
      <c r="BC224" s="1"/>
    </row>
    <row r="225" spans="1:55">
      <c r="A225" s="1" t="s">
        <v>5</v>
      </c>
      <c r="B225" s="16">
        <v>26831</v>
      </c>
      <c r="C225" s="8">
        <v>2.7000000000000001E-3</v>
      </c>
      <c r="D225" s="3">
        <v>100</v>
      </c>
      <c r="E225" s="3">
        <v>997</v>
      </c>
      <c r="G225" s="1"/>
      <c r="I225" s="1"/>
      <c r="J225" s="1"/>
      <c r="K225" s="1"/>
      <c r="L225" s="1"/>
      <c r="M225" s="1"/>
      <c r="N225" s="1"/>
      <c r="O225" s="1"/>
      <c r="P225" s="1"/>
      <c r="Q225" s="1"/>
      <c r="S225" s="1"/>
      <c r="X225" s="1"/>
      <c r="Y225" s="1"/>
      <c r="AA225" s="1"/>
      <c r="AB225" s="1"/>
      <c r="AC225" s="1"/>
      <c r="AD225" s="1"/>
      <c r="AE225" s="1"/>
      <c r="AF225" s="1"/>
      <c r="AG225" s="1"/>
      <c r="AH225" s="1"/>
      <c r="AI225" s="29" t="str">
        <f t="shared" si="3"/>
        <v/>
      </c>
      <c r="AJ225" s="1"/>
      <c r="AK225" s="1"/>
      <c r="AL225" s="1"/>
      <c r="AM225" s="1"/>
      <c r="AN225" s="1"/>
      <c r="AO225" s="1"/>
      <c r="AP225" s="1"/>
      <c r="AQ225" s="1"/>
      <c r="AR225" s="1"/>
      <c r="AS225" s="60"/>
      <c r="AT225" s="60"/>
      <c r="AU225" s="60"/>
      <c r="AV225" s="60"/>
      <c r="AW225" s="60"/>
      <c r="AX225" s="56"/>
      <c r="BA225" s="1" t="s">
        <v>11</v>
      </c>
      <c r="BB225" s="1"/>
      <c r="BC225" s="1"/>
    </row>
    <row r="226" spans="1:55">
      <c r="A226" s="1" t="s">
        <v>6</v>
      </c>
      <c r="B226" s="16">
        <v>26831</v>
      </c>
      <c r="C226" s="8">
        <v>2.7000000000000001E-3</v>
      </c>
      <c r="D226" s="3">
        <v>100</v>
      </c>
      <c r="E226" s="3">
        <v>997</v>
      </c>
      <c r="G226" s="1"/>
      <c r="I226" s="1"/>
      <c r="J226" s="1"/>
      <c r="K226" s="1"/>
      <c r="L226" s="1"/>
      <c r="M226" s="1"/>
      <c r="N226" s="1"/>
      <c r="O226" s="1"/>
      <c r="P226" s="1"/>
      <c r="Q226" s="1"/>
      <c r="S226" s="1"/>
      <c r="X226" s="1"/>
      <c r="Y226" s="1"/>
      <c r="AA226" s="1"/>
      <c r="AB226" s="1"/>
      <c r="AC226" s="1"/>
      <c r="AD226" s="1"/>
      <c r="AE226" s="1"/>
      <c r="AF226" s="1"/>
      <c r="AG226" s="1"/>
      <c r="AH226" s="1"/>
      <c r="AI226" s="29" t="str">
        <f t="shared" si="3"/>
        <v/>
      </c>
      <c r="AJ226" s="1"/>
      <c r="AK226" s="1"/>
      <c r="AL226" s="1"/>
      <c r="AM226" s="1"/>
      <c r="AN226" s="1"/>
      <c r="AO226" s="1"/>
      <c r="AP226" s="1"/>
      <c r="AQ226" s="1"/>
      <c r="AR226" s="1"/>
      <c r="AS226" s="60"/>
      <c r="AT226" s="60"/>
      <c r="AU226" s="60"/>
      <c r="AV226" s="60"/>
      <c r="AW226" s="60"/>
      <c r="AX226" s="56"/>
      <c r="BA226" s="1" t="s">
        <v>11</v>
      </c>
      <c r="BB226" s="1"/>
      <c r="BC226" s="1"/>
    </row>
    <row r="227" spans="1:55">
      <c r="A227" s="1" t="s">
        <v>16</v>
      </c>
      <c r="B227" s="16">
        <v>26831</v>
      </c>
      <c r="C227" s="8">
        <v>2.7000000000000001E-3</v>
      </c>
      <c r="D227" s="3">
        <v>100</v>
      </c>
      <c r="E227" s="3">
        <v>997</v>
      </c>
      <c r="G227" s="1"/>
      <c r="I227" s="1"/>
      <c r="J227" s="1"/>
      <c r="K227" s="1"/>
      <c r="L227" s="1"/>
      <c r="M227" s="1"/>
      <c r="N227" s="1"/>
      <c r="O227" s="1"/>
      <c r="P227" s="1"/>
      <c r="Q227" s="1"/>
      <c r="S227" s="1"/>
      <c r="X227" s="1"/>
      <c r="Y227" s="1"/>
      <c r="AA227" s="1"/>
      <c r="AB227" s="1"/>
      <c r="AC227" s="1"/>
      <c r="AD227" s="1"/>
      <c r="AE227" s="1"/>
      <c r="AF227" s="1"/>
      <c r="AG227" s="1"/>
      <c r="AH227" s="1"/>
      <c r="AI227" s="29" t="str">
        <f t="shared" si="3"/>
        <v/>
      </c>
      <c r="AJ227" s="1"/>
      <c r="AK227" s="1"/>
      <c r="AL227" s="1"/>
      <c r="AM227" s="1"/>
      <c r="AN227" s="1"/>
      <c r="AO227" s="1"/>
      <c r="AP227" s="1"/>
      <c r="AQ227" s="1"/>
      <c r="AR227" s="1"/>
      <c r="AS227" s="60"/>
      <c r="AT227" s="60"/>
      <c r="AU227" s="60"/>
      <c r="AV227" s="60"/>
      <c r="AW227" s="60"/>
      <c r="AX227" s="56"/>
      <c r="BA227" s="1" t="s">
        <v>11</v>
      </c>
      <c r="BB227" s="1"/>
      <c r="BC227" s="1"/>
    </row>
    <row r="228" spans="1:55">
      <c r="A228" s="1" t="s">
        <v>16</v>
      </c>
      <c r="B228" s="16">
        <v>26831</v>
      </c>
      <c r="C228" s="8">
        <v>2.7000000000000001E-3</v>
      </c>
      <c r="D228" s="3">
        <v>100</v>
      </c>
      <c r="E228" s="3">
        <v>997</v>
      </c>
      <c r="G228" s="1"/>
      <c r="I228" s="1"/>
      <c r="J228" s="1"/>
      <c r="K228" s="1"/>
      <c r="L228" s="1"/>
      <c r="M228" s="1"/>
      <c r="N228" s="1"/>
      <c r="O228" s="1"/>
      <c r="P228" s="1"/>
      <c r="Q228" s="1"/>
      <c r="S228" s="1"/>
      <c r="X228" s="1"/>
      <c r="Y228" s="1"/>
      <c r="AA228" s="1"/>
      <c r="AB228" s="1"/>
      <c r="AC228" s="1"/>
      <c r="AD228" s="1"/>
      <c r="AE228" s="1"/>
      <c r="AF228" s="1"/>
      <c r="AG228" s="1"/>
      <c r="AH228" s="1"/>
      <c r="AI228" s="29" t="str">
        <f t="shared" si="3"/>
        <v/>
      </c>
      <c r="AJ228" s="1"/>
      <c r="AK228" s="1"/>
      <c r="AL228" s="1"/>
      <c r="AM228" s="1"/>
      <c r="AN228" s="1"/>
      <c r="AO228" s="1"/>
      <c r="AP228" s="1"/>
      <c r="AQ228" s="1"/>
      <c r="AR228" s="1"/>
      <c r="AS228" s="60"/>
      <c r="AT228" s="60"/>
      <c r="AU228" s="60"/>
      <c r="AV228" s="60"/>
      <c r="AW228" s="60"/>
      <c r="AX228" s="56"/>
      <c r="BA228" s="1" t="s">
        <v>11</v>
      </c>
      <c r="BB228" s="1"/>
      <c r="BC228" s="1"/>
    </row>
    <row r="229" spans="1:55">
      <c r="A229" s="1" t="s">
        <v>9</v>
      </c>
      <c r="B229" s="16">
        <v>26831</v>
      </c>
      <c r="C229" s="8">
        <v>2.7000000000000001E-3</v>
      </c>
      <c r="D229" s="3">
        <v>100</v>
      </c>
      <c r="E229" s="3">
        <v>997</v>
      </c>
      <c r="G229" s="1"/>
      <c r="I229" s="1"/>
      <c r="J229" s="1"/>
      <c r="K229" s="1"/>
      <c r="L229" s="1"/>
      <c r="M229" s="1"/>
      <c r="N229" s="1"/>
      <c r="O229" s="1"/>
      <c r="P229" s="1"/>
      <c r="Q229" s="1"/>
      <c r="S229" s="1"/>
      <c r="X229" s="1"/>
      <c r="Y229" s="1"/>
      <c r="AA229" s="1"/>
      <c r="AB229" s="1"/>
      <c r="AC229" s="1"/>
      <c r="AD229" s="1"/>
      <c r="AE229" s="1"/>
      <c r="AF229" s="1"/>
      <c r="AG229" s="1"/>
      <c r="AH229" s="1"/>
      <c r="AI229" s="29" t="str">
        <f t="shared" si="3"/>
        <v/>
      </c>
      <c r="AJ229" s="1"/>
      <c r="AK229" s="1"/>
      <c r="AL229" s="1"/>
      <c r="AM229" s="1"/>
      <c r="AN229" s="1"/>
      <c r="AO229" s="1"/>
      <c r="AP229" s="1"/>
      <c r="AQ229" s="1"/>
      <c r="AR229" s="1"/>
      <c r="AS229" s="60"/>
      <c r="AT229" s="60"/>
      <c r="AU229" s="60"/>
      <c r="AV229" s="60"/>
      <c r="AW229" s="60"/>
      <c r="AX229" s="56"/>
      <c r="BA229" s="1" t="s">
        <v>11</v>
      </c>
      <c r="BB229" s="1"/>
      <c r="BC229" s="1"/>
    </row>
    <row r="230" spans="1:55">
      <c r="A230" s="1" t="s">
        <v>17</v>
      </c>
      <c r="B230" s="16">
        <v>26831</v>
      </c>
      <c r="C230" s="8">
        <v>2.7000000000000001E-3</v>
      </c>
      <c r="D230" s="3">
        <v>100</v>
      </c>
      <c r="E230" s="3">
        <v>997</v>
      </c>
      <c r="G230" s="1"/>
      <c r="I230" s="1"/>
      <c r="J230" s="1"/>
      <c r="K230" s="1"/>
      <c r="L230" s="1"/>
      <c r="M230" s="1"/>
      <c r="N230" s="1"/>
      <c r="O230" s="1"/>
      <c r="P230" s="1"/>
      <c r="Q230" s="1"/>
      <c r="S230" s="1"/>
      <c r="X230" s="1"/>
      <c r="Y230" s="1"/>
      <c r="AA230" s="1"/>
      <c r="AB230" s="1"/>
      <c r="AC230" s="1"/>
      <c r="AD230" s="1"/>
      <c r="AE230" s="1"/>
      <c r="AF230" s="1"/>
      <c r="AG230" s="1"/>
      <c r="AH230" s="1"/>
      <c r="AI230" s="29" t="str">
        <f t="shared" si="3"/>
        <v/>
      </c>
      <c r="AJ230" s="1"/>
      <c r="AK230" s="1"/>
      <c r="AL230" s="1"/>
      <c r="AM230" s="1"/>
      <c r="AN230" s="1"/>
      <c r="AO230" s="1"/>
      <c r="AP230" s="1"/>
      <c r="AQ230" s="1"/>
      <c r="AR230" s="1"/>
      <c r="AS230" s="60"/>
      <c r="AT230" s="60"/>
      <c r="AU230" s="60"/>
      <c r="AV230" s="60"/>
      <c r="AW230" s="60"/>
      <c r="AX230" s="56"/>
      <c r="BA230" s="1" t="s">
        <v>11</v>
      </c>
      <c r="BB230" s="1"/>
      <c r="BC230" s="1"/>
    </row>
    <row r="231" spans="1:55">
      <c r="A231" s="1" t="s">
        <v>4</v>
      </c>
      <c r="B231" s="16">
        <v>30483</v>
      </c>
      <c r="C231" s="23">
        <v>10</v>
      </c>
      <c r="D231" s="20">
        <f>E231/997*100</f>
        <v>62.688064192577727</v>
      </c>
      <c r="E231" s="1">
        <v>625</v>
      </c>
      <c r="G231" s="1"/>
      <c r="I231" s="1"/>
      <c r="J231" s="1"/>
      <c r="K231" s="1"/>
      <c r="L231" s="1"/>
      <c r="M231" s="1"/>
      <c r="N231" s="1"/>
      <c r="O231" s="1"/>
      <c r="P231" s="1"/>
      <c r="Q231" s="1"/>
      <c r="S231" s="1"/>
      <c r="X231" s="1"/>
      <c r="Y231" s="1"/>
      <c r="AA231" s="1"/>
      <c r="AB231" s="1"/>
      <c r="AC231" s="1"/>
      <c r="AD231" s="1"/>
      <c r="AE231" s="1"/>
      <c r="AF231" s="1"/>
      <c r="AG231" s="1"/>
      <c r="AH231" s="1"/>
      <c r="AI231" s="29" t="str">
        <f t="shared" si="3"/>
        <v/>
      </c>
      <c r="AJ231" s="1"/>
      <c r="AK231" s="1"/>
      <c r="AL231" s="1"/>
      <c r="AM231" s="1"/>
      <c r="AN231" s="1"/>
      <c r="AO231" s="1"/>
      <c r="AP231" s="1"/>
      <c r="AQ231" s="1"/>
      <c r="AR231" s="1"/>
      <c r="AS231" s="60"/>
      <c r="AT231" s="60"/>
      <c r="AU231" s="60"/>
      <c r="AV231" s="60"/>
      <c r="AW231" s="60"/>
      <c r="AX231" s="56"/>
      <c r="BA231" s="1" t="s">
        <v>11</v>
      </c>
      <c r="BB231" s="1"/>
      <c r="BC231" s="1"/>
    </row>
    <row r="232" spans="1:55">
      <c r="A232" s="1" t="s">
        <v>5</v>
      </c>
      <c r="B232" s="16">
        <v>30483</v>
      </c>
      <c r="C232" s="23">
        <v>10</v>
      </c>
      <c r="D232" s="20">
        <f t="shared" ref="D232:D236" si="4">E232/997*100</f>
        <v>60.080240722166501</v>
      </c>
      <c r="E232" s="1">
        <v>599</v>
      </c>
      <c r="G232" s="1"/>
      <c r="I232" s="1"/>
      <c r="J232" s="1"/>
      <c r="K232" s="1"/>
      <c r="L232" s="1"/>
      <c r="M232" s="1"/>
      <c r="N232" s="1"/>
      <c r="O232" s="1"/>
      <c r="P232" s="1"/>
      <c r="Q232" s="1"/>
      <c r="S232" s="1"/>
      <c r="X232" s="1"/>
      <c r="Y232" s="1"/>
      <c r="AA232" s="1"/>
      <c r="AB232" s="1"/>
      <c r="AC232" s="1"/>
      <c r="AD232" s="1"/>
      <c r="AE232" s="1"/>
      <c r="AF232" s="1"/>
      <c r="AG232" s="1"/>
      <c r="AH232" s="1"/>
      <c r="AI232" s="29" t="str">
        <f t="shared" si="3"/>
        <v/>
      </c>
      <c r="AJ232" s="1"/>
      <c r="AK232" s="1"/>
      <c r="AL232" s="1"/>
      <c r="AM232" s="1"/>
      <c r="AN232" s="1"/>
      <c r="AO232" s="1"/>
      <c r="AP232" s="1"/>
      <c r="AQ232" s="1"/>
      <c r="AR232" s="1"/>
      <c r="AS232" s="60"/>
      <c r="AT232" s="60"/>
      <c r="AU232" s="60"/>
      <c r="AV232" s="60"/>
      <c r="AW232" s="60"/>
      <c r="AX232" s="56"/>
      <c r="BA232" s="1" t="s">
        <v>11</v>
      </c>
      <c r="BB232" s="1"/>
      <c r="BC232" s="1"/>
    </row>
    <row r="233" spans="1:55">
      <c r="A233" s="1" t="s">
        <v>6</v>
      </c>
      <c r="B233" s="16">
        <v>30483</v>
      </c>
      <c r="C233" s="23">
        <v>10</v>
      </c>
      <c r="D233" s="20">
        <f t="shared" si="4"/>
        <v>70.511534603811427</v>
      </c>
      <c r="E233" s="1">
        <v>703</v>
      </c>
      <c r="G233" s="1"/>
      <c r="I233" s="1"/>
      <c r="J233" s="1"/>
      <c r="K233" s="1"/>
      <c r="L233" s="1"/>
      <c r="M233" s="1"/>
      <c r="N233" s="1"/>
      <c r="O233" s="1"/>
      <c r="P233" s="1"/>
      <c r="Q233" s="1"/>
      <c r="S233" s="1"/>
      <c r="X233" s="1"/>
      <c r="Y233" s="1"/>
      <c r="AA233" s="1"/>
      <c r="AB233" s="1"/>
      <c r="AC233" s="1"/>
      <c r="AD233" s="1"/>
      <c r="AE233" s="1"/>
      <c r="AF233" s="1"/>
      <c r="AG233" s="1"/>
      <c r="AH233" s="1"/>
      <c r="AI233" s="29" t="str">
        <f t="shared" si="3"/>
        <v/>
      </c>
      <c r="AJ233" s="1"/>
      <c r="AK233" s="1"/>
      <c r="AL233" s="1"/>
      <c r="AM233" s="1"/>
      <c r="AN233" s="1"/>
      <c r="AO233" s="1"/>
      <c r="AP233" s="1"/>
      <c r="AQ233" s="1"/>
      <c r="AR233" s="1"/>
      <c r="AS233" s="60"/>
      <c r="AT233" s="60"/>
      <c r="AU233" s="60"/>
      <c r="AV233" s="60"/>
      <c r="AW233" s="60"/>
      <c r="AX233" s="56"/>
      <c r="BA233" s="1" t="s">
        <v>11</v>
      </c>
      <c r="BB233" s="1"/>
      <c r="BC233" s="1"/>
    </row>
    <row r="234" spans="1:55">
      <c r="A234" s="1" t="s">
        <v>16</v>
      </c>
      <c r="B234" s="16">
        <v>30483</v>
      </c>
      <c r="C234" s="23">
        <v>10</v>
      </c>
      <c r="D234" s="20">
        <f t="shared" si="4"/>
        <v>70.611835506519554</v>
      </c>
      <c r="E234" s="1">
        <v>704</v>
      </c>
      <c r="G234" s="1"/>
      <c r="I234" s="1"/>
      <c r="J234" s="1"/>
      <c r="K234" s="1"/>
      <c r="L234" s="1"/>
      <c r="M234" s="1"/>
      <c r="N234" s="1"/>
      <c r="O234" s="1"/>
      <c r="P234" s="1"/>
      <c r="Q234" s="1"/>
      <c r="S234" s="1"/>
      <c r="X234" s="1"/>
      <c r="Y234" s="1"/>
      <c r="AA234" s="1"/>
      <c r="AB234" s="1"/>
      <c r="AC234" s="1"/>
      <c r="AD234" s="1"/>
      <c r="AE234" s="1"/>
      <c r="AF234" s="1"/>
      <c r="AG234" s="1"/>
      <c r="AH234" s="1"/>
      <c r="AI234" s="29" t="str">
        <f t="shared" si="3"/>
        <v/>
      </c>
      <c r="AJ234" s="1"/>
      <c r="AK234" s="1"/>
      <c r="AL234" s="1"/>
      <c r="AM234" s="1"/>
      <c r="AN234" s="1"/>
      <c r="AO234" s="1"/>
      <c r="AP234" s="1"/>
      <c r="AQ234" s="1"/>
      <c r="AR234" s="1"/>
      <c r="AS234" s="60"/>
      <c r="AT234" s="60"/>
      <c r="AU234" s="60"/>
      <c r="AV234" s="60"/>
      <c r="AW234" s="60"/>
      <c r="AX234" s="56"/>
      <c r="BA234" s="1" t="s">
        <v>11</v>
      </c>
      <c r="BB234" s="1"/>
      <c r="BC234" s="1"/>
    </row>
    <row r="235" spans="1:55">
      <c r="A235" s="1" t="s">
        <v>16</v>
      </c>
      <c r="B235" s="16">
        <v>30483</v>
      </c>
      <c r="C235" s="23">
        <v>10</v>
      </c>
      <c r="G235" s="1"/>
      <c r="I235" s="1"/>
      <c r="J235" s="1"/>
      <c r="K235" s="1"/>
      <c r="L235" s="1"/>
      <c r="M235" s="1"/>
      <c r="N235" s="1"/>
      <c r="O235" s="1"/>
      <c r="P235" s="1"/>
      <c r="Q235" s="1"/>
      <c r="S235" s="1"/>
      <c r="X235" s="1"/>
      <c r="Y235" s="1"/>
      <c r="AA235" s="1"/>
      <c r="AB235" s="1"/>
      <c r="AC235" s="1"/>
      <c r="AD235" s="1"/>
      <c r="AE235" s="1"/>
      <c r="AF235" s="1"/>
      <c r="AG235" s="1"/>
      <c r="AH235" s="1"/>
      <c r="AI235" s="29" t="str">
        <f t="shared" si="3"/>
        <v/>
      </c>
      <c r="AJ235" s="1"/>
      <c r="AK235" s="1"/>
      <c r="AL235" s="1"/>
      <c r="AM235" s="1"/>
      <c r="AN235" s="1"/>
      <c r="AO235" s="1"/>
      <c r="AP235" s="1"/>
      <c r="AQ235" s="1"/>
      <c r="AR235" s="1"/>
      <c r="AS235" s="60"/>
      <c r="AT235" s="60"/>
      <c r="AU235" s="60"/>
      <c r="AV235" s="60"/>
      <c r="AW235" s="60"/>
      <c r="AX235" s="56"/>
      <c r="BA235" s="1" t="s">
        <v>11</v>
      </c>
      <c r="BB235" s="1"/>
      <c r="BC235" s="1"/>
    </row>
    <row r="236" spans="1:55">
      <c r="A236" s="1" t="s">
        <v>9</v>
      </c>
      <c r="B236" s="16">
        <v>30483</v>
      </c>
      <c r="C236" s="23">
        <v>10</v>
      </c>
      <c r="D236" s="20">
        <f t="shared" si="4"/>
        <v>74.824473420260787</v>
      </c>
      <c r="E236" s="19">
        <v>746</v>
      </c>
      <c r="G236" s="1"/>
      <c r="I236" s="1"/>
      <c r="J236" s="1"/>
      <c r="K236" s="1"/>
      <c r="L236" s="1"/>
      <c r="M236" s="1"/>
      <c r="N236" s="1"/>
      <c r="O236" s="1"/>
      <c r="P236" s="1"/>
      <c r="Q236" s="1"/>
      <c r="S236" s="1"/>
      <c r="X236" s="1"/>
      <c r="Y236" s="1"/>
      <c r="AA236" s="1"/>
      <c r="AB236" s="1"/>
      <c r="AC236" s="1"/>
      <c r="AD236" s="1"/>
      <c r="AE236" s="1"/>
      <c r="AF236" s="1"/>
      <c r="AG236" s="1"/>
      <c r="AH236" s="1"/>
      <c r="AI236" s="29" t="str">
        <f t="shared" si="3"/>
        <v/>
      </c>
      <c r="AJ236" s="1"/>
      <c r="AK236" s="1"/>
      <c r="AL236" s="1"/>
      <c r="AM236" s="1"/>
      <c r="AN236" s="1"/>
      <c r="AO236" s="1"/>
      <c r="AP236" s="1"/>
      <c r="AQ236" s="1"/>
      <c r="AR236" s="1"/>
      <c r="AS236" s="60"/>
      <c r="AT236" s="60"/>
      <c r="AU236" s="60"/>
      <c r="AV236" s="60"/>
      <c r="AW236" s="60"/>
      <c r="AX236" s="56"/>
      <c r="BA236" s="1" t="s">
        <v>11</v>
      </c>
      <c r="BB236" s="1"/>
      <c r="BC236" s="1"/>
    </row>
    <row r="237" spans="1:55">
      <c r="A237" s="1" t="s">
        <v>17</v>
      </c>
      <c r="B237" s="16">
        <v>30483</v>
      </c>
      <c r="C237" s="23">
        <v>10</v>
      </c>
      <c r="E237" s="20"/>
      <c r="G237" s="1"/>
      <c r="I237" s="1"/>
      <c r="J237" s="1"/>
      <c r="K237" s="1"/>
      <c r="L237" s="1"/>
      <c r="M237" s="1"/>
      <c r="N237" s="1"/>
      <c r="O237" s="1"/>
      <c r="P237" s="1"/>
      <c r="Q237" s="1"/>
      <c r="S237" s="1"/>
      <c r="X237" s="1"/>
      <c r="Y237" s="1"/>
      <c r="AA237" s="1"/>
      <c r="AB237" s="1"/>
      <c r="AC237" s="1"/>
      <c r="AD237" s="1"/>
      <c r="AE237" s="1"/>
      <c r="AF237" s="1"/>
      <c r="AG237" s="1"/>
      <c r="AH237" s="1"/>
      <c r="AI237" s="29" t="str">
        <f t="shared" si="3"/>
        <v/>
      </c>
      <c r="AJ237" s="1"/>
      <c r="AK237" s="1"/>
      <c r="AL237" s="1"/>
      <c r="AM237" s="1"/>
      <c r="AN237" s="1"/>
      <c r="AO237" s="1"/>
      <c r="AP237" s="1"/>
      <c r="AQ237" s="1"/>
      <c r="AR237" s="1"/>
      <c r="AS237" s="60"/>
      <c r="AT237" s="60"/>
      <c r="AU237" s="60"/>
      <c r="AV237" s="60"/>
      <c r="AW237" s="60"/>
      <c r="AX237" s="56"/>
      <c r="BA237" s="1" t="s">
        <v>11</v>
      </c>
      <c r="BB237" s="1"/>
      <c r="BC237" s="1"/>
    </row>
    <row r="238" spans="1:55" ht="15">
      <c r="A238" s="1" t="s">
        <v>4</v>
      </c>
      <c r="B238" s="5">
        <v>30862.66420000001</v>
      </c>
      <c r="C238" s="8">
        <v>11.041068638837487</v>
      </c>
      <c r="D238" s="6"/>
      <c r="E238" s="20"/>
      <c r="I238" s="6"/>
      <c r="J238" s="6"/>
      <c r="K238" s="6"/>
      <c r="L238" s="6"/>
      <c r="M238" s="6"/>
      <c r="O238" s="6"/>
      <c r="R238" s="6"/>
      <c r="S238" s="6"/>
      <c r="T238" s="6"/>
      <c r="U238" s="6"/>
      <c r="V238" s="6"/>
      <c r="W238" s="6"/>
      <c r="X238" s="9"/>
      <c r="Y238" s="9"/>
      <c r="Z238" s="4"/>
      <c r="AI238" s="29" t="str">
        <f t="shared" si="3"/>
        <v/>
      </c>
      <c r="AS238" s="56"/>
      <c r="AT238" s="56"/>
      <c r="AU238" s="56"/>
      <c r="AV238" s="56"/>
      <c r="AW238" s="56"/>
      <c r="AX238" s="56"/>
      <c r="BA238" s="1" t="s">
        <v>11</v>
      </c>
      <c r="BB238" s="9"/>
      <c r="BC238" s="9"/>
    </row>
    <row r="239" spans="1:55" ht="15">
      <c r="A239" s="1" t="s">
        <v>4</v>
      </c>
      <c r="B239" s="5">
        <v>31227.906400000011</v>
      </c>
      <c r="C239" s="8">
        <v>12.041068638837487</v>
      </c>
      <c r="D239" s="6"/>
      <c r="E239" s="20"/>
      <c r="I239" s="6"/>
      <c r="J239" s="6"/>
      <c r="K239" s="6"/>
      <c r="L239" s="6"/>
      <c r="M239" s="6"/>
      <c r="O239" s="6"/>
      <c r="R239" s="6"/>
      <c r="S239" s="6"/>
      <c r="T239" s="6"/>
      <c r="U239" s="6"/>
      <c r="V239" s="6"/>
      <c r="W239" s="6"/>
      <c r="X239" s="9"/>
      <c r="Y239" s="9"/>
      <c r="Z239" s="4"/>
      <c r="AI239" s="29" t="str">
        <f t="shared" si="3"/>
        <v/>
      </c>
      <c r="AS239" s="56"/>
      <c r="AT239" s="56"/>
      <c r="AU239" s="56"/>
      <c r="AV239" s="56"/>
      <c r="AW239" s="56"/>
      <c r="AX239" s="56"/>
      <c r="BA239" s="1" t="s">
        <v>11</v>
      </c>
      <c r="BB239" s="9"/>
      <c r="BC239" s="9"/>
    </row>
    <row r="240" spans="1:55" ht="15">
      <c r="A240" s="1" t="s">
        <v>4</v>
      </c>
      <c r="B240" s="5">
        <v>31593.148600000008</v>
      </c>
      <c r="C240" s="8">
        <v>13.041068638837487</v>
      </c>
      <c r="D240" s="6"/>
      <c r="E240" s="20"/>
      <c r="I240" s="6"/>
      <c r="J240" s="6"/>
      <c r="K240" s="6"/>
      <c r="L240" s="6"/>
      <c r="M240" s="6"/>
      <c r="O240" s="6"/>
      <c r="R240" s="6"/>
      <c r="S240" s="6"/>
      <c r="T240" s="6"/>
      <c r="U240" s="6"/>
      <c r="V240" s="6"/>
      <c r="W240" s="6"/>
      <c r="X240" s="9"/>
      <c r="Y240" s="9"/>
      <c r="Z240" s="4"/>
      <c r="AI240" s="29" t="str">
        <f t="shared" si="3"/>
        <v/>
      </c>
      <c r="AS240" s="56"/>
      <c r="AT240" s="56"/>
      <c r="AU240" s="56"/>
      <c r="AV240" s="56"/>
      <c r="AW240" s="56"/>
      <c r="AX240" s="56"/>
      <c r="BA240" s="1" t="s">
        <v>11</v>
      </c>
      <c r="BB240" s="9"/>
      <c r="BC240" s="9"/>
    </row>
    <row r="241" spans="1:55" ht="15">
      <c r="A241" s="1" t="s">
        <v>4</v>
      </c>
      <c r="B241" s="5">
        <v>31958.390800000008</v>
      </c>
      <c r="C241" s="8">
        <v>14.041068638837487</v>
      </c>
      <c r="D241" s="20">
        <f t="shared" ref="D241" si="5">E241/997*100</f>
        <v>62.688064192577727</v>
      </c>
      <c r="E241" s="20">
        <v>625</v>
      </c>
      <c r="I241" s="6"/>
      <c r="J241" s="6"/>
      <c r="K241" s="6"/>
      <c r="L241" s="6"/>
      <c r="M241" s="6"/>
      <c r="O241" s="6"/>
      <c r="R241" s="6"/>
      <c r="S241" s="6"/>
      <c r="T241" s="6"/>
      <c r="U241" s="6"/>
      <c r="V241" s="6"/>
      <c r="W241" s="6"/>
      <c r="X241" s="9"/>
      <c r="Y241" s="9"/>
      <c r="Z241" s="4"/>
      <c r="AI241" s="29" t="str">
        <f t="shared" si="3"/>
        <v/>
      </c>
      <c r="AS241" s="56"/>
      <c r="AT241" s="56"/>
      <c r="AU241" s="56"/>
      <c r="AV241" s="56"/>
      <c r="AW241" s="56"/>
      <c r="AX241" s="56"/>
      <c r="BA241" s="1" t="s">
        <v>11</v>
      </c>
      <c r="BB241" s="9"/>
      <c r="BC241" s="9"/>
    </row>
    <row r="242" spans="1:55" ht="15">
      <c r="A242" s="1" t="s">
        <v>4</v>
      </c>
      <c r="B242" s="5">
        <v>30862.66420000001</v>
      </c>
      <c r="C242" s="8">
        <v>11.041068638837487</v>
      </c>
      <c r="D242" s="6"/>
      <c r="E242" s="20"/>
      <c r="I242" s="6"/>
      <c r="J242" s="6"/>
      <c r="K242" s="6"/>
      <c r="L242" s="6"/>
      <c r="M242" s="6"/>
      <c r="N242" s="3">
        <v>2532.7769999999996</v>
      </c>
      <c r="O242" s="6"/>
      <c r="R242" s="6"/>
      <c r="S242" s="6"/>
      <c r="T242" s="6"/>
      <c r="U242" s="6"/>
      <c r="V242" s="6"/>
      <c r="W242" s="6"/>
      <c r="X242" s="9"/>
      <c r="Y242" s="9"/>
      <c r="Z242" s="4"/>
      <c r="AI242" s="29" t="str">
        <f t="shared" si="3"/>
        <v/>
      </c>
      <c r="AS242" s="56"/>
      <c r="AT242" s="56"/>
      <c r="AU242" s="56"/>
      <c r="AV242" s="56"/>
      <c r="AW242" s="56"/>
      <c r="AX242" s="56"/>
      <c r="BA242" s="1" t="s">
        <v>11</v>
      </c>
      <c r="BB242" s="9"/>
      <c r="BC242" s="9"/>
    </row>
    <row r="243" spans="1:55" ht="15">
      <c r="A243" s="1" t="s">
        <v>4</v>
      </c>
      <c r="B243" s="5">
        <v>31227.906400000011</v>
      </c>
      <c r="C243" s="8">
        <v>12.041068638837487</v>
      </c>
      <c r="D243" s="6"/>
      <c r="E243" s="20"/>
      <c r="I243" s="6"/>
      <c r="J243" s="6"/>
      <c r="K243" s="6"/>
      <c r="L243" s="6"/>
      <c r="M243" s="6"/>
      <c r="N243" s="3">
        <v>3280.2599999999998</v>
      </c>
      <c r="O243" s="6"/>
      <c r="R243" s="6"/>
      <c r="S243" s="6"/>
      <c r="T243" s="6"/>
      <c r="U243" s="6"/>
      <c r="V243" s="6"/>
      <c r="W243" s="6"/>
      <c r="X243" s="9"/>
      <c r="Y243" s="9"/>
      <c r="Z243" s="4"/>
      <c r="AI243" s="29" t="str">
        <f t="shared" si="3"/>
        <v/>
      </c>
      <c r="AS243" s="56"/>
      <c r="AT243" s="56"/>
      <c r="AU243" s="56"/>
      <c r="AV243" s="56"/>
      <c r="AW243" s="56"/>
      <c r="AX243" s="56"/>
      <c r="BA243" s="1" t="s">
        <v>11</v>
      </c>
      <c r="BB243" s="9"/>
      <c r="BC243" s="9"/>
    </row>
    <row r="244" spans="1:55" ht="15">
      <c r="A244" s="1" t="s">
        <v>4</v>
      </c>
      <c r="B244" s="5">
        <v>31593.148600000008</v>
      </c>
      <c r="C244" s="8">
        <v>13.041068638837487</v>
      </c>
      <c r="D244" s="6"/>
      <c r="E244" s="20"/>
      <c r="I244" s="6"/>
      <c r="J244" s="6"/>
      <c r="K244" s="6"/>
      <c r="L244" s="6"/>
      <c r="M244" s="6"/>
      <c r="N244" s="3">
        <v>3961.11</v>
      </c>
      <c r="O244" s="6"/>
      <c r="R244" s="6"/>
      <c r="S244" s="6"/>
      <c r="T244" s="6"/>
      <c r="U244" s="6"/>
      <c r="V244" s="6"/>
      <c r="W244" s="6"/>
      <c r="X244" s="9"/>
      <c r="Y244" s="9"/>
      <c r="Z244" s="4"/>
      <c r="AI244" s="29" t="str">
        <f t="shared" si="3"/>
        <v/>
      </c>
      <c r="AS244" s="56"/>
      <c r="AT244" s="56"/>
      <c r="AU244" s="56"/>
      <c r="AV244" s="56"/>
      <c r="AW244" s="56"/>
      <c r="AX244" s="56"/>
      <c r="BA244" s="1" t="s">
        <v>11</v>
      </c>
      <c r="BB244" s="9"/>
      <c r="BC244" s="9"/>
    </row>
    <row r="245" spans="1:55" ht="15">
      <c r="A245" s="1" t="s">
        <v>4</v>
      </c>
      <c r="B245" s="5">
        <v>31958.390800000008</v>
      </c>
      <c r="C245" s="8">
        <v>14.041068638837487</v>
      </c>
      <c r="D245" s="6"/>
      <c r="E245" s="20"/>
      <c r="I245" s="6"/>
      <c r="J245" s="6"/>
      <c r="K245" s="6"/>
      <c r="L245" s="6"/>
      <c r="M245" s="6"/>
      <c r="N245" s="3">
        <v>4841.91</v>
      </c>
      <c r="O245" s="6"/>
      <c r="R245" s="6"/>
      <c r="S245" s="6"/>
      <c r="T245" s="6"/>
      <c r="U245" s="6"/>
      <c r="V245" s="6"/>
      <c r="W245" s="6"/>
      <c r="X245" s="9"/>
      <c r="Y245" s="9"/>
      <c r="Z245" s="4"/>
      <c r="AI245" s="29" t="str">
        <f t="shared" si="3"/>
        <v/>
      </c>
      <c r="AS245" s="56"/>
      <c r="AT245" s="56"/>
      <c r="AU245" s="56"/>
      <c r="AV245" s="56"/>
      <c r="AW245" s="56"/>
      <c r="AX245" s="56"/>
      <c r="BA245" s="1" t="s">
        <v>11</v>
      </c>
      <c r="BB245" s="9"/>
      <c r="BC245" s="9"/>
    </row>
    <row r="246" spans="1:55" ht="15">
      <c r="A246" s="1" t="s">
        <v>4</v>
      </c>
      <c r="B246" s="5">
        <v>30921.102952000037</v>
      </c>
      <c r="C246" s="8">
        <v>11.201068638837569</v>
      </c>
      <c r="D246" s="6"/>
      <c r="E246" s="20"/>
      <c r="H246" s="3">
        <v>730.21</v>
      </c>
      <c r="I246" s="6"/>
      <c r="J246" s="6"/>
      <c r="K246" s="6"/>
      <c r="L246" s="6"/>
      <c r="M246" s="6"/>
      <c r="O246" s="6"/>
      <c r="R246" s="6"/>
      <c r="S246" s="6"/>
      <c r="T246" s="6"/>
      <c r="U246" s="6"/>
      <c r="V246" s="6"/>
      <c r="W246" s="6"/>
      <c r="Z246" s="4"/>
      <c r="AI246" s="29" t="str">
        <f t="shared" si="3"/>
        <v/>
      </c>
      <c r="AL246" s="3">
        <v>1.0699999999999999E-2</v>
      </c>
      <c r="AS246" s="56"/>
      <c r="AT246" s="56"/>
      <c r="AU246" s="56"/>
      <c r="AV246" s="56"/>
      <c r="AW246" s="56"/>
      <c r="AX246" s="56">
        <v>7.8132469999999996</v>
      </c>
      <c r="AY246" s="3">
        <v>80</v>
      </c>
      <c r="BA246" s="1" t="s">
        <v>11</v>
      </c>
    </row>
    <row r="247" spans="1:55" ht="15">
      <c r="A247" s="1" t="s">
        <v>4</v>
      </c>
      <c r="B247" s="5">
        <v>31012.413502000039</v>
      </c>
      <c r="C247" s="8">
        <v>11.451068638837569</v>
      </c>
      <c r="D247" s="6"/>
      <c r="E247" s="20"/>
      <c r="H247" s="3">
        <v>1036.97</v>
      </c>
      <c r="I247" s="6"/>
      <c r="J247" s="6"/>
      <c r="K247" s="6"/>
      <c r="L247" s="6"/>
      <c r="M247" s="6"/>
      <c r="O247" s="6"/>
      <c r="R247" s="6"/>
      <c r="S247" s="6"/>
      <c r="T247" s="6"/>
      <c r="U247" s="6"/>
      <c r="V247" s="6"/>
      <c r="W247" s="6"/>
      <c r="Z247" s="4"/>
      <c r="AI247" s="29" t="str">
        <f t="shared" si="3"/>
        <v/>
      </c>
      <c r="AS247" s="56"/>
      <c r="AT247" s="56"/>
      <c r="AU247" s="56"/>
      <c r="AV247" s="56"/>
      <c r="AW247" s="56"/>
      <c r="AX247" s="56"/>
      <c r="BA247" s="1" t="s">
        <v>11</v>
      </c>
    </row>
    <row r="248" spans="1:55" ht="15">
      <c r="A248" s="1" t="s">
        <v>4</v>
      </c>
      <c r="B248" s="5">
        <v>31103.724052000041</v>
      </c>
      <c r="C248" s="8">
        <v>11.701068638837569</v>
      </c>
      <c r="D248" s="6"/>
      <c r="E248" s="20"/>
      <c r="H248" s="3">
        <v>1010.15</v>
      </c>
      <c r="I248" s="6"/>
      <c r="J248" s="6"/>
      <c r="K248" s="6"/>
      <c r="L248" s="6"/>
      <c r="M248" s="6"/>
      <c r="O248" s="6"/>
      <c r="R248" s="6"/>
      <c r="S248" s="6"/>
      <c r="T248" s="6"/>
      <c r="U248" s="6"/>
      <c r="V248" s="6"/>
      <c r="W248" s="6"/>
      <c r="Z248" s="4"/>
      <c r="AI248" s="29" t="str">
        <f t="shared" si="3"/>
        <v/>
      </c>
      <c r="AS248" s="56"/>
      <c r="AT248" s="56"/>
      <c r="AU248" s="56"/>
      <c r="AV248" s="56"/>
      <c r="AW248" s="56"/>
      <c r="AX248" s="56"/>
      <c r="BA248" s="1" t="s">
        <v>11</v>
      </c>
    </row>
    <row r="249" spans="1:55" ht="15">
      <c r="A249" s="1" t="s">
        <v>4</v>
      </c>
      <c r="B249" s="5">
        <v>31195.03460200004</v>
      </c>
      <c r="C249" s="8">
        <v>11.951068638837569</v>
      </c>
      <c r="D249" s="6"/>
      <c r="E249" s="20"/>
      <c r="H249" s="3">
        <v>894.78300000000002</v>
      </c>
      <c r="I249" s="6"/>
      <c r="J249" s="6"/>
      <c r="K249" s="6"/>
      <c r="L249" s="6"/>
      <c r="M249" s="6"/>
      <c r="O249" s="6"/>
      <c r="R249" s="6"/>
      <c r="S249" s="6"/>
      <c r="T249" s="6"/>
      <c r="U249" s="6"/>
      <c r="V249" s="6"/>
      <c r="W249" s="6"/>
      <c r="Z249" s="4"/>
      <c r="AI249" s="29" t="str">
        <f t="shared" si="3"/>
        <v/>
      </c>
      <c r="AS249" s="56"/>
      <c r="AT249" s="56"/>
      <c r="AU249" s="56"/>
      <c r="AV249" s="56"/>
      <c r="AW249" s="56"/>
      <c r="AX249" s="56"/>
      <c r="BA249" s="1" t="s">
        <v>11</v>
      </c>
    </row>
    <row r="250" spans="1:55" ht="15">
      <c r="A250" s="1" t="s">
        <v>4</v>
      </c>
      <c r="B250" s="5">
        <v>31286.345152000038</v>
      </c>
      <c r="C250" s="8">
        <v>12.201068638837569</v>
      </c>
      <c r="D250" s="6"/>
      <c r="E250" s="20"/>
      <c r="H250" s="3">
        <v>890.17499999999995</v>
      </c>
      <c r="I250" s="6"/>
      <c r="J250" s="6"/>
      <c r="K250" s="6"/>
      <c r="L250" s="6"/>
      <c r="M250" s="6"/>
      <c r="O250" s="6"/>
      <c r="R250" s="6"/>
      <c r="S250" s="6"/>
      <c r="T250" s="6"/>
      <c r="U250" s="6"/>
      <c r="V250" s="6"/>
      <c r="W250" s="6"/>
      <c r="Z250" s="4"/>
      <c r="AI250" s="29" t="str">
        <f t="shared" si="3"/>
        <v/>
      </c>
      <c r="AL250" s="3">
        <v>1.0500000000000001E-2</v>
      </c>
      <c r="AS250" s="56"/>
      <c r="AT250" s="56"/>
      <c r="AU250" s="56"/>
      <c r="AV250" s="56"/>
      <c r="AW250" s="56"/>
      <c r="AX250" s="56">
        <v>9.3468375000000012</v>
      </c>
      <c r="AY250" s="3">
        <v>115</v>
      </c>
      <c r="BA250" s="1" t="s">
        <v>11</v>
      </c>
    </row>
    <row r="251" spans="1:55" ht="15">
      <c r="A251" s="1" t="s">
        <v>4</v>
      </c>
      <c r="B251" s="5">
        <v>31377.65570200004</v>
      </c>
      <c r="C251" s="8">
        <v>12.451068638837569</v>
      </c>
      <c r="D251" s="6"/>
      <c r="E251" s="20"/>
      <c r="H251" s="3">
        <v>1041.75</v>
      </c>
      <c r="I251" s="6"/>
      <c r="J251" s="6"/>
      <c r="K251" s="6"/>
      <c r="L251" s="6"/>
      <c r="M251" s="6"/>
      <c r="O251" s="6"/>
      <c r="R251" s="6"/>
      <c r="S251" s="6"/>
      <c r="T251" s="6"/>
      <c r="U251" s="6"/>
      <c r="V251" s="6"/>
      <c r="W251" s="6"/>
      <c r="Z251" s="4"/>
      <c r="AI251" s="29" t="str">
        <f t="shared" si="3"/>
        <v/>
      </c>
      <c r="AS251" s="56"/>
      <c r="AT251" s="56"/>
      <c r="AU251" s="56"/>
      <c r="AV251" s="56"/>
      <c r="AW251" s="56"/>
      <c r="AX251" s="56"/>
      <c r="BA251" s="1" t="s">
        <v>11</v>
      </c>
    </row>
    <row r="252" spans="1:55" ht="15">
      <c r="A252" s="1" t="s">
        <v>4</v>
      </c>
      <c r="B252" s="5">
        <v>31468.966252000038</v>
      </c>
      <c r="C252" s="8">
        <v>12.701068638837569</v>
      </c>
      <c r="D252" s="6"/>
      <c r="E252" s="20"/>
      <c r="H252" s="3">
        <v>1126.3400000000001</v>
      </c>
      <c r="I252" s="6"/>
      <c r="J252" s="6"/>
      <c r="K252" s="6"/>
      <c r="L252" s="6"/>
      <c r="M252" s="6"/>
      <c r="O252" s="6"/>
      <c r="R252" s="6"/>
      <c r="S252" s="6"/>
      <c r="T252" s="6"/>
      <c r="U252" s="6"/>
      <c r="V252" s="6"/>
      <c r="W252" s="6"/>
      <c r="Z252" s="4"/>
      <c r="AI252" s="29" t="str">
        <f t="shared" si="3"/>
        <v/>
      </c>
      <c r="AS252" s="56"/>
      <c r="AT252" s="56"/>
      <c r="AU252" s="56"/>
      <c r="AV252" s="56"/>
      <c r="AW252" s="56"/>
      <c r="AX252" s="56"/>
      <c r="BA252" s="1" t="s">
        <v>11</v>
      </c>
    </row>
    <row r="253" spans="1:55" ht="15">
      <c r="A253" s="1" t="s">
        <v>4</v>
      </c>
      <c r="B253" s="5">
        <v>31560.27680200004</v>
      </c>
      <c r="C253" s="8">
        <v>12.951068638837569</v>
      </c>
      <c r="D253" s="6"/>
      <c r="E253" s="20"/>
      <c r="H253" s="3">
        <v>1010.6400000000001</v>
      </c>
      <c r="I253" s="6"/>
      <c r="J253" s="6"/>
      <c r="K253" s="6"/>
      <c r="L253" s="6"/>
      <c r="M253" s="6"/>
      <c r="O253" s="6"/>
      <c r="R253" s="6"/>
      <c r="S253" s="6"/>
      <c r="T253" s="6"/>
      <c r="U253" s="6"/>
      <c r="V253" s="6"/>
      <c r="W253" s="6"/>
      <c r="Z253" s="4"/>
      <c r="AI253" s="29" t="str">
        <f t="shared" si="3"/>
        <v/>
      </c>
      <c r="AS253" s="56"/>
      <c r="AT253" s="56"/>
      <c r="AU253" s="56"/>
      <c r="AV253" s="56"/>
      <c r="AW253" s="56"/>
      <c r="AX253" s="56"/>
      <c r="BA253" s="1" t="s">
        <v>11</v>
      </c>
    </row>
    <row r="254" spans="1:55" ht="15">
      <c r="A254" s="1" t="s">
        <v>4</v>
      </c>
      <c r="B254" s="5">
        <v>31651.587352000039</v>
      </c>
      <c r="C254" s="8">
        <v>13.201068638837569</v>
      </c>
      <c r="D254" s="6"/>
      <c r="E254" s="20"/>
      <c r="H254" s="3">
        <v>1006.3599999999999</v>
      </c>
      <c r="I254" s="6"/>
      <c r="J254" s="6"/>
      <c r="K254" s="6"/>
      <c r="L254" s="6"/>
      <c r="M254" s="6"/>
      <c r="O254" s="6"/>
      <c r="R254" s="6"/>
      <c r="S254" s="6"/>
      <c r="T254" s="6"/>
      <c r="U254" s="6"/>
      <c r="V254" s="6"/>
      <c r="W254" s="6"/>
      <c r="Z254" s="4"/>
      <c r="AI254" s="29" t="str">
        <f t="shared" si="3"/>
        <v/>
      </c>
      <c r="AL254" s="3">
        <v>1.03E-2</v>
      </c>
      <c r="AS254" s="56"/>
      <c r="AT254" s="56"/>
      <c r="AU254" s="56"/>
      <c r="AV254" s="56"/>
      <c r="AW254" s="56"/>
      <c r="AX254" s="56">
        <v>10.365508</v>
      </c>
      <c r="AY254" s="3">
        <v>120</v>
      </c>
      <c r="BA254" s="1" t="s">
        <v>11</v>
      </c>
    </row>
    <row r="255" spans="1:55" ht="15">
      <c r="A255" s="1" t="s">
        <v>4</v>
      </c>
      <c r="B255" s="5">
        <v>31742.897902000041</v>
      </c>
      <c r="C255" s="8">
        <v>13.451068638837569</v>
      </c>
      <c r="D255" s="6"/>
      <c r="E255" s="20"/>
      <c r="H255" s="3">
        <v>1157.6100000000001</v>
      </c>
      <c r="I255" s="6"/>
      <c r="J255" s="6"/>
      <c r="K255" s="6"/>
      <c r="L255" s="6"/>
      <c r="M255" s="6"/>
      <c r="O255" s="6"/>
      <c r="R255" s="6"/>
      <c r="S255" s="6"/>
      <c r="T255" s="6"/>
      <c r="U255" s="6"/>
      <c r="V255" s="6"/>
      <c r="W255" s="6"/>
      <c r="Z255" s="4"/>
      <c r="AI255" s="29" t="str">
        <f t="shared" si="3"/>
        <v/>
      </c>
      <c r="AS255" s="56"/>
      <c r="AT255" s="56"/>
      <c r="AU255" s="56"/>
      <c r="AV255" s="56"/>
      <c r="AW255" s="56"/>
      <c r="AX255" s="56"/>
      <c r="BA255" s="1" t="s">
        <v>11</v>
      </c>
    </row>
    <row r="256" spans="1:55" ht="15">
      <c r="A256" s="1" t="s">
        <v>4</v>
      </c>
      <c r="B256" s="5">
        <v>31834.208452000039</v>
      </c>
      <c r="C256" s="8">
        <v>13.701068638837569</v>
      </c>
      <c r="D256" s="6"/>
      <c r="E256" s="20"/>
      <c r="H256" s="3">
        <v>1242.2</v>
      </c>
      <c r="I256" s="6"/>
      <c r="J256" s="6"/>
      <c r="K256" s="6"/>
      <c r="L256" s="6"/>
      <c r="M256" s="6"/>
      <c r="O256" s="6"/>
      <c r="R256" s="6"/>
      <c r="S256" s="6"/>
      <c r="T256" s="6"/>
      <c r="U256" s="6"/>
      <c r="V256" s="6"/>
      <c r="W256" s="6"/>
      <c r="Z256" s="4"/>
      <c r="AI256" s="29" t="str">
        <f t="shared" si="3"/>
        <v/>
      </c>
      <c r="AS256" s="56"/>
      <c r="AT256" s="56"/>
      <c r="AU256" s="56"/>
      <c r="AV256" s="56"/>
      <c r="AW256" s="56"/>
      <c r="AX256" s="56"/>
      <c r="BA256" s="1" t="s">
        <v>11</v>
      </c>
    </row>
    <row r="257" spans="1:53" ht="15">
      <c r="A257" s="1" t="s">
        <v>4</v>
      </c>
      <c r="B257" s="5">
        <v>31925.519002000037</v>
      </c>
      <c r="C257" s="8">
        <v>13.951068638837569</v>
      </c>
      <c r="D257" s="6"/>
      <c r="E257" s="20"/>
      <c r="H257" s="3">
        <v>1148.72</v>
      </c>
      <c r="I257" s="6"/>
      <c r="J257" s="6"/>
      <c r="K257" s="6"/>
      <c r="L257" s="6"/>
      <c r="M257" s="6"/>
      <c r="O257" s="6"/>
      <c r="R257" s="6"/>
      <c r="S257" s="6"/>
      <c r="T257" s="6"/>
      <c r="U257" s="6"/>
      <c r="V257" s="6"/>
      <c r="W257" s="6"/>
      <c r="Z257" s="4"/>
      <c r="AI257" s="29" t="str">
        <f t="shared" si="3"/>
        <v/>
      </c>
      <c r="AS257" s="56"/>
      <c r="AT257" s="56"/>
      <c r="AU257" s="56"/>
      <c r="AV257" s="56"/>
      <c r="AW257" s="56"/>
      <c r="AX257" s="56"/>
      <c r="BA257" s="1" t="s">
        <v>11</v>
      </c>
    </row>
    <row r="258" spans="1:53" ht="15">
      <c r="A258" s="1" t="s">
        <v>4</v>
      </c>
      <c r="B258" s="5">
        <v>32016.829552000039</v>
      </c>
      <c r="C258" s="8">
        <v>14.201068638837569</v>
      </c>
      <c r="D258" s="6"/>
      <c r="E258" s="20"/>
      <c r="I258" s="6"/>
      <c r="J258" s="6"/>
      <c r="K258" s="6"/>
      <c r="L258" s="6"/>
      <c r="M258" s="6"/>
      <c r="O258" s="6"/>
      <c r="R258" s="6"/>
      <c r="S258" s="6"/>
      <c r="T258" s="6"/>
      <c r="U258" s="6"/>
      <c r="V258" s="6"/>
      <c r="W258" s="6"/>
      <c r="Z258" s="4"/>
      <c r="AI258" s="29" t="str">
        <f t="shared" si="3"/>
        <v/>
      </c>
      <c r="AL258" s="3">
        <v>0.01</v>
      </c>
      <c r="AS258" s="56"/>
      <c r="AT258" s="56"/>
      <c r="AU258" s="56"/>
      <c r="AV258" s="56"/>
      <c r="AW258" s="56"/>
      <c r="AX258" s="56">
        <v>11.4872</v>
      </c>
      <c r="AY258" s="3">
        <v>130</v>
      </c>
      <c r="BA258" s="1" t="s">
        <v>11</v>
      </c>
    </row>
    <row r="259" spans="1:53" ht="15">
      <c r="A259" s="1" t="s">
        <v>5</v>
      </c>
      <c r="B259" s="5">
        <v>30862.66420000001</v>
      </c>
      <c r="C259" s="8">
        <v>11.041068638837487</v>
      </c>
      <c r="D259" s="6"/>
      <c r="E259" s="20"/>
      <c r="I259" s="6"/>
      <c r="J259" s="6"/>
      <c r="K259" s="6"/>
      <c r="L259" s="6"/>
      <c r="M259" s="6"/>
      <c r="O259" s="6"/>
      <c r="R259" s="6"/>
      <c r="S259" s="6"/>
      <c r="T259" s="6"/>
      <c r="U259" s="6"/>
      <c r="V259" s="6"/>
      <c r="W259" s="6"/>
      <c r="Z259" s="4"/>
      <c r="AI259" s="29" t="str">
        <f t="shared" ref="AI259:AI322" si="6">IF(AH259&gt;0.001,AH259/C259,"")</f>
        <v/>
      </c>
      <c r="AS259" s="56"/>
      <c r="AT259" s="56"/>
      <c r="AU259" s="56"/>
      <c r="AV259" s="56"/>
      <c r="AW259" s="56"/>
      <c r="AX259" s="56"/>
      <c r="BA259" s="1" t="s">
        <v>11</v>
      </c>
    </row>
    <row r="260" spans="1:53" ht="15">
      <c r="A260" s="1" t="s">
        <v>5</v>
      </c>
      <c r="B260" s="5">
        <v>31227.906400000011</v>
      </c>
      <c r="C260" s="8">
        <v>12.041068638837487</v>
      </c>
      <c r="D260" s="6"/>
      <c r="E260" s="20"/>
      <c r="I260" s="6"/>
      <c r="J260" s="6"/>
      <c r="K260" s="6"/>
      <c r="L260" s="6"/>
      <c r="M260" s="6"/>
      <c r="O260" s="6"/>
      <c r="R260" s="6"/>
      <c r="S260" s="6"/>
      <c r="T260" s="6"/>
      <c r="U260" s="6"/>
      <c r="V260" s="6"/>
      <c r="W260" s="6"/>
      <c r="Z260" s="4"/>
      <c r="AI260" s="29" t="str">
        <f t="shared" si="6"/>
        <v/>
      </c>
      <c r="AS260" s="56"/>
      <c r="AT260" s="56"/>
      <c r="AU260" s="56"/>
      <c r="AV260" s="56"/>
      <c r="AW260" s="56"/>
      <c r="AX260" s="56"/>
      <c r="BA260" s="1" t="s">
        <v>11</v>
      </c>
    </row>
    <row r="261" spans="1:53" ht="15">
      <c r="A261" s="1" t="s">
        <v>5</v>
      </c>
      <c r="B261" s="5">
        <v>31593.148600000008</v>
      </c>
      <c r="C261" s="8">
        <v>13.041068638837487</v>
      </c>
      <c r="D261" s="6"/>
      <c r="E261" s="20"/>
      <c r="I261" s="6"/>
      <c r="J261" s="6"/>
      <c r="K261" s="6"/>
      <c r="L261" s="6"/>
      <c r="M261" s="6"/>
      <c r="O261" s="6"/>
      <c r="R261" s="6"/>
      <c r="S261" s="6"/>
      <c r="T261" s="6"/>
      <c r="U261" s="6"/>
      <c r="V261" s="6"/>
      <c r="W261" s="6"/>
      <c r="Z261" s="4"/>
      <c r="AI261" s="29" t="str">
        <f t="shared" si="6"/>
        <v/>
      </c>
      <c r="AS261" s="56"/>
      <c r="AT261" s="56"/>
      <c r="AU261" s="56"/>
      <c r="AV261" s="56"/>
      <c r="AW261" s="56"/>
      <c r="AX261" s="56"/>
      <c r="BA261" s="1" t="s">
        <v>11</v>
      </c>
    </row>
    <row r="262" spans="1:53" ht="15">
      <c r="A262" s="1" t="s">
        <v>5</v>
      </c>
      <c r="B262" s="5">
        <v>31958.390800000008</v>
      </c>
      <c r="C262" s="8">
        <v>14.041068638837487</v>
      </c>
      <c r="D262" s="20">
        <f t="shared" ref="D262" si="7">E262/997*100</f>
        <v>53.560682046138417</v>
      </c>
      <c r="E262" s="20">
        <v>534</v>
      </c>
      <c r="I262" s="6"/>
      <c r="J262" s="6"/>
      <c r="K262" s="6"/>
      <c r="L262" s="6"/>
      <c r="M262" s="6"/>
      <c r="O262" s="6"/>
      <c r="R262" s="6"/>
      <c r="S262" s="6"/>
      <c r="T262" s="6"/>
      <c r="U262" s="6"/>
      <c r="V262" s="6"/>
      <c r="W262" s="6"/>
      <c r="Z262" s="4"/>
      <c r="AI262" s="29" t="str">
        <f t="shared" si="6"/>
        <v/>
      </c>
      <c r="AS262" s="56"/>
      <c r="AT262" s="56"/>
      <c r="AU262" s="56"/>
      <c r="AV262" s="56"/>
      <c r="AW262" s="56"/>
      <c r="AX262" s="56"/>
      <c r="BA262" s="1" t="s">
        <v>11</v>
      </c>
    </row>
    <row r="263" spans="1:53" ht="15">
      <c r="A263" s="1" t="s">
        <v>5</v>
      </c>
      <c r="B263" s="5">
        <v>30862.66420000001</v>
      </c>
      <c r="C263" s="8">
        <v>11.041068638837487</v>
      </c>
      <c r="D263" s="6"/>
      <c r="E263" s="20"/>
      <c r="I263" s="6"/>
      <c r="J263" s="6"/>
      <c r="K263" s="6"/>
      <c r="L263" s="6"/>
      <c r="M263" s="6"/>
      <c r="N263" s="3">
        <v>2666.6669999999999</v>
      </c>
      <c r="O263" s="6"/>
      <c r="R263" s="6"/>
      <c r="S263" s="6"/>
      <c r="T263" s="6"/>
      <c r="U263" s="6"/>
      <c r="V263" s="6"/>
      <c r="W263" s="6"/>
      <c r="Z263" s="4"/>
      <c r="AI263" s="29" t="str">
        <f t="shared" si="6"/>
        <v/>
      </c>
      <c r="AS263" s="56"/>
      <c r="AT263" s="56"/>
      <c r="AU263" s="56"/>
      <c r="AV263" s="56"/>
      <c r="AW263" s="56"/>
      <c r="AX263" s="56"/>
      <c r="BA263" s="1" t="s">
        <v>11</v>
      </c>
    </row>
    <row r="264" spans="1:53" ht="15">
      <c r="A264" s="1" t="s">
        <v>5</v>
      </c>
      <c r="B264" s="5">
        <v>31227.906400000011</v>
      </c>
      <c r="C264" s="8">
        <v>12.041068638837487</v>
      </c>
      <c r="D264" s="6"/>
      <c r="E264" s="20"/>
      <c r="I264" s="6"/>
      <c r="J264" s="6"/>
      <c r="K264" s="6"/>
      <c r="L264" s="6"/>
      <c r="M264" s="6"/>
      <c r="N264" s="3">
        <v>3399.99</v>
      </c>
      <c r="O264" s="6"/>
      <c r="R264" s="6"/>
      <c r="S264" s="6"/>
      <c r="T264" s="6"/>
      <c r="U264" s="6"/>
      <c r="V264" s="6"/>
      <c r="W264" s="6"/>
      <c r="Z264" s="4"/>
      <c r="AI264" s="29" t="str">
        <f t="shared" si="6"/>
        <v/>
      </c>
      <c r="AS264" s="56"/>
      <c r="AT264" s="56"/>
      <c r="AU264" s="56"/>
      <c r="AV264" s="56"/>
      <c r="AW264" s="56"/>
      <c r="AX264" s="56"/>
      <c r="BA264" s="1" t="s">
        <v>11</v>
      </c>
    </row>
    <row r="265" spans="1:53" ht="15">
      <c r="A265" s="1" t="s">
        <v>5</v>
      </c>
      <c r="B265" s="5">
        <v>31593.148600000008</v>
      </c>
      <c r="C265" s="8">
        <v>13.041068638837487</v>
      </c>
      <c r="D265" s="6"/>
      <c r="E265" s="20"/>
      <c r="I265" s="6"/>
      <c r="J265" s="6"/>
      <c r="K265" s="6"/>
      <c r="L265" s="6"/>
      <c r="M265" s="6"/>
      <c r="N265" s="3">
        <v>4200</v>
      </c>
      <c r="O265" s="6"/>
      <c r="R265" s="6"/>
      <c r="S265" s="6"/>
      <c r="T265" s="6"/>
      <c r="U265" s="6"/>
      <c r="V265" s="6"/>
      <c r="W265" s="6"/>
      <c r="Z265" s="4"/>
      <c r="AI265" s="29" t="str">
        <f t="shared" si="6"/>
        <v/>
      </c>
      <c r="AS265" s="56"/>
      <c r="AT265" s="56"/>
      <c r="AU265" s="56"/>
      <c r="AV265" s="56"/>
      <c r="AW265" s="56"/>
      <c r="AX265" s="56"/>
      <c r="BA265" s="1" t="s">
        <v>11</v>
      </c>
    </row>
    <row r="266" spans="1:53" ht="15">
      <c r="A266" s="1" t="s">
        <v>5</v>
      </c>
      <c r="B266" s="5">
        <v>31958.390800000008</v>
      </c>
      <c r="C266" s="8">
        <v>14.041068638837487</v>
      </c>
      <c r="D266" s="6"/>
      <c r="E266" s="20"/>
      <c r="I266" s="6"/>
      <c r="J266" s="6"/>
      <c r="K266" s="6"/>
      <c r="L266" s="6"/>
      <c r="M266" s="6"/>
      <c r="N266" s="3">
        <v>5000.0099999999993</v>
      </c>
      <c r="O266" s="6"/>
      <c r="R266" s="6"/>
      <c r="S266" s="6"/>
      <c r="T266" s="6"/>
      <c r="U266" s="6"/>
      <c r="V266" s="6"/>
      <c r="W266" s="6"/>
      <c r="Z266" s="4"/>
      <c r="AI266" s="29" t="str">
        <f t="shared" si="6"/>
        <v/>
      </c>
      <c r="AS266" s="56"/>
      <c r="AT266" s="56"/>
      <c r="AU266" s="56"/>
      <c r="AV266" s="56"/>
      <c r="AW266" s="56"/>
      <c r="AX266" s="56"/>
      <c r="BA266" s="1" t="s">
        <v>11</v>
      </c>
    </row>
    <row r="267" spans="1:53" ht="15">
      <c r="A267" s="1" t="s">
        <v>5</v>
      </c>
      <c r="B267" s="5">
        <v>30921.102952000037</v>
      </c>
      <c r="C267" s="8">
        <v>11.201068638837569</v>
      </c>
      <c r="D267" s="6"/>
      <c r="E267" s="20"/>
      <c r="H267" s="3">
        <v>800</v>
      </c>
      <c r="I267" s="6"/>
      <c r="J267" s="6"/>
      <c r="K267" s="6"/>
      <c r="L267" s="6"/>
      <c r="M267" s="6"/>
      <c r="O267" s="6"/>
      <c r="R267" s="6"/>
      <c r="S267" s="6"/>
      <c r="T267" s="6"/>
      <c r="U267" s="6"/>
      <c r="V267" s="6"/>
      <c r="W267" s="6"/>
      <c r="Z267" s="4"/>
      <c r="AI267" s="29" t="str">
        <f t="shared" si="6"/>
        <v/>
      </c>
      <c r="AL267" s="3">
        <v>1.52E-2</v>
      </c>
      <c r="AS267" s="56"/>
      <c r="AT267" s="56"/>
      <c r="AU267" s="56"/>
      <c r="AV267" s="56"/>
      <c r="AW267" s="56"/>
      <c r="AX267" s="56">
        <v>12.16</v>
      </c>
      <c r="AY267" s="3">
        <v>150</v>
      </c>
      <c r="BA267" s="1" t="s">
        <v>11</v>
      </c>
    </row>
    <row r="268" spans="1:53" ht="15">
      <c r="A268" s="1" t="s">
        <v>5</v>
      </c>
      <c r="B268" s="5">
        <v>31012.413502000039</v>
      </c>
      <c r="C268" s="8">
        <v>11.451068638837569</v>
      </c>
      <c r="D268" s="6"/>
      <c r="E268" s="20"/>
      <c r="H268" s="3">
        <v>1177.78</v>
      </c>
      <c r="I268" s="6"/>
      <c r="J268" s="6"/>
      <c r="K268" s="6"/>
      <c r="L268" s="6"/>
      <c r="M268" s="6"/>
      <c r="O268" s="6"/>
      <c r="R268" s="6"/>
      <c r="S268" s="6"/>
      <c r="T268" s="6"/>
      <c r="U268" s="6"/>
      <c r="V268" s="6"/>
      <c r="W268" s="6"/>
      <c r="Z268" s="4"/>
      <c r="AI268" s="29" t="str">
        <f t="shared" si="6"/>
        <v/>
      </c>
      <c r="AS268" s="56"/>
      <c r="AT268" s="56"/>
      <c r="AU268" s="56"/>
      <c r="AV268" s="56"/>
      <c r="AW268" s="56"/>
      <c r="AX268" s="56"/>
      <c r="BA268" s="1" t="s">
        <v>11</v>
      </c>
    </row>
    <row r="269" spans="1:53" ht="15">
      <c r="A269" s="1" t="s">
        <v>5</v>
      </c>
      <c r="B269" s="5">
        <v>31103.724052000041</v>
      </c>
      <c r="C269" s="8">
        <v>11.701068638837569</v>
      </c>
      <c r="D269" s="6"/>
      <c r="E269" s="20"/>
      <c r="H269" s="3">
        <v>1111.1100000000001</v>
      </c>
      <c r="I269" s="6"/>
      <c r="J269" s="6"/>
      <c r="K269" s="6"/>
      <c r="L269" s="6"/>
      <c r="M269" s="6"/>
      <c r="O269" s="6"/>
      <c r="R269" s="6"/>
      <c r="S269" s="6"/>
      <c r="T269" s="6"/>
      <c r="U269" s="6"/>
      <c r="V269" s="6"/>
      <c r="W269" s="6"/>
      <c r="Z269" s="4"/>
      <c r="AI269" s="29" t="str">
        <f t="shared" si="6"/>
        <v/>
      </c>
      <c r="AS269" s="56"/>
      <c r="AT269" s="56"/>
      <c r="AU269" s="56"/>
      <c r="AV269" s="56"/>
      <c r="AW269" s="56"/>
      <c r="AX269" s="56"/>
      <c r="BA269" s="1" t="s">
        <v>11</v>
      </c>
    </row>
    <row r="270" spans="1:53" ht="15">
      <c r="A270" s="1" t="s">
        <v>5</v>
      </c>
      <c r="B270" s="5">
        <v>31195.03460200004</v>
      </c>
      <c r="C270" s="8">
        <v>11.951068638837569</v>
      </c>
      <c r="D270" s="6"/>
      <c r="E270" s="20"/>
      <c r="H270" s="3">
        <v>1000</v>
      </c>
      <c r="I270" s="6"/>
      <c r="J270" s="6"/>
      <c r="K270" s="6"/>
      <c r="L270" s="6"/>
      <c r="M270" s="6"/>
      <c r="O270" s="6"/>
      <c r="R270" s="6"/>
      <c r="S270" s="6"/>
      <c r="T270" s="6"/>
      <c r="U270" s="6"/>
      <c r="V270" s="6"/>
      <c r="W270" s="6"/>
      <c r="Z270" s="4"/>
      <c r="AI270" s="29" t="str">
        <f t="shared" si="6"/>
        <v/>
      </c>
      <c r="AS270" s="56"/>
      <c r="AT270" s="56"/>
      <c r="AU270" s="56"/>
      <c r="AV270" s="56"/>
      <c r="AW270" s="56"/>
      <c r="AX270" s="56"/>
      <c r="BA270" s="1" t="s">
        <v>11</v>
      </c>
    </row>
    <row r="271" spans="1:53" ht="15">
      <c r="A271" s="1" t="s">
        <v>5</v>
      </c>
      <c r="B271" s="5">
        <v>31286.345152000038</v>
      </c>
      <c r="C271" s="8">
        <v>12.201068638837569</v>
      </c>
      <c r="D271" s="6"/>
      <c r="E271" s="20"/>
      <c r="H271" s="3">
        <v>933.33299999999997</v>
      </c>
      <c r="I271" s="6"/>
      <c r="J271" s="6"/>
      <c r="K271" s="6"/>
      <c r="L271" s="6"/>
      <c r="M271" s="6"/>
      <c r="O271" s="6"/>
      <c r="R271" s="6"/>
      <c r="S271" s="6"/>
      <c r="T271" s="6"/>
      <c r="U271" s="6"/>
      <c r="V271" s="6"/>
      <c r="W271" s="6"/>
      <c r="Z271" s="4"/>
      <c r="AI271" s="29" t="str">
        <f t="shared" si="6"/>
        <v/>
      </c>
      <c r="AL271" s="3">
        <v>1.2999999999999999E-2</v>
      </c>
      <c r="AS271" s="56"/>
      <c r="AT271" s="56"/>
      <c r="AU271" s="56"/>
      <c r="AV271" s="56"/>
      <c r="AW271" s="56"/>
      <c r="AX271" s="56">
        <v>12.133329</v>
      </c>
      <c r="AY271" s="3">
        <v>155</v>
      </c>
      <c r="BA271" s="1" t="s">
        <v>11</v>
      </c>
    </row>
    <row r="272" spans="1:53" ht="15">
      <c r="A272" s="1" t="s">
        <v>5</v>
      </c>
      <c r="B272" s="5">
        <v>31377.65570200004</v>
      </c>
      <c r="C272" s="8">
        <v>12.451068638837569</v>
      </c>
      <c r="D272" s="6"/>
      <c r="E272" s="20"/>
      <c r="H272" s="3">
        <v>1177.78</v>
      </c>
      <c r="I272" s="6"/>
      <c r="J272" s="6"/>
      <c r="K272" s="6"/>
      <c r="L272" s="6"/>
      <c r="M272" s="6"/>
      <c r="O272" s="6"/>
      <c r="R272" s="6"/>
      <c r="S272" s="6"/>
      <c r="T272" s="6"/>
      <c r="U272" s="6"/>
      <c r="V272" s="6"/>
      <c r="W272" s="6"/>
      <c r="Z272" s="4"/>
      <c r="AI272" s="29" t="str">
        <f t="shared" si="6"/>
        <v/>
      </c>
      <c r="AS272" s="56"/>
      <c r="AT272" s="56"/>
      <c r="AU272" s="56"/>
      <c r="AV272" s="56"/>
      <c r="AW272" s="56"/>
      <c r="AX272" s="56"/>
      <c r="BA272" s="1" t="s">
        <v>11</v>
      </c>
    </row>
    <row r="273" spans="1:53" ht="15">
      <c r="A273" s="1" t="s">
        <v>5</v>
      </c>
      <c r="B273" s="5">
        <v>31468.966252000038</v>
      </c>
      <c r="C273" s="8">
        <v>12.701068638837569</v>
      </c>
      <c r="D273" s="6"/>
      <c r="E273" s="20"/>
      <c r="H273" s="3">
        <v>1244.44</v>
      </c>
      <c r="I273" s="6"/>
      <c r="J273" s="6"/>
      <c r="K273" s="6"/>
      <c r="L273" s="6"/>
      <c r="M273" s="6"/>
      <c r="O273" s="6"/>
      <c r="R273" s="6"/>
      <c r="S273" s="6"/>
      <c r="T273" s="6"/>
      <c r="U273" s="6"/>
      <c r="V273" s="6"/>
      <c r="W273" s="6"/>
      <c r="Z273" s="4"/>
      <c r="AI273" s="29" t="str">
        <f t="shared" si="6"/>
        <v/>
      </c>
      <c r="AS273" s="56"/>
      <c r="AT273" s="56"/>
      <c r="AU273" s="56"/>
      <c r="AV273" s="56"/>
      <c r="AW273" s="56"/>
      <c r="AX273" s="56"/>
      <c r="BA273" s="1" t="s">
        <v>11</v>
      </c>
    </row>
    <row r="274" spans="1:53" ht="15">
      <c r="A274" s="1" t="s">
        <v>5</v>
      </c>
      <c r="B274" s="5">
        <v>31560.27680200004</v>
      </c>
      <c r="C274" s="8">
        <v>12.951068638837569</v>
      </c>
      <c r="D274" s="6"/>
      <c r="E274" s="20"/>
      <c r="H274" s="3">
        <v>1111.1100000000001</v>
      </c>
      <c r="I274" s="6"/>
      <c r="J274" s="6"/>
      <c r="K274" s="6"/>
      <c r="L274" s="6"/>
      <c r="M274" s="6"/>
      <c r="O274" s="6"/>
      <c r="R274" s="6"/>
      <c r="S274" s="6"/>
      <c r="T274" s="6"/>
      <c r="U274" s="6"/>
      <c r="V274" s="6"/>
      <c r="W274" s="6"/>
      <c r="Z274" s="4"/>
      <c r="AI274" s="29" t="str">
        <f t="shared" si="6"/>
        <v/>
      </c>
      <c r="AS274" s="56"/>
      <c r="AT274" s="56"/>
      <c r="AU274" s="56"/>
      <c r="AV274" s="56"/>
      <c r="AW274" s="56"/>
      <c r="AX274" s="56"/>
      <c r="BA274" s="1" t="s">
        <v>11</v>
      </c>
    </row>
    <row r="275" spans="1:53" ht="15">
      <c r="A275" s="1" t="s">
        <v>5</v>
      </c>
      <c r="B275" s="5">
        <v>31651.587352000039</v>
      </c>
      <c r="C275" s="8">
        <v>13.201068638837569</v>
      </c>
      <c r="D275" s="6"/>
      <c r="E275" s="20"/>
      <c r="H275" s="3">
        <v>1088.8899999999999</v>
      </c>
      <c r="I275" s="6"/>
      <c r="J275" s="6"/>
      <c r="K275" s="6"/>
      <c r="L275" s="6"/>
      <c r="M275" s="6"/>
      <c r="O275" s="6"/>
      <c r="R275" s="6"/>
      <c r="S275" s="6"/>
      <c r="T275" s="6"/>
      <c r="U275" s="6"/>
      <c r="V275" s="6"/>
      <c r="W275" s="6"/>
      <c r="Z275" s="4"/>
      <c r="AI275" s="29" t="str">
        <f t="shared" si="6"/>
        <v/>
      </c>
      <c r="AL275" s="3">
        <v>1.0699999999999999E-2</v>
      </c>
      <c r="AS275" s="56"/>
      <c r="AT275" s="56"/>
      <c r="AU275" s="56"/>
      <c r="AV275" s="56"/>
      <c r="AW275" s="56"/>
      <c r="AX275" s="56">
        <v>11.651123</v>
      </c>
      <c r="AY275" s="3">
        <v>135</v>
      </c>
      <c r="BA275" s="1" t="s">
        <v>11</v>
      </c>
    </row>
    <row r="276" spans="1:53" ht="15">
      <c r="A276" s="1" t="s">
        <v>5</v>
      </c>
      <c r="B276" s="5">
        <v>31742.897902000041</v>
      </c>
      <c r="C276" s="8">
        <v>13.451068638837569</v>
      </c>
      <c r="D276" s="6"/>
      <c r="E276" s="20"/>
      <c r="H276" s="3">
        <v>1244.44</v>
      </c>
      <c r="I276" s="6"/>
      <c r="J276" s="6"/>
      <c r="K276" s="6"/>
      <c r="L276" s="6"/>
      <c r="M276" s="6"/>
      <c r="O276" s="6"/>
      <c r="R276" s="6"/>
      <c r="S276" s="6"/>
      <c r="T276" s="6"/>
      <c r="U276" s="6"/>
      <c r="V276" s="6"/>
      <c r="W276" s="6"/>
      <c r="Z276" s="4"/>
      <c r="AI276" s="29" t="str">
        <f t="shared" si="6"/>
        <v/>
      </c>
      <c r="AS276" s="56"/>
      <c r="AT276" s="56"/>
      <c r="AU276" s="56"/>
      <c r="AV276" s="56"/>
      <c r="AW276" s="56"/>
      <c r="AX276" s="56"/>
      <c r="BA276" s="1" t="s">
        <v>11</v>
      </c>
    </row>
    <row r="277" spans="1:53" ht="15">
      <c r="A277" s="1" t="s">
        <v>5</v>
      </c>
      <c r="B277" s="5">
        <v>31834.208452000039</v>
      </c>
      <c r="C277" s="8">
        <v>13.701068638837569</v>
      </c>
      <c r="D277" s="6"/>
      <c r="E277" s="20"/>
      <c r="H277" s="3">
        <v>1333.33</v>
      </c>
      <c r="I277" s="6"/>
      <c r="J277" s="6"/>
      <c r="K277" s="6"/>
      <c r="L277" s="6"/>
      <c r="M277" s="6"/>
      <c r="O277" s="6"/>
      <c r="R277" s="6"/>
      <c r="S277" s="6"/>
      <c r="T277" s="6"/>
      <c r="U277" s="6"/>
      <c r="V277" s="6"/>
      <c r="W277" s="6"/>
      <c r="Z277" s="4"/>
      <c r="AI277" s="29" t="str">
        <f t="shared" si="6"/>
        <v/>
      </c>
      <c r="AS277" s="56"/>
      <c r="AT277" s="56"/>
      <c r="AU277" s="56"/>
      <c r="AV277" s="56"/>
      <c r="AW277" s="56"/>
      <c r="AX277" s="56"/>
      <c r="BA277" s="1" t="s">
        <v>11</v>
      </c>
    </row>
    <row r="278" spans="1:53" ht="15">
      <c r="A278" s="1" t="s">
        <v>5</v>
      </c>
      <c r="B278" s="5">
        <v>31925.519002000037</v>
      </c>
      <c r="C278" s="8">
        <v>13.951068638837569</v>
      </c>
      <c r="D278" s="6"/>
      <c r="E278" s="20"/>
      <c r="H278" s="3">
        <v>1266.67</v>
      </c>
      <c r="I278" s="6"/>
      <c r="J278" s="6"/>
      <c r="K278" s="6"/>
      <c r="L278" s="6"/>
      <c r="M278" s="6"/>
      <c r="O278" s="6"/>
      <c r="R278" s="6"/>
      <c r="S278" s="6"/>
      <c r="T278" s="6"/>
      <c r="U278" s="6"/>
      <c r="V278" s="6"/>
      <c r="W278" s="6"/>
      <c r="Z278" s="4"/>
      <c r="AI278" s="29" t="str">
        <f t="shared" si="6"/>
        <v/>
      </c>
      <c r="AS278" s="56"/>
      <c r="AT278" s="56"/>
      <c r="AU278" s="56"/>
      <c r="AV278" s="56"/>
      <c r="AW278" s="56"/>
      <c r="AX278" s="56"/>
      <c r="BA278" s="1" t="s">
        <v>11</v>
      </c>
    </row>
    <row r="279" spans="1:53" ht="15">
      <c r="A279" s="1" t="s">
        <v>5</v>
      </c>
      <c r="B279" s="5">
        <v>32016.829552000039</v>
      </c>
      <c r="C279" s="8">
        <v>14.201068638837569</v>
      </c>
      <c r="D279" s="6"/>
      <c r="E279" s="20"/>
      <c r="I279" s="6"/>
      <c r="J279" s="6"/>
      <c r="K279" s="6"/>
      <c r="L279" s="6"/>
      <c r="M279" s="6"/>
      <c r="O279" s="6"/>
      <c r="R279" s="6"/>
      <c r="S279" s="6"/>
      <c r="T279" s="6"/>
      <c r="U279" s="6"/>
      <c r="V279" s="6"/>
      <c r="W279" s="6"/>
      <c r="Z279" s="4"/>
      <c r="AI279" s="29" t="str">
        <f t="shared" si="6"/>
        <v/>
      </c>
      <c r="AL279" s="3">
        <v>0.01</v>
      </c>
      <c r="AS279" s="56"/>
      <c r="AT279" s="56"/>
      <c r="AU279" s="56"/>
      <c r="AV279" s="56"/>
      <c r="AW279" s="56"/>
      <c r="AX279" s="56">
        <v>12.666700000000001</v>
      </c>
      <c r="AY279" s="3">
        <v>135</v>
      </c>
      <c r="BA279" s="1" t="s">
        <v>11</v>
      </c>
    </row>
    <row r="280" spans="1:53" ht="15">
      <c r="A280" s="1" t="s">
        <v>6</v>
      </c>
      <c r="B280" s="5">
        <v>30862.66420000001</v>
      </c>
      <c r="C280" s="8">
        <v>11.041068638837487</v>
      </c>
      <c r="D280" s="6"/>
      <c r="E280" s="20"/>
      <c r="I280" s="6"/>
      <c r="J280" s="6"/>
      <c r="K280" s="6"/>
      <c r="L280" s="6"/>
      <c r="M280" s="6"/>
      <c r="O280" s="6"/>
      <c r="R280" s="6"/>
      <c r="S280" s="6"/>
      <c r="T280" s="6"/>
      <c r="U280" s="6"/>
      <c r="V280" s="6"/>
      <c r="W280" s="6"/>
      <c r="Z280" s="4"/>
      <c r="AI280" s="29" t="str">
        <f t="shared" si="6"/>
        <v/>
      </c>
      <c r="AS280" s="56"/>
      <c r="AT280" s="56"/>
      <c r="AU280" s="56"/>
      <c r="AV280" s="56"/>
      <c r="AW280" s="56"/>
      <c r="AX280" s="56"/>
      <c r="BA280" s="1" t="s">
        <v>11</v>
      </c>
    </row>
    <row r="281" spans="1:53" ht="15">
      <c r="A281" s="1" t="s">
        <v>6</v>
      </c>
      <c r="B281" s="5">
        <v>31227.906400000011</v>
      </c>
      <c r="C281" s="8">
        <v>12.041068638837487</v>
      </c>
      <c r="D281" s="6"/>
      <c r="E281" s="20"/>
      <c r="I281" s="6"/>
      <c r="J281" s="6"/>
      <c r="K281" s="6"/>
      <c r="L281" s="6"/>
      <c r="M281" s="6"/>
      <c r="O281" s="6"/>
      <c r="R281" s="6"/>
      <c r="S281" s="6"/>
      <c r="T281" s="6"/>
      <c r="U281" s="6"/>
      <c r="V281" s="6"/>
      <c r="W281" s="6"/>
      <c r="Z281" s="4"/>
      <c r="AI281" s="29" t="str">
        <f t="shared" si="6"/>
        <v/>
      </c>
      <c r="AS281" s="56"/>
      <c r="AT281" s="56"/>
      <c r="AU281" s="56"/>
      <c r="AV281" s="56"/>
      <c r="AW281" s="56"/>
      <c r="AX281" s="56"/>
      <c r="BA281" s="1" t="s">
        <v>11</v>
      </c>
    </row>
    <row r="282" spans="1:53" ht="15">
      <c r="A282" s="1" t="s">
        <v>6</v>
      </c>
      <c r="B282" s="5">
        <v>31593.148600000008</v>
      </c>
      <c r="C282" s="8">
        <v>13.041068638837487</v>
      </c>
      <c r="D282" s="6"/>
      <c r="E282" s="20"/>
      <c r="I282" s="6"/>
      <c r="J282" s="6"/>
      <c r="K282" s="6"/>
      <c r="L282" s="6"/>
      <c r="M282" s="6"/>
      <c r="O282" s="6"/>
      <c r="R282" s="6"/>
      <c r="S282" s="6"/>
      <c r="T282" s="6"/>
      <c r="U282" s="6"/>
      <c r="V282" s="6"/>
      <c r="W282" s="6"/>
      <c r="Z282" s="4"/>
      <c r="AI282" s="29" t="str">
        <f t="shared" si="6"/>
        <v/>
      </c>
      <c r="AS282" s="56"/>
      <c r="AT282" s="56"/>
      <c r="AU282" s="56"/>
      <c r="AV282" s="56"/>
      <c r="AW282" s="56"/>
      <c r="AX282" s="56"/>
      <c r="BA282" s="1" t="s">
        <v>11</v>
      </c>
    </row>
    <row r="283" spans="1:53" ht="15">
      <c r="A283" s="1" t="s">
        <v>6</v>
      </c>
      <c r="B283" s="5">
        <v>31958.390800000008</v>
      </c>
      <c r="C283" s="8">
        <v>14.041068638837487</v>
      </c>
      <c r="D283" s="20">
        <f t="shared" ref="D283" si="8">E283/997*100</f>
        <v>69.508525576730193</v>
      </c>
      <c r="E283" s="20">
        <v>693</v>
      </c>
      <c r="I283" s="6"/>
      <c r="J283" s="6"/>
      <c r="K283" s="6"/>
      <c r="L283" s="6"/>
      <c r="M283" s="6"/>
      <c r="O283" s="6"/>
      <c r="R283" s="6"/>
      <c r="S283" s="6"/>
      <c r="T283" s="6"/>
      <c r="U283" s="6"/>
      <c r="V283" s="6"/>
      <c r="W283" s="6"/>
      <c r="Z283" s="4"/>
      <c r="AI283" s="29" t="str">
        <f t="shared" si="6"/>
        <v/>
      </c>
      <c r="AS283" s="56"/>
      <c r="AT283" s="56"/>
      <c r="AU283" s="56"/>
      <c r="AV283" s="56"/>
      <c r="AW283" s="56"/>
      <c r="AX283" s="56"/>
      <c r="BA283" s="1" t="s">
        <v>11</v>
      </c>
    </row>
    <row r="284" spans="1:53" ht="15">
      <c r="A284" s="1" t="s">
        <v>6</v>
      </c>
      <c r="B284" s="5">
        <v>30862.66420000001</v>
      </c>
      <c r="C284" s="8">
        <v>11.041068638837487</v>
      </c>
      <c r="D284" s="6"/>
      <c r="E284" s="20"/>
      <c r="I284" s="6"/>
      <c r="J284" s="6"/>
      <c r="K284" s="6"/>
      <c r="L284" s="6"/>
      <c r="M284" s="6"/>
      <c r="N284" s="3">
        <v>2399.8679999999999</v>
      </c>
      <c r="O284" s="6"/>
      <c r="R284" s="6"/>
      <c r="S284" s="6"/>
      <c r="T284" s="6"/>
      <c r="U284" s="6"/>
      <c r="V284" s="6"/>
      <c r="W284" s="6"/>
      <c r="Z284" s="4"/>
      <c r="AI284" s="29" t="str">
        <f t="shared" si="6"/>
        <v/>
      </c>
      <c r="AS284" s="56"/>
      <c r="AT284" s="56"/>
      <c r="AU284" s="56"/>
      <c r="AV284" s="56"/>
      <c r="AW284" s="56"/>
      <c r="AX284" s="56"/>
      <c r="BA284" s="1" t="s">
        <v>11</v>
      </c>
    </row>
    <row r="285" spans="1:53" ht="15">
      <c r="A285" s="1" t="s">
        <v>6</v>
      </c>
      <c r="B285" s="5">
        <v>31227.906400000011</v>
      </c>
      <c r="C285" s="8">
        <v>12.041068638837487</v>
      </c>
      <c r="D285" s="6"/>
      <c r="E285" s="20"/>
      <c r="I285" s="6"/>
      <c r="J285" s="6"/>
      <c r="K285" s="6"/>
      <c r="L285" s="6"/>
      <c r="M285" s="6"/>
      <c r="N285" s="3">
        <v>3573.63</v>
      </c>
      <c r="O285" s="6"/>
      <c r="R285" s="6"/>
      <c r="S285" s="6"/>
      <c r="T285" s="6"/>
      <c r="U285" s="6"/>
      <c r="V285" s="6"/>
      <c r="W285" s="6"/>
      <c r="Z285" s="4"/>
      <c r="AI285" s="29" t="str">
        <f t="shared" si="6"/>
        <v/>
      </c>
      <c r="AS285" s="56"/>
      <c r="AT285" s="56"/>
      <c r="AU285" s="56"/>
      <c r="AV285" s="56"/>
      <c r="AW285" s="56"/>
      <c r="AX285" s="56"/>
      <c r="BA285" s="1" t="s">
        <v>11</v>
      </c>
    </row>
    <row r="286" spans="1:53" ht="15">
      <c r="A286" s="1" t="s">
        <v>6</v>
      </c>
      <c r="B286" s="5">
        <v>31593.148600000008</v>
      </c>
      <c r="C286" s="8">
        <v>13.041068638837487</v>
      </c>
      <c r="D286" s="6"/>
      <c r="E286" s="20"/>
      <c r="I286" s="6"/>
      <c r="J286" s="6"/>
      <c r="K286" s="6"/>
      <c r="L286" s="6"/>
      <c r="M286" s="6"/>
      <c r="N286" s="3">
        <v>4880.7300000000005</v>
      </c>
      <c r="O286" s="6"/>
      <c r="R286" s="6"/>
      <c r="S286" s="6"/>
      <c r="T286" s="6"/>
      <c r="U286" s="6"/>
      <c r="V286" s="6"/>
      <c r="W286" s="6"/>
      <c r="Z286" s="4"/>
      <c r="AI286" s="29" t="str">
        <f t="shared" si="6"/>
        <v/>
      </c>
      <c r="AS286" s="56"/>
      <c r="AT286" s="56"/>
      <c r="AU286" s="56"/>
      <c r="AV286" s="56"/>
      <c r="AW286" s="56"/>
      <c r="AX286" s="56"/>
      <c r="BA286" s="1" t="s">
        <v>11</v>
      </c>
    </row>
    <row r="287" spans="1:53" ht="15">
      <c r="A287" s="1" t="s">
        <v>6</v>
      </c>
      <c r="B287" s="5">
        <v>31958.390800000008</v>
      </c>
      <c r="C287" s="8">
        <v>14.041068638837487</v>
      </c>
      <c r="D287" s="6"/>
      <c r="E287" s="20"/>
      <c r="I287" s="6"/>
      <c r="J287" s="6"/>
      <c r="K287" s="6"/>
      <c r="L287" s="6"/>
      <c r="M287" s="6"/>
      <c r="N287" s="3">
        <v>6254.4599999999991</v>
      </c>
      <c r="O287" s="6"/>
      <c r="R287" s="6"/>
      <c r="S287" s="6"/>
      <c r="T287" s="6"/>
      <c r="U287" s="6"/>
      <c r="V287" s="6"/>
      <c r="W287" s="6"/>
      <c r="Z287" s="4"/>
      <c r="AI287" s="29" t="str">
        <f t="shared" si="6"/>
        <v/>
      </c>
      <c r="AS287" s="56"/>
      <c r="AT287" s="56"/>
      <c r="AU287" s="56"/>
      <c r="AV287" s="56"/>
      <c r="AW287" s="56"/>
      <c r="AX287" s="56"/>
      <c r="BA287" s="1" t="s">
        <v>11</v>
      </c>
    </row>
    <row r="288" spans="1:53" ht="15">
      <c r="A288" s="1" t="s">
        <v>6</v>
      </c>
      <c r="B288" s="5">
        <v>30921.102952000037</v>
      </c>
      <c r="C288" s="8">
        <v>11.201068638837569</v>
      </c>
      <c r="D288" s="6"/>
      <c r="E288" s="20"/>
      <c r="H288" s="3">
        <v>687.37</v>
      </c>
      <c r="I288" s="6"/>
      <c r="J288" s="6"/>
      <c r="K288" s="6"/>
      <c r="L288" s="6"/>
      <c r="M288" s="6"/>
      <c r="O288" s="6"/>
      <c r="R288" s="6"/>
      <c r="S288" s="6"/>
      <c r="T288" s="6"/>
      <c r="U288" s="6"/>
      <c r="V288" s="6"/>
      <c r="W288" s="6"/>
      <c r="Z288" s="4"/>
      <c r="AI288" s="29" t="str">
        <f t="shared" si="6"/>
        <v/>
      </c>
      <c r="AL288" s="3">
        <v>1.01E-2</v>
      </c>
      <c r="AS288" s="56"/>
      <c r="AT288" s="56"/>
      <c r="AU288" s="56"/>
      <c r="AV288" s="56"/>
      <c r="AW288" s="56"/>
      <c r="AX288" s="56">
        <v>6.942437</v>
      </c>
      <c r="AY288" s="3">
        <v>75</v>
      </c>
      <c r="BA288" s="1" t="s">
        <v>11</v>
      </c>
    </row>
    <row r="289" spans="1:53" ht="15">
      <c r="A289" s="1" t="s">
        <v>6</v>
      </c>
      <c r="B289" s="5">
        <v>31012.413502000039</v>
      </c>
      <c r="C289" s="8">
        <v>11.451068638837569</v>
      </c>
      <c r="D289" s="6"/>
      <c r="E289" s="20"/>
      <c r="H289" s="3">
        <v>907.44</v>
      </c>
      <c r="I289" s="6"/>
      <c r="J289" s="6"/>
      <c r="K289" s="6"/>
      <c r="L289" s="6"/>
      <c r="M289" s="6"/>
      <c r="O289" s="6"/>
      <c r="R289" s="6"/>
      <c r="S289" s="6"/>
      <c r="T289" s="6"/>
      <c r="U289" s="6"/>
      <c r="V289" s="6"/>
      <c r="W289" s="6"/>
      <c r="Z289" s="4"/>
      <c r="AI289" s="29" t="str">
        <f t="shared" si="6"/>
        <v/>
      </c>
      <c r="AS289" s="56"/>
      <c r="AT289" s="56"/>
      <c r="AU289" s="56"/>
      <c r="AV289" s="56"/>
      <c r="AW289" s="56"/>
      <c r="AX289" s="56"/>
      <c r="BA289" s="1" t="s">
        <v>11</v>
      </c>
    </row>
    <row r="290" spans="1:53" ht="15">
      <c r="A290" s="1" t="s">
        <v>6</v>
      </c>
      <c r="B290" s="5">
        <v>31103.724052000041</v>
      </c>
      <c r="C290" s="8">
        <v>11.701068638837569</v>
      </c>
      <c r="D290" s="6"/>
      <c r="E290" s="20"/>
      <c r="H290" s="3">
        <v>1083.07</v>
      </c>
      <c r="I290" s="6"/>
      <c r="J290" s="6"/>
      <c r="K290" s="6"/>
      <c r="L290" s="6"/>
      <c r="M290" s="6"/>
      <c r="O290" s="6"/>
      <c r="R290" s="6"/>
      <c r="S290" s="6"/>
      <c r="T290" s="6"/>
      <c r="U290" s="6"/>
      <c r="V290" s="6"/>
      <c r="W290" s="6"/>
      <c r="Z290" s="4"/>
      <c r="AI290" s="29" t="str">
        <f t="shared" si="6"/>
        <v/>
      </c>
      <c r="AS290" s="56"/>
      <c r="AT290" s="56"/>
      <c r="AU290" s="56"/>
      <c r="AV290" s="56"/>
      <c r="AW290" s="56"/>
      <c r="AX290" s="56"/>
      <c r="BA290" s="1" t="s">
        <v>11</v>
      </c>
    </row>
    <row r="291" spans="1:53" ht="15">
      <c r="A291" s="1" t="s">
        <v>6</v>
      </c>
      <c r="B291" s="5">
        <v>31195.03460200004</v>
      </c>
      <c r="C291" s="8">
        <v>11.951068638837569</v>
      </c>
      <c r="D291" s="6"/>
      <c r="E291" s="20"/>
      <c r="H291" s="3">
        <v>1014.27</v>
      </c>
      <c r="I291" s="6"/>
      <c r="J291" s="6"/>
      <c r="K291" s="6"/>
      <c r="L291" s="6"/>
      <c r="M291" s="6"/>
      <c r="O291" s="6"/>
      <c r="R291" s="6"/>
      <c r="S291" s="6"/>
      <c r="T291" s="6"/>
      <c r="U291" s="6"/>
      <c r="V291" s="6"/>
      <c r="W291" s="6"/>
      <c r="Z291" s="4"/>
      <c r="AI291" s="29" t="str">
        <f t="shared" si="6"/>
        <v/>
      </c>
      <c r="AS291" s="56"/>
      <c r="AT291" s="56"/>
      <c r="AU291" s="56"/>
      <c r="AV291" s="56"/>
      <c r="AW291" s="56"/>
      <c r="AX291" s="56"/>
      <c r="BA291" s="1" t="s">
        <v>11</v>
      </c>
    </row>
    <row r="292" spans="1:53" ht="15">
      <c r="A292" s="1" t="s">
        <v>6</v>
      </c>
      <c r="B292" s="5">
        <v>31286.345152000038</v>
      </c>
      <c r="C292" s="8">
        <v>12.201068638837569</v>
      </c>
      <c r="D292" s="6"/>
      <c r="E292" s="20"/>
      <c r="H292" s="3">
        <v>923.24199999999996</v>
      </c>
      <c r="I292" s="6"/>
      <c r="J292" s="6"/>
      <c r="K292" s="6"/>
      <c r="L292" s="6"/>
      <c r="M292" s="6"/>
      <c r="O292" s="6"/>
      <c r="R292" s="6"/>
      <c r="S292" s="6"/>
      <c r="T292" s="6"/>
      <c r="U292" s="6"/>
      <c r="V292" s="6"/>
      <c r="W292" s="6"/>
      <c r="Z292" s="4"/>
      <c r="AI292" s="29" t="str">
        <f t="shared" si="6"/>
        <v/>
      </c>
      <c r="AL292" s="3">
        <v>8.9999999999999993E-3</v>
      </c>
      <c r="AS292" s="56"/>
      <c r="AT292" s="56"/>
      <c r="AU292" s="56"/>
      <c r="AV292" s="56"/>
      <c r="AW292" s="56"/>
      <c r="AX292" s="56">
        <v>8.3091779999999993</v>
      </c>
      <c r="AY292" s="3">
        <v>110</v>
      </c>
      <c r="BA292" s="1" t="s">
        <v>11</v>
      </c>
    </row>
    <row r="293" spans="1:53" ht="15">
      <c r="A293" s="1" t="s">
        <v>6</v>
      </c>
      <c r="B293" s="5">
        <v>31377.65570200004</v>
      </c>
      <c r="C293" s="8">
        <v>12.451068638837569</v>
      </c>
      <c r="D293" s="6"/>
      <c r="E293" s="20"/>
      <c r="H293" s="3">
        <v>1054.26</v>
      </c>
      <c r="I293" s="6"/>
      <c r="J293" s="6"/>
      <c r="K293" s="6"/>
      <c r="L293" s="6"/>
      <c r="M293" s="6"/>
      <c r="O293" s="6"/>
      <c r="R293" s="6"/>
      <c r="S293" s="6"/>
      <c r="T293" s="6"/>
      <c r="U293" s="6"/>
      <c r="V293" s="6"/>
      <c r="W293" s="6"/>
      <c r="Z293" s="4"/>
      <c r="AI293" s="29" t="str">
        <f t="shared" si="6"/>
        <v/>
      </c>
      <c r="AS293" s="56"/>
      <c r="AT293" s="56"/>
      <c r="AU293" s="56"/>
      <c r="AV293" s="56"/>
      <c r="AW293" s="56"/>
      <c r="AX293" s="56"/>
      <c r="BA293" s="1" t="s">
        <v>11</v>
      </c>
    </row>
    <row r="294" spans="1:53" ht="15">
      <c r="A294" s="1" t="s">
        <v>6</v>
      </c>
      <c r="B294" s="5">
        <v>31468.966252000038</v>
      </c>
      <c r="C294" s="8">
        <v>12.701068638837569</v>
      </c>
      <c r="D294" s="6"/>
      <c r="E294" s="20"/>
      <c r="H294" s="3">
        <v>1185.45</v>
      </c>
      <c r="I294" s="6"/>
      <c r="J294" s="6"/>
      <c r="K294" s="6"/>
      <c r="L294" s="6"/>
      <c r="M294" s="6"/>
      <c r="O294" s="6"/>
      <c r="R294" s="6"/>
      <c r="S294" s="6"/>
      <c r="T294" s="6"/>
      <c r="U294" s="6"/>
      <c r="V294" s="6"/>
      <c r="W294" s="6"/>
      <c r="Z294" s="4"/>
      <c r="AI294" s="29" t="str">
        <f t="shared" si="6"/>
        <v/>
      </c>
      <c r="AS294" s="56"/>
      <c r="AT294" s="56"/>
      <c r="AU294" s="56"/>
      <c r="AV294" s="56"/>
      <c r="AW294" s="56"/>
      <c r="AX294" s="56"/>
      <c r="BA294" s="1" t="s">
        <v>11</v>
      </c>
    </row>
    <row r="295" spans="1:53" ht="15">
      <c r="A295" s="1" t="s">
        <v>6</v>
      </c>
      <c r="B295" s="5">
        <v>31560.27680200004</v>
      </c>
      <c r="C295" s="8">
        <v>12.951068638837569</v>
      </c>
      <c r="D295" s="6"/>
      <c r="E295" s="20"/>
      <c r="H295" s="3">
        <v>1138.8699999999999</v>
      </c>
      <c r="I295" s="6"/>
      <c r="J295" s="6"/>
      <c r="K295" s="6"/>
      <c r="L295" s="6"/>
      <c r="M295" s="6"/>
      <c r="O295" s="6"/>
      <c r="R295" s="6"/>
      <c r="S295" s="6"/>
      <c r="T295" s="6"/>
      <c r="U295" s="6"/>
      <c r="V295" s="6"/>
      <c r="W295" s="6"/>
      <c r="Z295" s="4"/>
      <c r="AI295" s="29" t="str">
        <f t="shared" si="6"/>
        <v/>
      </c>
      <c r="AS295" s="56"/>
      <c r="AT295" s="56"/>
      <c r="AU295" s="56"/>
      <c r="AV295" s="56"/>
      <c r="AW295" s="56"/>
      <c r="AX295" s="56"/>
      <c r="BA295" s="1" t="s">
        <v>11</v>
      </c>
    </row>
    <row r="296" spans="1:53" ht="15">
      <c r="A296" s="1" t="s">
        <v>6</v>
      </c>
      <c r="B296" s="5">
        <v>31651.587352000039</v>
      </c>
      <c r="C296" s="8">
        <v>13.201068638837569</v>
      </c>
      <c r="D296" s="6"/>
      <c r="E296" s="20"/>
      <c r="H296" s="3">
        <v>1114.3399999999999</v>
      </c>
      <c r="I296" s="6"/>
      <c r="J296" s="6"/>
      <c r="K296" s="6"/>
      <c r="L296" s="6"/>
      <c r="M296" s="6"/>
      <c r="O296" s="6"/>
      <c r="R296" s="6"/>
      <c r="S296" s="6"/>
      <c r="T296" s="6"/>
      <c r="U296" s="6"/>
      <c r="V296" s="6"/>
      <c r="W296" s="6"/>
      <c r="Z296" s="4"/>
      <c r="AI296" s="29" t="str">
        <f t="shared" si="6"/>
        <v/>
      </c>
      <c r="AL296" s="3">
        <v>8.0999999999999996E-3</v>
      </c>
      <c r="AS296" s="56"/>
      <c r="AT296" s="56"/>
      <c r="AU296" s="56"/>
      <c r="AV296" s="56"/>
      <c r="AW296" s="56"/>
      <c r="AX296" s="56">
        <v>9.0261539999999982</v>
      </c>
      <c r="AY296" s="3">
        <v>100</v>
      </c>
      <c r="BA296" s="1" t="s">
        <v>11</v>
      </c>
    </row>
    <row r="297" spans="1:53" ht="15">
      <c r="A297" s="1" t="s">
        <v>6</v>
      </c>
      <c r="B297" s="5">
        <v>31742.897902000041</v>
      </c>
      <c r="C297" s="8">
        <v>13.451068638837569</v>
      </c>
      <c r="D297" s="6"/>
      <c r="E297" s="20"/>
      <c r="H297" s="3">
        <v>1223.31</v>
      </c>
      <c r="I297" s="6"/>
      <c r="J297" s="6"/>
      <c r="K297" s="6"/>
      <c r="L297" s="6"/>
      <c r="M297" s="6"/>
      <c r="O297" s="6"/>
      <c r="R297" s="6"/>
      <c r="S297" s="6"/>
      <c r="T297" s="6"/>
      <c r="U297" s="6"/>
      <c r="V297" s="6"/>
      <c r="W297" s="6"/>
      <c r="Z297" s="4"/>
      <c r="AI297" s="29" t="str">
        <f t="shared" si="6"/>
        <v/>
      </c>
      <c r="AS297" s="56"/>
      <c r="AT297" s="56"/>
      <c r="AU297" s="56"/>
      <c r="AV297" s="56"/>
      <c r="AW297" s="56"/>
      <c r="AX297" s="56"/>
      <c r="BA297" s="1" t="s">
        <v>11</v>
      </c>
    </row>
    <row r="298" spans="1:53" ht="15">
      <c r="A298" s="1" t="s">
        <v>6</v>
      </c>
      <c r="B298" s="5">
        <v>31834.208452000039</v>
      </c>
      <c r="C298" s="8">
        <v>13.701068638837569</v>
      </c>
      <c r="D298" s="6"/>
      <c r="E298" s="20"/>
      <c r="H298" s="3">
        <v>1398.94</v>
      </c>
      <c r="I298" s="6"/>
      <c r="J298" s="6"/>
      <c r="K298" s="6"/>
      <c r="L298" s="6"/>
      <c r="M298" s="6"/>
      <c r="O298" s="6"/>
      <c r="R298" s="6"/>
      <c r="S298" s="6"/>
      <c r="T298" s="6"/>
      <c r="U298" s="6"/>
      <c r="V298" s="6"/>
      <c r="W298" s="6"/>
      <c r="Z298" s="4"/>
      <c r="AI298" s="29" t="str">
        <f t="shared" si="6"/>
        <v/>
      </c>
      <c r="AS298" s="56"/>
      <c r="AT298" s="56"/>
      <c r="AU298" s="56"/>
      <c r="AV298" s="56"/>
      <c r="AW298" s="56"/>
      <c r="AX298" s="56"/>
      <c r="BA298" s="1" t="s">
        <v>11</v>
      </c>
    </row>
    <row r="299" spans="1:53" ht="15">
      <c r="A299" s="1" t="s">
        <v>6</v>
      </c>
      <c r="B299" s="5">
        <v>31925.519002000037</v>
      </c>
      <c r="C299" s="8">
        <v>13.951068638837569</v>
      </c>
      <c r="D299" s="6"/>
      <c r="E299" s="20"/>
      <c r="H299" s="3">
        <v>1329.97</v>
      </c>
      <c r="I299" s="6"/>
      <c r="J299" s="6"/>
      <c r="K299" s="6"/>
      <c r="L299" s="6"/>
      <c r="M299" s="6"/>
      <c r="O299" s="6"/>
      <c r="R299" s="6"/>
      <c r="S299" s="6"/>
      <c r="T299" s="6"/>
      <c r="U299" s="6"/>
      <c r="V299" s="6"/>
      <c r="W299" s="6"/>
      <c r="Z299" s="4"/>
      <c r="AI299" s="29" t="str">
        <f t="shared" si="6"/>
        <v/>
      </c>
      <c r="AS299" s="56"/>
      <c r="AT299" s="56"/>
      <c r="AU299" s="56"/>
      <c r="AV299" s="56"/>
      <c r="AW299" s="56"/>
      <c r="AX299" s="56"/>
      <c r="BA299" s="1" t="s">
        <v>11</v>
      </c>
    </row>
    <row r="300" spans="1:53" ht="15">
      <c r="A300" s="1" t="s">
        <v>6</v>
      </c>
      <c r="B300" s="5">
        <v>32016.829552000039</v>
      </c>
      <c r="C300" s="8">
        <v>14.201068638837569</v>
      </c>
      <c r="D300" s="6"/>
      <c r="E300" s="20"/>
      <c r="I300" s="6"/>
      <c r="J300" s="6"/>
      <c r="K300" s="6"/>
      <c r="L300" s="6"/>
      <c r="M300" s="6"/>
      <c r="O300" s="6"/>
      <c r="R300" s="6"/>
      <c r="S300" s="6"/>
      <c r="T300" s="6"/>
      <c r="U300" s="6"/>
      <c r="V300" s="6"/>
      <c r="W300" s="6"/>
      <c r="Z300" s="4"/>
      <c r="AI300" s="29" t="str">
        <f t="shared" si="6"/>
        <v/>
      </c>
      <c r="AL300" s="3">
        <v>7.1999999999999998E-3</v>
      </c>
      <c r="AS300" s="56"/>
      <c r="AT300" s="56"/>
      <c r="AU300" s="56"/>
      <c r="AV300" s="56"/>
      <c r="AW300" s="56"/>
      <c r="AX300" s="56">
        <v>9.5757840000000005</v>
      </c>
      <c r="AY300" s="3">
        <v>100</v>
      </c>
      <c r="BA300" s="1" t="s">
        <v>11</v>
      </c>
    </row>
    <row r="301" spans="1:53" ht="15">
      <c r="A301" s="1" t="s">
        <v>16</v>
      </c>
      <c r="B301" s="5">
        <v>30862.66420000001</v>
      </c>
      <c r="C301" s="8">
        <v>11.041068638837487</v>
      </c>
      <c r="D301" s="6"/>
      <c r="E301" s="20"/>
      <c r="I301" s="6"/>
      <c r="J301" s="6"/>
      <c r="K301" s="6"/>
      <c r="L301" s="6"/>
      <c r="M301" s="6"/>
      <c r="O301" s="6"/>
      <c r="R301" s="6"/>
      <c r="S301" s="6"/>
      <c r="T301" s="6"/>
      <c r="U301" s="6"/>
      <c r="V301" s="6"/>
      <c r="W301" s="6"/>
      <c r="Z301" s="4"/>
      <c r="AI301" s="29" t="str">
        <f t="shared" si="6"/>
        <v/>
      </c>
      <c r="AS301" s="56"/>
      <c r="AT301" s="56"/>
      <c r="AU301" s="56"/>
      <c r="AV301" s="56"/>
      <c r="AW301" s="56"/>
      <c r="AX301" s="56"/>
      <c r="BA301" s="1" t="s">
        <v>11</v>
      </c>
    </row>
    <row r="302" spans="1:53" ht="15">
      <c r="A302" s="1" t="s">
        <v>16</v>
      </c>
      <c r="B302" s="5">
        <v>31227.906400000011</v>
      </c>
      <c r="C302" s="8">
        <v>12.041068638837487</v>
      </c>
      <c r="D302" s="6"/>
      <c r="E302" s="20"/>
      <c r="I302" s="6"/>
      <c r="J302" s="6"/>
      <c r="K302" s="6"/>
      <c r="L302" s="6"/>
      <c r="M302" s="6"/>
      <c r="O302" s="6"/>
      <c r="R302" s="6"/>
      <c r="S302" s="6"/>
      <c r="T302" s="6"/>
      <c r="U302" s="6"/>
      <c r="V302" s="6"/>
      <c r="W302" s="6"/>
      <c r="Z302" s="4"/>
      <c r="AI302" s="29" t="str">
        <f t="shared" si="6"/>
        <v/>
      </c>
      <c r="AS302" s="56"/>
      <c r="AT302" s="56"/>
      <c r="AU302" s="56"/>
      <c r="AV302" s="56"/>
      <c r="AW302" s="56"/>
      <c r="AX302" s="56"/>
      <c r="BA302" s="1" t="s">
        <v>11</v>
      </c>
    </row>
    <row r="303" spans="1:53" ht="15">
      <c r="A303" s="1" t="s">
        <v>16</v>
      </c>
      <c r="B303" s="5">
        <v>31593.148600000008</v>
      </c>
      <c r="C303" s="8">
        <v>13.041068638837487</v>
      </c>
      <c r="D303" s="6"/>
      <c r="E303" s="20"/>
      <c r="I303" s="6"/>
      <c r="J303" s="6"/>
      <c r="K303" s="6"/>
      <c r="L303" s="6"/>
      <c r="M303" s="6"/>
      <c r="O303" s="6"/>
      <c r="R303" s="6"/>
      <c r="S303" s="6"/>
      <c r="T303" s="6"/>
      <c r="U303" s="6"/>
      <c r="V303" s="6"/>
      <c r="W303" s="6"/>
      <c r="Z303" s="4"/>
      <c r="AI303" s="29" t="str">
        <f t="shared" si="6"/>
        <v/>
      </c>
      <c r="AS303" s="56"/>
      <c r="AT303" s="56"/>
      <c r="AU303" s="56"/>
      <c r="AV303" s="56"/>
      <c r="AW303" s="56"/>
      <c r="AX303" s="56"/>
      <c r="BA303" s="1" t="s">
        <v>11</v>
      </c>
    </row>
    <row r="304" spans="1:53" ht="15">
      <c r="A304" s="1" t="s">
        <v>16</v>
      </c>
      <c r="B304" s="5">
        <v>31958.390800000008</v>
      </c>
      <c r="C304" s="8">
        <v>14.041068638837487</v>
      </c>
      <c r="D304" s="6"/>
      <c r="E304" s="20"/>
      <c r="I304" s="6"/>
      <c r="J304" s="6"/>
      <c r="K304" s="6"/>
      <c r="L304" s="6"/>
      <c r="M304" s="6"/>
      <c r="O304" s="6"/>
      <c r="R304" s="6"/>
      <c r="S304" s="6"/>
      <c r="T304" s="6"/>
      <c r="U304" s="6"/>
      <c r="V304" s="6"/>
      <c r="W304" s="6"/>
      <c r="Z304" s="4"/>
      <c r="AI304" s="29" t="str">
        <f t="shared" si="6"/>
        <v/>
      </c>
      <c r="AS304" s="56"/>
      <c r="AT304" s="56"/>
      <c r="AU304" s="56"/>
      <c r="AV304" s="56"/>
      <c r="AW304" s="56"/>
      <c r="AX304" s="56"/>
      <c r="BA304" s="1" t="s">
        <v>11</v>
      </c>
    </row>
    <row r="305" spans="1:53" ht="15">
      <c r="A305" s="1" t="s">
        <v>16</v>
      </c>
      <c r="B305" s="5">
        <v>30862.66420000001</v>
      </c>
      <c r="C305" s="8">
        <v>11.041068638837487</v>
      </c>
      <c r="D305" s="6"/>
      <c r="E305" s="20"/>
      <c r="I305" s="6"/>
      <c r="J305" s="6"/>
      <c r="K305" s="6"/>
      <c r="L305" s="6"/>
      <c r="M305" s="6"/>
      <c r="N305" s="3">
        <v>2866.0170000000003</v>
      </c>
      <c r="O305" s="6"/>
      <c r="R305" s="6"/>
      <c r="S305" s="6"/>
      <c r="T305" s="6"/>
      <c r="U305" s="6"/>
      <c r="V305" s="6"/>
      <c r="W305" s="6"/>
      <c r="Z305" s="4"/>
      <c r="AI305" s="29" t="str">
        <f t="shared" si="6"/>
        <v/>
      </c>
      <c r="AS305" s="56"/>
      <c r="AT305" s="56"/>
      <c r="AU305" s="56"/>
      <c r="AV305" s="56"/>
      <c r="AW305" s="56"/>
      <c r="AX305" s="56"/>
      <c r="BA305" s="1" t="s">
        <v>11</v>
      </c>
    </row>
    <row r="306" spans="1:53" ht="15">
      <c r="A306" s="1" t="s">
        <v>16</v>
      </c>
      <c r="B306" s="5">
        <v>31227.906400000011</v>
      </c>
      <c r="C306" s="8">
        <v>12.041068638837487</v>
      </c>
      <c r="D306" s="6"/>
      <c r="E306" s="20"/>
      <c r="I306" s="6"/>
      <c r="J306" s="6"/>
      <c r="K306" s="6"/>
      <c r="L306" s="6"/>
      <c r="M306" s="6"/>
      <c r="N306" s="3">
        <v>4306.4399999999996</v>
      </c>
      <c r="O306" s="6"/>
      <c r="R306" s="6"/>
      <c r="S306" s="6"/>
      <c r="T306" s="6"/>
      <c r="U306" s="6"/>
      <c r="V306" s="6"/>
      <c r="W306" s="6"/>
      <c r="Z306" s="4"/>
      <c r="AI306" s="29" t="str">
        <f t="shared" si="6"/>
        <v/>
      </c>
      <c r="AS306" s="56"/>
      <c r="AT306" s="56"/>
      <c r="AU306" s="56"/>
      <c r="AV306" s="56"/>
      <c r="AW306" s="56"/>
      <c r="AX306" s="56"/>
      <c r="BA306" s="1" t="s">
        <v>11</v>
      </c>
    </row>
    <row r="307" spans="1:53" ht="15">
      <c r="A307" s="1" t="s">
        <v>16</v>
      </c>
      <c r="B307" s="5">
        <v>31593.148600000008</v>
      </c>
      <c r="C307" s="8">
        <v>13.041068638837487</v>
      </c>
      <c r="D307" s="6"/>
      <c r="E307" s="20"/>
      <c r="I307" s="6"/>
      <c r="J307" s="6"/>
      <c r="K307" s="6"/>
      <c r="L307" s="6"/>
      <c r="M307" s="6"/>
      <c r="N307" s="3">
        <v>6013.9800000000005</v>
      </c>
      <c r="O307" s="6"/>
      <c r="R307" s="6"/>
      <c r="S307" s="6"/>
      <c r="T307" s="6"/>
      <c r="U307" s="6"/>
      <c r="V307" s="6"/>
      <c r="W307" s="6"/>
      <c r="Z307" s="4"/>
      <c r="AI307" s="29" t="str">
        <f t="shared" si="6"/>
        <v/>
      </c>
      <c r="AS307" s="56"/>
      <c r="AT307" s="56"/>
      <c r="AU307" s="56"/>
      <c r="AV307" s="56"/>
      <c r="AW307" s="56"/>
      <c r="AX307" s="56"/>
      <c r="BA307" s="1" t="s">
        <v>11</v>
      </c>
    </row>
    <row r="308" spans="1:53" ht="15">
      <c r="A308" s="1" t="s">
        <v>16</v>
      </c>
      <c r="B308" s="5">
        <v>31958.390800000008</v>
      </c>
      <c r="C308" s="8">
        <v>14.041068638837487</v>
      </c>
      <c r="D308" s="20">
        <f t="shared" ref="D308" si="9">E308/997*100</f>
        <v>70.611835506519554</v>
      </c>
      <c r="E308" s="20">
        <v>704</v>
      </c>
      <c r="I308" s="6"/>
      <c r="J308" s="6"/>
      <c r="K308" s="6"/>
      <c r="L308" s="6"/>
      <c r="M308" s="6"/>
      <c r="N308" s="3">
        <v>7721.0700000000006</v>
      </c>
      <c r="O308" s="6"/>
      <c r="R308" s="6"/>
      <c r="S308" s="6"/>
      <c r="T308" s="6"/>
      <c r="U308" s="6"/>
      <c r="V308" s="6"/>
      <c r="W308" s="6"/>
      <c r="Z308" s="4"/>
      <c r="AI308" s="29" t="str">
        <f t="shared" si="6"/>
        <v/>
      </c>
      <c r="AS308" s="56"/>
      <c r="AT308" s="56"/>
      <c r="AU308" s="56"/>
      <c r="AV308" s="56"/>
      <c r="AW308" s="56"/>
      <c r="AX308" s="56"/>
      <c r="BA308" s="1" t="s">
        <v>11</v>
      </c>
    </row>
    <row r="309" spans="1:53" ht="15">
      <c r="A309" s="1" t="s">
        <v>16</v>
      </c>
      <c r="B309" s="5">
        <v>30921.102952000037</v>
      </c>
      <c r="C309" s="8">
        <v>11.201068638837569</v>
      </c>
      <c r="D309" s="6"/>
      <c r="E309" s="20"/>
      <c r="H309" s="3">
        <v>820.69600000000003</v>
      </c>
      <c r="I309" s="6"/>
      <c r="J309" s="6"/>
      <c r="K309" s="6"/>
      <c r="L309" s="6"/>
      <c r="M309" s="6"/>
      <c r="O309" s="6"/>
      <c r="R309" s="6"/>
      <c r="S309" s="6"/>
      <c r="T309" s="6"/>
      <c r="U309" s="6"/>
      <c r="V309" s="6"/>
      <c r="W309" s="6"/>
      <c r="Z309" s="4"/>
      <c r="AI309" s="29" t="str">
        <f t="shared" si="6"/>
        <v/>
      </c>
      <c r="AL309" s="3">
        <v>1.7999999999999999E-2</v>
      </c>
      <c r="AS309" s="56"/>
      <c r="AT309" s="56"/>
      <c r="AU309" s="56"/>
      <c r="AV309" s="56"/>
      <c r="AW309" s="56"/>
      <c r="AX309" s="56">
        <v>14.772527999999999</v>
      </c>
      <c r="AY309" s="3">
        <v>180</v>
      </c>
      <c r="BA309" s="1" t="s">
        <v>11</v>
      </c>
    </row>
    <row r="310" spans="1:53" ht="15">
      <c r="A310" s="1" t="s">
        <v>16</v>
      </c>
      <c r="B310" s="5">
        <v>31012.413502000039</v>
      </c>
      <c r="C310" s="8">
        <v>11.451068638837569</v>
      </c>
      <c r="D310" s="6"/>
      <c r="E310" s="20"/>
      <c r="H310" s="3">
        <v>1240.5900000000001</v>
      </c>
      <c r="I310" s="6"/>
      <c r="J310" s="6"/>
      <c r="K310" s="6"/>
      <c r="L310" s="6"/>
      <c r="M310" s="6"/>
      <c r="O310" s="6"/>
      <c r="R310" s="6"/>
      <c r="S310" s="6"/>
      <c r="T310" s="6"/>
      <c r="U310" s="6"/>
      <c r="V310" s="6"/>
      <c r="W310" s="6"/>
      <c r="Z310" s="4"/>
      <c r="AI310" s="29" t="str">
        <f t="shared" si="6"/>
        <v/>
      </c>
      <c r="AS310" s="56"/>
      <c r="AT310" s="56"/>
      <c r="AU310" s="56"/>
      <c r="AV310" s="56"/>
      <c r="AW310" s="56"/>
      <c r="AX310" s="56"/>
      <c r="BA310" s="1" t="s">
        <v>11</v>
      </c>
    </row>
    <row r="311" spans="1:53" ht="15">
      <c r="A311" s="1" t="s">
        <v>16</v>
      </c>
      <c r="B311" s="5">
        <v>31103.724052000041</v>
      </c>
      <c r="C311" s="8">
        <v>11.701068638837569</v>
      </c>
      <c r="D311" s="6"/>
      <c r="E311" s="20"/>
      <c r="H311" s="3">
        <v>1482.8799999999999</v>
      </c>
      <c r="I311" s="6"/>
      <c r="J311" s="6"/>
      <c r="K311" s="6"/>
      <c r="L311" s="6"/>
      <c r="M311" s="6"/>
      <c r="O311" s="6"/>
      <c r="R311" s="6"/>
      <c r="S311" s="6"/>
      <c r="T311" s="6"/>
      <c r="U311" s="6"/>
      <c r="V311" s="6"/>
      <c r="W311" s="6"/>
      <c r="Z311" s="4"/>
      <c r="AI311" s="29" t="str">
        <f t="shared" si="6"/>
        <v/>
      </c>
      <c r="AS311" s="56"/>
      <c r="AT311" s="56"/>
      <c r="AU311" s="56"/>
      <c r="AV311" s="56"/>
      <c r="AW311" s="56"/>
      <c r="AX311" s="56"/>
      <c r="BA311" s="1" t="s">
        <v>11</v>
      </c>
    </row>
    <row r="312" spans="1:53" ht="15">
      <c r="A312" s="1" t="s">
        <v>16</v>
      </c>
      <c r="B312" s="5">
        <v>31195.03460200004</v>
      </c>
      <c r="C312" s="8">
        <v>11.951068638837569</v>
      </c>
      <c r="D312" s="6"/>
      <c r="E312" s="20"/>
      <c r="H312" s="3">
        <v>1302.97</v>
      </c>
      <c r="I312" s="6"/>
      <c r="J312" s="6"/>
      <c r="K312" s="6"/>
      <c r="L312" s="6"/>
      <c r="M312" s="6"/>
      <c r="O312" s="6"/>
      <c r="R312" s="6"/>
      <c r="S312" s="6"/>
      <c r="T312" s="6"/>
      <c r="U312" s="6"/>
      <c r="V312" s="6"/>
      <c r="W312" s="6"/>
      <c r="Z312" s="4"/>
      <c r="AI312" s="29" t="str">
        <f t="shared" si="6"/>
        <v/>
      </c>
      <c r="AS312" s="56"/>
      <c r="AT312" s="56"/>
      <c r="AU312" s="56"/>
      <c r="AV312" s="56"/>
      <c r="AW312" s="56"/>
      <c r="AX312" s="56"/>
      <c r="BA312" s="1" t="s">
        <v>11</v>
      </c>
    </row>
    <row r="313" spans="1:53" ht="15">
      <c r="A313" s="1" t="s">
        <v>16</v>
      </c>
      <c r="B313" s="5">
        <v>31286.345152000038</v>
      </c>
      <c r="C313" s="8">
        <v>12.201068638837569</v>
      </c>
      <c r="D313" s="6"/>
      <c r="E313" s="20"/>
      <c r="H313" s="3">
        <v>1145.29</v>
      </c>
      <c r="I313" s="6"/>
      <c r="J313" s="6"/>
      <c r="K313" s="6"/>
      <c r="L313" s="6"/>
      <c r="M313" s="6"/>
      <c r="O313" s="6"/>
      <c r="R313" s="6"/>
      <c r="S313" s="6"/>
      <c r="T313" s="6"/>
      <c r="U313" s="6"/>
      <c r="V313" s="6"/>
      <c r="W313" s="6"/>
      <c r="Z313" s="4"/>
      <c r="AI313" s="29" t="str">
        <f t="shared" si="6"/>
        <v/>
      </c>
      <c r="AL313" s="3">
        <v>1.37E-2</v>
      </c>
      <c r="AS313" s="56"/>
      <c r="AT313" s="56"/>
      <c r="AU313" s="56"/>
      <c r="AV313" s="56"/>
      <c r="AW313" s="56"/>
      <c r="AX313" s="56">
        <v>15.690473000000001</v>
      </c>
      <c r="AY313" s="3">
        <v>225</v>
      </c>
      <c r="BA313" s="1" t="s">
        <v>11</v>
      </c>
    </row>
    <row r="314" spans="1:53" ht="15">
      <c r="A314" s="1" t="s">
        <v>16</v>
      </c>
      <c r="B314" s="5">
        <v>31377.65570200004</v>
      </c>
      <c r="C314" s="8">
        <v>12.451068638837569</v>
      </c>
      <c r="D314" s="6"/>
      <c r="E314" s="20"/>
      <c r="H314" s="3">
        <v>1320.9199999999998</v>
      </c>
      <c r="I314" s="6"/>
      <c r="J314" s="6"/>
      <c r="K314" s="6"/>
      <c r="L314" s="6"/>
      <c r="M314" s="6"/>
      <c r="O314" s="6"/>
      <c r="R314" s="6"/>
      <c r="S314" s="6"/>
      <c r="T314" s="6"/>
      <c r="U314" s="6"/>
      <c r="V314" s="6"/>
      <c r="W314" s="6"/>
      <c r="Z314" s="4"/>
      <c r="AI314" s="29" t="str">
        <f t="shared" si="6"/>
        <v/>
      </c>
      <c r="AS314" s="56"/>
      <c r="AT314" s="56"/>
      <c r="AU314" s="56"/>
      <c r="AV314" s="56"/>
      <c r="AW314" s="56"/>
      <c r="AX314" s="56"/>
      <c r="BA314" s="1" t="s">
        <v>11</v>
      </c>
    </row>
    <row r="315" spans="1:53" ht="15">
      <c r="A315" s="1" t="s">
        <v>16</v>
      </c>
      <c r="B315" s="5">
        <v>31468.966252000038</v>
      </c>
      <c r="C315" s="8">
        <v>12.701068638837569</v>
      </c>
      <c r="D315" s="6"/>
      <c r="E315" s="20"/>
      <c r="H315" s="3">
        <v>1452.1000000000001</v>
      </c>
      <c r="I315" s="6"/>
      <c r="J315" s="6"/>
      <c r="K315" s="6"/>
      <c r="L315" s="6"/>
      <c r="M315" s="6"/>
      <c r="O315" s="6"/>
      <c r="R315" s="6"/>
      <c r="S315" s="6"/>
      <c r="T315" s="6"/>
      <c r="U315" s="6"/>
      <c r="V315" s="6"/>
      <c r="W315" s="6"/>
      <c r="Z315" s="4"/>
      <c r="AI315" s="29" t="str">
        <f t="shared" si="6"/>
        <v/>
      </c>
      <c r="AS315" s="56"/>
      <c r="AT315" s="56"/>
      <c r="AU315" s="56"/>
      <c r="AV315" s="56"/>
      <c r="AW315" s="56"/>
      <c r="AX315" s="56"/>
      <c r="BA315" s="1" t="s">
        <v>11</v>
      </c>
    </row>
    <row r="316" spans="1:53" ht="15">
      <c r="A316" s="1" t="s">
        <v>16</v>
      </c>
      <c r="B316" s="5">
        <v>31560.27680200004</v>
      </c>
      <c r="C316" s="8">
        <v>12.951068638837569</v>
      </c>
      <c r="D316" s="6"/>
      <c r="E316" s="20"/>
      <c r="H316" s="3">
        <v>1361.08</v>
      </c>
      <c r="I316" s="6"/>
      <c r="J316" s="6"/>
      <c r="K316" s="6"/>
      <c r="L316" s="6"/>
      <c r="M316" s="6"/>
      <c r="O316" s="6"/>
      <c r="R316" s="6"/>
      <c r="S316" s="6"/>
      <c r="T316" s="6"/>
      <c r="U316" s="6"/>
      <c r="V316" s="6"/>
      <c r="W316" s="6"/>
      <c r="Z316" s="4"/>
      <c r="AI316" s="29" t="str">
        <f t="shared" si="6"/>
        <v/>
      </c>
      <c r="AS316" s="56"/>
      <c r="AT316" s="56"/>
      <c r="AU316" s="56"/>
      <c r="AV316" s="56"/>
      <c r="AW316" s="56"/>
      <c r="AX316" s="56"/>
      <c r="BA316" s="1" t="s">
        <v>11</v>
      </c>
    </row>
    <row r="317" spans="1:53" ht="15">
      <c r="A317" s="1" t="s">
        <v>16</v>
      </c>
      <c r="B317" s="5">
        <v>31651.587352000039</v>
      </c>
      <c r="C317" s="8">
        <v>13.201068638837569</v>
      </c>
      <c r="D317" s="6"/>
      <c r="E317" s="20"/>
      <c r="H317" s="3">
        <v>1336.5500000000002</v>
      </c>
      <c r="I317" s="6"/>
      <c r="J317" s="6"/>
      <c r="K317" s="6"/>
      <c r="L317" s="6"/>
      <c r="M317" s="6"/>
      <c r="O317" s="6"/>
      <c r="R317" s="6"/>
      <c r="S317" s="6"/>
      <c r="T317" s="6"/>
      <c r="U317" s="6"/>
      <c r="V317" s="6"/>
      <c r="W317" s="6"/>
      <c r="Z317" s="4"/>
      <c r="AI317" s="29" t="str">
        <f t="shared" si="6"/>
        <v/>
      </c>
      <c r="AL317" s="3">
        <v>1.0999999999999999E-2</v>
      </c>
      <c r="AS317" s="56"/>
      <c r="AT317" s="56"/>
      <c r="AU317" s="56"/>
      <c r="AV317" s="56"/>
      <c r="AW317" s="56"/>
      <c r="AX317" s="56">
        <v>14.70205</v>
      </c>
      <c r="AY317" s="3">
        <v>180</v>
      </c>
      <c r="BA317" s="1" t="s">
        <v>11</v>
      </c>
    </row>
    <row r="318" spans="1:53" ht="15">
      <c r="A318" s="1" t="s">
        <v>16</v>
      </c>
      <c r="B318" s="5">
        <v>31742.897902000041</v>
      </c>
      <c r="C318" s="8">
        <v>13.451068638837569</v>
      </c>
      <c r="D318" s="6"/>
      <c r="E318" s="20"/>
      <c r="H318" s="3">
        <v>1467.74</v>
      </c>
      <c r="I318" s="6"/>
      <c r="J318" s="6"/>
      <c r="K318" s="6"/>
      <c r="L318" s="6"/>
      <c r="M318" s="6"/>
      <c r="O318" s="6"/>
      <c r="R318" s="6"/>
      <c r="S318" s="6"/>
      <c r="T318" s="6"/>
      <c r="U318" s="6"/>
      <c r="V318" s="6"/>
      <c r="W318" s="6"/>
      <c r="Z318" s="4"/>
      <c r="AI318" s="29" t="str">
        <f t="shared" si="6"/>
        <v/>
      </c>
      <c r="AS318" s="56"/>
      <c r="AT318" s="56"/>
      <c r="AU318" s="56"/>
      <c r="AV318" s="56"/>
      <c r="AW318" s="56"/>
      <c r="AX318" s="56"/>
      <c r="BA318" s="1" t="s">
        <v>11</v>
      </c>
    </row>
    <row r="319" spans="1:53" ht="15">
      <c r="A319" s="1" t="s">
        <v>16</v>
      </c>
      <c r="B319" s="5">
        <v>31834.208452000039</v>
      </c>
      <c r="C319" s="8">
        <v>13.701068638837569</v>
      </c>
      <c r="D319" s="6"/>
      <c r="E319" s="20"/>
      <c r="H319" s="3">
        <v>1709.8700000000001</v>
      </c>
      <c r="I319" s="6"/>
      <c r="J319" s="6"/>
      <c r="K319" s="6"/>
      <c r="L319" s="6"/>
      <c r="M319" s="6"/>
      <c r="O319" s="6"/>
      <c r="R319" s="6"/>
      <c r="S319" s="6"/>
      <c r="T319" s="6"/>
      <c r="U319" s="6"/>
      <c r="V319" s="6"/>
      <c r="W319" s="6"/>
      <c r="Z319" s="4"/>
      <c r="AI319" s="29" t="str">
        <f t="shared" si="6"/>
        <v/>
      </c>
      <c r="AS319" s="56"/>
      <c r="AT319" s="56"/>
      <c r="AU319" s="56"/>
      <c r="AV319" s="56"/>
      <c r="AW319" s="56"/>
      <c r="AX319" s="56"/>
      <c r="BA319" s="1" t="s">
        <v>11</v>
      </c>
    </row>
    <row r="320" spans="1:53" ht="15">
      <c r="A320" s="1" t="s">
        <v>16</v>
      </c>
      <c r="B320" s="5">
        <v>31925.519002000037</v>
      </c>
      <c r="C320" s="8">
        <v>13.951068638837569</v>
      </c>
      <c r="D320" s="6"/>
      <c r="E320" s="20"/>
      <c r="H320" s="3">
        <v>1552.18</v>
      </c>
      <c r="I320" s="6"/>
      <c r="J320" s="6"/>
      <c r="K320" s="6"/>
      <c r="L320" s="6"/>
      <c r="M320" s="6"/>
      <c r="O320" s="6"/>
      <c r="R320" s="6"/>
      <c r="S320" s="6"/>
      <c r="T320" s="6"/>
      <c r="U320" s="6"/>
      <c r="V320" s="6"/>
      <c r="W320" s="6"/>
      <c r="Z320" s="4"/>
      <c r="AI320" s="29" t="str">
        <f t="shared" si="6"/>
        <v/>
      </c>
      <c r="AS320" s="56"/>
      <c r="AT320" s="56"/>
      <c r="AU320" s="56"/>
      <c r="AV320" s="56"/>
      <c r="AW320" s="56"/>
      <c r="AX320" s="56"/>
      <c r="BA320" s="1" t="s">
        <v>11</v>
      </c>
    </row>
    <row r="321" spans="1:53" ht="15">
      <c r="A321" s="1" t="s">
        <v>16</v>
      </c>
      <c r="B321" s="5">
        <v>32016.829552000039</v>
      </c>
      <c r="C321" s="8">
        <v>14.201068638837569</v>
      </c>
      <c r="D321" s="6"/>
      <c r="E321" s="20"/>
      <c r="I321" s="6"/>
      <c r="J321" s="6"/>
      <c r="K321" s="6"/>
      <c r="L321" s="6"/>
      <c r="M321" s="6"/>
      <c r="O321" s="6"/>
      <c r="R321" s="6"/>
      <c r="S321" s="6"/>
      <c r="T321" s="6"/>
      <c r="U321" s="6"/>
      <c r="V321" s="6"/>
      <c r="W321" s="6"/>
      <c r="Z321" s="4"/>
      <c r="AI321" s="29" t="str">
        <f t="shared" si="6"/>
        <v/>
      </c>
      <c r="AL321" s="3">
        <v>0.01</v>
      </c>
      <c r="AS321" s="56"/>
      <c r="AT321" s="56"/>
      <c r="AU321" s="56"/>
      <c r="AV321" s="56"/>
      <c r="AW321" s="56"/>
      <c r="AX321" s="56">
        <v>15.521800000000002</v>
      </c>
      <c r="AY321" s="3">
        <v>175</v>
      </c>
      <c r="BA321" s="1" t="s">
        <v>11</v>
      </c>
    </row>
    <row r="322" spans="1:53" ht="15">
      <c r="A322" s="1" t="s">
        <v>9</v>
      </c>
      <c r="B322" s="5">
        <v>30862.66420000001</v>
      </c>
      <c r="C322" s="8">
        <v>11.041068638837487</v>
      </c>
      <c r="D322" s="6"/>
      <c r="E322" s="20"/>
      <c r="I322" s="6"/>
      <c r="J322" s="6"/>
      <c r="K322" s="6"/>
      <c r="L322" s="6"/>
      <c r="M322" s="6"/>
      <c r="O322" s="6"/>
      <c r="R322" s="6"/>
      <c r="S322" s="6"/>
      <c r="T322" s="6"/>
      <c r="U322" s="6"/>
      <c r="V322" s="6"/>
      <c r="W322" s="6"/>
      <c r="Z322" s="4"/>
      <c r="AI322" s="29" t="str">
        <f t="shared" si="6"/>
        <v/>
      </c>
      <c r="AS322" s="56"/>
      <c r="AT322" s="56"/>
      <c r="AU322" s="56"/>
      <c r="AV322" s="56"/>
      <c r="AW322" s="56"/>
      <c r="AX322" s="56"/>
      <c r="BA322" s="1" t="s">
        <v>11</v>
      </c>
    </row>
    <row r="323" spans="1:53" ht="15">
      <c r="A323" s="1" t="s">
        <v>9</v>
      </c>
      <c r="B323" s="5">
        <v>31227.906400000011</v>
      </c>
      <c r="C323" s="8">
        <v>12.041068638837487</v>
      </c>
      <c r="D323" s="6"/>
      <c r="E323" s="20"/>
      <c r="I323" s="6"/>
      <c r="J323" s="6"/>
      <c r="K323" s="6"/>
      <c r="L323" s="6"/>
      <c r="M323" s="6"/>
      <c r="O323" s="6"/>
      <c r="R323" s="6"/>
      <c r="S323" s="6"/>
      <c r="T323" s="6"/>
      <c r="U323" s="6"/>
      <c r="V323" s="6"/>
      <c r="W323" s="6"/>
      <c r="Z323" s="4"/>
      <c r="AI323" s="29" t="str">
        <f t="shared" ref="AI323:AI386" si="10">IF(AH323&gt;0.001,AH323/C323,"")</f>
        <v/>
      </c>
      <c r="AS323" s="56"/>
      <c r="AT323" s="56"/>
      <c r="AU323" s="56"/>
      <c r="AV323" s="56"/>
      <c r="AW323" s="56"/>
      <c r="AX323" s="56"/>
      <c r="BA323" s="1" t="s">
        <v>11</v>
      </c>
    </row>
    <row r="324" spans="1:53" ht="15">
      <c r="A324" s="1" t="s">
        <v>9</v>
      </c>
      <c r="B324" s="5">
        <v>31593.148600000008</v>
      </c>
      <c r="C324" s="8">
        <v>13.041068638837487</v>
      </c>
      <c r="D324" s="6"/>
      <c r="E324" s="20"/>
      <c r="I324" s="6"/>
      <c r="J324" s="6"/>
      <c r="K324" s="6"/>
      <c r="L324" s="6"/>
      <c r="M324" s="6"/>
      <c r="O324" s="6"/>
      <c r="R324" s="6"/>
      <c r="S324" s="6"/>
      <c r="T324" s="6"/>
      <c r="U324" s="6"/>
      <c r="V324" s="6"/>
      <c r="W324" s="6"/>
      <c r="Z324" s="4"/>
      <c r="AI324" s="29" t="str">
        <f t="shared" si="10"/>
        <v/>
      </c>
      <c r="AS324" s="56"/>
      <c r="AT324" s="56"/>
      <c r="AU324" s="56"/>
      <c r="AV324" s="56"/>
      <c r="AW324" s="56"/>
      <c r="AX324" s="56"/>
      <c r="BA324" s="1" t="s">
        <v>11</v>
      </c>
    </row>
    <row r="325" spans="1:53" ht="15">
      <c r="A325" s="1" t="s">
        <v>9</v>
      </c>
      <c r="B325" s="5">
        <v>31958.390800000008</v>
      </c>
      <c r="C325" s="8">
        <v>14.041068638837487</v>
      </c>
      <c r="D325" s="6"/>
      <c r="E325" s="20"/>
      <c r="I325" s="6"/>
      <c r="J325" s="6"/>
      <c r="K325" s="6"/>
      <c r="L325" s="6"/>
      <c r="M325" s="6"/>
      <c r="O325" s="6"/>
      <c r="R325" s="6"/>
      <c r="S325" s="6"/>
      <c r="T325" s="6"/>
      <c r="U325" s="6"/>
      <c r="V325" s="6"/>
      <c r="W325" s="6"/>
      <c r="Z325" s="4"/>
      <c r="AI325" s="29" t="str">
        <f t="shared" si="10"/>
        <v/>
      </c>
      <c r="AS325" s="56"/>
      <c r="AT325" s="56"/>
      <c r="AU325" s="56"/>
      <c r="AV325" s="56"/>
      <c r="AW325" s="56"/>
      <c r="AX325" s="56"/>
      <c r="BA325" s="1" t="s">
        <v>11</v>
      </c>
    </row>
    <row r="326" spans="1:53" ht="15">
      <c r="A326" s="1" t="s">
        <v>9</v>
      </c>
      <c r="B326" s="5">
        <v>30862.66420000001</v>
      </c>
      <c r="C326" s="8">
        <v>11.041068638837487</v>
      </c>
      <c r="D326" s="6"/>
      <c r="E326" s="20"/>
      <c r="I326" s="6"/>
      <c r="J326" s="6"/>
      <c r="K326" s="6"/>
      <c r="L326" s="6"/>
      <c r="M326" s="6"/>
      <c r="N326" s="3">
        <v>2713.2359999999999</v>
      </c>
      <c r="O326" s="6"/>
      <c r="R326" s="6"/>
      <c r="S326" s="6"/>
      <c r="T326" s="6"/>
      <c r="U326" s="6"/>
      <c r="V326" s="6"/>
      <c r="W326" s="6"/>
      <c r="Z326" s="4"/>
      <c r="AI326" s="29" t="str">
        <f t="shared" si="10"/>
        <v/>
      </c>
      <c r="AS326" s="56"/>
      <c r="AT326" s="56"/>
      <c r="AU326" s="56"/>
      <c r="AV326" s="56"/>
      <c r="AW326" s="56"/>
      <c r="AX326" s="56"/>
      <c r="BA326" s="1" t="s">
        <v>11</v>
      </c>
    </row>
    <row r="327" spans="1:53" ht="15">
      <c r="A327" s="1" t="s">
        <v>9</v>
      </c>
      <c r="B327" s="5">
        <v>31227.906400000011</v>
      </c>
      <c r="C327" s="8">
        <v>12.041068638837487</v>
      </c>
      <c r="D327" s="6"/>
      <c r="E327" s="20"/>
      <c r="I327" s="6"/>
      <c r="J327" s="6"/>
      <c r="K327" s="6"/>
      <c r="L327" s="6"/>
      <c r="M327" s="6"/>
      <c r="N327" s="3">
        <v>4433.82</v>
      </c>
      <c r="O327" s="6"/>
      <c r="R327" s="6"/>
      <c r="S327" s="6"/>
      <c r="T327" s="6"/>
      <c r="U327" s="6"/>
      <c r="V327" s="6"/>
      <c r="W327" s="6"/>
      <c r="Z327" s="4"/>
      <c r="AI327" s="29" t="str">
        <f t="shared" si="10"/>
        <v/>
      </c>
      <c r="AS327" s="56"/>
      <c r="AT327" s="56"/>
      <c r="AU327" s="56"/>
      <c r="AV327" s="56"/>
      <c r="AW327" s="56"/>
      <c r="AX327" s="56"/>
      <c r="BA327" s="1" t="s">
        <v>11</v>
      </c>
    </row>
    <row r="328" spans="1:53" ht="15">
      <c r="A328" s="1" t="s">
        <v>9</v>
      </c>
      <c r="B328" s="5">
        <v>31593.148600000008</v>
      </c>
      <c r="C328" s="8">
        <v>13.041068638837487</v>
      </c>
      <c r="D328" s="6"/>
      <c r="E328" s="20"/>
      <c r="I328" s="6"/>
      <c r="J328" s="6"/>
      <c r="K328" s="6"/>
      <c r="L328" s="6"/>
      <c r="M328" s="6"/>
      <c r="N328" s="3">
        <v>6220.59</v>
      </c>
      <c r="O328" s="6"/>
      <c r="R328" s="6"/>
      <c r="S328" s="6"/>
      <c r="T328" s="6"/>
      <c r="U328" s="6"/>
      <c r="V328" s="6"/>
      <c r="W328" s="6"/>
      <c r="Z328" s="4"/>
      <c r="AI328" s="29" t="str">
        <f t="shared" si="10"/>
        <v/>
      </c>
      <c r="AS328" s="56"/>
      <c r="AT328" s="56"/>
      <c r="AU328" s="56"/>
      <c r="AV328" s="56"/>
      <c r="AW328" s="56"/>
      <c r="AX328" s="56"/>
      <c r="BA328" s="1" t="s">
        <v>11</v>
      </c>
    </row>
    <row r="329" spans="1:53" ht="15">
      <c r="A329" s="1" t="s">
        <v>9</v>
      </c>
      <c r="B329" s="5">
        <v>31958.390800000008</v>
      </c>
      <c r="C329" s="8">
        <v>14.041068638837487</v>
      </c>
      <c r="D329" s="6"/>
      <c r="E329" s="20"/>
      <c r="I329" s="6"/>
      <c r="J329" s="6"/>
      <c r="K329" s="6"/>
      <c r="L329" s="6"/>
      <c r="M329" s="6"/>
      <c r="N329" s="3">
        <v>8338.23</v>
      </c>
      <c r="O329" s="6"/>
      <c r="P329" s="6"/>
      <c r="R329" s="6"/>
      <c r="S329" s="6"/>
      <c r="T329" s="6"/>
      <c r="U329" s="6"/>
      <c r="V329" s="6"/>
      <c r="W329" s="6"/>
      <c r="Z329" s="4"/>
      <c r="AI329" s="29" t="str">
        <f t="shared" si="10"/>
        <v/>
      </c>
      <c r="AS329" s="56"/>
      <c r="AT329" s="56"/>
      <c r="AU329" s="56"/>
      <c r="AV329" s="56"/>
      <c r="AW329" s="56"/>
      <c r="AX329" s="56"/>
      <c r="BA329" s="1" t="s">
        <v>11</v>
      </c>
    </row>
    <row r="330" spans="1:53" ht="15">
      <c r="A330" s="1" t="s">
        <v>9</v>
      </c>
      <c r="B330" s="5">
        <v>30921.102952000037</v>
      </c>
      <c r="C330" s="8">
        <v>11.201068638837569</v>
      </c>
      <c r="D330" s="6"/>
      <c r="E330" s="20"/>
      <c r="H330" s="3">
        <v>772.05899999999997</v>
      </c>
      <c r="I330" s="6"/>
      <c r="J330" s="6"/>
      <c r="K330" s="6"/>
      <c r="L330" s="6"/>
      <c r="M330" s="6"/>
      <c r="O330" s="6"/>
      <c r="P330" s="6"/>
      <c r="R330" s="6"/>
      <c r="S330" s="6"/>
      <c r="T330" s="6"/>
      <c r="U330" s="6"/>
      <c r="V330" s="6"/>
      <c r="W330" s="6"/>
      <c r="Z330" s="4"/>
      <c r="AI330" s="29" t="str">
        <f t="shared" si="10"/>
        <v/>
      </c>
      <c r="AL330" s="3">
        <v>1.17E-2</v>
      </c>
      <c r="AS330" s="56"/>
      <c r="AT330" s="56"/>
      <c r="AU330" s="56"/>
      <c r="AV330" s="56"/>
      <c r="AW330" s="56"/>
      <c r="AX330" s="56">
        <v>9.0330903000000013</v>
      </c>
      <c r="AY330" s="3">
        <v>85</v>
      </c>
      <c r="BA330" s="1" t="s">
        <v>11</v>
      </c>
    </row>
    <row r="331" spans="1:53" ht="15">
      <c r="A331" s="1" t="s">
        <v>9</v>
      </c>
      <c r="B331" s="5">
        <v>31012.413502000039</v>
      </c>
      <c r="C331" s="8">
        <v>11.451068638837569</v>
      </c>
      <c r="D331" s="6"/>
      <c r="E331" s="20"/>
      <c r="H331" s="3">
        <v>1036.76</v>
      </c>
      <c r="I331" s="6"/>
      <c r="J331" s="6"/>
      <c r="K331" s="6"/>
      <c r="L331" s="6"/>
      <c r="M331" s="6"/>
      <c r="O331" s="6"/>
      <c r="P331" s="6"/>
      <c r="R331" s="6"/>
      <c r="S331" s="6"/>
      <c r="T331" s="6"/>
      <c r="U331" s="6"/>
      <c r="V331" s="6"/>
      <c r="W331" s="6"/>
      <c r="Z331" s="4"/>
      <c r="AI331" s="29" t="str">
        <f t="shared" si="10"/>
        <v/>
      </c>
      <c r="AS331" s="56"/>
      <c r="AT331" s="56"/>
      <c r="AU331" s="56"/>
      <c r="AV331" s="56"/>
      <c r="AW331" s="56"/>
      <c r="AX331" s="56"/>
      <c r="BA331" s="1" t="s">
        <v>11</v>
      </c>
    </row>
    <row r="332" spans="1:53" ht="15">
      <c r="A332" s="1" t="s">
        <v>9</v>
      </c>
      <c r="B332" s="5">
        <v>31103.724052000041</v>
      </c>
      <c r="C332" s="8">
        <v>11.701068638837569</v>
      </c>
      <c r="D332" s="6"/>
      <c r="E332" s="20"/>
      <c r="H332" s="3">
        <v>1235.29</v>
      </c>
      <c r="I332" s="6"/>
      <c r="J332" s="6"/>
      <c r="K332" s="6"/>
      <c r="L332" s="6"/>
      <c r="M332" s="6"/>
      <c r="O332" s="6"/>
      <c r="P332" s="6"/>
      <c r="R332" s="6"/>
      <c r="S332" s="6"/>
      <c r="T332" s="6"/>
      <c r="U332" s="6"/>
      <c r="V332" s="6"/>
      <c r="W332" s="6"/>
      <c r="Z332" s="4"/>
      <c r="AI332" s="29" t="str">
        <f t="shared" si="10"/>
        <v/>
      </c>
      <c r="AS332" s="56"/>
      <c r="AT332" s="56"/>
      <c r="AU332" s="56"/>
      <c r="AV332" s="56"/>
      <c r="AW332" s="56"/>
      <c r="AX332" s="56"/>
      <c r="BA332" s="1" t="s">
        <v>11</v>
      </c>
    </row>
    <row r="333" spans="1:53" ht="15">
      <c r="A333" s="1" t="s">
        <v>9</v>
      </c>
      <c r="B333" s="5">
        <v>31195.03460200004</v>
      </c>
      <c r="C333" s="8">
        <v>11.951068638837569</v>
      </c>
      <c r="D333" s="6"/>
      <c r="E333" s="20"/>
      <c r="H333" s="3">
        <v>1169.1200000000001</v>
      </c>
      <c r="I333" s="6"/>
      <c r="J333" s="6"/>
      <c r="K333" s="6"/>
      <c r="L333" s="6"/>
      <c r="M333" s="6"/>
      <c r="O333" s="6"/>
      <c r="P333" s="6"/>
      <c r="R333" s="6"/>
      <c r="S333" s="6"/>
      <c r="T333" s="6"/>
      <c r="U333" s="6"/>
      <c r="V333" s="6"/>
      <c r="W333" s="6"/>
      <c r="Z333" s="4"/>
      <c r="AI333" s="29" t="str">
        <f t="shared" si="10"/>
        <v/>
      </c>
      <c r="AS333" s="56"/>
      <c r="AT333" s="56"/>
      <c r="AU333" s="56"/>
      <c r="AV333" s="56"/>
      <c r="AW333" s="56"/>
      <c r="AX333" s="56"/>
      <c r="BA333" s="1" t="s">
        <v>11</v>
      </c>
    </row>
    <row r="334" spans="1:53" ht="15">
      <c r="A334" s="1" t="s">
        <v>9</v>
      </c>
      <c r="B334" s="5">
        <v>31286.345152000038</v>
      </c>
      <c r="C334" s="8">
        <v>12.201068638837569</v>
      </c>
      <c r="D334" s="6"/>
      <c r="E334" s="20"/>
      <c r="H334" s="3">
        <v>1125</v>
      </c>
      <c r="I334" s="6"/>
      <c r="J334" s="6"/>
      <c r="K334" s="6"/>
      <c r="L334" s="6"/>
      <c r="M334" s="6"/>
      <c r="O334" s="6"/>
      <c r="P334" s="6"/>
      <c r="R334" s="6"/>
      <c r="S334" s="6"/>
      <c r="T334" s="6"/>
      <c r="U334" s="6"/>
      <c r="V334" s="6"/>
      <c r="W334" s="6"/>
      <c r="Z334" s="4"/>
      <c r="AI334" s="29" t="str">
        <f t="shared" si="10"/>
        <v/>
      </c>
      <c r="AL334" s="3">
        <v>1.52E-2</v>
      </c>
      <c r="AS334" s="56"/>
      <c r="AT334" s="56"/>
      <c r="AU334" s="56"/>
      <c r="AV334" s="56"/>
      <c r="AW334" s="56"/>
      <c r="AX334" s="56">
        <v>17.100000000000001</v>
      </c>
      <c r="AY334" s="3">
        <v>190</v>
      </c>
      <c r="BA334" s="1" t="s">
        <v>11</v>
      </c>
    </row>
    <row r="335" spans="1:53" ht="15">
      <c r="A335" s="1" t="s">
        <v>9</v>
      </c>
      <c r="B335" s="5">
        <v>31377.65570200004</v>
      </c>
      <c r="C335" s="8">
        <v>12.451068638837569</v>
      </c>
      <c r="D335" s="6"/>
      <c r="E335" s="20"/>
      <c r="H335" s="3">
        <v>1411.76</v>
      </c>
      <c r="I335" s="6"/>
      <c r="J335" s="6"/>
      <c r="K335" s="6"/>
      <c r="L335" s="6"/>
      <c r="M335" s="6"/>
      <c r="O335" s="6"/>
      <c r="P335" s="6"/>
      <c r="R335" s="6"/>
      <c r="S335" s="6"/>
      <c r="T335" s="6"/>
      <c r="U335" s="6"/>
      <c r="V335" s="6"/>
      <c r="W335" s="6"/>
      <c r="Z335" s="4"/>
      <c r="AI335" s="29" t="str">
        <f t="shared" si="10"/>
        <v/>
      </c>
      <c r="AS335" s="56"/>
      <c r="AT335" s="56"/>
      <c r="AU335" s="56"/>
      <c r="AV335" s="56"/>
      <c r="AW335" s="56"/>
      <c r="AX335" s="56"/>
      <c r="BA335" s="1" t="s">
        <v>11</v>
      </c>
    </row>
    <row r="336" spans="1:53" ht="15">
      <c r="A336" s="1" t="s">
        <v>9</v>
      </c>
      <c r="B336" s="5">
        <v>31468.966252000038</v>
      </c>
      <c r="C336" s="8">
        <v>12.701068638837569</v>
      </c>
      <c r="D336" s="6"/>
      <c r="E336" s="20"/>
      <c r="H336" s="3">
        <v>1610.2900000000002</v>
      </c>
      <c r="I336" s="6"/>
      <c r="J336" s="6"/>
      <c r="K336" s="6"/>
      <c r="L336" s="6"/>
      <c r="M336" s="6"/>
      <c r="O336" s="6"/>
      <c r="P336" s="6"/>
      <c r="R336" s="6"/>
      <c r="S336" s="6"/>
      <c r="T336" s="6"/>
      <c r="U336" s="6"/>
      <c r="V336" s="6"/>
      <c r="W336" s="6"/>
      <c r="Z336" s="4"/>
      <c r="AI336" s="29" t="str">
        <f t="shared" si="10"/>
        <v/>
      </c>
      <c r="AS336" s="56"/>
      <c r="AT336" s="56"/>
      <c r="AU336" s="56"/>
      <c r="AV336" s="56"/>
      <c r="AW336" s="56"/>
      <c r="AX336" s="56"/>
      <c r="BA336" s="1" t="s">
        <v>11</v>
      </c>
    </row>
    <row r="337" spans="1:53" ht="15">
      <c r="A337" s="1" t="s">
        <v>9</v>
      </c>
      <c r="B337" s="5">
        <v>31560.27680200004</v>
      </c>
      <c r="C337" s="8">
        <v>12.951068638837569</v>
      </c>
      <c r="D337" s="6"/>
      <c r="E337" s="20"/>
      <c r="H337" s="3">
        <v>1433.8200000000002</v>
      </c>
      <c r="I337" s="6"/>
      <c r="J337" s="6"/>
      <c r="K337" s="6"/>
      <c r="L337" s="6"/>
      <c r="M337" s="6"/>
      <c r="O337" s="6"/>
      <c r="P337" s="6"/>
      <c r="R337" s="6"/>
      <c r="S337" s="6"/>
      <c r="T337" s="6"/>
      <c r="U337" s="6"/>
      <c r="V337" s="6"/>
      <c r="W337" s="6"/>
      <c r="Z337" s="4"/>
      <c r="AI337" s="29" t="str">
        <f t="shared" si="10"/>
        <v/>
      </c>
      <c r="AS337" s="56"/>
      <c r="AT337" s="56"/>
      <c r="AU337" s="56"/>
      <c r="AV337" s="56"/>
      <c r="AW337" s="56"/>
      <c r="AX337" s="56"/>
      <c r="BA337" s="1" t="s">
        <v>11</v>
      </c>
    </row>
    <row r="338" spans="1:53" ht="15">
      <c r="A338" s="1" t="s">
        <v>9</v>
      </c>
      <c r="B338" s="5">
        <v>31651.587352000039</v>
      </c>
      <c r="C338" s="8">
        <v>13.201068638837569</v>
      </c>
      <c r="D338" s="6"/>
      <c r="E338" s="20"/>
      <c r="H338" s="3">
        <v>1323.53</v>
      </c>
      <c r="I338" s="6"/>
      <c r="J338" s="6"/>
      <c r="K338" s="6"/>
      <c r="L338" s="6"/>
      <c r="M338" s="6"/>
      <c r="O338" s="6"/>
      <c r="P338" s="6"/>
      <c r="R338" s="6"/>
      <c r="S338" s="6"/>
      <c r="T338" s="6"/>
      <c r="U338" s="6"/>
      <c r="V338" s="6"/>
      <c r="W338" s="6"/>
      <c r="Z338" s="4"/>
      <c r="AI338" s="29" t="str">
        <f t="shared" si="10"/>
        <v/>
      </c>
      <c r="AL338" s="3">
        <v>1.46E-2</v>
      </c>
      <c r="AS338" s="56"/>
      <c r="AT338" s="56"/>
      <c r="AU338" s="56"/>
      <c r="AV338" s="56"/>
      <c r="AW338" s="56"/>
      <c r="AX338" s="56">
        <v>19.323538000000003</v>
      </c>
      <c r="AY338" s="3">
        <v>235</v>
      </c>
      <c r="BA338" s="1" t="s">
        <v>11</v>
      </c>
    </row>
    <row r="339" spans="1:53" ht="15">
      <c r="A339" s="1" t="s">
        <v>9</v>
      </c>
      <c r="B339" s="5">
        <v>31742.897902000041</v>
      </c>
      <c r="C339" s="8">
        <v>13.451068638837569</v>
      </c>
      <c r="D339" s="6"/>
      <c r="E339" s="20"/>
      <c r="H339" s="3">
        <v>1522.06</v>
      </c>
      <c r="I339" s="6"/>
      <c r="J339" s="6"/>
      <c r="K339" s="6"/>
      <c r="L339" s="6"/>
      <c r="M339" s="6"/>
      <c r="O339" s="6"/>
      <c r="P339" s="6"/>
      <c r="R339" s="6"/>
      <c r="S339" s="6"/>
      <c r="T339" s="6"/>
      <c r="U339" s="6"/>
      <c r="V339" s="6"/>
      <c r="W339" s="6"/>
      <c r="Z339" s="4"/>
      <c r="AI339" s="29" t="str">
        <f t="shared" si="10"/>
        <v/>
      </c>
      <c r="AS339" s="56"/>
      <c r="AT339" s="56"/>
      <c r="AU339" s="56"/>
      <c r="AV339" s="56"/>
      <c r="AW339" s="56"/>
      <c r="AX339" s="56"/>
      <c r="BA339" s="1" t="s">
        <v>11</v>
      </c>
    </row>
    <row r="340" spans="1:53" ht="15">
      <c r="A340" s="1" t="s">
        <v>9</v>
      </c>
      <c r="B340" s="5">
        <v>31834.208452000039</v>
      </c>
      <c r="C340" s="8">
        <v>13.701068638837569</v>
      </c>
      <c r="D340" s="6"/>
      <c r="E340" s="20"/>
      <c r="H340" s="3">
        <v>1808.8200000000002</v>
      </c>
      <c r="I340" s="6"/>
      <c r="J340" s="6"/>
      <c r="K340" s="6"/>
      <c r="L340" s="6"/>
      <c r="M340" s="6"/>
      <c r="O340" s="6"/>
      <c r="P340" s="6"/>
      <c r="R340" s="6"/>
      <c r="S340" s="6"/>
      <c r="T340" s="6"/>
      <c r="U340" s="6"/>
      <c r="V340" s="6"/>
      <c r="W340" s="6"/>
      <c r="Z340" s="4"/>
      <c r="AI340" s="29" t="str">
        <f t="shared" si="10"/>
        <v/>
      </c>
      <c r="AS340" s="56"/>
      <c r="AT340" s="56"/>
      <c r="AU340" s="56"/>
      <c r="AV340" s="56"/>
      <c r="AW340" s="56"/>
      <c r="AX340" s="56"/>
      <c r="BA340" s="1" t="s">
        <v>11</v>
      </c>
    </row>
    <row r="341" spans="1:53" ht="15">
      <c r="A341" s="1" t="s">
        <v>9</v>
      </c>
      <c r="B341" s="5">
        <v>31925.519002000037</v>
      </c>
      <c r="C341" s="8">
        <v>13.951068638837569</v>
      </c>
      <c r="D341" s="20">
        <f t="shared" ref="D341" si="11">E341/997*100</f>
        <v>73.821464393179539</v>
      </c>
      <c r="E341" s="20">
        <v>736</v>
      </c>
      <c r="H341" s="3">
        <v>1610.2900000000002</v>
      </c>
      <c r="I341" s="6"/>
      <c r="J341" s="6"/>
      <c r="K341" s="6"/>
      <c r="L341" s="6"/>
      <c r="M341" s="6"/>
      <c r="O341" s="6"/>
      <c r="P341" s="6"/>
      <c r="R341" s="6"/>
      <c r="S341" s="6"/>
      <c r="T341" s="6"/>
      <c r="U341" s="6"/>
      <c r="V341" s="6"/>
      <c r="W341" s="6"/>
      <c r="Z341" s="4"/>
      <c r="AI341" s="29" t="str">
        <f t="shared" si="10"/>
        <v/>
      </c>
      <c r="AS341" s="56"/>
      <c r="AT341" s="56"/>
      <c r="AU341" s="56"/>
      <c r="AV341" s="56"/>
      <c r="AW341" s="56"/>
      <c r="AX341" s="56"/>
      <c r="BA341" s="1" t="s">
        <v>11</v>
      </c>
    </row>
    <row r="342" spans="1:53" ht="15">
      <c r="A342" s="1" t="s">
        <v>9</v>
      </c>
      <c r="B342" s="5">
        <v>32016.829552000039</v>
      </c>
      <c r="C342" s="8">
        <v>14.201068638837569</v>
      </c>
      <c r="D342" s="6"/>
      <c r="E342" s="20"/>
      <c r="I342" s="6"/>
      <c r="J342" s="6"/>
      <c r="K342" s="6"/>
      <c r="L342" s="6"/>
      <c r="M342" s="6"/>
      <c r="O342" s="6"/>
      <c r="P342" s="6"/>
      <c r="R342" s="6"/>
      <c r="S342" s="6"/>
      <c r="T342" s="6"/>
      <c r="U342" s="6"/>
      <c r="V342" s="6"/>
      <c r="W342" s="6"/>
      <c r="Z342" s="4"/>
      <c r="AI342" s="29" t="str">
        <f t="shared" si="10"/>
        <v/>
      </c>
      <c r="AL342" s="3">
        <v>1.41E-2</v>
      </c>
      <c r="AS342" s="56"/>
      <c r="AT342" s="56"/>
      <c r="AU342" s="56"/>
      <c r="AV342" s="56"/>
      <c r="AW342" s="56"/>
      <c r="AX342" s="56"/>
      <c r="AY342" s="3">
        <v>255</v>
      </c>
      <c r="BA342" s="1" t="s">
        <v>11</v>
      </c>
    </row>
    <row r="343" spans="1:53" ht="15">
      <c r="A343" s="1" t="s">
        <v>4</v>
      </c>
      <c r="B343" s="5">
        <v>30482.42</v>
      </c>
      <c r="C343" s="8">
        <v>10</v>
      </c>
      <c r="D343" s="20">
        <f t="shared" ref="D343:D377" si="12">E343/997*100</f>
        <v>62.688064192577727</v>
      </c>
      <c r="E343" s="20">
        <v>625</v>
      </c>
      <c r="I343" s="6"/>
      <c r="L343" s="6"/>
      <c r="R343" s="6"/>
      <c r="S343" s="6"/>
      <c r="T343" s="6"/>
      <c r="U343" s="6"/>
      <c r="V343" s="6"/>
      <c r="W343" s="6"/>
      <c r="Z343" s="4"/>
      <c r="AB343" s="6">
        <v>9.1999999999999993</v>
      </c>
      <c r="AC343" s="6">
        <v>15.5</v>
      </c>
      <c r="AD343" s="6"/>
      <c r="AE343" s="1">
        <v>11.8</v>
      </c>
      <c r="AF343" s="1">
        <v>45.4</v>
      </c>
      <c r="AG343" s="1"/>
      <c r="AH343" s="1"/>
      <c r="AI343" s="29">
        <f t="shared" ref="AI343:AI377" si="13">IF(AF343&gt;0.001,AF343/C343,"")</f>
        <v>4.54</v>
      </c>
      <c r="AJ343" s="1"/>
      <c r="AK343" s="1"/>
      <c r="AL343" s="6"/>
      <c r="AM343" s="6"/>
      <c r="AN343" s="6"/>
      <c r="AO343" s="6"/>
      <c r="AP343" s="6"/>
      <c r="AQ343" s="6"/>
      <c r="AR343" s="6"/>
      <c r="AS343" s="63"/>
      <c r="AT343" s="63"/>
      <c r="AU343" s="63"/>
      <c r="AV343" s="63"/>
      <c r="AW343" s="56"/>
      <c r="AX343" s="63"/>
      <c r="BA343" s="1" t="s">
        <v>12</v>
      </c>
    </row>
    <row r="344" spans="1:53" ht="15">
      <c r="A344" s="1" t="s">
        <v>4</v>
      </c>
      <c r="B344" s="5">
        <v>32382.68144</v>
      </c>
      <c r="C344" s="8">
        <v>15.2</v>
      </c>
      <c r="D344" s="20">
        <f t="shared" si="12"/>
        <v>62.688064192577727</v>
      </c>
      <c r="E344" s="20">
        <v>625</v>
      </c>
      <c r="I344" s="6"/>
      <c r="L344" s="6"/>
      <c r="R344" s="6"/>
      <c r="S344" s="6"/>
      <c r="T344" s="6"/>
      <c r="U344" s="6"/>
      <c r="V344" s="6"/>
      <c r="W344" s="6"/>
      <c r="Z344" s="4"/>
      <c r="AB344" s="6">
        <v>15.4</v>
      </c>
      <c r="AC344" s="6">
        <v>22.8</v>
      </c>
      <c r="AD344" s="6"/>
      <c r="AE344" s="1">
        <v>25.6</v>
      </c>
      <c r="AF344" s="1">
        <v>143.1</v>
      </c>
      <c r="AG344" s="1"/>
      <c r="AH344" s="1"/>
      <c r="AI344" s="29">
        <f t="shared" si="13"/>
        <v>9.4144736842105257</v>
      </c>
      <c r="AJ344" s="1"/>
      <c r="AK344" s="1"/>
      <c r="AL344" s="6"/>
      <c r="AM344" s="6"/>
      <c r="AN344" s="6"/>
      <c r="AO344" s="6"/>
      <c r="AP344" s="6"/>
      <c r="AQ344" s="6"/>
      <c r="AR344" s="6"/>
      <c r="AS344" s="63"/>
      <c r="AT344" s="63"/>
      <c r="AU344" s="63"/>
      <c r="AV344" s="63"/>
      <c r="AW344" s="56"/>
      <c r="AX344" s="63"/>
      <c r="BA344" s="1" t="s">
        <v>12</v>
      </c>
    </row>
    <row r="345" spans="1:53" ht="15">
      <c r="A345" s="1" t="s">
        <v>4</v>
      </c>
      <c r="B345" s="5">
        <v>32601.82676</v>
      </c>
      <c r="C345" s="8">
        <v>15.8</v>
      </c>
      <c r="D345" s="20">
        <f t="shared" si="12"/>
        <v>27.582748244734201</v>
      </c>
      <c r="E345" s="20">
        <v>275</v>
      </c>
      <c r="I345" s="6"/>
      <c r="L345" s="6"/>
      <c r="R345" s="6"/>
      <c r="S345" s="6"/>
      <c r="T345" s="6"/>
      <c r="U345" s="6"/>
      <c r="V345" s="6"/>
      <c r="W345" s="6"/>
      <c r="Z345" s="4"/>
      <c r="AB345" s="6">
        <v>16</v>
      </c>
      <c r="AC345" s="6">
        <v>24.7</v>
      </c>
      <c r="AD345" s="6"/>
      <c r="AE345" s="1">
        <v>13.2</v>
      </c>
      <c r="AF345" s="1">
        <v>74.900000000000006</v>
      </c>
      <c r="AG345" s="1"/>
      <c r="AH345" s="1"/>
      <c r="AI345" s="29">
        <f t="shared" si="13"/>
        <v>4.7405063291139244</v>
      </c>
      <c r="AJ345" s="1"/>
      <c r="AK345" s="1"/>
      <c r="AL345" s="6"/>
      <c r="AM345" s="6"/>
      <c r="AN345" s="6"/>
      <c r="AO345" s="6"/>
      <c r="AP345" s="6"/>
      <c r="AQ345" s="6"/>
      <c r="AR345" s="6"/>
      <c r="AS345" s="63"/>
      <c r="AT345" s="63"/>
      <c r="AU345" s="63"/>
      <c r="AV345" s="63"/>
      <c r="AW345" s="56"/>
      <c r="AX345" s="63"/>
      <c r="BA345" s="1" t="s">
        <v>12</v>
      </c>
    </row>
    <row r="346" spans="1:53" ht="15">
      <c r="A346" s="1" t="s">
        <v>4</v>
      </c>
      <c r="B346" s="5">
        <v>34135.843999999997</v>
      </c>
      <c r="C346" s="8">
        <v>20</v>
      </c>
      <c r="D346" s="20">
        <f t="shared" si="12"/>
        <v>27.582748244734201</v>
      </c>
      <c r="E346" s="20">
        <v>275</v>
      </c>
      <c r="I346" s="6"/>
      <c r="L346" s="6"/>
      <c r="R346" s="6"/>
      <c r="S346" s="6"/>
      <c r="T346" s="6"/>
      <c r="U346" s="6"/>
      <c r="V346" s="6"/>
      <c r="W346" s="6"/>
      <c r="Z346" s="4"/>
      <c r="AB346" s="6">
        <v>21.3</v>
      </c>
      <c r="AC346" s="6">
        <v>33.1</v>
      </c>
      <c r="AD346" s="6"/>
      <c r="AE346" s="1">
        <v>23.6</v>
      </c>
      <c r="AF346" s="1">
        <v>169.3</v>
      </c>
      <c r="AG346" s="1"/>
      <c r="AH346" s="1"/>
      <c r="AI346" s="29">
        <f t="shared" si="13"/>
        <v>8.4649999999999999</v>
      </c>
      <c r="AJ346" s="1"/>
      <c r="AK346" s="1"/>
      <c r="AL346" s="6"/>
      <c r="AM346" s="6"/>
      <c r="AN346" s="6"/>
      <c r="AO346" s="6"/>
      <c r="AP346" s="6"/>
      <c r="AQ346" s="6"/>
      <c r="AR346" s="6"/>
      <c r="AS346" s="63"/>
      <c r="AT346" s="63"/>
      <c r="AU346" s="63"/>
      <c r="AV346" s="63"/>
      <c r="AW346" s="63"/>
      <c r="AX346" s="63"/>
      <c r="BA346" s="1" t="s">
        <v>12</v>
      </c>
    </row>
    <row r="347" spans="1:53" ht="15">
      <c r="A347" s="1" t="s">
        <v>4</v>
      </c>
      <c r="B347" s="5">
        <v>37057.781600000002</v>
      </c>
      <c r="C347" s="8">
        <v>28</v>
      </c>
      <c r="D347" s="20">
        <f t="shared" si="12"/>
        <v>27.582748244734201</v>
      </c>
      <c r="E347" s="20">
        <v>275</v>
      </c>
      <c r="I347" s="6"/>
      <c r="L347" s="6"/>
      <c r="R347" s="6"/>
      <c r="S347" s="6"/>
      <c r="T347" s="6"/>
      <c r="U347" s="6"/>
      <c r="V347" s="6"/>
      <c r="W347" s="6"/>
      <c r="Z347" s="4"/>
      <c r="AB347" s="6">
        <v>29.9</v>
      </c>
      <c r="AC347" s="6">
        <v>40.4</v>
      </c>
      <c r="AD347" s="6"/>
      <c r="AE347" s="1">
        <v>35.299999999999997</v>
      </c>
      <c r="AF347" s="1">
        <v>340.2</v>
      </c>
      <c r="AG347" s="1"/>
      <c r="AH347" s="1"/>
      <c r="AI347" s="29">
        <f t="shared" si="13"/>
        <v>12.15</v>
      </c>
      <c r="AJ347" s="1"/>
      <c r="AK347" s="1"/>
      <c r="AL347" s="6"/>
      <c r="AM347" s="6"/>
      <c r="AN347" s="6"/>
      <c r="AO347" s="6"/>
      <c r="AP347" s="6"/>
      <c r="AQ347" s="6"/>
      <c r="AR347" s="6"/>
      <c r="AS347" s="63"/>
      <c r="AT347" s="63"/>
      <c r="AU347" s="63"/>
      <c r="AV347" s="63"/>
      <c r="AW347" s="63"/>
      <c r="AX347" s="63"/>
      <c r="BA347" s="1" t="s">
        <v>12</v>
      </c>
    </row>
    <row r="348" spans="1:53" ht="15">
      <c r="A348" s="1" t="s">
        <v>5</v>
      </c>
      <c r="B348" s="5">
        <v>30482.42</v>
      </c>
      <c r="C348" s="8">
        <v>10</v>
      </c>
      <c r="D348" s="20">
        <f t="shared" si="12"/>
        <v>60.080240722166501</v>
      </c>
      <c r="E348" s="20">
        <v>599</v>
      </c>
      <c r="I348" s="6"/>
      <c r="L348" s="6"/>
      <c r="R348" s="6"/>
      <c r="S348" s="6"/>
      <c r="T348" s="6"/>
      <c r="U348" s="6"/>
      <c r="V348" s="6"/>
      <c r="W348" s="6"/>
      <c r="Z348" s="4"/>
      <c r="AB348" s="6">
        <v>9.3000000000000007</v>
      </c>
      <c r="AC348" s="6">
        <v>15.6</v>
      </c>
      <c r="AD348" s="6"/>
      <c r="AE348" s="1">
        <v>11.4</v>
      </c>
      <c r="AF348" s="1">
        <v>44.2</v>
      </c>
      <c r="AG348" s="1"/>
      <c r="AH348" s="1"/>
      <c r="AI348" s="29">
        <f t="shared" si="13"/>
        <v>4.42</v>
      </c>
      <c r="AJ348" s="1"/>
      <c r="AK348" s="1"/>
      <c r="AL348" s="6"/>
      <c r="AM348" s="6"/>
      <c r="AN348" s="6"/>
      <c r="AO348" s="6"/>
      <c r="AP348" s="6"/>
      <c r="AQ348" s="6"/>
      <c r="AR348" s="6"/>
      <c r="AS348" s="63"/>
      <c r="AT348" s="63"/>
      <c r="AU348" s="63"/>
      <c r="AV348" s="63"/>
      <c r="AW348" s="63"/>
      <c r="AX348" s="63"/>
      <c r="BA348" s="1" t="s">
        <v>12</v>
      </c>
    </row>
    <row r="349" spans="1:53" ht="15">
      <c r="A349" s="1" t="s">
        <v>5</v>
      </c>
      <c r="B349" s="5">
        <v>32382.68144</v>
      </c>
      <c r="C349" s="8">
        <v>15.2</v>
      </c>
      <c r="D349" s="20">
        <f t="shared" si="12"/>
        <v>51.855566700100297</v>
      </c>
      <c r="E349" s="20">
        <v>517</v>
      </c>
      <c r="I349" s="6"/>
      <c r="L349" s="6"/>
      <c r="R349" s="6"/>
      <c r="S349" s="6"/>
      <c r="T349" s="6"/>
      <c r="U349" s="6"/>
      <c r="V349" s="6"/>
      <c r="W349" s="6"/>
      <c r="Z349" s="4"/>
      <c r="AB349" s="6">
        <v>14.9</v>
      </c>
      <c r="AC349" s="6">
        <v>25.7</v>
      </c>
      <c r="AD349" s="6"/>
      <c r="AE349" s="1">
        <v>26.8</v>
      </c>
      <c r="AF349" s="1">
        <v>143.30000000000001</v>
      </c>
      <c r="AG349" s="1"/>
      <c r="AH349" s="1"/>
      <c r="AI349" s="29">
        <f t="shared" si="13"/>
        <v>9.4276315789473699</v>
      </c>
      <c r="AJ349" s="1"/>
      <c r="AK349" s="1"/>
      <c r="AL349" s="6"/>
      <c r="AM349" s="6"/>
      <c r="AN349" s="6"/>
      <c r="AO349" s="6"/>
      <c r="AP349" s="6"/>
      <c r="AQ349" s="6"/>
      <c r="AR349" s="6"/>
      <c r="AS349" s="63"/>
      <c r="AT349" s="63"/>
      <c r="AU349" s="63"/>
      <c r="AV349" s="63"/>
      <c r="AW349" s="63"/>
      <c r="AX349" s="63"/>
      <c r="BA349" s="1" t="s">
        <v>12</v>
      </c>
    </row>
    <row r="350" spans="1:53" ht="15">
      <c r="A350" s="1" t="s">
        <v>5</v>
      </c>
      <c r="B350" s="5">
        <v>32601.82676</v>
      </c>
      <c r="C350" s="8">
        <v>15.8</v>
      </c>
      <c r="D350" s="20">
        <f t="shared" si="12"/>
        <v>27.983951855566701</v>
      </c>
      <c r="E350" s="20">
        <v>279</v>
      </c>
      <c r="I350" s="6"/>
      <c r="L350" s="6"/>
      <c r="R350" s="6"/>
      <c r="S350" s="6"/>
      <c r="T350" s="6"/>
      <c r="U350" s="6"/>
      <c r="V350" s="6"/>
      <c r="W350" s="6"/>
      <c r="Z350" s="4"/>
      <c r="AB350" s="6">
        <v>14.9</v>
      </c>
      <c r="AC350" s="6">
        <v>25.5</v>
      </c>
      <c r="AD350" s="6"/>
      <c r="AE350" s="1">
        <v>14.3</v>
      </c>
      <c r="AF350" s="1">
        <v>76.900000000000006</v>
      </c>
      <c r="AG350" s="1"/>
      <c r="AH350" s="1"/>
      <c r="AI350" s="29">
        <f t="shared" si="13"/>
        <v>4.8670886075949369</v>
      </c>
      <c r="AJ350" s="1"/>
      <c r="AK350" s="1"/>
      <c r="AL350" s="6"/>
      <c r="AM350" s="6"/>
      <c r="AN350" s="6"/>
      <c r="AO350" s="6"/>
      <c r="AP350" s="6"/>
      <c r="AQ350" s="6"/>
      <c r="AR350" s="6"/>
      <c r="AS350" s="63"/>
      <c r="AT350" s="63"/>
      <c r="AU350" s="63"/>
      <c r="AV350" s="63"/>
      <c r="AW350" s="63"/>
      <c r="AX350" s="63"/>
      <c r="BA350" s="1" t="s">
        <v>12</v>
      </c>
    </row>
    <row r="351" spans="1:53" ht="15">
      <c r="A351" s="1" t="s">
        <v>5</v>
      </c>
      <c r="B351" s="5">
        <v>34135.843999999997</v>
      </c>
      <c r="C351" s="8">
        <v>20</v>
      </c>
      <c r="D351" s="20">
        <f t="shared" si="12"/>
        <v>27.983951855566701</v>
      </c>
      <c r="E351" s="20">
        <v>279</v>
      </c>
      <c r="I351" s="6"/>
      <c r="L351" s="6"/>
      <c r="R351" s="6"/>
      <c r="S351" s="6"/>
      <c r="T351" s="6"/>
      <c r="U351" s="6"/>
      <c r="V351" s="6"/>
      <c r="W351" s="6"/>
      <c r="Z351" s="4"/>
      <c r="AB351" s="6">
        <v>20.2</v>
      </c>
      <c r="AC351" s="6">
        <v>33.799999999999997</v>
      </c>
      <c r="AD351" s="6"/>
      <c r="AE351" s="1">
        <v>25.1</v>
      </c>
      <c r="AF351" s="1">
        <v>172.3</v>
      </c>
      <c r="AG351" s="1"/>
      <c r="AH351" s="1"/>
      <c r="AI351" s="29">
        <f t="shared" si="13"/>
        <v>8.6150000000000002</v>
      </c>
      <c r="AJ351" s="1"/>
      <c r="AK351" s="1"/>
      <c r="AL351" s="6"/>
      <c r="AM351" s="6"/>
      <c r="AN351" s="6"/>
      <c r="AO351" s="6"/>
      <c r="AP351" s="6"/>
      <c r="AQ351" s="6"/>
      <c r="AR351" s="6"/>
      <c r="AS351" s="63"/>
      <c r="AT351" s="63"/>
      <c r="AU351" s="63"/>
      <c r="AV351" s="63"/>
      <c r="AW351" s="63"/>
      <c r="AX351" s="63"/>
      <c r="BA351" s="1" t="s">
        <v>12</v>
      </c>
    </row>
    <row r="352" spans="1:53" ht="15">
      <c r="A352" s="1" t="s">
        <v>5</v>
      </c>
      <c r="B352" s="5">
        <v>37057.781600000002</v>
      </c>
      <c r="C352" s="8">
        <v>28</v>
      </c>
      <c r="D352" s="20">
        <f t="shared" si="12"/>
        <v>27.983951855566701</v>
      </c>
      <c r="E352" s="20">
        <v>279</v>
      </c>
      <c r="I352" s="6"/>
      <c r="L352" s="6"/>
      <c r="R352" s="6"/>
      <c r="S352" s="6"/>
      <c r="T352" s="6"/>
      <c r="U352" s="6"/>
      <c r="V352" s="6"/>
      <c r="W352" s="6"/>
      <c r="Z352" s="4"/>
      <c r="AB352" s="6">
        <v>27.3</v>
      </c>
      <c r="AC352" s="6">
        <v>40.9</v>
      </c>
      <c r="AD352" s="6"/>
      <c r="AE352" s="1">
        <v>36.6</v>
      </c>
      <c r="AF352" s="1">
        <v>328.3</v>
      </c>
      <c r="AG352" s="1"/>
      <c r="AH352" s="1"/>
      <c r="AI352" s="29">
        <f t="shared" si="13"/>
        <v>11.725</v>
      </c>
      <c r="AJ352" s="1"/>
      <c r="AK352" s="1"/>
      <c r="AL352" s="6"/>
      <c r="AM352" s="6"/>
      <c r="AN352" s="6"/>
      <c r="AO352" s="6"/>
      <c r="AP352" s="6"/>
      <c r="AQ352" s="6"/>
      <c r="AR352" s="6"/>
      <c r="AS352" s="63"/>
      <c r="AT352" s="63"/>
      <c r="AU352" s="63"/>
      <c r="AV352" s="63"/>
      <c r="AW352" s="63"/>
      <c r="AX352" s="63"/>
      <c r="BA352" s="1" t="s">
        <v>12</v>
      </c>
    </row>
    <row r="353" spans="1:53" ht="15">
      <c r="A353" s="1" t="s">
        <v>6</v>
      </c>
      <c r="B353" s="5">
        <v>30482.42</v>
      </c>
      <c r="C353" s="8">
        <v>10</v>
      </c>
      <c r="D353" s="20">
        <f t="shared" si="12"/>
        <v>70.511534603811427</v>
      </c>
      <c r="E353" s="20">
        <v>703</v>
      </c>
      <c r="I353" s="6"/>
      <c r="L353" s="6"/>
      <c r="R353" s="6"/>
      <c r="S353" s="6"/>
      <c r="T353" s="6"/>
      <c r="U353" s="6"/>
      <c r="V353" s="6"/>
      <c r="W353" s="6"/>
      <c r="Z353" s="4"/>
      <c r="AB353" s="6">
        <v>8.9</v>
      </c>
      <c r="AC353" s="6">
        <v>14.2</v>
      </c>
      <c r="AD353" s="6"/>
      <c r="AE353" s="1">
        <v>11.2</v>
      </c>
      <c r="AF353" s="1">
        <v>42.8</v>
      </c>
      <c r="AG353" s="1"/>
      <c r="AH353" s="1"/>
      <c r="AI353" s="29">
        <f t="shared" si="13"/>
        <v>4.2799999999999994</v>
      </c>
      <c r="AJ353" s="1"/>
      <c r="AK353" s="1"/>
      <c r="AL353" s="6"/>
      <c r="AM353" s="6"/>
      <c r="AN353" s="6"/>
      <c r="AO353" s="6"/>
      <c r="AP353" s="6"/>
      <c r="AQ353" s="6"/>
      <c r="AR353" s="6"/>
      <c r="AS353" s="63"/>
      <c r="AT353" s="63"/>
      <c r="AU353" s="63"/>
      <c r="AV353" s="63"/>
      <c r="AW353" s="63"/>
      <c r="AX353" s="63"/>
      <c r="BA353" s="1" t="s">
        <v>12</v>
      </c>
    </row>
    <row r="354" spans="1:53" ht="15">
      <c r="A354" s="1" t="s">
        <v>6</v>
      </c>
      <c r="B354" s="5">
        <v>32382.68144</v>
      </c>
      <c r="C354" s="8">
        <v>15.2</v>
      </c>
      <c r="D354" s="20">
        <f t="shared" si="12"/>
        <v>68.505516549648945</v>
      </c>
      <c r="E354" s="20">
        <v>683</v>
      </c>
      <c r="I354" s="6"/>
      <c r="L354" s="6"/>
      <c r="R354" s="6"/>
      <c r="S354" s="6"/>
      <c r="T354" s="6"/>
      <c r="U354" s="6"/>
      <c r="V354" s="6"/>
      <c r="W354" s="6"/>
      <c r="Z354" s="4"/>
      <c r="AB354" s="6">
        <v>17.399999999999999</v>
      </c>
      <c r="AC354" s="6">
        <v>24</v>
      </c>
      <c r="AD354" s="6"/>
      <c r="AE354" s="1">
        <v>31</v>
      </c>
      <c r="AF354" s="1">
        <v>191.1</v>
      </c>
      <c r="AG354" s="1"/>
      <c r="AH354" s="1"/>
      <c r="AI354" s="29">
        <f t="shared" si="13"/>
        <v>12.572368421052632</v>
      </c>
      <c r="AJ354" s="1"/>
      <c r="AK354" s="1"/>
      <c r="AL354" s="6"/>
      <c r="AM354" s="6"/>
      <c r="AN354" s="6"/>
      <c r="AO354" s="6"/>
      <c r="AP354" s="6"/>
      <c r="AQ354" s="6"/>
      <c r="AR354" s="6"/>
      <c r="AS354" s="63"/>
      <c r="AT354" s="63"/>
      <c r="AU354" s="63"/>
      <c r="AV354" s="63"/>
      <c r="AW354" s="63"/>
      <c r="AX354" s="63"/>
      <c r="BA354" s="1" t="s">
        <v>12</v>
      </c>
    </row>
    <row r="355" spans="1:53" ht="15">
      <c r="A355" s="1" t="s">
        <v>6</v>
      </c>
      <c r="B355" s="5">
        <v>32601.82676</v>
      </c>
      <c r="C355" s="8">
        <v>15.8</v>
      </c>
      <c r="D355" s="20">
        <f t="shared" si="12"/>
        <v>30.491474423269811</v>
      </c>
      <c r="E355" s="20">
        <v>304</v>
      </c>
      <c r="I355" s="6"/>
      <c r="L355" s="6"/>
      <c r="R355" s="6"/>
      <c r="S355" s="6"/>
      <c r="T355" s="6"/>
      <c r="U355" s="6"/>
      <c r="V355" s="6"/>
      <c r="W355" s="6"/>
      <c r="Z355" s="4"/>
      <c r="AB355" s="6">
        <v>17.8</v>
      </c>
      <c r="AC355" s="6">
        <v>26.2</v>
      </c>
      <c r="AD355" s="6"/>
      <c r="AE355" s="1">
        <v>16.399999999999999</v>
      </c>
      <c r="AF355" s="1">
        <v>102.5</v>
      </c>
      <c r="AG355" s="1"/>
      <c r="AH355" s="1"/>
      <c r="AI355" s="29">
        <f t="shared" si="13"/>
        <v>6.4873417721518987</v>
      </c>
      <c r="AJ355" s="1"/>
      <c r="AK355" s="1"/>
      <c r="AL355" s="6"/>
      <c r="AM355" s="6"/>
      <c r="AN355" s="6"/>
      <c r="AO355" s="6"/>
      <c r="AP355" s="6"/>
      <c r="AQ355" s="6"/>
      <c r="AR355" s="6"/>
      <c r="AS355" s="63"/>
      <c r="AT355" s="63"/>
      <c r="AU355" s="63"/>
      <c r="AV355" s="63"/>
      <c r="AW355" s="63"/>
      <c r="AX355" s="63"/>
      <c r="BA355" s="1" t="s">
        <v>12</v>
      </c>
    </row>
    <row r="356" spans="1:53" ht="15">
      <c r="A356" s="1" t="s">
        <v>6</v>
      </c>
      <c r="B356" s="5">
        <v>34135.843999999997</v>
      </c>
      <c r="C356" s="8">
        <v>20</v>
      </c>
      <c r="D356" s="20">
        <f t="shared" si="12"/>
        <v>30.491474423269811</v>
      </c>
      <c r="E356" s="20">
        <v>304</v>
      </c>
      <c r="I356" s="6"/>
      <c r="L356" s="6"/>
      <c r="R356" s="6"/>
      <c r="S356" s="6"/>
      <c r="T356" s="6"/>
      <c r="U356" s="6"/>
      <c r="V356" s="6"/>
      <c r="W356" s="6"/>
      <c r="Z356" s="4"/>
      <c r="AB356" s="6">
        <v>23.3</v>
      </c>
      <c r="AC356" s="6">
        <v>34.4</v>
      </c>
      <c r="AD356" s="6"/>
      <c r="AE356" s="1">
        <v>28.3</v>
      </c>
      <c r="AF356" s="1">
        <v>220.3</v>
      </c>
      <c r="AG356" s="1"/>
      <c r="AH356" s="1"/>
      <c r="AI356" s="29">
        <f t="shared" si="13"/>
        <v>11.015000000000001</v>
      </c>
      <c r="AJ356" s="1"/>
      <c r="AK356" s="1"/>
      <c r="AL356" s="6"/>
      <c r="AM356" s="6"/>
      <c r="AN356" s="6"/>
      <c r="AO356" s="6"/>
      <c r="AP356" s="6"/>
      <c r="AQ356" s="6"/>
      <c r="AR356" s="6"/>
      <c r="AS356" s="63"/>
      <c r="AT356" s="63"/>
      <c r="AU356" s="63"/>
      <c r="AV356" s="63"/>
      <c r="AW356" s="63"/>
      <c r="AX356" s="63"/>
      <c r="BA356" s="1" t="s">
        <v>12</v>
      </c>
    </row>
    <row r="357" spans="1:53" ht="15">
      <c r="A357" s="1" t="s">
        <v>6</v>
      </c>
      <c r="B357" s="5">
        <v>37057.781600000002</v>
      </c>
      <c r="C357" s="8">
        <v>28</v>
      </c>
      <c r="D357" s="20">
        <f t="shared" si="12"/>
        <v>30.491474423269811</v>
      </c>
      <c r="E357" s="20">
        <v>304</v>
      </c>
      <c r="I357" s="6"/>
      <c r="L357" s="6"/>
      <c r="R357" s="6"/>
      <c r="S357" s="6"/>
      <c r="T357" s="6"/>
      <c r="U357" s="6"/>
      <c r="V357" s="6"/>
      <c r="W357" s="6"/>
      <c r="Z357" s="4"/>
      <c r="AB357" s="6">
        <v>31.1</v>
      </c>
      <c r="AC357" s="6">
        <v>42.8</v>
      </c>
      <c r="AD357" s="6"/>
      <c r="AE357" s="1">
        <v>43.7</v>
      </c>
      <c r="AF357" s="1">
        <v>438</v>
      </c>
      <c r="AG357" s="1"/>
      <c r="AH357" s="1"/>
      <c r="AI357" s="29">
        <f t="shared" si="13"/>
        <v>15.642857142857142</v>
      </c>
      <c r="AJ357" s="1"/>
      <c r="AK357" s="1"/>
      <c r="AL357" s="6"/>
      <c r="AM357" s="6"/>
      <c r="AN357" s="6"/>
      <c r="AO357" s="6"/>
      <c r="AP357" s="6"/>
      <c r="AQ357" s="6"/>
      <c r="AR357" s="6"/>
      <c r="AS357" s="63"/>
      <c r="AT357" s="63"/>
      <c r="AU357" s="63"/>
      <c r="AV357" s="63"/>
      <c r="AW357" s="63"/>
      <c r="AX357" s="63"/>
      <c r="BA357" s="1" t="s">
        <v>12</v>
      </c>
    </row>
    <row r="358" spans="1:53" ht="15">
      <c r="A358" s="1" t="s">
        <v>16</v>
      </c>
      <c r="B358" s="5">
        <v>30482.42</v>
      </c>
      <c r="C358" s="8">
        <v>10</v>
      </c>
      <c r="D358" s="20">
        <f t="shared" si="12"/>
        <v>73.420260782347043</v>
      </c>
      <c r="E358" s="20">
        <v>732</v>
      </c>
      <c r="I358" s="6"/>
      <c r="L358" s="6"/>
      <c r="R358" s="6"/>
      <c r="S358" s="6"/>
      <c r="T358" s="6"/>
      <c r="U358" s="6"/>
      <c r="V358" s="6"/>
      <c r="W358" s="6"/>
      <c r="Z358" s="4"/>
      <c r="AB358" s="6">
        <v>9.3000000000000007</v>
      </c>
      <c r="AC358" s="6">
        <v>15.5</v>
      </c>
      <c r="AD358" s="6"/>
      <c r="AE358" s="1">
        <v>12.7</v>
      </c>
      <c r="AF358" s="1">
        <v>48.8</v>
      </c>
      <c r="AG358" s="1"/>
      <c r="AH358" s="1"/>
      <c r="AI358" s="29">
        <f t="shared" si="13"/>
        <v>4.88</v>
      </c>
      <c r="AJ358" s="1"/>
      <c r="AK358" s="1"/>
      <c r="AL358" s="6"/>
      <c r="AM358" s="6"/>
      <c r="AN358" s="6"/>
      <c r="AO358" s="6"/>
      <c r="AP358" s="6"/>
      <c r="AQ358" s="6"/>
      <c r="AR358" s="6"/>
      <c r="AS358" s="63"/>
      <c r="AT358" s="63"/>
      <c r="AU358" s="63"/>
      <c r="AV358" s="63"/>
      <c r="AW358" s="63"/>
      <c r="AX358" s="63"/>
      <c r="BA358" s="1" t="s">
        <v>12</v>
      </c>
    </row>
    <row r="359" spans="1:53" ht="15">
      <c r="A359" s="1" t="s">
        <v>16</v>
      </c>
      <c r="B359" s="5">
        <v>32382.68144</v>
      </c>
      <c r="C359" s="8">
        <v>15.2</v>
      </c>
      <c r="D359" s="20">
        <f t="shared" si="12"/>
        <v>73.420260782347043</v>
      </c>
      <c r="E359" s="20">
        <v>732</v>
      </c>
      <c r="I359" s="6"/>
      <c r="L359" s="6"/>
      <c r="R359" s="6"/>
      <c r="S359" s="6"/>
      <c r="T359" s="6"/>
      <c r="U359" s="6"/>
      <c r="V359" s="6"/>
      <c r="W359" s="6"/>
      <c r="Z359" s="4"/>
      <c r="AB359" s="6">
        <v>17.5</v>
      </c>
      <c r="AC359" s="6">
        <v>28.1</v>
      </c>
      <c r="AD359" s="6"/>
      <c r="AE359" s="1">
        <v>41.9</v>
      </c>
      <c r="AF359" s="1">
        <v>257.2</v>
      </c>
      <c r="AG359" s="1"/>
      <c r="AH359" s="1"/>
      <c r="AI359" s="29">
        <f t="shared" si="13"/>
        <v>16.921052631578949</v>
      </c>
      <c r="AJ359" s="1"/>
      <c r="AK359" s="1"/>
      <c r="AL359" s="6"/>
      <c r="AM359" s="6"/>
      <c r="AN359" s="6"/>
      <c r="AO359" s="6"/>
      <c r="AP359" s="6"/>
      <c r="AQ359" s="6"/>
      <c r="AR359" s="6"/>
      <c r="AS359" s="63"/>
      <c r="AT359" s="63"/>
      <c r="AU359" s="63"/>
      <c r="AV359" s="63"/>
      <c r="AW359" s="63"/>
      <c r="AX359" s="63"/>
      <c r="BA359" s="1" t="s">
        <v>12</v>
      </c>
    </row>
    <row r="360" spans="1:53" ht="15">
      <c r="A360" s="1" t="s">
        <v>16</v>
      </c>
      <c r="B360" s="5">
        <v>32601.82676</v>
      </c>
      <c r="C360" s="8">
        <v>15.8</v>
      </c>
      <c r="D360" s="20">
        <f t="shared" si="12"/>
        <v>39.518555667001003</v>
      </c>
      <c r="E360" s="20">
        <v>394</v>
      </c>
      <c r="I360" s="6"/>
      <c r="L360" s="6"/>
      <c r="R360" s="6"/>
      <c r="S360" s="6"/>
      <c r="T360" s="6"/>
      <c r="U360" s="6"/>
      <c r="V360" s="6"/>
      <c r="W360" s="6"/>
      <c r="Z360" s="4"/>
      <c r="AB360" s="6">
        <v>17.8</v>
      </c>
      <c r="AC360" s="6">
        <v>29</v>
      </c>
      <c r="AD360" s="6"/>
      <c r="AE360" s="1">
        <v>26.8</v>
      </c>
      <c r="AF360" s="1">
        <v>166.5</v>
      </c>
      <c r="AG360" s="1"/>
      <c r="AH360" s="1"/>
      <c r="AI360" s="29">
        <f t="shared" si="13"/>
        <v>10.537974683544304</v>
      </c>
      <c r="AJ360" s="1"/>
      <c r="AK360" s="1"/>
      <c r="AL360" s="6"/>
      <c r="AM360" s="6"/>
      <c r="AN360" s="6"/>
      <c r="AO360" s="6"/>
      <c r="AP360" s="6"/>
      <c r="AQ360" s="6"/>
      <c r="AR360" s="6"/>
      <c r="AS360" s="63"/>
      <c r="AT360" s="63"/>
      <c r="AU360" s="63"/>
      <c r="AV360" s="63"/>
      <c r="AW360" s="63"/>
      <c r="AX360" s="63"/>
      <c r="BA360" s="1" t="s">
        <v>12</v>
      </c>
    </row>
    <row r="361" spans="1:53" ht="15">
      <c r="A361" s="1" t="s">
        <v>16</v>
      </c>
      <c r="B361" s="5">
        <v>34135.843999999997</v>
      </c>
      <c r="C361" s="8">
        <v>20</v>
      </c>
      <c r="D361" s="20">
        <f t="shared" si="12"/>
        <v>39.518555667001003</v>
      </c>
      <c r="E361" s="20">
        <v>394</v>
      </c>
      <c r="I361" s="6"/>
      <c r="L361" s="6"/>
      <c r="R361" s="6"/>
      <c r="S361" s="6"/>
      <c r="T361" s="6"/>
      <c r="U361" s="6"/>
      <c r="V361" s="6"/>
      <c r="W361" s="6"/>
      <c r="Z361" s="4"/>
      <c r="AB361" s="6">
        <v>22.4</v>
      </c>
      <c r="AC361" s="6">
        <v>33.9</v>
      </c>
      <c r="AD361" s="6"/>
      <c r="AE361" s="1">
        <v>36.700000000000003</v>
      </c>
      <c r="AF361" s="1">
        <v>276.39999999999998</v>
      </c>
      <c r="AG361" s="1"/>
      <c r="AH361" s="1"/>
      <c r="AI361" s="29">
        <f t="shared" si="13"/>
        <v>13.819999999999999</v>
      </c>
      <c r="AJ361" s="1"/>
      <c r="AK361" s="1"/>
      <c r="AL361" s="6"/>
      <c r="AM361" s="6"/>
      <c r="AN361" s="6"/>
      <c r="AO361" s="6"/>
      <c r="AP361" s="6"/>
      <c r="AQ361" s="6"/>
      <c r="AR361" s="6"/>
      <c r="AS361" s="63"/>
      <c r="AT361" s="63"/>
      <c r="AU361" s="63"/>
      <c r="AV361" s="63"/>
      <c r="AW361" s="63"/>
      <c r="AX361" s="63"/>
      <c r="BA361" s="1" t="s">
        <v>12</v>
      </c>
    </row>
    <row r="362" spans="1:53" ht="15">
      <c r="A362" s="1" t="s">
        <v>16</v>
      </c>
      <c r="B362" s="5">
        <v>37057.781600000002</v>
      </c>
      <c r="C362" s="8">
        <v>28</v>
      </c>
      <c r="D362" s="20">
        <f t="shared" si="12"/>
        <v>39.518555667001003</v>
      </c>
      <c r="E362" s="20">
        <v>394</v>
      </c>
      <c r="I362" s="6"/>
      <c r="L362" s="6"/>
      <c r="R362" s="6"/>
      <c r="S362" s="6"/>
      <c r="T362" s="6"/>
      <c r="U362" s="6"/>
      <c r="V362" s="6"/>
      <c r="W362" s="6"/>
      <c r="Z362" s="4"/>
      <c r="AB362" s="6">
        <v>28.8</v>
      </c>
      <c r="AC362" s="6">
        <v>39</v>
      </c>
      <c r="AD362" s="6"/>
      <c r="AE362" s="1">
        <v>48.4</v>
      </c>
      <c r="AF362" s="1">
        <v>454</v>
      </c>
      <c r="AG362" s="1"/>
      <c r="AH362" s="1"/>
      <c r="AI362" s="29">
        <f t="shared" si="13"/>
        <v>16.214285714285715</v>
      </c>
      <c r="AJ362" s="1"/>
      <c r="AK362" s="1"/>
      <c r="AL362" s="6"/>
      <c r="AM362" s="6"/>
      <c r="AN362" s="6"/>
      <c r="AO362" s="6"/>
      <c r="AP362" s="6"/>
      <c r="AQ362" s="6"/>
      <c r="AR362" s="6"/>
      <c r="AS362" s="63"/>
      <c r="AT362" s="63"/>
      <c r="AU362" s="63"/>
      <c r="AV362" s="63"/>
      <c r="AW362" s="63"/>
      <c r="AX362" s="63"/>
      <c r="BA362" s="1" t="s">
        <v>12</v>
      </c>
    </row>
    <row r="363" spans="1:53" ht="15">
      <c r="A363" s="1" t="s">
        <v>16</v>
      </c>
      <c r="B363" s="5">
        <v>30482.42</v>
      </c>
      <c r="C363" s="24">
        <v>10</v>
      </c>
      <c r="D363" s="20">
        <f t="shared" si="12"/>
        <v>73.420260782347043</v>
      </c>
      <c r="E363" s="20">
        <v>732</v>
      </c>
      <c r="I363" s="6"/>
      <c r="L363" s="6"/>
      <c r="R363" s="6"/>
      <c r="S363" s="6"/>
      <c r="T363" s="6"/>
      <c r="U363" s="6"/>
      <c r="V363" s="6"/>
      <c r="W363" s="6"/>
      <c r="Z363" s="4"/>
      <c r="AB363" s="6">
        <v>9.4</v>
      </c>
      <c r="AC363" s="6">
        <v>14.6</v>
      </c>
      <c r="AD363" s="6"/>
      <c r="AE363" s="1">
        <v>12.2</v>
      </c>
      <c r="AF363" s="1">
        <v>48</v>
      </c>
      <c r="AG363" s="1"/>
      <c r="AH363" s="1"/>
      <c r="AI363" s="29">
        <f t="shared" si="13"/>
        <v>4.8</v>
      </c>
      <c r="AJ363" s="1"/>
      <c r="AK363" s="1"/>
      <c r="AL363" s="6"/>
      <c r="AM363" s="6"/>
      <c r="AN363" s="6"/>
      <c r="AO363" s="6"/>
      <c r="AP363" s="6"/>
      <c r="AQ363" s="6"/>
      <c r="AR363" s="6"/>
      <c r="AS363" s="63"/>
      <c r="AT363" s="63"/>
      <c r="AU363" s="63"/>
      <c r="AV363" s="63"/>
      <c r="AW363" s="63"/>
      <c r="AX363" s="63"/>
      <c r="BA363" s="1" t="s">
        <v>12</v>
      </c>
    </row>
    <row r="364" spans="1:53" ht="15">
      <c r="A364" s="1" t="s">
        <v>16</v>
      </c>
      <c r="B364" s="5">
        <v>32382.68144</v>
      </c>
      <c r="C364" s="24">
        <v>15.2</v>
      </c>
      <c r="D364" s="20">
        <f t="shared" si="12"/>
        <v>73.420260782347043</v>
      </c>
      <c r="E364" s="20">
        <v>732</v>
      </c>
      <c r="I364" s="6"/>
      <c r="L364" s="6"/>
      <c r="R364" s="6"/>
      <c r="S364" s="6"/>
      <c r="T364" s="6"/>
      <c r="U364" s="6"/>
      <c r="V364" s="6"/>
      <c r="W364" s="6"/>
      <c r="Z364" s="4"/>
      <c r="AB364" s="6">
        <v>17.5</v>
      </c>
      <c r="AC364" s="6">
        <v>26.6</v>
      </c>
      <c r="AD364" s="6"/>
      <c r="AE364" s="1">
        <v>40.6</v>
      </c>
      <c r="AF364" s="1">
        <v>251.7</v>
      </c>
      <c r="AG364" s="1"/>
      <c r="AH364" s="1"/>
      <c r="AI364" s="29">
        <f t="shared" si="13"/>
        <v>16.559210526315791</v>
      </c>
      <c r="AJ364" s="1"/>
      <c r="AK364" s="1"/>
      <c r="AL364" s="6"/>
      <c r="AM364" s="6"/>
      <c r="AN364" s="6"/>
      <c r="AO364" s="6"/>
      <c r="AP364" s="6"/>
      <c r="AQ364" s="6"/>
      <c r="AR364" s="6"/>
      <c r="AS364" s="63"/>
      <c r="AT364" s="63"/>
      <c r="AU364" s="63"/>
      <c r="AV364" s="63"/>
      <c r="AW364" s="63"/>
      <c r="AX364" s="63"/>
      <c r="BA364" s="1" t="s">
        <v>12</v>
      </c>
    </row>
    <row r="365" spans="1:53" ht="15">
      <c r="A365" s="1" t="s">
        <v>16</v>
      </c>
      <c r="B365" s="5">
        <v>32601.82676</v>
      </c>
      <c r="C365" s="25">
        <v>15.8</v>
      </c>
      <c r="D365" s="20">
        <f t="shared" si="12"/>
        <v>39.518555667001003</v>
      </c>
      <c r="E365" s="21">
        <v>394</v>
      </c>
      <c r="I365" s="12"/>
      <c r="J365" s="11"/>
      <c r="K365" s="11"/>
      <c r="L365" s="12"/>
      <c r="R365" s="12"/>
      <c r="S365" s="12"/>
      <c r="T365" s="12"/>
      <c r="U365" s="12"/>
      <c r="V365" s="12"/>
      <c r="W365" s="12"/>
      <c r="Z365" s="4"/>
      <c r="AB365" s="12">
        <v>18</v>
      </c>
      <c r="AC365" s="12">
        <v>28.2</v>
      </c>
      <c r="AD365" s="12"/>
      <c r="AE365" s="1">
        <v>24.6</v>
      </c>
      <c r="AF365" s="1">
        <v>154.6</v>
      </c>
      <c r="AG365" s="1"/>
      <c r="AH365" s="1"/>
      <c r="AI365" s="29">
        <f t="shared" si="13"/>
        <v>9.7848101265822773</v>
      </c>
      <c r="AJ365" s="1"/>
      <c r="AK365" s="1"/>
      <c r="AS365" s="56"/>
      <c r="AT365" s="56"/>
      <c r="AU365" s="56"/>
      <c r="AV365" s="56"/>
      <c r="AW365" s="56"/>
      <c r="AX365" s="56"/>
      <c r="BA365" s="1" t="s">
        <v>12</v>
      </c>
    </row>
    <row r="366" spans="1:53" ht="15">
      <c r="A366" s="1" t="s">
        <v>16</v>
      </c>
      <c r="B366" s="5">
        <v>34135.843999999997</v>
      </c>
      <c r="C366" s="25">
        <v>20</v>
      </c>
      <c r="D366" s="20">
        <f t="shared" si="12"/>
        <v>39.518555667001003</v>
      </c>
      <c r="E366" s="21">
        <v>394</v>
      </c>
      <c r="I366" s="12"/>
      <c r="J366" s="11"/>
      <c r="K366" s="11"/>
      <c r="L366" s="12"/>
      <c r="R366" s="12"/>
      <c r="S366" s="12"/>
      <c r="T366" s="12"/>
      <c r="U366" s="12"/>
      <c r="V366" s="12"/>
      <c r="W366" s="12"/>
      <c r="Z366" s="4"/>
      <c r="AB366" s="12">
        <v>23.7</v>
      </c>
      <c r="AC366" s="12">
        <v>35.6</v>
      </c>
      <c r="AD366" s="12"/>
      <c r="AE366" s="1">
        <v>39.200000000000003</v>
      </c>
      <c r="AF366" s="1">
        <v>311.2</v>
      </c>
      <c r="AG366" s="1"/>
      <c r="AH366" s="1"/>
      <c r="AI366" s="29">
        <f t="shared" si="13"/>
        <v>15.559999999999999</v>
      </c>
      <c r="AJ366" s="1"/>
      <c r="AK366" s="1"/>
      <c r="AS366" s="56"/>
      <c r="AT366" s="56"/>
      <c r="AU366" s="56"/>
      <c r="AV366" s="56"/>
      <c r="AW366" s="56"/>
      <c r="AX366" s="56"/>
      <c r="BA366" s="1" t="s">
        <v>12</v>
      </c>
    </row>
    <row r="367" spans="1:53" ht="15">
      <c r="A367" s="1" t="s">
        <v>16</v>
      </c>
      <c r="B367" s="5">
        <v>37057.781600000002</v>
      </c>
      <c r="C367" s="25">
        <v>28</v>
      </c>
      <c r="D367" s="20">
        <f t="shared" si="12"/>
        <v>39.518555667001003</v>
      </c>
      <c r="E367" s="22">
        <v>394</v>
      </c>
      <c r="I367" s="13"/>
      <c r="J367" s="11"/>
      <c r="K367" s="11"/>
      <c r="L367" s="13"/>
      <c r="R367" s="13"/>
      <c r="S367" s="13"/>
      <c r="T367" s="13"/>
      <c r="U367" s="13"/>
      <c r="V367" s="13"/>
      <c r="W367" s="13"/>
      <c r="Z367" s="4"/>
      <c r="AB367" s="13">
        <v>32.700000000000003</v>
      </c>
      <c r="AC367" s="13">
        <v>43.7</v>
      </c>
      <c r="AD367" s="13"/>
      <c r="AE367" s="1">
        <v>59</v>
      </c>
      <c r="AF367" s="1">
        <v>624.29999999999995</v>
      </c>
      <c r="AG367" s="1"/>
      <c r="AH367" s="1"/>
      <c r="AI367" s="29">
        <f t="shared" si="13"/>
        <v>22.296428571428571</v>
      </c>
      <c r="AJ367" s="1"/>
      <c r="AK367" s="1"/>
      <c r="AS367" s="56"/>
      <c r="AT367" s="56"/>
      <c r="AU367" s="56"/>
      <c r="AV367" s="56"/>
      <c r="AW367" s="56"/>
      <c r="AX367" s="56"/>
      <c r="BA367" s="1" t="s">
        <v>12</v>
      </c>
    </row>
    <row r="368" spans="1:53" ht="15">
      <c r="A368" s="1" t="s">
        <v>9</v>
      </c>
      <c r="B368" s="5">
        <v>30482.42</v>
      </c>
      <c r="C368" s="25">
        <v>10</v>
      </c>
      <c r="D368" s="20">
        <f t="shared" si="12"/>
        <v>69.508525576730193</v>
      </c>
      <c r="E368" s="21">
        <v>693</v>
      </c>
      <c r="I368" s="12"/>
      <c r="J368" s="11"/>
      <c r="K368" s="11"/>
      <c r="L368" s="12"/>
      <c r="R368" s="12"/>
      <c r="S368" s="12"/>
      <c r="T368" s="12"/>
      <c r="U368" s="12"/>
      <c r="V368" s="12"/>
      <c r="W368" s="12"/>
      <c r="Z368" s="4"/>
      <c r="AB368" s="12">
        <v>9.3000000000000007</v>
      </c>
      <c r="AC368" s="12">
        <v>14.9</v>
      </c>
      <c r="AD368" s="12"/>
      <c r="AE368" s="1">
        <v>12.1</v>
      </c>
      <c r="AF368" s="1">
        <v>46.8</v>
      </c>
      <c r="AG368" s="1"/>
      <c r="AH368" s="1"/>
      <c r="AI368" s="29">
        <f t="shared" si="13"/>
        <v>4.68</v>
      </c>
      <c r="AJ368" s="1"/>
      <c r="AK368" s="1"/>
      <c r="AS368" s="56"/>
      <c r="AT368" s="56"/>
      <c r="AU368" s="56"/>
      <c r="AV368" s="56"/>
      <c r="AW368" s="56"/>
      <c r="AX368" s="56"/>
      <c r="BA368" s="1" t="s">
        <v>12</v>
      </c>
    </row>
    <row r="369" spans="1:53" ht="15">
      <c r="A369" s="1" t="s">
        <v>9</v>
      </c>
      <c r="B369" s="5">
        <v>32382.68144</v>
      </c>
      <c r="C369" s="25">
        <v>15.2</v>
      </c>
      <c r="D369" s="20">
        <f t="shared" si="12"/>
        <v>69.508525576730193</v>
      </c>
      <c r="E369" s="21">
        <v>693</v>
      </c>
      <c r="I369" s="12"/>
      <c r="J369" s="11"/>
      <c r="K369" s="11"/>
      <c r="L369" s="12"/>
      <c r="R369" s="12"/>
      <c r="S369" s="12"/>
      <c r="T369" s="12"/>
      <c r="U369" s="12"/>
      <c r="V369" s="12"/>
      <c r="W369" s="12"/>
      <c r="Z369" s="4"/>
      <c r="AB369" s="12">
        <v>17.600000000000001</v>
      </c>
      <c r="AC369" s="12">
        <v>28.4</v>
      </c>
      <c r="AD369" s="12"/>
      <c r="AE369" s="1">
        <v>44</v>
      </c>
      <c r="AF369" s="1">
        <v>272.3</v>
      </c>
      <c r="AG369" s="1"/>
      <c r="AH369" s="1"/>
      <c r="AI369" s="29">
        <f t="shared" si="13"/>
        <v>17.914473684210527</v>
      </c>
      <c r="AJ369" s="1"/>
      <c r="AK369" s="1"/>
      <c r="AS369" s="56"/>
      <c r="AT369" s="56"/>
      <c r="AU369" s="56"/>
      <c r="AV369" s="56"/>
      <c r="AW369" s="56"/>
      <c r="AX369" s="56"/>
      <c r="BA369" s="1" t="s">
        <v>12</v>
      </c>
    </row>
    <row r="370" spans="1:53" ht="15">
      <c r="A370" s="1" t="s">
        <v>9</v>
      </c>
      <c r="B370" s="5">
        <v>32601.82676</v>
      </c>
      <c r="C370" s="25">
        <v>15.8</v>
      </c>
      <c r="D370" s="20">
        <f t="shared" si="12"/>
        <v>39.819458375125379</v>
      </c>
      <c r="E370" s="21">
        <v>397</v>
      </c>
      <c r="I370" s="12"/>
      <c r="J370" s="11"/>
      <c r="K370" s="11"/>
      <c r="L370" s="12"/>
      <c r="R370" s="12"/>
      <c r="S370" s="12"/>
      <c r="T370" s="12"/>
      <c r="U370" s="12"/>
      <c r="V370" s="12"/>
      <c r="W370" s="12"/>
      <c r="Z370" s="4"/>
      <c r="AB370" s="12">
        <v>18.3</v>
      </c>
      <c r="AC370" s="12">
        <v>30.1</v>
      </c>
      <c r="AD370" s="12"/>
      <c r="AE370" s="1">
        <v>28.3</v>
      </c>
      <c r="AF370" s="1">
        <v>178</v>
      </c>
      <c r="AG370" s="1"/>
      <c r="AH370" s="1"/>
      <c r="AI370" s="29">
        <f t="shared" si="13"/>
        <v>11.265822784810126</v>
      </c>
      <c r="AJ370" s="1"/>
      <c r="AK370" s="1"/>
      <c r="AS370" s="56"/>
      <c r="AT370" s="56"/>
      <c r="AU370" s="56"/>
      <c r="AV370" s="56"/>
      <c r="AW370" s="56"/>
      <c r="AX370" s="56"/>
      <c r="BA370" s="1" t="s">
        <v>12</v>
      </c>
    </row>
    <row r="371" spans="1:53" ht="15">
      <c r="A371" s="1" t="s">
        <v>9</v>
      </c>
      <c r="B371" s="18">
        <v>34135.843999999997</v>
      </c>
      <c r="C371" s="25">
        <v>20</v>
      </c>
      <c r="D371" s="20">
        <f t="shared" si="12"/>
        <v>38.114343029087259</v>
      </c>
      <c r="E371" s="21">
        <v>380</v>
      </c>
      <c r="I371" s="12"/>
      <c r="J371" s="11"/>
      <c r="K371" s="11"/>
      <c r="L371" s="12"/>
      <c r="Q371" s="34"/>
      <c r="R371" s="12"/>
      <c r="S371" s="12"/>
      <c r="T371" s="12"/>
      <c r="U371" s="12"/>
      <c r="V371" s="12"/>
      <c r="W371" s="12"/>
      <c r="Z371" s="4"/>
      <c r="AB371" s="12">
        <v>22.5</v>
      </c>
      <c r="AC371" s="12">
        <v>37.200000000000003</v>
      </c>
      <c r="AD371" s="12"/>
      <c r="AE371" s="1">
        <v>41.3</v>
      </c>
      <c r="AF371" s="1">
        <v>309.89999999999998</v>
      </c>
      <c r="AG371" s="1"/>
      <c r="AH371" s="1"/>
      <c r="AI371" s="29">
        <f t="shared" si="13"/>
        <v>15.494999999999999</v>
      </c>
      <c r="AJ371" s="1"/>
      <c r="AK371" s="1"/>
      <c r="AS371" s="56"/>
      <c r="AT371" s="56"/>
      <c r="AU371" s="56"/>
      <c r="AV371" s="56"/>
      <c r="AW371" s="56"/>
      <c r="AX371" s="56"/>
      <c r="BA371" s="1" t="s">
        <v>12</v>
      </c>
    </row>
    <row r="372" spans="1:53" ht="15">
      <c r="A372" s="1" t="s">
        <v>9</v>
      </c>
      <c r="B372" s="18">
        <v>37057.781600000002</v>
      </c>
      <c r="C372" s="25">
        <v>28</v>
      </c>
      <c r="D372" s="20">
        <f t="shared" si="12"/>
        <v>37.211634904714138</v>
      </c>
      <c r="E372" s="21">
        <v>371</v>
      </c>
      <c r="I372" s="12"/>
      <c r="J372" s="11"/>
      <c r="K372" s="11"/>
      <c r="L372" s="12"/>
      <c r="Q372" s="34"/>
      <c r="R372" s="12"/>
      <c r="S372" s="12"/>
      <c r="T372" s="12"/>
      <c r="U372" s="12"/>
      <c r="V372" s="12"/>
      <c r="W372" s="12"/>
      <c r="Z372" s="4"/>
      <c r="AB372" s="12">
        <v>28.5</v>
      </c>
      <c r="AC372" s="12">
        <v>43.2</v>
      </c>
      <c r="AD372" s="12"/>
      <c r="AE372" s="1">
        <v>54.4</v>
      </c>
      <c r="AF372" s="1">
        <v>505.6</v>
      </c>
      <c r="AG372" s="1"/>
      <c r="AH372" s="1"/>
      <c r="AI372" s="29">
        <f t="shared" si="13"/>
        <v>18.057142857142857</v>
      </c>
      <c r="AJ372" s="1"/>
      <c r="AK372" s="1"/>
      <c r="AS372" s="56"/>
      <c r="AT372" s="56"/>
      <c r="AU372" s="56"/>
      <c r="AV372" s="56"/>
      <c r="AW372" s="56"/>
      <c r="AX372" s="56"/>
      <c r="BA372" s="1" t="s">
        <v>12</v>
      </c>
    </row>
    <row r="373" spans="1:53" ht="15">
      <c r="A373" s="1" t="s">
        <v>17</v>
      </c>
      <c r="B373" s="18">
        <v>30482.42</v>
      </c>
      <c r="C373" s="25">
        <v>10</v>
      </c>
      <c r="D373" s="20">
        <f t="shared" si="12"/>
        <v>79.739217652958871</v>
      </c>
      <c r="E373" s="21">
        <v>795</v>
      </c>
      <c r="I373" s="12"/>
      <c r="J373" s="11"/>
      <c r="K373" s="11"/>
      <c r="L373" s="12"/>
      <c r="Q373" s="34"/>
      <c r="R373" s="12"/>
      <c r="S373" s="12"/>
      <c r="T373" s="12"/>
      <c r="U373" s="12"/>
      <c r="V373" s="12"/>
      <c r="W373" s="12"/>
      <c r="Z373" s="4"/>
      <c r="AB373" s="12">
        <v>9.3000000000000007</v>
      </c>
      <c r="AC373" s="12">
        <v>13.9</v>
      </c>
      <c r="AD373" s="12"/>
      <c r="AE373" s="1">
        <v>12.1</v>
      </c>
      <c r="AF373" s="1">
        <v>47.4</v>
      </c>
      <c r="AG373" s="1"/>
      <c r="AH373" s="1"/>
      <c r="AI373" s="29">
        <f t="shared" si="13"/>
        <v>4.74</v>
      </c>
      <c r="AJ373" s="1"/>
      <c r="AK373" s="1"/>
      <c r="AS373" s="56"/>
      <c r="AT373" s="56"/>
      <c r="AU373" s="56"/>
      <c r="AV373" s="56"/>
      <c r="AW373" s="56"/>
      <c r="AX373" s="56"/>
      <c r="BA373" s="1" t="s">
        <v>12</v>
      </c>
    </row>
    <row r="374" spans="1:53" ht="15">
      <c r="A374" s="1" t="s">
        <v>17</v>
      </c>
      <c r="B374" s="18">
        <v>32382.68144</v>
      </c>
      <c r="C374" s="25">
        <v>15.2</v>
      </c>
      <c r="D374" s="20">
        <f t="shared" si="12"/>
        <v>77.733199598796389</v>
      </c>
      <c r="E374" s="21">
        <v>775</v>
      </c>
      <c r="I374" s="12"/>
      <c r="J374" s="11"/>
      <c r="K374" s="11"/>
      <c r="L374" s="12"/>
      <c r="Q374" s="34"/>
      <c r="R374" s="12"/>
      <c r="S374" s="12"/>
      <c r="T374" s="12"/>
      <c r="U374" s="12"/>
      <c r="V374" s="12"/>
      <c r="W374" s="12"/>
      <c r="Z374" s="4"/>
      <c r="AB374" s="12">
        <v>17.2</v>
      </c>
      <c r="AC374" s="12">
        <v>27</v>
      </c>
      <c r="AD374" s="12"/>
      <c r="AE374" s="1">
        <v>44.5</v>
      </c>
      <c r="AF374" s="1">
        <v>271.60000000000002</v>
      </c>
      <c r="AG374" s="1"/>
      <c r="AH374" s="1"/>
      <c r="AI374" s="29">
        <f t="shared" si="13"/>
        <v>17.868421052631582</v>
      </c>
      <c r="AJ374" s="1"/>
      <c r="AK374" s="1"/>
      <c r="AS374" s="56"/>
      <c r="AT374" s="56"/>
      <c r="AU374" s="56"/>
      <c r="AV374" s="56"/>
      <c r="AW374" s="56"/>
      <c r="AX374" s="56"/>
      <c r="BA374" s="1" t="s">
        <v>12</v>
      </c>
    </row>
    <row r="375" spans="1:53" ht="15">
      <c r="A375" s="1" t="s">
        <v>17</v>
      </c>
      <c r="B375" s="18">
        <v>32601.82676</v>
      </c>
      <c r="C375" s="25">
        <v>15.8</v>
      </c>
      <c r="D375" s="20">
        <f t="shared" si="12"/>
        <v>42.226680040120364</v>
      </c>
      <c r="E375" s="21">
        <v>421</v>
      </c>
      <c r="I375" s="12"/>
      <c r="J375" s="11"/>
      <c r="K375" s="11"/>
      <c r="L375" s="12"/>
      <c r="Q375" s="34"/>
      <c r="R375" s="12"/>
      <c r="S375" s="12"/>
      <c r="T375" s="12"/>
      <c r="U375" s="12"/>
      <c r="V375" s="12"/>
      <c r="W375" s="12"/>
      <c r="Z375" s="4"/>
      <c r="AB375" s="12">
        <v>17.899999999999999</v>
      </c>
      <c r="AC375" s="12">
        <v>28.9</v>
      </c>
      <c r="AD375" s="12"/>
      <c r="AE375" s="1">
        <v>27.6</v>
      </c>
      <c r="AF375" s="1">
        <v>171.5</v>
      </c>
      <c r="AG375" s="1"/>
      <c r="AH375" s="1"/>
      <c r="AI375" s="29">
        <f t="shared" si="13"/>
        <v>10.854430379746836</v>
      </c>
      <c r="AJ375" s="1"/>
      <c r="AK375" s="1"/>
      <c r="AS375" s="56"/>
      <c r="AT375" s="56"/>
      <c r="AU375" s="56"/>
      <c r="AV375" s="56"/>
      <c r="AW375" s="56"/>
      <c r="AX375" s="56"/>
      <c r="BA375" s="1" t="s">
        <v>12</v>
      </c>
    </row>
    <row r="376" spans="1:53" ht="15">
      <c r="A376" s="1" t="s">
        <v>17</v>
      </c>
      <c r="B376" s="18">
        <v>34135.843999999997</v>
      </c>
      <c r="C376" s="25">
        <v>20</v>
      </c>
      <c r="D376" s="20">
        <f t="shared" si="12"/>
        <v>41.223671013039116</v>
      </c>
      <c r="E376" s="21">
        <v>411</v>
      </c>
      <c r="I376" s="12"/>
      <c r="J376" s="11"/>
      <c r="K376" s="11"/>
      <c r="L376" s="12"/>
      <c r="Q376" s="34"/>
      <c r="R376" s="12"/>
      <c r="S376" s="12"/>
      <c r="T376" s="12"/>
      <c r="U376" s="12"/>
      <c r="V376" s="12"/>
      <c r="W376" s="12"/>
      <c r="Z376" s="4"/>
      <c r="AB376" s="12">
        <v>24.1</v>
      </c>
      <c r="AC376" s="12">
        <v>39.5</v>
      </c>
      <c r="AD376" s="12"/>
      <c r="AE376" s="1">
        <v>50.3</v>
      </c>
      <c r="AF376" s="1">
        <v>401</v>
      </c>
      <c r="AG376" s="1"/>
      <c r="AH376" s="1"/>
      <c r="AI376" s="29">
        <f t="shared" si="13"/>
        <v>20.05</v>
      </c>
      <c r="AJ376" s="1"/>
      <c r="AK376" s="1"/>
      <c r="AS376" s="56"/>
      <c r="AT376" s="56"/>
      <c r="AU376" s="56"/>
      <c r="AV376" s="56"/>
      <c r="AW376" s="56"/>
      <c r="AX376" s="56"/>
      <c r="BA376" s="1" t="s">
        <v>12</v>
      </c>
    </row>
    <row r="377" spans="1:53" ht="15">
      <c r="A377" s="1" t="s">
        <v>17</v>
      </c>
      <c r="B377" s="18">
        <v>37057.781600000002</v>
      </c>
      <c r="C377" s="25">
        <v>28</v>
      </c>
      <c r="D377" s="20">
        <f t="shared" si="12"/>
        <v>41.223671013039116</v>
      </c>
      <c r="E377" s="21">
        <v>411</v>
      </c>
      <c r="I377" s="12"/>
      <c r="J377" s="11"/>
      <c r="K377" s="11"/>
      <c r="L377" s="12"/>
      <c r="Q377" s="34"/>
      <c r="R377" s="12"/>
      <c r="S377" s="12"/>
      <c r="T377" s="12"/>
      <c r="U377" s="12"/>
      <c r="V377" s="12"/>
      <c r="W377" s="12"/>
      <c r="Z377" s="4"/>
      <c r="AB377" s="12">
        <v>33.6</v>
      </c>
      <c r="AC377" s="12">
        <v>47.2</v>
      </c>
      <c r="AD377" s="12"/>
      <c r="AE377" s="1">
        <v>72</v>
      </c>
      <c r="AF377" s="1">
        <v>776</v>
      </c>
      <c r="AG377" s="1"/>
      <c r="AH377" s="1"/>
      <c r="AI377" s="29">
        <f t="shared" si="13"/>
        <v>27.714285714285715</v>
      </c>
      <c r="AJ377" s="1"/>
      <c r="AK377" s="1"/>
      <c r="AS377" s="56"/>
      <c r="AT377" s="56"/>
      <c r="AU377" s="56"/>
      <c r="AV377" s="56"/>
      <c r="AW377" s="56"/>
      <c r="AX377" s="56"/>
      <c r="BA377" s="1" t="s">
        <v>12</v>
      </c>
    </row>
    <row r="378" spans="1:53" ht="15">
      <c r="A378" t="s">
        <v>4</v>
      </c>
      <c r="B378" s="16">
        <v>30512</v>
      </c>
      <c r="C378" s="17">
        <v>10.080981879968963</v>
      </c>
      <c r="D378" s="20"/>
      <c r="E378" s="30">
        <v>625</v>
      </c>
      <c r="F378" s="3">
        <v>3114.3999999999996</v>
      </c>
      <c r="H378" s="32">
        <v>497.6</v>
      </c>
      <c r="I378" s="12"/>
      <c r="J378" s="32">
        <v>626.1</v>
      </c>
      <c r="K378" s="32"/>
      <c r="L378" s="12">
        <v>274.60000000000002</v>
      </c>
      <c r="M378" s="3">
        <v>1716.1000000000001</v>
      </c>
      <c r="N378" s="6">
        <f>L378+M378</f>
        <v>1990.7000000000003</v>
      </c>
      <c r="Q378" s="34"/>
      <c r="R378" s="12"/>
      <c r="S378" s="12"/>
      <c r="T378" s="12"/>
      <c r="U378" s="12"/>
      <c r="V378" s="12"/>
      <c r="W378" s="12"/>
      <c r="Z378" s="4"/>
      <c r="AB378" s="55"/>
      <c r="AC378" s="55"/>
      <c r="AD378" s="55"/>
      <c r="AE378" s="1"/>
      <c r="AF378" s="1"/>
      <c r="AG378" s="1"/>
      <c r="AH378" s="1"/>
      <c r="AI378" s="29" t="str">
        <f t="shared" si="10"/>
        <v/>
      </c>
      <c r="AJ378" s="1"/>
      <c r="AK378" s="1"/>
      <c r="AS378" s="56"/>
      <c r="AT378" s="56"/>
      <c r="AU378" s="56"/>
      <c r="AV378" s="56"/>
      <c r="AW378" s="56"/>
      <c r="AX378" s="56"/>
      <c r="BA378" s="1" t="s">
        <v>24</v>
      </c>
    </row>
    <row r="379" spans="1:53" ht="15">
      <c r="A379" t="s">
        <v>4</v>
      </c>
      <c r="B379" s="16">
        <v>30878</v>
      </c>
      <c r="C379" s="17">
        <v>11.083056667603032</v>
      </c>
      <c r="D379" s="20"/>
      <c r="E379" s="30">
        <v>625</v>
      </c>
      <c r="F379" s="3">
        <v>4654.3999999999996</v>
      </c>
      <c r="H379" s="32">
        <v>725.5</v>
      </c>
      <c r="I379" s="12"/>
      <c r="J379" s="32">
        <v>1075.9000000000001</v>
      </c>
      <c r="K379" s="32"/>
      <c r="L379" s="12">
        <v>382.1</v>
      </c>
      <c r="M379" s="3">
        <v>2470.9</v>
      </c>
      <c r="N379" s="6">
        <f t="shared" ref="N379:N385" si="14">L379+M379</f>
        <v>2853</v>
      </c>
      <c r="Q379" s="34"/>
      <c r="R379" s="12"/>
      <c r="S379" s="12"/>
      <c r="T379" s="12"/>
      <c r="U379" s="12"/>
      <c r="V379" s="12"/>
      <c r="W379" s="12"/>
      <c r="Z379" s="4"/>
      <c r="AB379" s="55"/>
      <c r="AC379" s="55"/>
      <c r="AD379" s="55"/>
      <c r="AE379" s="1"/>
      <c r="AF379" s="1"/>
      <c r="AG379" s="1"/>
      <c r="AH379" s="1"/>
      <c r="AI379" s="29" t="str">
        <f t="shared" si="10"/>
        <v/>
      </c>
      <c r="AJ379" s="1"/>
      <c r="AK379" s="1"/>
      <c r="AS379" s="56"/>
      <c r="AT379" s="56"/>
      <c r="AU379" s="56"/>
      <c r="AV379" s="56"/>
      <c r="AW379" s="56"/>
      <c r="AX379" s="56"/>
      <c r="BA379" s="1" t="s">
        <v>24</v>
      </c>
    </row>
    <row r="380" spans="1:53" ht="15">
      <c r="A380" t="s">
        <v>4</v>
      </c>
      <c r="B380" s="16">
        <v>31243</v>
      </c>
      <c r="C380" s="17">
        <v>12.082393545981269</v>
      </c>
      <c r="D380" s="20"/>
      <c r="E380" s="30">
        <v>625</v>
      </c>
      <c r="F380" s="3">
        <v>6052.3</v>
      </c>
      <c r="H380" s="32">
        <v>882.30000000000007</v>
      </c>
      <c r="I380" s="12"/>
      <c r="J380" s="32">
        <v>1401</v>
      </c>
      <c r="K380" s="32"/>
      <c r="L380" s="12">
        <v>489.59999999999997</v>
      </c>
      <c r="M380" s="3">
        <v>3278.3</v>
      </c>
      <c r="N380" s="6">
        <f t="shared" si="14"/>
        <v>3767.9</v>
      </c>
      <c r="Q380" s="34"/>
      <c r="R380" s="12"/>
      <c r="S380" s="12"/>
      <c r="T380" s="12"/>
      <c r="U380" s="12"/>
      <c r="V380" s="12"/>
      <c r="W380" s="12"/>
      <c r="Z380" s="4"/>
      <c r="AB380" s="55"/>
      <c r="AC380" s="55"/>
      <c r="AD380" s="55"/>
      <c r="AE380" s="1"/>
      <c r="AF380" s="1"/>
      <c r="AG380" s="1"/>
      <c r="AH380" s="1"/>
      <c r="AI380" s="29" t="str">
        <f t="shared" si="10"/>
        <v/>
      </c>
      <c r="AJ380" s="1"/>
      <c r="AK380" s="1"/>
      <c r="AS380" s="56"/>
      <c r="AT380" s="56"/>
      <c r="AU380" s="56"/>
      <c r="AV380" s="56"/>
      <c r="AW380" s="56"/>
      <c r="AX380" s="56"/>
      <c r="BA380" s="1" t="s">
        <v>24</v>
      </c>
    </row>
    <row r="381" spans="1:53" ht="15">
      <c r="A381" t="s">
        <v>4</v>
      </c>
      <c r="B381" s="16">
        <v>31608</v>
      </c>
      <c r="C381" s="17">
        <v>13.081730424359506</v>
      </c>
      <c r="D381" s="20"/>
      <c r="E381" s="30">
        <v>625</v>
      </c>
      <c r="F381" s="3">
        <v>7328.7999999999993</v>
      </c>
      <c r="H381" s="32">
        <v>999.2</v>
      </c>
      <c r="I381" s="12"/>
      <c r="J381" s="32">
        <v>1691.4</v>
      </c>
      <c r="K381" s="32"/>
      <c r="L381" s="12">
        <v>584.4</v>
      </c>
      <c r="M381" s="3">
        <v>4011.2000000000003</v>
      </c>
      <c r="N381" s="6">
        <f t="shared" si="14"/>
        <v>4595.6000000000004</v>
      </c>
      <c r="Q381" s="34"/>
      <c r="R381" s="12"/>
      <c r="S381" s="12"/>
      <c r="T381" s="12"/>
      <c r="U381" s="12"/>
      <c r="V381" s="12"/>
      <c r="W381" s="12"/>
      <c r="Z381" s="4"/>
      <c r="AB381" s="55"/>
      <c r="AC381" s="55"/>
      <c r="AD381" s="55"/>
      <c r="AE381" s="1"/>
      <c r="AF381" s="1"/>
      <c r="AG381" s="1"/>
      <c r="AH381" s="1"/>
      <c r="AI381" s="29" t="str">
        <f t="shared" si="10"/>
        <v/>
      </c>
      <c r="AJ381" s="1"/>
      <c r="AK381" s="1"/>
      <c r="AS381" s="56"/>
      <c r="AT381" s="56"/>
      <c r="AU381" s="56"/>
      <c r="AV381" s="56"/>
      <c r="AW381" s="56"/>
      <c r="AX381" s="56"/>
      <c r="BA381" s="1" t="s">
        <v>24</v>
      </c>
    </row>
    <row r="382" spans="1:53" ht="15">
      <c r="A382" t="s">
        <v>4</v>
      </c>
      <c r="B382" s="16">
        <v>31973</v>
      </c>
      <c r="C382" s="17">
        <v>14.081067302737743</v>
      </c>
      <c r="D382" s="20"/>
      <c r="E382" s="30">
        <v>625</v>
      </c>
      <c r="F382" s="3">
        <v>8756.5</v>
      </c>
      <c r="H382" s="32">
        <v>1113</v>
      </c>
      <c r="I382" s="12"/>
      <c r="J382" s="32">
        <v>2002.9</v>
      </c>
      <c r="K382" s="32"/>
      <c r="L382" s="12">
        <v>689.3</v>
      </c>
      <c r="M382" s="3">
        <v>4840.5999999999995</v>
      </c>
      <c r="N382" s="6">
        <f t="shared" si="14"/>
        <v>5529.9</v>
      </c>
      <c r="Q382" s="34"/>
      <c r="R382" s="12"/>
      <c r="S382" s="12"/>
      <c r="T382" s="12"/>
      <c r="U382" s="12"/>
      <c r="V382" s="12"/>
      <c r="W382" s="12"/>
      <c r="Z382" s="4"/>
      <c r="AB382" s="55"/>
      <c r="AC382" s="55"/>
      <c r="AD382" s="55"/>
      <c r="AE382" s="1"/>
      <c r="AF382" s="1"/>
      <c r="AG382" s="1"/>
      <c r="AH382" s="1"/>
      <c r="AI382" s="29" t="str">
        <f t="shared" si="10"/>
        <v/>
      </c>
      <c r="AJ382" s="1"/>
      <c r="AK382" s="1"/>
      <c r="AS382" s="56"/>
      <c r="AT382" s="56"/>
      <c r="AU382" s="56"/>
      <c r="AV382" s="56"/>
      <c r="AW382" s="56"/>
      <c r="AX382" s="56"/>
      <c r="BA382" s="1" t="s">
        <v>24</v>
      </c>
    </row>
    <row r="383" spans="1:53" ht="15">
      <c r="A383" t="s">
        <v>4</v>
      </c>
      <c r="B383" s="16">
        <v>33465</v>
      </c>
      <c r="C383" s="17">
        <v>18.166027912437279</v>
      </c>
      <c r="D383" s="20"/>
      <c r="E383" s="30">
        <v>275</v>
      </c>
      <c r="H383" s="31"/>
      <c r="I383" s="12"/>
      <c r="J383" s="31"/>
      <c r="K383" s="31"/>
      <c r="L383" s="12">
        <v>651.1186235732373</v>
      </c>
      <c r="M383" s="3">
        <v>4958.3072573577119</v>
      </c>
      <c r="N383" s="6">
        <f t="shared" si="14"/>
        <v>5609.4258809309495</v>
      </c>
      <c r="Q383" s="34"/>
      <c r="R383" s="12"/>
      <c r="S383" s="12"/>
      <c r="T383" s="12"/>
      <c r="U383" s="12"/>
      <c r="V383" s="12"/>
      <c r="W383" s="12"/>
      <c r="Z383" s="4"/>
      <c r="AB383" s="55"/>
      <c r="AC383" s="55"/>
      <c r="AD383" s="55"/>
      <c r="AE383" s="1"/>
      <c r="AF383" s="1"/>
      <c r="AG383" s="1"/>
      <c r="AH383" s="1"/>
      <c r="AI383" s="29" t="str">
        <f t="shared" si="10"/>
        <v/>
      </c>
      <c r="AJ383" s="1"/>
      <c r="AK383" s="1"/>
      <c r="AS383" s="56"/>
      <c r="AT383" s="56"/>
      <c r="AU383" s="56"/>
      <c r="AV383" s="56"/>
      <c r="AW383" s="56"/>
      <c r="AX383" s="56"/>
      <c r="BA383" s="1" t="s">
        <v>24</v>
      </c>
    </row>
    <row r="384" spans="1:53" ht="15">
      <c r="A384" t="s">
        <v>4</v>
      </c>
      <c r="B384" s="16">
        <v>33831</v>
      </c>
      <c r="C384" s="17">
        <v>19.168102700071348</v>
      </c>
      <c r="D384" s="20"/>
      <c r="E384" s="30">
        <v>275</v>
      </c>
      <c r="H384" s="31"/>
      <c r="I384" s="12"/>
      <c r="J384" s="31"/>
      <c r="K384" s="31"/>
      <c r="L384" s="12">
        <v>728.25628536761269</v>
      </c>
      <c r="M384" s="3">
        <v>5613.12978844792</v>
      </c>
      <c r="N384" s="6">
        <f t="shared" si="14"/>
        <v>6341.3860738155327</v>
      </c>
      <c r="Q384" s="34">
        <v>349.35</v>
      </c>
      <c r="R384" s="12"/>
      <c r="S384" s="12"/>
      <c r="T384" s="12"/>
      <c r="U384" s="12"/>
      <c r="V384" s="12"/>
      <c r="W384" s="12"/>
      <c r="Z384" s="4"/>
      <c r="AB384" s="55"/>
      <c r="AC384" s="55"/>
      <c r="AD384" s="55"/>
      <c r="AE384" s="1"/>
      <c r="AF384" s="1"/>
      <c r="AG384" s="1"/>
      <c r="AH384" s="1"/>
      <c r="AI384" s="29" t="str">
        <f t="shared" si="10"/>
        <v/>
      </c>
      <c r="AJ384" s="1"/>
      <c r="AK384" s="1"/>
      <c r="AS384" s="56"/>
      <c r="AT384" s="56"/>
      <c r="AU384" s="56"/>
      <c r="AV384" s="56"/>
      <c r="AW384" s="56"/>
      <c r="AX384" s="56"/>
      <c r="BA384" s="1" t="s">
        <v>24</v>
      </c>
    </row>
    <row r="385" spans="1:53" ht="15">
      <c r="A385" t="s">
        <v>4</v>
      </c>
      <c r="B385" s="16">
        <v>34135</v>
      </c>
      <c r="C385" s="17">
        <v>20.000427113843909</v>
      </c>
      <c r="D385" s="20"/>
      <c r="E385" s="30">
        <v>275</v>
      </c>
      <c r="F385" s="3">
        <v>12020</v>
      </c>
      <c r="H385" s="32">
        <v>930.00000000000011</v>
      </c>
      <c r="I385" s="12"/>
      <c r="J385" s="32">
        <v>1889.9999999999998</v>
      </c>
      <c r="K385" s="32"/>
      <c r="L385" s="12">
        <v>810</v>
      </c>
      <c r="M385" s="3">
        <v>8390</v>
      </c>
      <c r="N385" s="6">
        <f t="shared" si="14"/>
        <v>9200</v>
      </c>
      <c r="Q385" s="34">
        <v>275.59999999999997</v>
      </c>
      <c r="R385" s="12"/>
      <c r="S385" s="12"/>
      <c r="T385" s="12"/>
      <c r="U385" s="12"/>
      <c r="V385" s="12"/>
      <c r="W385" s="12"/>
      <c r="Z385" s="4"/>
      <c r="AB385" s="55"/>
      <c r="AC385" s="55"/>
      <c r="AD385" s="55"/>
      <c r="AE385" s="1"/>
      <c r="AF385" s="1"/>
      <c r="AG385" s="1"/>
      <c r="AH385" s="1"/>
      <c r="AI385" s="29" t="str">
        <f t="shared" si="10"/>
        <v/>
      </c>
      <c r="AJ385" s="1"/>
      <c r="AK385" s="1"/>
      <c r="AS385" s="56"/>
      <c r="AT385" s="56"/>
      <c r="AU385" s="56"/>
      <c r="AV385" s="56"/>
      <c r="AW385" s="56"/>
      <c r="AX385" s="56"/>
      <c r="BA385" s="1" t="s">
        <v>24</v>
      </c>
    </row>
    <row r="386" spans="1:53" ht="15">
      <c r="A386" t="s">
        <v>4</v>
      </c>
      <c r="B386" s="16">
        <v>34530</v>
      </c>
      <c r="C386" s="17">
        <v>21.08190126989707</v>
      </c>
      <c r="D386" s="20"/>
      <c r="E386" s="30">
        <v>275</v>
      </c>
      <c r="I386" s="12"/>
      <c r="J386" s="11"/>
      <c r="K386" s="11"/>
      <c r="L386" s="12"/>
      <c r="Q386" s="34"/>
      <c r="R386" s="12"/>
      <c r="S386" s="12"/>
      <c r="T386" s="12"/>
      <c r="U386" s="12"/>
      <c r="V386" s="12"/>
      <c r="W386" s="12"/>
      <c r="Z386" s="4"/>
      <c r="AB386" s="55"/>
      <c r="AC386" s="55"/>
      <c r="AD386" s="55"/>
      <c r="AE386" s="1"/>
      <c r="AF386" s="1"/>
      <c r="AG386" s="1"/>
      <c r="AH386" s="1"/>
      <c r="AI386" s="29" t="str">
        <f t="shared" si="10"/>
        <v/>
      </c>
      <c r="AJ386" s="1"/>
      <c r="AK386" s="1"/>
      <c r="AS386" s="56"/>
      <c r="AT386" s="56"/>
      <c r="AU386" s="56"/>
      <c r="AV386" s="56"/>
      <c r="AW386" s="56"/>
      <c r="AX386" s="56"/>
      <c r="BA386" s="1" t="s">
        <v>24</v>
      </c>
    </row>
    <row r="387" spans="1:53" ht="15">
      <c r="A387" t="s">
        <v>4</v>
      </c>
      <c r="B387" s="16">
        <v>34926</v>
      </c>
      <c r="C387" s="17">
        <v>22.166113335206063</v>
      </c>
      <c r="D387" s="20"/>
      <c r="E387" s="30">
        <v>275</v>
      </c>
      <c r="I387" s="12"/>
      <c r="J387" s="11"/>
      <c r="K387" s="11"/>
      <c r="L387" s="12"/>
      <c r="Q387" s="34"/>
      <c r="R387" s="12"/>
      <c r="S387" s="12"/>
      <c r="T387" s="12"/>
      <c r="U387" s="12"/>
      <c r="V387" s="12"/>
      <c r="W387" s="12"/>
      <c r="Z387" s="4"/>
      <c r="AB387" s="55"/>
      <c r="AC387" s="55"/>
      <c r="AD387" s="55"/>
      <c r="AE387" s="1"/>
      <c r="AF387" s="1"/>
      <c r="AG387" s="1"/>
      <c r="AH387" s="1"/>
      <c r="AI387" s="29" t="str">
        <f t="shared" ref="AI387:AI450" si="15">IF(AH387&gt;0.001,AH387/C387,"")</f>
        <v/>
      </c>
      <c r="AJ387" s="1"/>
      <c r="AK387" s="1"/>
      <c r="AS387" s="56"/>
      <c r="AT387" s="56"/>
      <c r="AU387" s="56"/>
      <c r="AV387" s="56"/>
      <c r="AW387" s="56"/>
      <c r="AX387" s="56"/>
      <c r="BA387" s="1" t="s">
        <v>24</v>
      </c>
    </row>
    <row r="388" spans="1:53" ht="15">
      <c r="A388" t="s">
        <v>4</v>
      </c>
      <c r="B388" s="16">
        <v>35292</v>
      </c>
      <c r="C388" s="17">
        <v>23.168188122840132</v>
      </c>
      <c r="D388" s="20"/>
      <c r="E388" s="30">
        <v>275</v>
      </c>
      <c r="I388" s="12"/>
      <c r="J388" s="11"/>
      <c r="K388" s="11"/>
      <c r="L388" s="12"/>
      <c r="Q388" s="34"/>
      <c r="R388" s="12"/>
      <c r="S388" s="12"/>
      <c r="T388" s="12"/>
      <c r="U388" s="12"/>
      <c r="V388" s="12"/>
      <c r="W388" s="12"/>
      <c r="Z388" s="4"/>
      <c r="AB388" s="12"/>
      <c r="AC388" s="55"/>
      <c r="AD388" s="55"/>
      <c r="AE388" s="1"/>
      <c r="AF388" s="1"/>
      <c r="AG388" s="1"/>
      <c r="AH388" s="1"/>
      <c r="AI388" s="29" t="str">
        <f t="shared" si="15"/>
        <v/>
      </c>
      <c r="AJ388" s="1"/>
      <c r="AK388" s="1"/>
      <c r="AS388" s="56"/>
      <c r="AT388" s="56"/>
      <c r="AU388" s="56"/>
      <c r="AV388" s="56"/>
      <c r="AW388" s="56"/>
      <c r="AX388" s="56"/>
      <c r="BA388" s="1" t="s">
        <v>24</v>
      </c>
    </row>
    <row r="389" spans="1:53" ht="15">
      <c r="A389" t="s">
        <v>4</v>
      </c>
      <c r="B389" s="16">
        <v>35688</v>
      </c>
      <c r="C389" s="17">
        <v>24.252400188149121</v>
      </c>
      <c r="D389" s="20"/>
      <c r="E389" s="30">
        <v>275</v>
      </c>
      <c r="I389" s="12"/>
      <c r="J389" s="11"/>
      <c r="K389" s="11"/>
      <c r="L389" s="12"/>
      <c r="Q389" s="34"/>
      <c r="R389" s="12"/>
      <c r="S389" s="12"/>
      <c r="T389" s="12"/>
      <c r="U389" s="12"/>
      <c r="V389" s="12"/>
      <c r="W389" s="12"/>
      <c r="Z389" s="4"/>
      <c r="AB389" s="12"/>
      <c r="AC389" s="55"/>
      <c r="AD389" s="55"/>
      <c r="AE389" s="1"/>
      <c r="AF389" s="1"/>
      <c r="AG389" s="1"/>
      <c r="AH389" s="1"/>
      <c r="AI389" s="29" t="str">
        <f t="shared" si="15"/>
        <v/>
      </c>
      <c r="AJ389" s="1"/>
      <c r="AK389" s="1"/>
      <c r="AS389" s="56"/>
      <c r="AT389" s="56"/>
      <c r="AU389" s="56"/>
      <c r="AV389" s="56"/>
      <c r="AW389" s="56"/>
      <c r="AX389" s="56"/>
      <c r="BA389" s="1" t="s">
        <v>24</v>
      </c>
    </row>
    <row r="390" spans="1:53" ht="15">
      <c r="A390" t="s">
        <v>4</v>
      </c>
      <c r="B390" s="16">
        <v>36022</v>
      </c>
      <c r="C390" s="17">
        <v>25.166861879596606</v>
      </c>
      <c r="D390" s="20"/>
      <c r="E390" s="30">
        <v>275</v>
      </c>
      <c r="I390" s="12"/>
      <c r="J390" s="11"/>
      <c r="K390" s="11"/>
      <c r="L390" s="12"/>
      <c r="Q390" s="34"/>
      <c r="R390" s="12"/>
      <c r="S390" s="12"/>
      <c r="T390" s="12"/>
      <c r="U390" s="12"/>
      <c r="V390" s="12"/>
      <c r="W390" s="12"/>
      <c r="Z390" s="4"/>
      <c r="AB390" s="12"/>
      <c r="AC390" s="55"/>
      <c r="AD390" s="55"/>
      <c r="AE390" s="1"/>
      <c r="AF390" s="1"/>
      <c r="AG390" s="1"/>
      <c r="AH390" s="1"/>
      <c r="AI390" s="29" t="str">
        <f t="shared" si="15"/>
        <v/>
      </c>
      <c r="AJ390" s="1"/>
      <c r="AK390" s="1"/>
      <c r="AS390" s="56"/>
      <c r="AT390" s="56"/>
      <c r="AU390" s="56"/>
      <c r="AV390" s="56"/>
      <c r="AW390" s="56"/>
      <c r="AX390" s="56"/>
      <c r="BA390" s="1" t="s">
        <v>24</v>
      </c>
    </row>
    <row r="391" spans="1:53" ht="15">
      <c r="A391" t="s">
        <v>4</v>
      </c>
      <c r="B391" s="16">
        <v>36418</v>
      </c>
      <c r="C391" s="17">
        <v>26.251073944905599</v>
      </c>
      <c r="D391" s="20"/>
      <c r="E391" s="30">
        <v>275</v>
      </c>
      <c r="I391" s="12"/>
      <c r="J391" s="11"/>
      <c r="K391" s="11"/>
      <c r="L391" s="12"/>
      <c r="Q391" s="34"/>
      <c r="R391" s="12"/>
      <c r="S391" s="12"/>
      <c r="T391" s="12"/>
      <c r="U391" s="12"/>
      <c r="V391" s="12"/>
      <c r="W391" s="12"/>
      <c r="Z391" s="4"/>
      <c r="AB391" s="12"/>
      <c r="AC391" s="55"/>
      <c r="AD391" s="55"/>
      <c r="AE391" s="1"/>
      <c r="AF391" s="1"/>
      <c r="AG391" s="1"/>
      <c r="AH391" s="1"/>
      <c r="AI391" s="29" t="str">
        <f t="shared" si="15"/>
        <v/>
      </c>
      <c r="AJ391" s="1"/>
      <c r="AK391" s="1"/>
      <c r="AS391" s="56"/>
      <c r="AT391" s="56"/>
      <c r="AU391" s="56"/>
      <c r="AV391" s="56"/>
      <c r="AW391" s="56"/>
      <c r="AX391" s="56"/>
      <c r="BA391" s="1" t="s">
        <v>24</v>
      </c>
    </row>
    <row r="392" spans="1:53" ht="15">
      <c r="A392" t="s">
        <v>4</v>
      </c>
      <c r="B392" s="16">
        <v>36784</v>
      </c>
      <c r="C392" s="17">
        <v>27.253148732539668</v>
      </c>
      <c r="D392" s="20"/>
      <c r="E392" s="30">
        <v>275</v>
      </c>
      <c r="I392" s="12"/>
      <c r="J392" s="11"/>
      <c r="K392" s="11"/>
      <c r="L392" s="12"/>
      <c r="Q392" s="34"/>
      <c r="R392" s="12"/>
      <c r="S392" s="12"/>
      <c r="T392" s="12"/>
      <c r="U392" s="12"/>
      <c r="V392" s="12"/>
      <c r="W392" s="12"/>
      <c r="Z392" s="4"/>
      <c r="AB392" s="12"/>
      <c r="AC392" s="55"/>
      <c r="AD392" s="55"/>
      <c r="AE392" s="1"/>
      <c r="AF392" s="1"/>
      <c r="AG392" s="1"/>
      <c r="AH392" s="1"/>
      <c r="AI392" s="29" t="str">
        <f t="shared" si="15"/>
        <v/>
      </c>
      <c r="AJ392" s="1"/>
      <c r="AK392" s="1"/>
      <c r="AS392" s="56"/>
      <c r="AT392" s="56"/>
      <c r="AU392" s="56"/>
      <c r="AV392" s="56"/>
      <c r="AW392" s="56"/>
      <c r="AX392" s="56"/>
      <c r="BA392" s="1" t="s">
        <v>24</v>
      </c>
    </row>
    <row r="393" spans="1:53" ht="15">
      <c r="A393" t="s">
        <v>5</v>
      </c>
      <c r="B393" s="16">
        <v>30512</v>
      </c>
      <c r="C393" s="17">
        <v>10.080981879968963</v>
      </c>
      <c r="D393" s="20"/>
      <c r="E393" s="30">
        <v>599</v>
      </c>
      <c r="F393" s="32">
        <v>3053.3</v>
      </c>
      <c r="H393" s="32">
        <v>488.69999999999993</v>
      </c>
      <c r="I393" s="12"/>
      <c r="J393" s="32">
        <v>623.70000000000005</v>
      </c>
      <c r="K393" s="32"/>
      <c r="L393" s="12">
        <v>267.5</v>
      </c>
      <c r="M393" s="3">
        <v>1673.4</v>
      </c>
      <c r="N393" s="6">
        <f t="shared" ref="N393:N400" si="16">L393+M393</f>
        <v>1940.9</v>
      </c>
      <c r="Q393" s="34"/>
      <c r="R393" s="12"/>
      <c r="S393" s="12"/>
      <c r="T393" s="12"/>
      <c r="U393" s="12"/>
      <c r="V393" s="12"/>
      <c r="W393" s="12"/>
      <c r="Z393" s="4"/>
      <c r="AB393" s="55"/>
      <c r="AC393" s="55"/>
      <c r="AD393" s="55"/>
      <c r="AE393" s="1"/>
      <c r="AF393" s="1"/>
      <c r="AG393" s="1"/>
      <c r="AH393" s="1"/>
      <c r="AI393" s="29" t="str">
        <f t="shared" si="15"/>
        <v/>
      </c>
      <c r="AJ393" s="1"/>
      <c r="AK393" s="1"/>
      <c r="AS393" s="56"/>
      <c r="AT393" s="56"/>
      <c r="AU393" s="56"/>
      <c r="AV393" s="56"/>
      <c r="AW393" s="56"/>
      <c r="AX393" s="56"/>
      <c r="BA393" s="1" t="s">
        <v>24</v>
      </c>
    </row>
    <row r="394" spans="1:53" ht="15">
      <c r="A394" t="s">
        <v>5</v>
      </c>
      <c r="B394" s="16">
        <v>30878</v>
      </c>
      <c r="C394" s="17">
        <v>11.083056667603032</v>
      </c>
      <c r="D394" s="20"/>
      <c r="E394" s="30">
        <v>599</v>
      </c>
      <c r="F394" s="32">
        <v>5119.8</v>
      </c>
      <c r="H394" s="32">
        <v>789.4</v>
      </c>
      <c r="I394" s="12"/>
      <c r="J394" s="32">
        <v>1321.4</v>
      </c>
      <c r="K394" s="32"/>
      <c r="L394" s="12">
        <v>401</v>
      </c>
      <c r="M394" s="3">
        <v>2608</v>
      </c>
      <c r="N394" s="6">
        <f t="shared" si="16"/>
        <v>3009</v>
      </c>
      <c r="Q394" s="34"/>
      <c r="R394" s="12"/>
      <c r="S394" s="12"/>
      <c r="T394" s="12"/>
      <c r="U394" s="12"/>
      <c r="V394" s="12"/>
      <c r="W394" s="12"/>
      <c r="Z394" s="4"/>
      <c r="AB394" s="55"/>
      <c r="AC394" s="55"/>
      <c r="AD394" s="55"/>
      <c r="AE394" s="1"/>
      <c r="AF394" s="1"/>
      <c r="AG394" s="1"/>
      <c r="AH394" s="1"/>
      <c r="AI394" s="29" t="str">
        <f t="shared" si="15"/>
        <v/>
      </c>
      <c r="AJ394" s="1"/>
      <c r="AK394" s="1"/>
      <c r="AS394" s="56"/>
      <c r="AT394" s="56"/>
      <c r="AU394" s="56"/>
      <c r="AV394" s="56"/>
      <c r="AW394" s="56"/>
      <c r="AX394" s="56"/>
      <c r="BA394" s="1" t="s">
        <v>24</v>
      </c>
    </row>
    <row r="395" spans="1:53" ht="15">
      <c r="A395" t="s">
        <v>5</v>
      </c>
      <c r="B395" s="16">
        <v>31243</v>
      </c>
      <c r="C395" s="17">
        <v>12.082393545981269</v>
      </c>
      <c r="D395" s="20"/>
      <c r="E395" s="30">
        <v>558</v>
      </c>
      <c r="F395" s="32">
        <v>6193.5</v>
      </c>
      <c r="H395" s="32">
        <v>905.59999999999991</v>
      </c>
      <c r="I395" s="12"/>
      <c r="J395" s="32">
        <v>1647.8999999999999</v>
      </c>
      <c r="K395" s="32"/>
      <c r="L395" s="12">
        <v>472.79999999999995</v>
      </c>
      <c r="M395" s="3">
        <v>3166.2</v>
      </c>
      <c r="N395" s="6">
        <f t="shared" si="16"/>
        <v>3639</v>
      </c>
      <c r="Q395" s="34"/>
      <c r="R395" s="12"/>
      <c r="S395" s="12"/>
      <c r="T395" s="12"/>
      <c r="U395" s="12"/>
      <c r="V395" s="12"/>
      <c r="W395" s="12"/>
      <c r="Z395" s="4"/>
      <c r="AB395" s="55"/>
      <c r="AC395" s="55"/>
      <c r="AD395" s="55"/>
      <c r="AE395" s="1"/>
      <c r="AF395" s="1"/>
      <c r="AG395" s="1"/>
      <c r="AH395" s="1"/>
      <c r="AI395" s="29" t="str">
        <f t="shared" si="15"/>
        <v/>
      </c>
      <c r="AJ395" s="1"/>
      <c r="AK395" s="1"/>
      <c r="AS395" s="56"/>
      <c r="AT395" s="56"/>
      <c r="AU395" s="56"/>
      <c r="AV395" s="56"/>
      <c r="AW395" s="56"/>
      <c r="AX395" s="56"/>
      <c r="BA395" s="1" t="s">
        <v>24</v>
      </c>
    </row>
    <row r="396" spans="1:53" ht="15">
      <c r="A396" t="s">
        <v>5</v>
      </c>
      <c r="B396" s="16">
        <v>31608</v>
      </c>
      <c r="C396" s="17">
        <v>13.081730424359506</v>
      </c>
      <c r="D396" s="20"/>
      <c r="E396" s="30">
        <v>542</v>
      </c>
      <c r="F396" s="32">
        <v>7634.9000000000005</v>
      </c>
      <c r="H396" s="32">
        <v>1062.5</v>
      </c>
      <c r="I396" s="12"/>
      <c r="J396" s="32">
        <v>2077.1</v>
      </c>
      <c r="K396" s="32"/>
      <c r="L396" s="12">
        <v>566.09999999999991</v>
      </c>
      <c r="M396" s="3">
        <v>3887.1000000000004</v>
      </c>
      <c r="N396" s="6">
        <f t="shared" si="16"/>
        <v>4453.2000000000007</v>
      </c>
      <c r="Q396" s="34"/>
      <c r="R396" s="12"/>
      <c r="S396" s="12"/>
      <c r="T396" s="12"/>
      <c r="U396" s="12"/>
      <c r="V396" s="12"/>
      <c r="W396" s="12"/>
      <c r="Z396" s="4"/>
      <c r="AB396" s="55"/>
      <c r="AC396" s="55"/>
      <c r="AD396" s="55"/>
      <c r="AE396" s="1"/>
      <c r="AF396" s="1"/>
      <c r="AG396" s="1"/>
      <c r="AH396" s="1"/>
      <c r="AI396" s="29" t="str">
        <f t="shared" si="15"/>
        <v/>
      </c>
      <c r="AJ396" s="1"/>
      <c r="AK396" s="1"/>
      <c r="AS396" s="56"/>
      <c r="AT396" s="56"/>
      <c r="AU396" s="56"/>
      <c r="AV396" s="56"/>
      <c r="AW396" s="56"/>
      <c r="AX396" s="56"/>
      <c r="BA396" s="1" t="s">
        <v>24</v>
      </c>
    </row>
    <row r="397" spans="1:53" ht="15">
      <c r="A397" t="s">
        <v>5</v>
      </c>
      <c r="B397" s="16">
        <v>31973</v>
      </c>
      <c r="C397" s="17">
        <v>14.081067302737743</v>
      </c>
      <c r="D397" s="20"/>
      <c r="E397" s="30">
        <v>534</v>
      </c>
      <c r="F397" s="32">
        <v>9433.5</v>
      </c>
      <c r="H397" s="32">
        <v>1215</v>
      </c>
      <c r="I397" s="12"/>
      <c r="J397" s="32">
        <v>2539</v>
      </c>
      <c r="K397" s="32"/>
      <c r="L397" s="12">
        <v>661.1</v>
      </c>
      <c r="M397" s="3">
        <v>4630.2</v>
      </c>
      <c r="N397" s="6">
        <f t="shared" si="16"/>
        <v>5291.3</v>
      </c>
      <c r="Q397" s="34"/>
      <c r="R397" s="12"/>
      <c r="S397" s="12"/>
      <c r="T397" s="12"/>
      <c r="U397" s="12"/>
      <c r="V397" s="12"/>
      <c r="W397" s="12"/>
      <c r="Z397" s="4"/>
      <c r="AB397" s="55"/>
      <c r="AC397" s="55"/>
      <c r="AD397" s="55"/>
      <c r="AE397" s="1"/>
      <c r="AF397" s="1"/>
      <c r="AG397" s="1"/>
      <c r="AH397" s="1"/>
      <c r="AI397" s="29" t="str">
        <f t="shared" si="15"/>
        <v/>
      </c>
      <c r="AJ397" s="1"/>
      <c r="AK397" s="1"/>
      <c r="AS397" s="56"/>
      <c r="AT397" s="56"/>
      <c r="AU397" s="56"/>
      <c r="AV397" s="56"/>
      <c r="AW397" s="56"/>
      <c r="AX397" s="56"/>
      <c r="BA397" s="1" t="s">
        <v>24</v>
      </c>
    </row>
    <row r="398" spans="1:53" ht="15">
      <c r="A398" t="s">
        <v>5</v>
      </c>
      <c r="B398" s="16">
        <v>33465</v>
      </c>
      <c r="C398" s="17">
        <v>18.166027912437279</v>
      </c>
      <c r="D398" s="20"/>
      <c r="E398" s="30">
        <v>279</v>
      </c>
      <c r="H398" s="31"/>
      <c r="I398" s="12"/>
      <c r="J398" s="31"/>
      <c r="K398" s="31"/>
      <c r="L398" s="12">
        <v>656.57619873893691</v>
      </c>
      <c r="M398" s="3">
        <v>4954.6464651974002</v>
      </c>
      <c r="N398" s="6">
        <f t="shared" si="16"/>
        <v>5611.2226639363371</v>
      </c>
      <c r="Q398" s="34"/>
      <c r="R398" s="12"/>
      <c r="S398" s="12"/>
      <c r="T398" s="12"/>
      <c r="U398" s="12"/>
      <c r="V398" s="12"/>
      <c r="W398" s="12"/>
      <c r="Z398" s="4"/>
      <c r="AB398" s="55"/>
      <c r="AC398" s="55"/>
      <c r="AD398" s="55"/>
      <c r="AE398" s="1"/>
      <c r="AF398" s="1"/>
      <c r="AG398" s="1"/>
      <c r="AH398" s="1"/>
      <c r="AI398" s="29" t="str">
        <f t="shared" si="15"/>
        <v/>
      </c>
      <c r="AJ398" s="1"/>
      <c r="AK398" s="1"/>
      <c r="AS398" s="56"/>
      <c r="AT398" s="56"/>
      <c r="AU398" s="56"/>
      <c r="AV398" s="56"/>
      <c r="AW398" s="56"/>
      <c r="AX398" s="56"/>
      <c r="BA398" s="1" t="s">
        <v>24</v>
      </c>
    </row>
    <row r="399" spans="1:53" ht="15">
      <c r="A399" t="s">
        <v>5</v>
      </c>
      <c r="B399" s="16">
        <v>33831</v>
      </c>
      <c r="C399" s="17">
        <v>19.168102700071348</v>
      </c>
      <c r="D399" s="20"/>
      <c r="E399" s="30">
        <v>279</v>
      </c>
      <c r="H399" s="31"/>
      <c r="I399" s="12"/>
      <c r="J399" s="11"/>
      <c r="K399" s="11"/>
      <c r="L399" s="12">
        <v>735.91221201148528</v>
      </c>
      <c r="M399" s="3">
        <v>5620.2333534752424</v>
      </c>
      <c r="N399" s="6">
        <f t="shared" si="16"/>
        <v>6356.1455654867277</v>
      </c>
      <c r="Q399" s="34"/>
      <c r="R399" s="12"/>
      <c r="S399" s="12"/>
      <c r="T399" s="12"/>
      <c r="U399" s="12"/>
      <c r="V399" s="12"/>
      <c r="W399" s="12"/>
      <c r="Z399" s="4"/>
      <c r="AB399" s="55"/>
      <c r="AC399" s="55"/>
      <c r="AD399" s="55"/>
      <c r="AE399" s="1"/>
      <c r="AF399" s="1"/>
      <c r="AG399" s="1"/>
      <c r="AH399" s="1"/>
      <c r="AI399" s="29" t="str">
        <f t="shared" si="15"/>
        <v/>
      </c>
      <c r="AJ399" s="1"/>
      <c r="AK399" s="1"/>
      <c r="AS399" s="56"/>
      <c r="AT399" s="56"/>
      <c r="AU399" s="56"/>
      <c r="AV399" s="56"/>
      <c r="AW399" s="56"/>
      <c r="AX399" s="56"/>
      <c r="BA399" s="1" t="s">
        <v>24</v>
      </c>
    </row>
    <row r="400" spans="1:53" ht="15">
      <c r="A400" t="s">
        <v>5</v>
      </c>
      <c r="B400" s="16">
        <v>34135</v>
      </c>
      <c r="C400" s="17">
        <v>20.000427113843909</v>
      </c>
      <c r="D400" s="20"/>
      <c r="E400" s="30">
        <v>279</v>
      </c>
      <c r="H400" s="31"/>
      <c r="I400" s="12"/>
      <c r="J400" s="11"/>
      <c r="K400" s="11"/>
      <c r="L400" s="12">
        <v>814.23965222103027</v>
      </c>
      <c r="M400" s="3">
        <v>6306.8648244320248</v>
      </c>
      <c r="N400" s="6">
        <f t="shared" si="16"/>
        <v>7121.1044766530549</v>
      </c>
      <c r="Q400" s="34">
        <v>213.91</v>
      </c>
      <c r="R400" s="12"/>
      <c r="S400" s="12"/>
      <c r="T400" s="12"/>
      <c r="U400" s="12"/>
      <c r="V400" s="12"/>
      <c r="W400" s="12"/>
      <c r="Z400" s="4"/>
      <c r="AB400" s="55"/>
      <c r="AC400" s="55"/>
      <c r="AD400" s="55"/>
      <c r="AE400" s="1"/>
      <c r="AF400" s="1"/>
      <c r="AG400" s="1"/>
      <c r="AH400" s="1"/>
      <c r="AI400" s="29" t="str">
        <f t="shared" si="15"/>
        <v/>
      </c>
      <c r="AJ400" s="1"/>
      <c r="AK400" s="1"/>
      <c r="AS400" s="56"/>
      <c r="AT400" s="56"/>
      <c r="AU400" s="56"/>
      <c r="AV400" s="56"/>
      <c r="AW400" s="56"/>
      <c r="AX400" s="56"/>
      <c r="BA400" s="1" t="s">
        <v>24</v>
      </c>
    </row>
    <row r="401" spans="1:53" ht="15">
      <c r="A401" t="s">
        <v>5</v>
      </c>
      <c r="B401" s="16">
        <v>34530</v>
      </c>
      <c r="C401" s="17">
        <v>21.08190126989707</v>
      </c>
      <c r="D401" s="20"/>
      <c r="E401" s="30">
        <v>279</v>
      </c>
      <c r="I401" s="12"/>
      <c r="J401" s="11"/>
      <c r="K401" s="11"/>
      <c r="L401" s="12"/>
      <c r="Q401" s="34"/>
      <c r="R401" s="12"/>
      <c r="S401" s="12"/>
      <c r="T401" s="12"/>
      <c r="U401" s="12"/>
      <c r="V401" s="12"/>
      <c r="W401" s="12"/>
      <c r="Z401" s="4"/>
      <c r="AB401" s="12"/>
      <c r="AC401" s="55"/>
      <c r="AD401" s="55"/>
      <c r="AE401" s="1"/>
      <c r="AF401" s="1"/>
      <c r="AG401" s="1"/>
      <c r="AH401" s="1"/>
      <c r="AI401" s="29" t="str">
        <f t="shared" si="15"/>
        <v/>
      </c>
      <c r="AJ401" s="1"/>
      <c r="AK401" s="1"/>
      <c r="AS401" s="56"/>
      <c r="AT401" s="56"/>
      <c r="AU401" s="56"/>
      <c r="AV401" s="56"/>
      <c r="AW401" s="56"/>
      <c r="AX401" s="56"/>
      <c r="BA401" s="1" t="s">
        <v>24</v>
      </c>
    </row>
    <row r="402" spans="1:53" ht="15">
      <c r="A402" t="s">
        <v>5</v>
      </c>
      <c r="B402" s="16">
        <v>34926</v>
      </c>
      <c r="C402" s="17">
        <v>22.166113335206063</v>
      </c>
      <c r="D402" s="20"/>
      <c r="E402" s="30">
        <v>279</v>
      </c>
      <c r="I402" s="12"/>
      <c r="J402" s="11"/>
      <c r="K402" s="11"/>
      <c r="L402" s="12"/>
      <c r="Q402" s="34"/>
      <c r="R402" s="12"/>
      <c r="S402" s="12"/>
      <c r="T402" s="12"/>
      <c r="U402" s="12"/>
      <c r="V402" s="12"/>
      <c r="W402" s="12"/>
      <c r="Z402" s="4"/>
      <c r="AB402" s="12"/>
      <c r="AC402" s="55"/>
      <c r="AD402" s="55"/>
      <c r="AE402" s="1"/>
      <c r="AF402" s="1"/>
      <c r="AG402" s="1"/>
      <c r="AH402" s="1"/>
      <c r="AI402" s="29" t="str">
        <f t="shared" si="15"/>
        <v/>
      </c>
      <c r="AJ402" s="1"/>
      <c r="AK402" s="1"/>
      <c r="AS402" s="56"/>
      <c r="AT402" s="56"/>
      <c r="AU402" s="56"/>
      <c r="AV402" s="56"/>
      <c r="AW402" s="56"/>
      <c r="AX402" s="56"/>
      <c r="BA402" s="1" t="s">
        <v>24</v>
      </c>
    </row>
    <row r="403" spans="1:53" ht="15">
      <c r="A403" t="s">
        <v>5</v>
      </c>
      <c r="B403" s="16">
        <v>35292</v>
      </c>
      <c r="C403" s="17">
        <v>23.168188122840132</v>
      </c>
      <c r="D403" s="20"/>
      <c r="E403" s="30">
        <v>279</v>
      </c>
      <c r="I403" s="12"/>
      <c r="J403" s="11"/>
      <c r="K403" s="11"/>
      <c r="L403" s="12"/>
      <c r="Q403" s="34"/>
      <c r="R403" s="12"/>
      <c r="S403" s="12"/>
      <c r="T403" s="12"/>
      <c r="U403" s="12"/>
      <c r="V403" s="12"/>
      <c r="W403" s="12"/>
      <c r="Z403" s="4"/>
      <c r="AB403" s="12"/>
      <c r="AC403" s="55"/>
      <c r="AD403" s="55"/>
      <c r="AE403" s="1"/>
      <c r="AF403" s="1"/>
      <c r="AG403" s="1"/>
      <c r="AH403" s="1"/>
      <c r="AI403" s="29" t="str">
        <f t="shared" si="15"/>
        <v/>
      </c>
      <c r="AJ403" s="1"/>
      <c r="AK403" s="1"/>
      <c r="AS403" s="56"/>
      <c r="AT403" s="56"/>
      <c r="AU403" s="56"/>
      <c r="AV403" s="56"/>
      <c r="AW403" s="56"/>
      <c r="AX403" s="56"/>
      <c r="BA403" s="1" t="s">
        <v>24</v>
      </c>
    </row>
    <row r="404" spans="1:53" ht="15">
      <c r="A404" t="s">
        <v>5</v>
      </c>
      <c r="B404" s="16">
        <v>35688</v>
      </c>
      <c r="C404" s="17">
        <v>24.252400188149121</v>
      </c>
      <c r="D404" s="20"/>
      <c r="E404" s="30">
        <v>279</v>
      </c>
      <c r="I404" s="12"/>
      <c r="J404" s="11"/>
      <c r="K404" s="11"/>
      <c r="L404" s="12"/>
      <c r="Q404" s="34"/>
      <c r="R404" s="12"/>
      <c r="S404" s="12"/>
      <c r="T404" s="12"/>
      <c r="U404" s="12"/>
      <c r="V404" s="12"/>
      <c r="W404" s="12"/>
      <c r="Z404" s="4"/>
      <c r="AB404" s="12"/>
      <c r="AC404" s="55"/>
      <c r="AD404" s="55"/>
      <c r="AE404" s="1"/>
      <c r="AF404" s="1"/>
      <c r="AG404" s="1"/>
      <c r="AH404" s="1"/>
      <c r="AI404" s="29" t="str">
        <f t="shared" si="15"/>
        <v/>
      </c>
      <c r="AJ404" s="1"/>
      <c r="AK404" s="1"/>
      <c r="AS404" s="56"/>
      <c r="AT404" s="56"/>
      <c r="AU404" s="56"/>
      <c r="AV404" s="56"/>
      <c r="AW404" s="56"/>
      <c r="AX404" s="56"/>
      <c r="BA404" s="1" t="s">
        <v>24</v>
      </c>
    </row>
    <row r="405" spans="1:53" ht="15">
      <c r="A405" t="s">
        <v>5</v>
      </c>
      <c r="B405" s="16">
        <v>36022</v>
      </c>
      <c r="C405" s="17">
        <v>25.166861879596606</v>
      </c>
      <c r="D405" s="20"/>
      <c r="E405" s="30">
        <v>279</v>
      </c>
      <c r="I405" s="12"/>
      <c r="J405" s="11"/>
      <c r="K405" s="11"/>
      <c r="L405" s="12"/>
      <c r="Q405" s="34"/>
      <c r="R405" s="12"/>
      <c r="S405" s="12"/>
      <c r="T405" s="12"/>
      <c r="U405" s="12"/>
      <c r="V405" s="12"/>
      <c r="W405" s="12"/>
      <c r="Z405" s="4"/>
      <c r="AB405" s="12"/>
      <c r="AC405" s="55"/>
      <c r="AD405" s="55"/>
      <c r="AE405" s="1"/>
      <c r="AF405" s="1"/>
      <c r="AG405" s="1"/>
      <c r="AH405" s="1"/>
      <c r="AI405" s="29" t="str">
        <f t="shared" si="15"/>
        <v/>
      </c>
      <c r="AJ405" s="1"/>
      <c r="AK405" s="1"/>
      <c r="AS405" s="56"/>
      <c r="AT405" s="56"/>
      <c r="AU405" s="56"/>
      <c r="AV405" s="56"/>
      <c r="AW405" s="56"/>
      <c r="AX405" s="56"/>
      <c r="BA405" s="1" t="s">
        <v>24</v>
      </c>
    </row>
    <row r="406" spans="1:53" ht="15">
      <c r="A406" t="s">
        <v>5</v>
      </c>
      <c r="B406" s="16">
        <v>36418</v>
      </c>
      <c r="C406" s="17">
        <v>26.251073944905599</v>
      </c>
      <c r="D406" s="20"/>
      <c r="E406" s="30">
        <v>279</v>
      </c>
      <c r="I406" s="12"/>
      <c r="J406" s="11"/>
      <c r="K406" s="11"/>
      <c r="L406" s="12"/>
      <c r="Q406" s="34"/>
      <c r="R406" s="12"/>
      <c r="S406" s="12"/>
      <c r="T406" s="12"/>
      <c r="U406" s="12"/>
      <c r="V406" s="12"/>
      <c r="W406" s="12"/>
      <c r="Z406" s="4"/>
      <c r="AB406" s="12"/>
      <c r="AC406" s="55"/>
      <c r="AD406" s="55"/>
      <c r="AE406" s="1"/>
      <c r="AF406" s="1"/>
      <c r="AG406" s="1"/>
      <c r="AH406" s="1"/>
      <c r="AI406" s="29" t="str">
        <f t="shared" si="15"/>
        <v/>
      </c>
      <c r="AJ406" s="1"/>
      <c r="AK406" s="1"/>
      <c r="AS406" s="56"/>
      <c r="AT406" s="56"/>
      <c r="AU406" s="56"/>
      <c r="AV406" s="56"/>
      <c r="AW406" s="56"/>
      <c r="AX406" s="56"/>
      <c r="BA406" s="1" t="s">
        <v>24</v>
      </c>
    </row>
    <row r="407" spans="1:53" ht="15">
      <c r="A407" t="s">
        <v>5</v>
      </c>
      <c r="B407" s="16">
        <v>36784</v>
      </c>
      <c r="C407" s="17">
        <v>27.253148732539668</v>
      </c>
      <c r="D407" s="20"/>
      <c r="E407" s="30">
        <v>279</v>
      </c>
      <c r="I407" s="12"/>
      <c r="J407" s="11"/>
      <c r="K407" s="11"/>
      <c r="L407" s="12"/>
      <c r="Q407" s="34"/>
      <c r="R407" s="12"/>
      <c r="S407" s="12"/>
      <c r="T407" s="12"/>
      <c r="U407" s="12"/>
      <c r="V407" s="12"/>
      <c r="W407" s="12"/>
      <c r="Z407" s="4"/>
      <c r="AB407" s="12"/>
      <c r="AC407" s="55"/>
      <c r="AD407" s="55"/>
      <c r="AE407" s="1"/>
      <c r="AF407" s="1"/>
      <c r="AG407" s="1"/>
      <c r="AH407" s="1"/>
      <c r="AI407" s="29" t="str">
        <f t="shared" si="15"/>
        <v/>
      </c>
      <c r="AJ407" s="1"/>
      <c r="AK407" s="1"/>
      <c r="AS407" s="56"/>
      <c r="AT407" s="56"/>
      <c r="AU407" s="56"/>
      <c r="AV407" s="56"/>
      <c r="AW407" s="56"/>
      <c r="AX407" s="56"/>
      <c r="BA407" s="1" t="s">
        <v>24</v>
      </c>
    </row>
    <row r="408" spans="1:53" ht="15">
      <c r="A408" t="s">
        <v>6</v>
      </c>
      <c r="B408" s="16">
        <v>30512</v>
      </c>
      <c r="C408" s="17">
        <v>10.080981879968963</v>
      </c>
      <c r="D408" s="20"/>
      <c r="E408" s="30">
        <v>703</v>
      </c>
      <c r="F408" s="32">
        <v>2896.7</v>
      </c>
      <c r="H408" s="32">
        <v>457.4</v>
      </c>
      <c r="I408" s="12"/>
      <c r="J408" s="32">
        <v>556.4</v>
      </c>
      <c r="K408" s="32"/>
      <c r="L408" s="12">
        <v>262.2</v>
      </c>
      <c r="M408" s="32">
        <v>1620.7999999999997</v>
      </c>
      <c r="N408" s="6">
        <f t="shared" ref="N408:N415" si="17">L408+M408</f>
        <v>1882.9999999999998</v>
      </c>
      <c r="Q408" s="34"/>
      <c r="R408" s="12"/>
      <c r="S408" s="12"/>
      <c r="T408" s="12"/>
      <c r="U408" s="12"/>
      <c r="V408" s="12"/>
      <c r="W408" s="12"/>
      <c r="Z408" s="4"/>
      <c r="AB408" s="55"/>
      <c r="AC408" s="55"/>
      <c r="AD408" s="55"/>
      <c r="AE408" s="1"/>
      <c r="AF408" s="1"/>
      <c r="AG408" s="1"/>
      <c r="AH408" s="1"/>
      <c r="AI408" s="29" t="str">
        <f t="shared" si="15"/>
        <v/>
      </c>
      <c r="AJ408" s="1"/>
      <c r="AK408" s="1"/>
      <c r="AS408" s="56"/>
      <c r="AT408" s="56"/>
      <c r="AU408" s="56"/>
      <c r="AV408" s="56"/>
      <c r="AW408" s="56"/>
      <c r="AX408" s="56"/>
      <c r="BA408" s="1" t="s">
        <v>24</v>
      </c>
    </row>
    <row r="409" spans="1:53" ht="15">
      <c r="A409" t="s">
        <v>6</v>
      </c>
      <c r="B409" s="16">
        <v>30878</v>
      </c>
      <c r="C409" s="17">
        <v>11.083056667603032</v>
      </c>
      <c r="D409" s="20"/>
      <c r="E409" s="30">
        <v>703</v>
      </c>
      <c r="F409" s="32">
        <v>4345.2</v>
      </c>
      <c r="H409" s="32">
        <v>667.9</v>
      </c>
      <c r="I409" s="12"/>
      <c r="J409" s="32">
        <v>935.9</v>
      </c>
      <c r="K409" s="32"/>
      <c r="L409" s="12">
        <v>369.5</v>
      </c>
      <c r="M409" s="32">
        <v>2371.9</v>
      </c>
      <c r="N409" s="6">
        <f t="shared" si="17"/>
        <v>2741.4</v>
      </c>
      <c r="Q409" s="34"/>
      <c r="R409" s="12"/>
      <c r="S409" s="12"/>
      <c r="T409" s="12"/>
      <c r="U409" s="12"/>
      <c r="V409" s="12"/>
      <c r="W409" s="12"/>
      <c r="Z409" s="4"/>
      <c r="AB409" s="55"/>
      <c r="AC409" s="55"/>
      <c r="AD409" s="55"/>
      <c r="AE409" s="1"/>
      <c r="AF409" s="1"/>
      <c r="AG409" s="1"/>
      <c r="AH409" s="1"/>
      <c r="AI409" s="29" t="str">
        <f t="shared" si="15"/>
        <v/>
      </c>
      <c r="AJ409" s="1"/>
      <c r="AK409" s="1"/>
      <c r="AS409" s="56"/>
      <c r="AT409" s="56"/>
      <c r="AU409" s="56"/>
      <c r="AV409" s="56"/>
      <c r="AW409" s="56"/>
      <c r="AX409" s="56"/>
      <c r="BA409" s="1" t="s">
        <v>24</v>
      </c>
    </row>
    <row r="410" spans="1:53" ht="15">
      <c r="A410" t="s">
        <v>6</v>
      </c>
      <c r="B410" s="16">
        <v>31243</v>
      </c>
      <c r="C410" s="17">
        <v>12.082393545981269</v>
      </c>
      <c r="D410" s="20"/>
      <c r="E410" s="30">
        <v>703</v>
      </c>
      <c r="F410" s="32">
        <v>6014.4</v>
      </c>
      <c r="H410" s="32">
        <v>907.90000000000009</v>
      </c>
      <c r="I410" s="12"/>
      <c r="J410" s="32">
        <v>1035.5</v>
      </c>
      <c r="K410" s="32"/>
      <c r="L410" s="12">
        <v>527</v>
      </c>
      <c r="M410" s="32">
        <v>3542.7</v>
      </c>
      <c r="N410" s="6">
        <f t="shared" si="17"/>
        <v>4069.7</v>
      </c>
      <c r="Q410" s="34"/>
      <c r="R410" s="12"/>
      <c r="S410" s="12"/>
      <c r="T410" s="12"/>
      <c r="U410" s="12"/>
      <c r="V410" s="12"/>
      <c r="W410" s="12"/>
      <c r="Z410" s="4"/>
      <c r="AB410" s="55"/>
      <c r="AC410" s="55"/>
      <c r="AD410" s="55"/>
      <c r="AE410" s="1"/>
      <c r="AF410" s="1"/>
      <c r="AG410" s="1"/>
      <c r="AH410" s="1"/>
      <c r="AI410" s="29" t="str">
        <f t="shared" si="15"/>
        <v/>
      </c>
      <c r="AJ410" s="1"/>
      <c r="AK410" s="1"/>
      <c r="AS410" s="56"/>
      <c r="AT410" s="56"/>
      <c r="AU410" s="56"/>
      <c r="AV410" s="56"/>
      <c r="AW410" s="56"/>
      <c r="AX410" s="56"/>
      <c r="BA410" s="1" t="s">
        <v>24</v>
      </c>
    </row>
    <row r="411" spans="1:53" ht="15">
      <c r="A411" t="s">
        <v>6</v>
      </c>
      <c r="B411" s="16">
        <v>31608</v>
      </c>
      <c r="C411" s="17">
        <v>13.081730424359506</v>
      </c>
      <c r="D411" s="20"/>
      <c r="E411" s="30">
        <v>703</v>
      </c>
      <c r="F411" s="32">
        <v>7990.0000000000009</v>
      </c>
      <c r="H411" s="32">
        <v>1098.6000000000001</v>
      </c>
      <c r="I411" s="12"/>
      <c r="J411" s="32">
        <v>1376.1</v>
      </c>
      <c r="K411" s="32"/>
      <c r="L411" s="12">
        <v>686.2</v>
      </c>
      <c r="M411" s="32">
        <v>4781.9000000000005</v>
      </c>
      <c r="N411" s="6">
        <f t="shared" si="17"/>
        <v>5468.1</v>
      </c>
      <c r="Q411" s="34"/>
      <c r="R411" s="12"/>
      <c r="S411" s="12"/>
      <c r="T411" s="12"/>
      <c r="U411" s="12"/>
      <c r="V411" s="12"/>
      <c r="W411" s="12"/>
      <c r="Z411" s="4"/>
      <c r="AB411" s="55"/>
      <c r="AC411" s="55"/>
      <c r="AD411" s="55"/>
      <c r="AE411" s="1"/>
      <c r="AF411" s="1"/>
      <c r="AG411" s="1"/>
      <c r="AH411" s="1"/>
      <c r="AI411" s="29" t="str">
        <f t="shared" si="15"/>
        <v/>
      </c>
      <c r="AJ411" s="1"/>
      <c r="AK411" s="1"/>
      <c r="AS411" s="56"/>
      <c r="AT411" s="56"/>
      <c r="AU411" s="56"/>
      <c r="AV411" s="56"/>
      <c r="AW411" s="56"/>
      <c r="AX411" s="56"/>
      <c r="BA411" s="1" t="s">
        <v>24</v>
      </c>
    </row>
    <row r="412" spans="1:53" ht="15">
      <c r="A412" t="s">
        <v>6</v>
      </c>
      <c r="B412" s="16">
        <v>31973</v>
      </c>
      <c r="C412" s="17">
        <v>14.081067302737743</v>
      </c>
      <c r="D412" s="20"/>
      <c r="E412" s="30">
        <v>693</v>
      </c>
      <c r="F412" s="32">
        <v>10027.9</v>
      </c>
      <c r="H412" s="32">
        <v>1257.1999999999998</v>
      </c>
      <c r="I412" s="12"/>
      <c r="J412" s="32">
        <v>1709.5</v>
      </c>
      <c r="K412" s="32"/>
      <c r="L412" s="12">
        <v>851.9</v>
      </c>
      <c r="M412" s="32">
        <v>6117.4</v>
      </c>
      <c r="N412" s="6">
        <f t="shared" si="17"/>
        <v>6969.2999999999993</v>
      </c>
      <c r="Q412" s="34"/>
      <c r="R412" s="12"/>
      <c r="S412" s="12"/>
      <c r="T412" s="12"/>
      <c r="U412" s="12"/>
      <c r="V412" s="12"/>
      <c r="W412" s="12"/>
      <c r="Z412" s="4"/>
      <c r="AB412" s="55"/>
      <c r="AC412" s="55"/>
      <c r="AD412" s="55"/>
      <c r="AE412" s="1"/>
      <c r="AF412" s="1"/>
      <c r="AG412" s="1"/>
      <c r="AH412" s="1"/>
      <c r="AI412" s="29" t="str">
        <f t="shared" si="15"/>
        <v/>
      </c>
      <c r="AJ412" s="1"/>
      <c r="AK412" s="1"/>
      <c r="AS412" s="56"/>
      <c r="AT412" s="56"/>
      <c r="AU412" s="56"/>
      <c r="AV412" s="56"/>
      <c r="AW412" s="56"/>
      <c r="AX412" s="56"/>
      <c r="BA412" s="1" t="s">
        <v>24</v>
      </c>
    </row>
    <row r="413" spans="1:53" ht="15">
      <c r="A413" t="s">
        <v>6</v>
      </c>
      <c r="B413" s="16">
        <v>33465</v>
      </c>
      <c r="C413" s="17">
        <v>18.166027912437279</v>
      </c>
      <c r="D413" s="20"/>
      <c r="E413" s="30">
        <v>304</v>
      </c>
      <c r="F413" s="31"/>
      <c r="H413" s="31"/>
      <c r="I413" s="12"/>
      <c r="J413" s="31"/>
      <c r="K413" s="31"/>
      <c r="L413" s="12">
        <v>821.82198357893481</v>
      </c>
      <c r="M413" s="31">
        <v>6406.5119425906614</v>
      </c>
      <c r="N413" s="6">
        <f t="shared" si="17"/>
        <v>7228.3339261695965</v>
      </c>
      <c r="Q413" s="34"/>
      <c r="R413" s="12"/>
      <c r="S413" s="12"/>
      <c r="T413" s="12"/>
      <c r="U413" s="12"/>
      <c r="V413" s="12"/>
      <c r="W413" s="12"/>
      <c r="Z413" s="4"/>
      <c r="AB413" s="55"/>
      <c r="AC413" s="55"/>
      <c r="AD413" s="55"/>
      <c r="AE413" s="1"/>
      <c r="AF413" s="1"/>
      <c r="AG413" s="1"/>
      <c r="AH413" s="1"/>
      <c r="AI413" s="29" t="str">
        <f t="shared" si="15"/>
        <v/>
      </c>
      <c r="AJ413" s="1"/>
      <c r="AK413" s="1"/>
      <c r="AS413" s="56"/>
      <c r="AT413" s="56"/>
      <c r="AU413" s="56"/>
      <c r="AV413" s="56"/>
      <c r="AW413" s="56"/>
      <c r="AX413" s="56"/>
      <c r="BA413" s="1" t="s">
        <v>24</v>
      </c>
    </row>
    <row r="414" spans="1:53" ht="15">
      <c r="A414" t="s">
        <v>6</v>
      </c>
      <c r="B414" s="16">
        <v>33831</v>
      </c>
      <c r="C414" s="17">
        <v>19.168102700071348</v>
      </c>
      <c r="D414" s="20"/>
      <c r="E414" s="30">
        <v>304</v>
      </c>
      <c r="F414" s="31"/>
      <c r="H414" s="31"/>
      <c r="I414" s="12"/>
      <c r="J414" s="31"/>
      <c r="K414" s="31"/>
      <c r="L414" s="12">
        <v>919.02721091558772</v>
      </c>
      <c r="M414" s="31">
        <v>7242.517160648953</v>
      </c>
      <c r="N414" s="6">
        <f t="shared" si="17"/>
        <v>8161.5443715645406</v>
      </c>
      <c r="Q414" s="34">
        <v>394.48</v>
      </c>
      <c r="R414" s="12"/>
      <c r="S414" s="12"/>
      <c r="T414" s="12"/>
      <c r="U414" s="12"/>
      <c r="V414" s="12"/>
      <c r="W414" s="12"/>
      <c r="Z414" s="4"/>
      <c r="AB414" s="55"/>
      <c r="AC414" s="55"/>
      <c r="AD414" s="55"/>
      <c r="AE414" s="1"/>
      <c r="AF414" s="1"/>
      <c r="AG414" s="1"/>
      <c r="AH414" s="1"/>
      <c r="AI414" s="29" t="str">
        <f t="shared" si="15"/>
        <v/>
      </c>
      <c r="AJ414" s="1"/>
      <c r="AK414" s="1"/>
      <c r="AS414" s="56"/>
      <c r="AT414" s="56"/>
      <c r="AU414" s="56"/>
      <c r="AV414" s="56"/>
      <c r="AW414" s="56"/>
      <c r="AX414" s="56"/>
      <c r="BA414" s="1" t="s">
        <v>24</v>
      </c>
    </row>
    <row r="415" spans="1:53" ht="15">
      <c r="A415" t="s">
        <v>6</v>
      </c>
      <c r="B415" s="16">
        <v>34135</v>
      </c>
      <c r="C415" s="17">
        <v>20.000427113843909</v>
      </c>
      <c r="D415" s="20"/>
      <c r="E415" s="30">
        <v>304</v>
      </c>
      <c r="F415" s="32">
        <v>14319.999999999998</v>
      </c>
      <c r="H415" s="32">
        <v>780</v>
      </c>
      <c r="I415" s="12"/>
      <c r="J415" s="32">
        <v>1800</v>
      </c>
      <c r="K415" s="32"/>
      <c r="L415" s="12">
        <v>1040</v>
      </c>
      <c r="M415" s="32">
        <v>10700</v>
      </c>
      <c r="N415" s="6">
        <f t="shared" si="17"/>
        <v>11740</v>
      </c>
      <c r="Q415" s="34">
        <v>354.96999999999997</v>
      </c>
      <c r="R415" s="12"/>
      <c r="S415" s="12"/>
      <c r="T415" s="12"/>
      <c r="U415" s="12"/>
      <c r="V415" s="12"/>
      <c r="W415" s="12"/>
      <c r="Z415" s="4"/>
      <c r="AB415" s="55"/>
      <c r="AC415" s="55"/>
      <c r="AD415" s="55"/>
      <c r="AE415" s="1"/>
      <c r="AF415" s="1"/>
      <c r="AG415" s="1"/>
      <c r="AH415" s="1"/>
      <c r="AI415" s="29" t="str">
        <f t="shared" si="15"/>
        <v/>
      </c>
      <c r="AJ415" s="1"/>
      <c r="AK415" s="1"/>
      <c r="AS415" s="56"/>
      <c r="AT415" s="56"/>
      <c r="AU415" s="56"/>
      <c r="AV415" s="56"/>
      <c r="AW415" s="56"/>
      <c r="AX415" s="56"/>
      <c r="BA415" s="1" t="s">
        <v>24</v>
      </c>
    </row>
    <row r="416" spans="1:53" ht="15">
      <c r="A416" t="s">
        <v>6</v>
      </c>
      <c r="B416" s="16">
        <v>34530</v>
      </c>
      <c r="C416" s="17">
        <v>21.08190126989707</v>
      </c>
      <c r="D416" s="20"/>
      <c r="E416" s="30">
        <v>304</v>
      </c>
      <c r="I416" s="12"/>
      <c r="J416" s="11"/>
      <c r="K416" s="11"/>
      <c r="L416" s="12"/>
      <c r="Q416" s="34"/>
      <c r="R416" s="12"/>
      <c r="S416" s="12"/>
      <c r="T416" s="12"/>
      <c r="U416" s="12"/>
      <c r="V416" s="12"/>
      <c r="W416" s="12"/>
      <c r="Z416" s="4"/>
      <c r="AB416" s="12"/>
      <c r="AC416" s="55"/>
      <c r="AD416" s="55"/>
      <c r="AE416" s="1"/>
      <c r="AF416" s="1"/>
      <c r="AG416" s="1"/>
      <c r="AH416" s="1"/>
      <c r="AI416" s="29" t="str">
        <f t="shared" si="15"/>
        <v/>
      </c>
      <c r="AJ416" s="1"/>
      <c r="AK416" s="1"/>
      <c r="AS416" s="56"/>
      <c r="AT416" s="56"/>
      <c r="AU416" s="56"/>
      <c r="AV416" s="56"/>
      <c r="AW416" s="56"/>
      <c r="AX416" s="56"/>
      <c r="BA416" s="1" t="s">
        <v>24</v>
      </c>
    </row>
    <row r="417" spans="1:53" ht="15">
      <c r="A417" t="s">
        <v>6</v>
      </c>
      <c r="B417" s="16">
        <v>34926</v>
      </c>
      <c r="C417" s="17">
        <v>22.166113335206063</v>
      </c>
      <c r="D417" s="20"/>
      <c r="E417" s="30">
        <v>304</v>
      </c>
      <c r="I417" s="12"/>
      <c r="J417" s="11"/>
      <c r="K417" s="11"/>
      <c r="L417" s="12"/>
      <c r="Q417" s="34"/>
      <c r="R417" s="12"/>
      <c r="S417" s="12"/>
      <c r="T417" s="12"/>
      <c r="U417" s="12"/>
      <c r="V417" s="12"/>
      <c r="W417" s="12"/>
      <c r="Z417" s="4"/>
      <c r="AB417" s="12"/>
      <c r="AC417" s="55"/>
      <c r="AD417" s="55"/>
      <c r="AE417" s="1"/>
      <c r="AF417" s="1"/>
      <c r="AG417" s="1"/>
      <c r="AH417" s="1"/>
      <c r="AI417" s="29" t="str">
        <f t="shared" si="15"/>
        <v/>
      </c>
      <c r="AJ417" s="1"/>
      <c r="AK417" s="1"/>
      <c r="AS417" s="56"/>
      <c r="AT417" s="56"/>
      <c r="AU417" s="56"/>
      <c r="AV417" s="56"/>
      <c r="AW417" s="56"/>
      <c r="AX417" s="56"/>
      <c r="BA417" s="1" t="s">
        <v>24</v>
      </c>
    </row>
    <row r="418" spans="1:53" ht="15">
      <c r="A418" t="s">
        <v>6</v>
      </c>
      <c r="B418" s="16">
        <v>35292</v>
      </c>
      <c r="C418" s="17">
        <v>23.168188122840132</v>
      </c>
      <c r="D418" s="20"/>
      <c r="E418" s="30">
        <v>304</v>
      </c>
      <c r="I418" s="12"/>
      <c r="J418" s="11"/>
      <c r="K418" s="11"/>
      <c r="L418" s="12"/>
      <c r="Q418" s="34"/>
      <c r="R418" s="12"/>
      <c r="S418" s="12"/>
      <c r="T418" s="12"/>
      <c r="U418" s="12"/>
      <c r="V418" s="12"/>
      <c r="W418" s="12"/>
      <c r="Z418" s="4"/>
      <c r="AB418" s="12"/>
      <c r="AC418" s="55"/>
      <c r="AD418" s="55"/>
      <c r="AE418" s="1"/>
      <c r="AF418" s="1"/>
      <c r="AG418" s="1"/>
      <c r="AH418" s="1"/>
      <c r="AI418" s="29" t="str">
        <f t="shared" si="15"/>
        <v/>
      </c>
      <c r="AJ418" s="1"/>
      <c r="AK418" s="1"/>
      <c r="AS418" s="56"/>
      <c r="AT418" s="56"/>
      <c r="AU418" s="56"/>
      <c r="AV418" s="56"/>
      <c r="AW418" s="56"/>
      <c r="AX418" s="56"/>
      <c r="BA418" s="1" t="s">
        <v>24</v>
      </c>
    </row>
    <row r="419" spans="1:53" ht="15">
      <c r="A419" t="s">
        <v>6</v>
      </c>
      <c r="B419" s="16">
        <v>35688</v>
      </c>
      <c r="C419" s="17">
        <v>24.252400188149121</v>
      </c>
      <c r="D419" s="20"/>
      <c r="E419" s="30">
        <v>304</v>
      </c>
      <c r="I419" s="12"/>
      <c r="J419" s="11"/>
      <c r="K419" s="11"/>
      <c r="L419" s="12"/>
      <c r="Q419" s="34"/>
      <c r="R419" s="12"/>
      <c r="S419" s="12"/>
      <c r="T419" s="12"/>
      <c r="U419" s="12"/>
      <c r="V419" s="12"/>
      <c r="W419" s="12"/>
      <c r="Z419" s="4"/>
      <c r="AB419" s="12"/>
      <c r="AC419" s="55"/>
      <c r="AD419" s="55"/>
      <c r="AE419" s="1"/>
      <c r="AF419" s="1"/>
      <c r="AG419" s="1"/>
      <c r="AH419" s="1"/>
      <c r="AI419" s="29" t="str">
        <f t="shared" si="15"/>
        <v/>
      </c>
      <c r="AJ419" s="1"/>
      <c r="AK419" s="1"/>
      <c r="AS419" s="56"/>
      <c r="AT419" s="56"/>
      <c r="AU419" s="56"/>
      <c r="AV419" s="56"/>
      <c r="AW419" s="56"/>
      <c r="AX419" s="56"/>
      <c r="BA419" s="1" t="s">
        <v>24</v>
      </c>
    </row>
    <row r="420" spans="1:53" ht="15">
      <c r="A420" t="s">
        <v>6</v>
      </c>
      <c r="B420" s="16">
        <v>36022</v>
      </c>
      <c r="C420" s="17">
        <v>25.166861879596606</v>
      </c>
      <c r="D420" s="20"/>
      <c r="E420" s="30">
        <v>304</v>
      </c>
      <c r="I420" s="12"/>
      <c r="J420" s="11"/>
      <c r="K420" s="11"/>
      <c r="L420" s="12"/>
      <c r="Q420" s="34"/>
      <c r="R420" s="12"/>
      <c r="S420" s="12"/>
      <c r="T420" s="12"/>
      <c r="U420" s="12"/>
      <c r="V420" s="12"/>
      <c r="W420" s="12"/>
      <c r="Z420" s="4"/>
      <c r="AB420" s="12"/>
      <c r="AC420" s="55"/>
      <c r="AD420" s="55"/>
      <c r="AE420" s="1"/>
      <c r="AF420" s="1"/>
      <c r="AG420" s="1"/>
      <c r="AH420" s="1"/>
      <c r="AI420" s="29" t="str">
        <f t="shared" si="15"/>
        <v/>
      </c>
      <c r="AJ420" s="1"/>
      <c r="AK420" s="1"/>
      <c r="AS420" s="56"/>
      <c r="AT420" s="56"/>
      <c r="AU420" s="56"/>
      <c r="AV420" s="56"/>
      <c r="AW420" s="56"/>
      <c r="AX420" s="56"/>
      <c r="BA420" s="1" t="s">
        <v>24</v>
      </c>
    </row>
    <row r="421" spans="1:53" ht="15">
      <c r="A421" t="s">
        <v>6</v>
      </c>
      <c r="B421" s="16">
        <v>36418</v>
      </c>
      <c r="C421" s="17">
        <v>26.251073944905599</v>
      </c>
      <c r="D421" s="20"/>
      <c r="E421" s="30">
        <v>304</v>
      </c>
      <c r="I421" s="12"/>
      <c r="J421" s="11"/>
      <c r="K421" s="11"/>
      <c r="L421" s="12"/>
      <c r="Q421" s="34"/>
      <c r="R421" s="12"/>
      <c r="S421" s="12"/>
      <c r="T421" s="12"/>
      <c r="U421" s="12"/>
      <c r="V421" s="12"/>
      <c r="W421" s="12"/>
      <c r="Z421" s="4"/>
      <c r="AB421" s="12"/>
      <c r="AC421" s="55"/>
      <c r="AD421" s="55"/>
      <c r="AE421" s="1"/>
      <c r="AF421" s="1"/>
      <c r="AG421" s="1"/>
      <c r="AH421" s="1"/>
      <c r="AI421" s="29" t="str">
        <f t="shared" si="15"/>
        <v/>
      </c>
      <c r="AJ421" s="1"/>
      <c r="AK421" s="1"/>
      <c r="AS421" s="56"/>
      <c r="AT421" s="56"/>
      <c r="AU421" s="56"/>
      <c r="AV421" s="56"/>
      <c r="AW421" s="56"/>
      <c r="AX421" s="56"/>
      <c r="BA421" s="1" t="s">
        <v>24</v>
      </c>
    </row>
    <row r="422" spans="1:53" ht="15">
      <c r="A422" t="s">
        <v>6</v>
      </c>
      <c r="B422" s="16">
        <v>36784</v>
      </c>
      <c r="C422" s="17">
        <v>27.253148732539668</v>
      </c>
      <c r="D422" s="20"/>
      <c r="E422" s="30">
        <v>304</v>
      </c>
      <c r="I422" s="12"/>
      <c r="J422" s="11"/>
      <c r="K422" s="11"/>
      <c r="L422" s="12"/>
      <c r="Q422" s="34"/>
      <c r="R422" s="12"/>
      <c r="S422" s="12"/>
      <c r="T422" s="12"/>
      <c r="U422" s="12"/>
      <c r="V422" s="12"/>
      <c r="W422" s="12"/>
      <c r="Z422" s="4"/>
      <c r="AB422" s="12"/>
      <c r="AC422" s="55"/>
      <c r="AD422" s="55"/>
      <c r="AE422" s="1"/>
      <c r="AF422" s="1"/>
      <c r="AG422" s="1"/>
      <c r="AH422" s="1"/>
      <c r="AI422" s="29" t="str">
        <f t="shared" si="15"/>
        <v/>
      </c>
      <c r="AJ422" s="1"/>
      <c r="AK422" s="1"/>
      <c r="AS422" s="56"/>
      <c r="AT422" s="56"/>
      <c r="AU422" s="56"/>
      <c r="AV422" s="56"/>
      <c r="AW422" s="56"/>
      <c r="AX422" s="56"/>
      <c r="BA422" s="1" t="s">
        <v>24</v>
      </c>
    </row>
    <row r="423" spans="1:53" ht="15">
      <c r="A423" t="s">
        <v>16</v>
      </c>
      <c r="B423" s="16">
        <v>30512</v>
      </c>
      <c r="C423" s="17">
        <v>10.080981879968963</v>
      </c>
      <c r="D423" s="20"/>
      <c r="E423" s="21"/>
      <c r="F423" s="32">
        <v>3264.5000000000005</v>
      </c>
      <c r="H423" s="32">
        <v>504.90000000000003</v>
      </c>
      <c r="I423" s="12"/>
      <c r="J423" s="32">
        <v>627.1</v>
      </c>
      <c r="K423" s="32"/>
      <c r="L423" s="12">
        <v>294.5</v>
      </c>
      <c r="M423" s="3">
        <v>1838</v>
      </c>
      <c r="N423" s="6">
        <f t="shared" ref="N423:N430" si="18">L423+M423</f>
        <v>2132.5</v>
      </c>
      <c r="Q423" s="34"/>
      <c r="R423" s="12"/>
      <c r="S423" s="12"/>
      <c r="T423" s="12"/>
      <c r="U423" s="12"/>
      <c r="V423" s="12"/>
      <c r="W423" s="12"/>
      <c r="Z423" s="4"/>
      <c r="AB423" s="55"/>
      <c r="AC423" s="55"/>
      <c r="AD423" s="55"/>
      <c r="AE423" s="1"/>
      <c r="AF423" s="1"/>
      <c r="AG423" s="1"/>
      <c r="AH423" s="1"/>
      <c r="AI423" s="29" t="str">
        <f t="shared" si="15"/>
        <v/>
      </c>
      <c r="AJ423" s="1"/>
      <c r="AK423" s="1"/>
      <c r="AS423" s="56"/>
      <c r="AT423" s="56"/>
      <c r="AU423" s="56"/>
      <c r="AV423" s="56"/>
      <c r="AW423" s="56"/>
      <c r="AX423" s="56"/>
      <c r="BA423" s="1" t="s">
        <v>24</v>
      </c>
    </row>
    <row r="424" spans="1:53" ht="15">
      <c r="A424" t="s">
        <v>16</v>
      </c>
      <c r="B424" s="16">
        <v>30878</v>
      </c>
      <c r="C424" s="17">
        <v>11.083056667603032</v>
      </c>
      <c r="D424" s="20"/>
      <c r="E424" s="21"/>
      <c r="F424" s="32">
        <v>5489.9</v>
      </c>
      <c r="H424" s="32">
        <v>808</v>
      </c>
      <c r="I424" s="12"/>
      <c r="J424" s="32">
        <v>1352</v>
      </c>
      <c r="K424" s="32"/>
      <c r="L424" s="12">
        <v>443.79999999999995</v>
      </c>
      <c r="M424" s="3">
        <v>2886.1</v>
      </c>
      <c r="N424" s="6">
        <f t="shared" si="18"/>
        <v>3329.8999999999996</v>
      </c>
      <c r="Q424" s="34"/>
      <c r="R424" s="12"/>
      <c r="S424" s="12"/>
      <c r="T424" s="12"/>
      <c r="U424" s="12"/>
      <c r="V424" s="12"/>
      <c r="W424" s="12"/>
      <c r="Z424" s="4"/>
      <c r="AB424" s="55"/>
      <c r="AC424" s="55"/>
      <c r="AD424" s="55"/>
      <c r="AE424" s="1"/>
      <c r="AF424" s="1"/>
      <c r="AG424" s="1"/>
      <c r="AH424" s="1"/>
      <c r="AI424" s="29" t="str">
        <f t="shared" si="15"/>
        <v/>
      </c>
      <c r="AJ424" s="1"/>
      <c r="AK424" s="1"/>
      <c r="AS424" s="56"/>
      <c r="AT424" s="56"/>
      <c r="AU424" s="56"/>
      <c r="AV424" s="56"/>
      <c r="AW424" s="56"/>
      <c r="AX424" s="56"/>
      <c r="BA424" s="1" t="s">
        <v>24</v>
      </c>
    </row>
    <row r="425" spans="1:53" ht="15">
      <c r="A425" t="s">
        <v>16</v>
      </c>
      <c r="B425" s="16">
        <v>31243</v>
      </c>
      <c r="C425" s="17">
        <v>12.082393545981269</v>
      </c>
      <c r="D425" s="20"/>
      <c r="E425" s="21"/>
      <c r="F425" s="32">
        <v>7805.7</v>
      </c>
      <c r="H425" s="32">
        <v>1132.4000000000001</v>
      </c>
      <c r="I425" s="12"/>
      <c r="J425" s="32">
        <v>1756.8000000000002</v>
      </c>
      <c r="K425" s="32"/>
      <c r="L425" s="12">
        <v>633.79999999999995</v>
      </c>
      <c r="M425" s="3">
        <v>4281.2</v>
      </c>
      <c r="N425" s="6">
        <f t="shared" si="18"/>
        <v>4915</v>
      </c>
      <c r="Q425" s="34"/>
      <c r="R425" s="12"/>
      <c r="S425" s="12"/>
      <c r="T425" s="12"/>
      <c r="U425" s="12"/>
      <c r="V425" s="12"/>
      <c r="W425" s="12"/>
      <c r="Z425" s="4"/>
      <c r="AB425" s="55"/>
      <c r="AC425" s="55"/>
      <c r="AD425" s="55"/>
      <c r="AE425" s="1"/>
      <c r="AF425" s="1"/>
      <c r="AG425" s="1"/>
      <c r="AH425" s="1"/>
      <c r="AI425" s="29" t="str">
        <f t="shared" si="15"/>
        <v/>
      </c>
      <c r="AJ425" s="1"/>
      <c r="AK425" s="1"/>
      <c r="AS425" s="56"/>
      <c r="AT425" s="56"/>
      <c r="AU425" s="56"/>
      <c r="AV425" s="56"/>
      <c r="AW425" s="56"/>
      <c r="AX425" s="56"/>
      <c r="BA425" s="1" t="s">
        <v>24</v>
      </c>
    </row>
    <row r="426" spans="1:53" ht="15">
      <c r="A426" t="s">
        <v>16</v>
      </c>
      <c r="B426" s="16">
        <v>31608</v>
      </c>
      <c r="C426" s="17">
        <v>13.081730424359506</v>
      </c>
      <c r="D426" s="20"/>
      <c r="E426" s="21"/>
      <c r="F426" s="32">
        <v>10481.5</v>
      </c>
      <c r="H426" s="32">
        <v>1327.1000000000001</v>
      </c>
      <c r="I426" s="12"/>
      <c r="J426" s="32">
        <v>2296.9</v>
      </c>
      <c r="K426" s="32"/>
      <c r="L426" s="12">
        <v>845.7</v>
      </c>
      <c r="M426" s="3">
        <v>5927.8</v>
      </c>
      <c r="N426" s="6">
        <f t="shared" si="18"/>
        <v>6773.5</v>
      </c>
      <c r="Q426" s="34"/>
      <c r="R426" s="12"/>
      <c r="S426" s="12"/>
      <c r="T426" s="12"/>
      <c r="U426" s="12"/>
      <c r="V426" s="12"/>
      <c r="W426" s="12"/>
      <c r="Z426" s="4"/>
      <c r="AB426" s="55"/>
      <c r="AC426" s="55"/>
      <c r="AD426" s="55"/>
      <c r="AE426" s="1"/>
      <c r="AF426" s="1"/>
      <c r="AG426" s="1"/>
      <c r="AH426" s="1"/>
      <c r="AI426" s="29" t="str">
        <f t="shared" si="15"/>
        <v/>
      </c>
      <c r="AJ426" s="1"/>
      <c r="AK426" s="1"/>
      <c r="AS426" s="56"/>
      <c r="AT426" s="56"/>
      <c r="AU426" s="56"/>
      <c r="AV426" s="56"/>
      <c r="AW426" s="56"/>
      <c r="AX426" s="56"/>
      <c r="BA426" s="1" t="s">
        <v>24</v>
      </c>
    </row>
    <row r="427" spans="1:53" ht="15">
      <c r="A427" t="s">
        <v>16</v>
      </c>
      <c r="B427" s="16">
        <v>31973</v>
      </c>
      <c r="C427" s="17">
        <v>14.081067302737743</v>
      </c>
      <c r="D427" s="20"/>
      <c r="E427" s="21"/>
      <c r="F427" s="32">
        <v>13110.1</v>
      </c>
      <c r="H427" s="32">
        <v>1403.2</v>
      </c>
      <c r="I427" s="12"/>
      <c r="J427" s="32">
        <v>2609.5</v>
      </c>
      <c r="K427" s="32"/>
      <c r="L427" s="12">
        <v>1063</v>
      </c>
      <c r="M427" s="3">
        <v>7683.3</v>
      </c>
      <c r="N427" s="6">
        <f t="shared" si="18"/>
        <v>8746.2999999999993</v>
      </c>
      <c r="Q427" s="34"/>
      <c r="R427" s="12"/>
      <c r="S427" s="12"/>
      <c r="T427" s="12"/>
      <c r="U427" s="12"/>
      <c r="V427" s="12"/>
      <c r="W427" s="12"/>
      <c r="Z427" s="4"/>
      <c r="AB427" s="55"/>
      <c r="AC427" s="55"/>
      <c r="AD427" s="55"/>
      <c r="AE427" s="1"/>
      <c r="AF427" s="1"/>
      <c r="AG427" s="1"/>
      <c r="AH427" s="1"/>
      <c r="AI427" s="29" t="str">
        <f t="shared" si="15"/>
        <v/>
      </c>
      <c r="AJ427" s="1"/>
      <c r="AK427" s="1"/>
      <c r="AS427" s="56"/>
      <c r="AT427" s="56"/>
      <c r="AU427" s="56"/>
      <c r="AV427" s="56"/>
      <c r="AW427" s="56"/>
      <c r="AX427" s="56"/>
      <c r="BA427" s="1" t="s">
        <v>24</v>
      </c>
    </row>
    <row r="428" spans="1:53" ht="15">
      <c r="A428" t="s">
        <v>16</v>
      </c>
      <c r="B428" s="16">
        <v>33465</v>
      </c>
      <c r="C428" s="17">
        <v>18.166027912437279</v>
      </c>
      <c r="D428" s="20"/>
      <c r="E428" s="21"/>
      <c r="F428" s="31"/>
      <c r="H428" s="31"/>
      <c r="I428" s="12"/>
      <c r="J428" s="31"/>
      <c r="K428" s="31"/>
      <c r="L428" s="12">
        <v>1157.8477248632928</v>
      </c>
      <c r="M428" s="3">
        <v>9066.3475200437024</v>
      </c>
      <c r="N428" s="6">
        <f t="shared" si="18"/>
        <v>10224.195244906996</v>
      </c>
      <c r="Q428" s="34"/>
      <c r="R428" s="12"/>
      <c r="S428" s="12"/>
      <c r="T428" s="12"/>
      <c r="U428" s="12"/>
      <c r="V428" s="12"/>
      <c r="W428" s="12"/>
      <c r="Z428" s="4"/>
      <c r="AB428" s="55"/>
      <c r="AC428" s="55"/>
      <c r="AD428" s="55"/>
      <c r="AE428" s="1"/>
      <c r="AF428" s="1"/>
      <c r="AG428" s="1"/>
      <c r="AH428" s="1"/>
      <c r="AI428" s="29" t="str">
        <f t="shared" si="15"/>
        <v/>
      </c>
      <c r="AJ428" s="1"/>
      <c r="AK428" s="1"/>
      <c r="AS428" s="56"/>
      <c r="AT428" s="56"/>
      <c r="AU428" s="56"/>
      <c r="AV428" s="56"/>
      <c r="AW428" s="56"/>
      <c r="AX428" s="56"/>
      <c r="BA428" s="1" t="s">
        <v>24</v>
      </c>
    </row>
    <row r="429" spans="1:53" ht="15">
      <c r="A429" t="s">
        <v>16</v>
      </c>
      <c r="B429" s="16">
        <v>33831</v>
      </c>
      <c r="C429" s="17">
        <v>19.168102700071348</v>
      </c>
      <c r="D429" s="20"/>
      <c r="E429" s="21"/>
      <c r="H429" s="31"/>
      <c r="I429" s="12"/>
      <c r="J429" s="31"/>
      <c r="K429" s="31"/>
      <c r="L429" s="12">
        <v>1285.0726014642685</v>
      </c>
      <c r="M429" s="3">
        <v>10185.015277836776</v>
      </c>
      <c r="N429" s="6">
        <f t="shared" si="18"/>
        <v>11470.087879301043</v>
      </c>
      <c r="Q429" s="34"/>
      <c r="R429" s="12"/>
      <c r="S429" s="12"/>
      <c r="T429" s="12"/>
      <c r="U429" s="12"/>
      <c r="V429" s="12"/>
      <c r="W429" s="12"/>
      <c r="Z429" s="4"/>
      <c r="AB429" s="55"/>
      <c r="AC429" s="55"/>
      <c r="AD429" s="55"/>
      <c r="AE429" s="1"/>
      <c r="AF429" s="1"/>
      <c r="AG429" s="1"/>
      <c r="AH429" s="1"/>
      <c r="AI429" s="29" t="str">
        <f t="shared" si="15"/>
        <v/>
      </c>
      <c r="AJ429" s="1"/>
      <c r="AK429" s="1"/>
      <c r="AS429" s="56"/>
      <c r="AT429" s="56"/>
      <c r="AU429" s="56"/>
      <c r="AV429" s="56"/>
      <c r="AW429" s="56"/>
      <c r="AX429" s="56"/>
      <c r="BA429" s="1" t="s">
        <v>24</v>
      </c>
    </row>
    <row r="430" spans="1:53" ht="15">
      <c r="A430" t="s">
        <v>16</v>
      </c>
      <c r="B430" s="16">
        <v>34135</v>
      </c>
      <c r="C430" s="17">
        <v>20.000427113843909</v>
      </c>
      <c r="D430" s="20"/>
      <c r="E430" s="21"/>
      <c r="H430" s="32"/>
      <c r="I430" s="12"/>
      <c r="J430" s="11"/>
      <c r="K430" s="11"/>
      <c r="L430" s="12">
        <v>1413.8307679339041</v>
      </c>
      <c r="M430" s="3">
        <v>11348.55769618285</v>
      </c>
      <c r="N430" s="6">
        <f t="shared" si="18"/>
        <v>12762.388464116753</v>
      </c>
      <c r="Q430" s="34">
        <v>234.64999999999998</v>
      </c>
      <c r="R430" s="12"/>
      <c r="S430" s="12"/>
      <c r="T430" s="12"/>
      <c r="U430" s="12"/>
      <c r="V430" s="12"/>
      <c r="W430" s="12"/>
      <c r="Z430" s="4"/>
      <c r="AB430" s="55"/>
      <c r="AC430" s="55"/>
      <c r="AD430" s="55"/>
      <c r="AE430" s="1"/>
      <c r="AF430" s="1"/>
      <c r="AG430" s="1"/>
      <c r="AH430" s="1"/>
      <c r="AI430" s="29" t="str">
        <f t="shared" si="15"/>
        <v/>
      </c>
      <c r="AJ430" s="1"/>
      <c r="AK430" s="1"/>
      <c r="AS430" s="56"/>
      <c r="AT430" s="56"/>
      <c r="AU430" s="56"/>
      <c r="AV430" s="56"/>
      <c r="AW430" s="56"/>
      <c r="AX430" s="56"/>
      <c r="BA430" s="1" t="s">
        <v>24</v>
      </c>
    </row>
    <row r="431" spans="1:53" ht="15">
      <c r="A431" t="s">
        <v>16</v>
      </c>
      <c r="B431" s="16">
        <v>34530</v>
      </c>
      <c r="C431" s="17">
        <v>21.08190126989707</v>
      </c>
      <c r="D431" s="20"/>
      <c r="E431" s="21"/>
      <c r="H431" s="31"/>
      <c r="I431" s="12"/>
      <c r="J431" s="11"/>
      <c r="K431" s="11"/>
      <c r="L431" s="12"/>
      <c r="Q431" s="34"/>
      <c r="R431" s="12"/>
      <c r="S431" s="12"/>
      <c r="T431" s="12"/>
      <c r="U431" s="12"/>
      <c r="V431" s="12"/>
      <c r="W431" s="12"/>
      <c r="Z431" s="4"/>
      <c r="AB431" s="12"/>
      <c r="AC431" s="55"/>
      <c r="AD431" s="55"/>
      <c r="AE431" s="1"/>
      <c r="AF431" s="1"/>
      <c r="AG431" s="1"/>
      <c r="AH431" s="1"/>
      <c r="AI431" s="29" t="str">
        <f t="shared" si="15"/>
        <v/>
      </c>
      <c r="AJ431" s="1"/>
      <c r="AK431" s="1"/>
      <c r="AS431" s="56"/>
      <c r="AT431" s="56"/>
      <c r="AU431" s="56"/>
      <c r="AV431" s="56"/>
      <c r="AW431" s="56"/>
      <c r="AX431" s="56"/>
      <c r="BA431" s="1" t="s">
        <v>24</v>
      </c>
    </row>
    <row r="432" spans="1:53" ht="15">
      <c r="A432" t="s">
        <v>16</v>
      </c>
      <c r="B432" s="16">
        <v>34926</v>
      </c>
      <c r="C432" s="17">
        <v>22.166113335206063</v>
      </c>
      <c r="D432" s="20"/>
      <c r="E432" s="21"/>
      <c r="I432" s="12"/>
      <c r="J432" s="11"/>
      <c r="K432" s="11"/>
      <c r="L432" s="12"/>
      <c r="Q432" s="34"/>
      <c r="R432" s="12"/>
      <c r="S432" s="12"/>
      <c r="T432" s="12"/>
      <c r="U432" s="12"/>
      <c r="V432" s="12"/>
      <c r="W432" s="12"/>
      <c r="Z432" s="4"/>
      <c r="AB432" s="12"/>
      <c r="AC432" s="55"/>
      <c r="AD432" s="55"/>
      <c r="AE432" s="1"/>
      <c r="AF432" s="1"/>
      <c r="AG432" s="1"/>
      <c r="AH432" s="1"/>
      <c r="AI432" s="29" t="str">
        <f t="shared" si="15"/>
        <v/>
      </c>
      <c r="AJ432" s="1"/>
      <c r="AK432" s="1"/>
      <c r="AS432" s="56"/>
      <c r="AT432" s="56"/>
      <c r="AU432" s="56"/>
      <c r="AV432" s="56"/>
      <c r="AW432" s="56"/>
      <c r="AX432" s="56"/>
      <c r="BA432" s="1" t="s">
        <v>24</v>
      </c>
    </row>
    <row r="433" spans="1:53" ht="15">
      <c r="A433" t="s">
        <v>16</v>
      </c>
      <c r="B433" s="16">
        <v>35292</v>
      </c>
      <c r="C433" s="17">
        <v>23.168188122840132</v>
      </c>
      <c r="D433" s="20"/>
      <c r="E433" s="21"/>
      <c r="I433" s="12"/>
      <c r="J433" s="11"/>
      <c r="K433" s="11"/>
      <c r="L433" s="12"/>
      <c r="Q433" s="34"/>
      <c r="R433" s="12"/>
      <c r="S433" s="12"/>
      <c r="T433" s="12"/>
      <c r="U433" s="12"/>
      <c r="V433" s="12"/>
      <c r="W433" s="12"/>
      <c r="Z433" s="4"/>
      <c r="AB433" s="12"/>
      <c r="AC433" s="55"/>
      <c r="AD433" s="55"/>
      <c r="AE433" s="1"/>
      <c r="AF433" s="1"/>
      <c r="AG433" s="1"/>
      <c r="AH433" s="1"/>
      <c r="AI433" s="29" t="str">
        <f t="shared" si="15"/>
        <v/>
      </c>
      <c r="AJ433" s="1"/>
      <c r="AK433" s="1"/>
      <c r="AS433" s="56"/>
      <c r="AT433" s="56"/>
      <c r="AU433" s="56"/>
      <c r="AV433" s="56"/>
      <c r="AW433" s="56"/>
      <c r="AX433" s="56"/>
      <c r="BA433" s="1" t="s">
        <v>24</v>
      </c>
    </row>
    <row r="434" spans="1:53" ht="15">
      <c r="A434" t="s">
        <v>16</v>
      </c>
      <c r="B434" s="16">
        <v>35688</v>
      </c>
      <c r="C434" s="17">
        <v>24.252400188149121</v>
      </c>
      <c r="D434" s="20"/>
      <c r="E434" s="21"/>
      <c r="I434" s="12"/>
      <c r="J434" s="11"/>
      <c r="K434" s="11"/>
      <c r="L434" s="12"/>
      <c r="Q434" s="34"/>
      <c r="R434" s="12"/>
      <c r="S434" s="12"/>
      <c r="T434" s="12"/>
      <c r="U434" s="12"/>
      <c r="V434" s="12"/>
      <c r="W434" s="12"/>
      <c r="Z434" s="4"/>
      <c r="AB434" s="12"/>
      <c r="AC434" s="55"/>
      <c r="AD434" s="55"/>
      <c r="AE434" s="1"/>
      <c r="AF434" s="1"/>
      <c r="AG434" s="1"/>
      <c r="AH434" s="1"/>
      <c r="AI434" s="29" t="str">
        <f t="shared" si="15"/>
        <v/>
      </c>
      <c r="AJ434" s="1"/>
      <c r="AK434" s="1"/>
      <c r="AS434" s="56"/>
      <c r="AT434" s="56"/>
      <c r="AU434" s="56"/>
      <c r="AV434" s="56"/>
      <c r="AW434" s="56"/>
      <c r="AX434" s="56"/>
      <c r="BA434" s="1" t="s">
        <v>24</v>
      </c>
    </row>
    <row r="435" spans="1:53" ht="15">
      <c r="A435" t="s">
        <v>16</v>
      </c>
      <c r="B435" s="16">
        <v>36022</v>
      </c>
      <c r="C435" s="17">
        <v>25.166861879596606</v>
      </c>
      <c r="D435" s="20"/>
      <c r="E435" s="21"/>
      <c r="I435" s="12"/>
      <c r="J435" s="11"/>
      <c r="K435" s="11"/>
      <c r="L435" s="12"/>
      <c r="Q435" s="34"/>
      <c r="R435" s="12"/>
      <c r="S435" s="12"/>
      <c r="T435" s="12"/>
      <c r="U435" s="12"/>
      <c r="V435" s="12"/>
      <c r="W435" s="12"/>
      <c r="Z435" s="4"/>
      <c r="AB435" s="12"/>
      <c r="AC435" s="55"/>
      <c r="AD435" s="55"/>
      <c r="AE435" s="1"/>
      <c r="AF435" s="1"/>
      <c r="AG435" s="1"/>
      <c r="AH435" s="1"/>
      <c r="AI435" s="29" t="str">
        <f t="shared" si="15"/>
        <v/>
      </c>
      <c r="AJ435" s="1"/>
      <c r="AK435" s="1"/>
      <c r="AS435" s="56"/>
      <c r="AT435" s="56"/>
      <c r="AU435" s="56"/>
      <c r="AV435" s="56"/>
      <c r="AW435" s="56"/>
      <c r="AX435" s="56"/>
      <c r="BA435" s="1" t="s">
        <v>24</v>
      </c>
    </row>
    <row r="436" spans="1:53" ht="15">
      <c r="A436" t="s">
        <v>16</v>
      </c>
      <c r="B436" s="16">
        <v>36418</v>
      </c>
      <c r="C436" s="17">
        <v>26.251073944905599</v>
      </c>
      <c r="D436" s="20"/>
      <c r="E436" s="21"/>
      <c r="I436" s="12"/>
      <c r="J436" s="11"/>
      <c r="K436" s="11"/>
      <c r="L436" s="12"/>
      <c r="Q436" s="34"/>
      <c r="R436" s="12"/>
      <c r="S436" s="12"/>
      <c r="T436" s="12"/>
      <c r="U436" s="12"/>
      <c r="V436" s="12"/>
      <c r="W436" s="12"/>
      <c r="Z436" s="4"/>
      <c r="AB436" s="12"/>
      <c r="AC436" s="55"/>
      <c r="AD436" s="55"/>
      <c r="AE436" s="1"/>
      <c r="AF436" s="1"/>
      <c r="AG436" s="1"/>
      <c r="AH436" s="1"/>
      <c r="AI436" s="29" t="str">
        <f t="shared" si="15"/>
        <v/>
      </c>
      <c r="AJ436" s="1"/>
      <c r="AK436" s="1"/>
      <c r="AS436" s="56"/>
      <c r="AT436" s="56"/>
      <c r="AU436" s="56"/>
      <c r="AV436" s="56"/>
      <c r="AW436" s="56"/>
      <c r="AX436" s="56"/>
      <c r="BA436" s="1" t="s">
        <v>24</v>
      </c>
    </row>
    <row r="437" spans="1:53" ht="15">
      <c r="A437" t="s">
        <v>16</v>
      </c>
      <c r="B437" s="16">
        <v>36784</v>
      </c>
      <c r="C437" s="17">
        <v>27.253148732539668</v>
      </c>
      <c r="D437" s="20"/>
      <c r="E437" s="21"/>
      <c r="I437" s="12"/>
      <c r="J437" s="11"/>
      <c r="K437" s="11"/>
      <c r="L437" s="12"/>
      <c r="Q437" s="34"/>
      <c r="R437" s="12"/>
      <c r="S437" s="12"/>
      <c r="T437" s="12"/>
      <c r="U437" s="12"/>
      <c r="V437" s="12"/>
      <c r="W437" s="12"/>
      <c r="Z437" s="4"/>
      <c r="AB437" s="12"/>
      <c r="AC437" s="55"/>
      <c r="AD437" s="55"/>
      <c r="AE437" s="1"/>
      <c r="AF437" s="1"/>
      <c r="AG437" s="1"/>
      <c r="AH437" s="1"/>
      <c r="AI437" s="29" t="str">
        <f t="shared" si="15"/>
        <v/>
      </c>
      <c r="AJ437" s="1"/>
      <c r="AK437" s="1"/>
      <c r="AS437" s="56"/>
      <c r="AT437" s="56"/>
      <c r="AU437" s="56"/>
      <c r="AV437" s="56"/>
      <c r="AW437" s="56"/>
      <c r="AX437" s="56"/>
      <c r="BA437" s="1" t="s">
        <v>24</v>
      </c>
    </row>
    <row r="438" spans="1:53" ht="15">
      <c r="A438" t="s">
        <v>16</v>
      </c>
      <c r="B438" s="16">
        <v>30512</v>
      </c>
      <c r="C438" s="17">
        <v>10.080981879968963</v>
      </c>
      <c r="D438" s="20"/>
      <c r="E438" s="21"/>
      <c r="F438" s="32">
        <v>3376.4</v>
      </c>
      <c r="H438" s="32">
        <v>540.6</v>
      </c>
      <c r="I438" s="12"/>
      <c r="J438" s="32">
        <v>694.80000000000007</v>
      </c>
      <c r="K438" s="32"/>
      <c r="L438" s="12">
        <v>295.60000000000002</v>
      </c>
      <c r="M438" s="3">
        <v>1845.4</v>
      </c>
      <c r="N438" s="6">
        <f t="shared" ref="N438:N445" si="19">L438+M438</f>
        <v>2141</v>
      </c>
      <c r="Q438" s="34"/>
      <c r="R438" s="12"/>
      <c r="S438" s="12"/>
      <c r="T438" s="12"/>
      <c r="U438" s="12"/>
      <c r="V438" s="12"/>
      <c r="W438" s="12"/>
      <c r="Z438" s="4"/>
      <c r="AB438" s="55"/>
      <c r="AC438" s="55"/>
      <c r="AD438" s="55"/>
      <c r="AE438" s="1"/>
      <c r="AF438" s="1"/>
      <c r="AG438" s="1"/>
      <c r="AH438" s="1"/>
      <c r="AI438" s="29" t="str">
        <f t="shared" si="15"/>
        <v/>
      </c>
      <c r="AJ438" s="1"/>
      <c r="AK438" s="1"/>
      <c r="AS438" s="56"/>
      <c r="AT438" s="56"/>
      <c r="AU438" s="56"/>
      <c r="AV438" s="56"/>
      <c r="AW438" s="56"/>
      <c r="AX438" s="56"/>
      <c r="BA438" s="1" t="s">
        <v>24</v>
      </c>
    </row>
    <row r="439" spans="1:53" ht="15">
      <c r="A439" t="s">
        <v>16</v>
      </c>
      <c r="B439" s="16">
        <v>30878</v>
      </c>
      <c r="C439" s="17">
        <v>11.083056667603032</v>
      </c>
      <c r="D439" s="20"/>
      <c r="E439" s="21"/>
      <c r="F439" s="32">
        <v>5720.7</v>
      </c>
      <c r="H439" s="32">
        <v>867.80000000000007</v>
      </c>
      <c r="I439" s="12"/>
      <c r="J439" s="32">
        <v>1508.3</v>
      </c>
      <c r="K439" s="32"/>
      <c r="L439" s="12">
        <v>446.1</v>
      </c>
      <c r="M439" s="3">
        <v>2898.5</v>
      </c>
      <c r="N439" s="6">
        <f t="shared" si="19"/>
        <v>3344.6</v>
      </c>
      <c r="Q439" s="34"/>
      <c r="R439" s="12"/>
      <c r="S439" s="12"/>
      <c r="T439" s="12"/>
      <c r="U439" s="12"/>
      <c r="V439" s="12"/>
      <c r="W439" s="12"/>
      <c r="Z439" s="4"/>
      <c r="AB439" s="55"/>
      <c r="AC439" s="55"/>
      <c r="AD439" s="55"/>
      <c r="AE439" s="1"/>
      <c r="AF439" s="1"/>
      <c r="AG439" s="1"/>
      <c r="AH439" s="1"/>
      <c r="AI439" s="29" t="str">
        <f t="shared" si="15"/>
        <v/>
      </c>
      <c r="AJ439" s="1"/>
      <c r="AK439" s="1"/>
      <c r="AS439" s="56"/>
      <c r="AT439" s="56"/>
      <c r="AU439" s="56"/>
      <c r="AV439" s="56"/>
      <c r="AW439" s="56"/>
      <c r="AX439" s="56"/>
      <c r="BA439" s="1" t="s">
        <v>24</v>
      </c>
    </row>
    <row r="440" spans="1:53" ht="15">
      <c r="A440" t="s">
        <v>16</v>
      </c>
      <c r="B440" s="16">
        <v>31243</v>
      </c>
      <c r="C440" s="17">
        <v>12.082393545981269</v>
      </c>
      <c r="D440" s="20"/>
      <c r="E440" s="21"/>
      <c r="F440" s="32">
        <v>8204.6999999999989</v>
      </c>
      <c r="H440" s="32">
        <v>1198.6000000000001</v>
      </c>
      <c r="I440" s="12"/>
      <c r="J440" s="32">
        <v>1933.5</v>
      </c>
      <c r="K440" s="32"/>
      <c r="L440" s="12">
        <v>651.70000000000005</v>
      </c>
      <c r="M440" s="3">
        <v>4419.5999999999995</v>
      </c>
      <c r="N440" s="6">
        <f t="shared" si="19"/>
        <v>5071.2999999999993</v>
      </c>
      <c r="Q440" s="34"/>
      <c r="R440" s="12"/>
      <c r="S440" s="12"/>
      <c r="T440" s="12"/>
      <c r="U440" s="12"/>
      <c r="V440" s="12"/>
      <c r="W440" s="12"/>
      <c r="Z440" s="4"/>
      <c r="AB440" s="55"/>
      <c r="AC440" s="55"/>
      <c r="AD440" s="55"/>
      <c r="AE440" s="1"/>
      <c r="AF440" s="1"/>
      <c r="AG440" s="1"/>
      <c r="AH440" s="1"/>
      <c r="AI440" s="29" t="str">
        <f t="shared" si="15"/>
        <v/>
      </c>
      <c r="AJ440" s="1"/>
      <c r="AK440" s="1"/>
      <c r="AS440" s="56"/>
      <c r="AT440" s="56"/>
      <c r="AU440" s="56"/>
      <c r="AV440" s="56"/>
      <c r="AW440" s="56"/>
      <c r="AX440" s="56"/>
      <c r="BA440" s="1" t="s">
        <v>24</v>
      </c>
    </row>
    <row r="441" spans="1:53" ht="15">
      <c r="A441" t="s">
        <v>16</v>
      </c>
      <c r="B441" s="16">
        <v>31608</v>
      </c>
      <c r="C441" s="17">
        <v>13.081730424359506</v>
      </c>
      <c r="D441" s="20"/>
      <c r="E441" s="21"/>
      <c r="F441" s="32">
        <v>10810.5</v>
      </c>
      <c r="H441" s="32">
        <v>1370</v>
      </c>
      <c r="I441" s="12"/>
      <c r="J441" s="32">
        <v>2439.5</v>
      </c>
      <c r="K441" s="32"/>
      <c r="L441" s="12">
        <v>860.69999999999993</v>
      </c>
      <c r="M441" s="3">
        <v>6055.2</v>
      </c>
      <c r="N441" s="6">
        <f t="shared" si="19"/>
        <v>6915.9</v>
      </c>
      <c r="Q441" s="34"/>
      <c r="R441" s="12"/>
      <c r="S441" s="12"/>
      <c r="T441" s="12"/>
      <c r="U441" s="12"/>
      <c r="V441" s="12"/>
      <c r="W441" s="12"/>
      <c r="Z441" s="4"/>
      <c r="AB441" s="55"/>
      <c r="AC441" s="55"/>
      <c r="AD441" s="55"/>
      <c r="AE441" s="1"/>
      <c r="AF441" s="1"/>
      <c r="AG441" s="1"/>
      <c r="AH441" s="1"/>
      <c r="AI441" s="29" t="str">
        <f t="shared" si="15"/>
        <v/>
      </c>
      <c r="AJ441" s="1"/>
      <c r="AK441" s="1"/>
      <c r="AS441" s="56"/>
      <c r="AT441" s="56"/>
      <c r="AU441" s="56"/>
      <c r="AV441" s="56"/>
      <c r="AW441" s="56"/>
      <c r="AX441" s="56"/>
      <c r="BA441" s="1" t="s">
        <v>24</v>
      </c>
    </row>
    <row r="442" spans="1:53" ht="15">
      <c r="A442" t="s">
        <v>16</v>
      </c>
      <c r="B442" s="16">
        <v>31973</v>
      </c>
      <c r="C442" s="17">
        <v>14.081067302737743</v>
      </c>
      <c r="D442" s="20"/>
      <c r="E442" s="21"/>
      <c r="F442" s="32">
        <v>13387.4</v>
      </c>
      <c r="H442" s="32">
        <v>1426.7</v>
      </c>
      <c r="I442" s="12"/>
      <c r="J442" s="32">
        <v>2720.4</v>
      </c>
      <c r="K442" s="32"/>
      <c r="L442" s="12">
        <v>1075.5</v>
      </c>
      <c r="M442" s="3">
        <v>7800</v>
      </c>
      <c r="N442" s="6">
        <f t="shared" si="19"/>
        <v>8875.5</v>
      </c>
      <c r="Q442" s="34"/>
      <c r="R442" s="12"/>
      <c r="S442" s="12"/>
      <c r="T442" s="12"/>
      <c r="U442" s="12"/>
      <c r="V442" s="12"/>
      <c r="W442" s="12"/>
      <c r="Z442" s="4"/>
      <c r="AB442" s="55"/>
      <c r="AC442" s="55"/>
      <c r="AD442" s="55"/>
      <c r="AE442" s="1"/>
      <c r="AF442" s="1"/>
      <c r="AG442" s="1"/>
      <c r="AH442" s="1"/>
      <c r="AI442" s="29" t="str">
        <f t="shared" si="15"/>
        <v/>
      </c>
      <c r="AJ442" s="1"/>
      <c r="AK442" s="1"/>
      <c r="AS442" s="56"/>
      <c r="AT442" s="56"/>
      <c r="AU442" s="56"/>
      <c r="AV442" s="56"/>
      <c r="AW442" s="56"/>
      <c r="AX442" s="56"/>
      <c r="BA442" s="1" t="s">
        <v>24</v>
      </c>
    </row>
    <row r="443" spans="1:53" ht="15">
      <c r="A443" t="s">
        <v>16</v>
      </c>
      <c r="B443" s="16">
        <v>33465</v>
      </c>
      <c r="C443" s="17">
        <v>18.166027912437279</v>
      </c>
      <c r="D443" s="20"/>
      <c r="E443" s="21"/>
      <c r="H443" s="31"/>
      <c r="I443" s="12"/>
      <c r="J443" s="31"/>
      <c r="K443" s="31"/>
      <c r="L443" s="12">
        <v>1083.3731330009882</v>
      </c>
      <c r="M443" s="3">
        <v>8407.1644313167417</v>
      </c>
      <c r="N443" s="6">
        <f t="shared" si="19"/>
        <v>9490.5375643177304</v>
      </c>
      <c r="Q443" s="34"/>
      <c r="R443" s="12"/>
      <c r="S443" s="12"/>
      <c r="T443" s="12"/>
      <c r="U443" s="12"/>
      <c r="V443" s="12"/>
      <c r="W443" s="12"/>
      <c r="Z443" s="4"/>
      <c r="AB443" s="55"/>
      <c r="AC443" s="55"/>
      <c r="AD443" s="55"/>
      <c r="AE443" s="1"/>
      <c r="AF443" s="1"/>
      <c r="AG443" s="1"/>
      <c r="AH443" s="1"/>
      <c r="AI443" s="29" t="str">
        <f t="shared" si="15"/>
        <v/>
      </c>
      <c r="AJ443" s="1"/>
      <c r="AK443" s="1"/>
      <c r="AS443" s="56"/>
      <c r="AT443" s="56"/>
      <c r="AU443" s="56"/>
      <c r="AV443" s="56"/>
      <c r="AW443" s="56"/>
      <c r="AX443" s="56"/>
      <c r="BA443" s="1" t="s">
        <v>24</v>
      </c>
    </row>
    <row r="444" spans="1:53" ht="15">
      <c r="A444" t="s">
        <v>16</v>
      </c>
      <c r="B444" s="16">
        <v>33831</v>
      </c>
      <c r="C444" s="17">
        <v>19.168102700071348</v>
      </c>
      <c r="D444" s="20"/>
      <c r="E444" s="21"/>
      <c r="H444" s="31"/>
      <c r="I444" s="12"/>
      <c r="J444" s="11"/>
      <c r="K444" s="11"/>
      <c r="L444" s="12">
        <v>1167.0763229427068</v>
      </c>
      <c r="M444" s="3">
        <v>9139.5816284803859</v>
      </c>
      <c r="N444" s="6">
        <f t="shared" si="19"/>
        <v>10306.657951423093</v>
      </c>
      <c r="Q444" s="34"/>
      <c r="R444" s="12"/>
      <c r="S444" s="12"/>
      <c r="T444" s="12"/>
      <c r="U444" s="12"/>
      <c r="V444" s="12"/>
      <c r="W444" s="12"/>
      <c r="Z444" s="4"/>
      <c r="AB444" s="55"/>
      <c r="AC444" s="55"/>
      <c r="AD444" s="55"/>
      <c r="AE444" s="1"/>
      <c r="AF444" s="1"/>
      <c r="AG444" s="1"/>
      <c r="AH444" s="1"/>
      <c r="AI444" s="29" t="str">
        <f t="shared" si="15"/>
        <v/>
      </c>
      <c r="AJ444" s="1"/>
      <c r="AK444" s="1"/>
      <c r="AS444" s="56"/>
      <c r="AT444" s="56"/>
      <c r="AU444" s="56"/>
      <c r="AV444" s="56"/>
      <c r="AW444" s="56"/>
      <c r="AX444" s="56"/>
      <c r="BA444" s="1" t="s">
        <v>24</v>
      </c>
    </row>
    <row r="445" spans="1:53" ht="15">
      <c r="A445" t="s">
        <v>16</v>
      </c>
      <c r="B445" s="16">
        <v>34135</v>
      </c>
      <c r="C445" s="17">
        <v>20.000427113843909</v>
      </c>
      <c r="D445" s="20"/>
      <c r="E445" s="21"/>
      <c r="H445" s="31"/>
      <c r="I445" s="12"/>
      <c r="J445" s="11"/>
      <c r="K445" s="11"/>
      <c r="L445" s="12">
        <v>1257.088448817133</v>
      </c>
      <c r="M445" s="3">
        <v>9945.51512983049</v>
      </c>
      <c r="N445" s="6">
        <f t="shared" si="19"/>
        <v>11202.603578647622</v>
      </c>
      <c r="Q445" s="34"/>
      <c r="R445" s="12"/>
      <c r="S445" s="12"/>
      <c r="T445" s="12"/>
      <c r="U445" s="12"/>
      <c r="V445" s="12"/>
      <c r="W445" s="12"/>
      <c r="Z445" s="4"/>
      <c r="AB445" s="55"/>
      <c r="AC445" s="55"/>
      <c r="AD445" s="55"/>
      <c r="AE445" s="1"/>
      <c r="AF445" s="1"/>
      <c r="AG445" s="1"/>
      <c r="AH445" s="1"/>
      <c r="AI445" s="29" t="str">
        <f t="shared" si="15"/>
        <v/>
      </c>
      <c r="AJ445" s="1"/>
      <c r="AK445" s="1"/>
      <c r="AS445" s="56"/>
      <c r="AT445" s="56"/>
      <c r="AU445" s="56"/>
      <c r="AV445" s="56"/>
      <c r="AW445" s="56"/>
      <c r="AX445" s="56"/>
      <c r="BA445" s="1" t="s">
        <v>24</v>
      </c>
    </row>
    <row r="446" spans="1:53" ht="15">
      <c r="A446" t="s">
        <v>16</v>
      </c>
      <c r="B446" s="16">
        <v>34530</v>
      </c>
      <c r="C446" s="17">
        <v>21.08190126989707</v>
      </c>
      <c r="D446" s="20"/>
      <c r="E446" s="21"/>
      <c r="I446" s="12"/>
      <c r="J446" s="11"/>
      <c r="K446" s="11"/>
      <c r="L446" s="12"/>
      <c r="Q446" s="34"/>
      <c r="R446" s="12"/>
      <c r="S446" s="12"/>
      <c r="T446" s="12"/>
      <c r="U446" s="12"/>
      <c r="V446" s="12"/>
      <c r="W446" s="12"/>
      <c r="Z446" s="4"/>
      <c r="AB446" s="12"/>
      <c r="AC446" s="55"/>
      <c r="AD446" s="55"/>
      <c r="AE446" s="1"/>
      <c r="AF446" s="1"/>
      <c r="AG446" s="1"/>
      <c r="AH446" s="1"/>
      <c r="AI446" s="29" t="str">
        <f t="shared" si="15"/>
        <v/>
      </c>
      <c r="AJ446" s="1"/>
      <c r="AK446" s="1"/>
      <c r="AS446" s="56"/>
      <c r="AT446" s="56"/>
      <c r="AU446" s="56"/>
      <c r="AV446" s="56"/>
      <c r="AW446" s="56"/>
      <c r="AX446" s="56"/>
      <c r="BA446" s="1" t="s">
        <v>24</v>
      </c>
    </row>
    <row r="447" spans="1:53" ht="15">
      <c r="A447" t="s">
        <v>16</v>
      </c>
      <c r="B447" s="16">
        <v>34926</v>
      </c>
      <c r="C447" s="17">
        <v>22.166113335206063</v>
      </c>
      <c r="D447" s="20"/>
      <c r="E447" s="21"/>
      <c r="I447" s="12"/>
      <c r="J447" s="11"/>
      <c r="K447" s="11"/>
      <c r="L447" s="12"/>
      <c r="Q447" s="34"/>
      <c r="R447" s="12"/>
      <c r="S447" s="12"/>
      <c r="T447" s="12"/>
      <c r="U447" s="12"/>
      <c r="V447" s="12"/>
      <c r="W447" s="12"/>
      <c r="Z447" s="4"/>
      <c r="AB447" s="12"/>
      <c r="AC447" s="55"/>
      <c r="AD447" s="55"/>
      <c r="AE447" s="1"/>
      <c r="AF447" s="1"/>
      <c r="AG447" s="1"/>
      <c r="AH447" s="1"/>
      <c r="AI447" s="29" t="str">
        <f t="shared" si="15"/>
        <v/>
      </c>
      <c r="AJ447" s="1"/>
      <c r="AK447" s="1"/>
      <c r="AS447" s="56"/>
      <c r="AT447" s="56"/>
      <c r="AU447" s="56"/>
      <c r="AV447" s="56"/>
      <c r="AW447" s="56"/>
      <c r="AX447" s="56"/>
      <c r="BA447" s="1" t="s">
        <v>24</v>
      </c>
    </row>
    <row r="448" spans="1:53" ht="15">
      <c r="A448" t="s">
        <v>16</v>
      </c>
      <c r="B448" s="16">
        <v>35292</v>
      </c>
      <c r="C448" s="17">
        <v>23.168188122840132</v>
      </c>
      <c r="D448" s="20"/>
      <c r="E448" s="21"/>
      <c r="I448" s="12"/>
      <c r="J448" s="11"/>
      <c r="K448" s="11"/>
      <c r="L448" s="12"/>
      <c r="Q448" s="34"/>
      <c r="R448" s="12"/>
      <c r="S448" s="12"/>
      <c r="T448" s="12"/>
      <c r="U448" s="12"/>
      <c r="V448" s="12"/>
      <c r="W448" s="12"/>
      <c r="Z448" s="4"/>
      <c r="AB448" s="12"/>
      <c r="AC448" s="55"/>
      <c r="AD448" s="55"/>
      <c r="AE448" s="1"/>
      <c r="AF448" s="1"/>
      <c r="AG448" s="1"/>
      <c r="AH448" s="1"/>
      <c r="AI448" s="29" t="str">
        <f t="shared" si="15"/>
        <v/>
      </c>
      <c r="AJ448" s="1"/>
      <c r="AK448" s="1"/>
      <c r="AS448" s="56"/>
      <c r="AT448" s="56"/>
      <c r="AU448" s="56"/>
      <c r="AV448" s="56"/>
      <c r="AW448" s="56"/>
      <c r="AX448" s="56"/>
      <c r="BA448" s="1" t="s">
        <v>24</v>
      </c>
    </row>
    <row r="449" spans="1:53" ht="15">
      <c r="A449" t="s">
        <v>16</v>
      </c>
      <c r="B449" s="16">
        <v>35688</v>
      </c>
      <c r="C449" s="17">
        <v>24.252400188149121</v>
      </c>
      <c r="D449" s="20"/>
      <c r="E449" s="21"/>
      <c r="I449" s="12"/>
      <c r="J449" s="11"/>
      <c r="K449" s="11"/>
      <c r="L449" s="12"/>
      <c r="Q449" s="34"/>
      <c r="R449" s="12"/>
      <c r="S449" s="12"/>
      <c r="T449" s="12"/>
      <c r="U449" s="12"/>
      <c r="V449" s="12"/>
      <c r="W449" s="12"/>
      <c r="Z449" s="4"/>
      <c r="AB449" s="12"/>
      <c r="AC449" s="55"/>
      <c r="AD449" s="55"/>
      <c r="AE449" s="1"/>
      <c r="AF449" s="1"/>
      <c r="AG449" s="1"/>
      <c r="AH449" s="1"/>
      <c r="AI449" s="29" t="str">
        <f t="shared" si="15"/>
        <v/>
      </c>
      <c r="AJ449" s="1"/>
      <c r="AK449" s="1"/>
      <c r="AS449" s="56"/>
      <c r="AT449" s="56"/>
      <c r="AU449" s="56"/>
      <c r="AV449" s="56"/>
      <c r="AW449" s="56"/>
      <c r="AX449" s="56"/>
      <c r="BA449" s="1" t="s">
        <v>24</v>
      </c>
    </row>
    <row r="450" spans="1:53" ht="15">
      <c r="A450" t="s">
        <v>16</v>
      </c>
      <c r="B450" s="16">
        <v>36022</v>
      </c>
      <c r="C450" s="17">
        <v>25.166861879596606</v>
      </c>
      <c r="D450" s="20"/>
      <c r="E450" s="21"/>
      <c r="I450" s="12"/>
      <c r="J450" s="11"/>
      <c r="K450" s="11"/>
      <c r="L450" s="12"/>
      <c r="Q450" s="34"/>
      <c r="R450" s="12"/>
      <c r="S450" s="12"/>
      <c r="T450" s="12"/>
      <c r="U450" s="12"/>
      <c r="V450" s="12"/>
      <c r="W450" s="12"/>
      <c r="Z450" s="4"/>
      <c r="AB450" s="12"/>
      <c r="AC450" s="55"/>
      <c r="AD450" s="55"/>
      <c r="AE450" s="1"/>
      <c r="AF450" s="1"/>
      <c r="AG450" s="1"/>
      <c r="AH450" s="1"/>
      <c r="AI450" s="29" t="str">
        <f t="shared" si="15"/>
        <v/>
      </c>
      <c r="AJ450" s="1"/>
      <c r="AK450" s="1"/>
      <c r="AS450" s="56"/>
      <c r="AT450" s="56"/>
      <c r="AU450" s="56"/>
      <c r="AV450" s="56"/>
      <c r="AW450" s="56"/>
      <c r="AX450" s="56"/>
      <c r="BA450" s="1" t="s">
        <v>24</v>
      </c>
    </row>
    <row r="451" spans="1:53" ht="15">
      <c r="A451" t="s">
        <v>16</v>
      </c>
      <c r="B451" s="16">
        <v>36418</v>
      </c>
      <c r="C451" s="17">
        <v>26.251073944905599</v>
      </c>
      <c r="D451" s="20"/>
      <c r="E451" s="21"/>
      <c r="I451" s="12"/>
      <c r="J451" s="11"/>
      <c r="K451" s="11"/>
      <c r="L451" s="12"/>
      <c r="Q451" s="34"/>
      <c r="R451" s="12"/>
      <c r="S451" s="12"/>
      <c r="T451" s="12"/>
      <c r="U451" s="12"/>
      <c r="V451" s="12"/>
      <c r="W451" s="12"/>
      <c r="Z451" s="4"/>
      <c r="AB451" s="12"/>
      <c r="AC451" s="55"/>
      <c r="AD451" s="55"/>
      <c r="AE451" s="1"/>
      <c r="AF451" s="1"/>
      <c r="AG451" s="1"/>
      <c r="AH451" s="1"/>
      <c r="AI451" s="29" t="str">
        <f t="shared" ref="AI451:AI514" si="20">IF(AH451&gt;0.001,AH451/C451,"")</f>
        <v/>
      </c>
      <c r="AJ451" s="1"/>
      <c r="AK451" s="1"/>
      <c r="AS451" s="56"/>
      <c r="AT451" s="56"/>
      <c r="AU451" s="56"/>
      <c r="AV451" s="56"/>
      <c r="AW451" s="56"/>
      <c r="AX451" s="56"/>
      <c r="BA451" s="1" t="s">
        <v>24</v>
      </c>
    </row>
    <row r="452" spans="1:53" ht="15">
      <c r="A452" t="s">
        <v>16</v>
      </c>
      <c r="B452" s="16">
        <v>36784</v>
      </c>
      <c r="C452" s="17">
        <v>27.253148732539668</v>
      </c>
      <c r="D452" s="20"/>
      <c r="E452" s="21"/>
      <c r="I452" s="12"/>
      <c r="J452" s="11"/>
      <c r="K452" s="11"/>
      <c r="L452" s="12"/>
      <c r="Q452" s="34"/>
      <c r="R452" s="12"/>
      <c r="S452" s="12"/>
      <c r="T452" s="12"/>
      <c r="U452" s="12"/>
      <c r="V452" s="12"/>
      <c r="W452" s="12"/>
      <c r="Z452" s="4"/>
      <c r="AB452" s="12"/>
      <c r="AC452" s="55"/>
      <c r="AD452" s="55"/>
      <c r="AE452" s="1"/>
      <c r="AF452" s="1"/>
      <c r="AG452" s="1"/>
      <c r="AH452" s="1"/>
      <c r="AI452" s="29" t="str">
        <f t="shared" si="20"/>
        <v/>
      </c>
      <c r="AJ452" s="1"/>
      <c r="AK452" s="1"/>
      <c r="AS452" s="56"/>
      <c r="AT452" s="56"/>
      <c r="AU452" s="56"/>
      <c r="AV452" s="56"/>
      <c r="AW452" s="56"/>
      <c r="AX452" s="56"/>
      <c r="BA452" s="1" t="s">
        <v>24</v>
      </c>
    </row>
    <row r="453" spans="1:53" ht="15">
      <c r="A453" t="s">
        <v>17</v>
      </c>
      <c r="B453" s="16">
        <v>30512</v>
      </c>
      <c r="C453" s="17">
        <v>10.080981879968963</v>
      </c>
      <c r="D453" s="20"/>
      <c r="E453" s="30">
        <v>795</v>
      </c>
      <c r="F453" s="32">
        <v>3201.5</v>
      </c>
      <c r="H453" s="32">
        <v>490.2</v>
      </c>
      <c r="I453" s="12"/>
      <c r="J453" s="32">
        <v>595.9</v>
      </c>
      <c r="K453" s="32"/>
      <c r="L453" s="32">
        <v>293.60000000000002</v>
      </c>
      <c r="M453" s="3">
        <v>1821.8</v>
      </c>
      <c r="N453" s="6">
        <f t="shared" ref="N453:N460" si="21">L453+M453</f>
        <v>2115.4</v>
      </c>
      <c r="Q453" s="34"/>
      <c r="R453" s="12"/>
      <c r="S453" s="12"/>
      <c r="T453" s="12"/>
      <c r="U453" s="12"/>
      <c r="V453" s="12"/>
      <c r="W453" s="12"/>
      <c r="Z453" s="4"/>
      <c r="AB453" s="55"/>
      <c r="AC453" s="55"/>
      <c r="AD453" s="55"/>
      <c r="AE453" s="1"/>
      <c r="AF453" s="1"/>
      <c r="AG453" s="1"/>
      <c r="AH453" s="1"/>
      <c r="AI453" s="29" t="str">
        <f t="shared" si="20"/>
        <v/>
      </c>
      <c r="AJ453" s="1"/>
      <c r="AK453" s="1"/>
      <c r="AS453" s="56"/>
      <c r="AT453" s="56"/>
      <c r="AU453" s="56"/>
      <c r="AV453" s="56"/>
      <c r="AW453" s="56"/>
      <c r="AX453" s="56"/>
      <c r="BA453" s="1" t="s">
        <v>24</v>
      </c>
    </row>
    <row r="454" spans="1:53" ht="15">
      <c r="A454" t="s">
        <v>17</v>
      </c>
      <c r="B454" s="16">
        <v>30878</v>
      </c>
      <c r="C454" s="17">
        <v>11.083056667603032</v>
      </c>
      <c r="D454" s="20"/>
      <c r="E454" s="30">
        <v>795</v>
      </c>
      <c r="F454" s="32">
        <v>4836.6000000000004</v>
      </c>
      <c r="H454" s="32">
        <v>732.1</v>
      </c>
      <c r="I454" s="12"/>
      <c r="J454" s="32">
        <v>1037.3</v>
      </c>
      <c r="K454" s="32"/>
      <c r="L454" s="32">
        <v>413.6</v>
      </c>
      <c r="M454" s="3">
        <v>2653.5</v>
      </c>
      <c r="N454" s="6">
        <f t="shared" si="21"/>
        <v>3067.1</v>
      </c>
      <c r="Q454" s="34"/>
      <c r="R454" s="12"/>
      <c r="S454" s="12"/>
      <c r="T454" s="12"/>
      <c r="U454" s="12"/>
      <c r="V454" s="12"/>
      <c r="W454" s="12"/>
      <c r="Z454" s="4"/>
      <c r="AB454" s="55"/>
      <c r="AC454" s="55"/>
      <c r="AD454" s="55"/>
      <c r="AE454" s="1"/>
      <c r="AF454" s="1"/>
      <c r="AG454" s="1"/>
      <c r="AH454" s="1"/>
      <c r="AI454" s="29" t="str">
        <f t="shared" si="20"/>
        <v/>
      </c>
      <c r="AJ454" s="1"/>
      <c r="AK454" s="1"/>
      <c r="AS454" s="56"/>
      <c r="AT454" s="56"/>
      <c r="AU454" s="56"/>
      <c r="AV454" s="56"/>
      <c r="AW454" s="56"/>
      <c r="AX454" s="56"/>
      <c r="BA454" s="1" t="s">
        <v>24</v>
      </c>
    </row>
    <row r="455" spans="1:53" ht="15">
      <c r="A455" t="s">
        <v>17</v>
      </c>
      <c r="B455" s="16">
        <v>31243</v>
      </c>
      <c r="C455" s="17">
        <v>12.082393545981269</v>
      </c>
      <c r="D455" s="20"/>
      <c r="E455" s="30">
        <v>795</v>
      </c>
      <c r="F455" s="32">
        <v>7432.4</v>
      </c>
      <c r="H455" s="32">
        <v>1073</v>
      </c>
      <c r="I455" s="12"/>
      <c r="J455" s="32">
        <v>1343.3</v>
      </c>
      <c r="K455" s="32"/>
      <c r="L455" s="32">
        <v>645.6</v>
      </c>
      <c r="M455" s="3">
        <v>4369.1000000000004</v>
      </c>
      <c r="N455" s="6">
        <f t="shared" si="21"/>
        <v>5014.7000000000007</v>
      </c>
      <c r="Q455" s="34"/>
      <c r="R455" s="12"/>
      <c r="S455" s="12"/>
      <c r="T455" s="12"/>
      <c r="U455" s="12"/>
      <c r="V455" s="12"/>
      <c r="W455" s="12"/>
      <c r="Z455" s="4"/>
      <c r="AB455" s="55"/>
      <c r="AC455" s="55"/>
      <c r="AD455" s="55"/>
      <c r="AE455" s="1"/>
      <c r="AF455" s="1"/>
      <c r="AG455" s="1"/>
      <c r="AH455" s="1"/>
      <c r="AI455" s="29" t="str">
        <f t="shared" si="20"/>
        <v/>
      </c>
      <c r="AJ455" s="1"/>
      <c r="AK455" s="1"/>
      <c r="AS455" s="56"/>
      <c r="AT455" s="56"/>
      <c r="AU455" s="56"/>
      <c r="AV455" s="56"/>
      <c r="AW455" s="56"/>
      <c r="AX455" s="56"/>
      <c r="BA455" s="1" t="s">
        <v>24</v>
      </c>
    </row>
    <row r="456" spans="1:53" ht="15">
      <c r="A456" t="s">
        <v>17</v>
      </c>
      <c r="B456" s="16">
        <v>31608</v>
      </c>
      <c r="C456" s="17">
        <v>13.081730424359506</v>
      </c>
      <c r="D456" s="20"/>
      <c r="E456" s="30">
        <v>795</v>
      </c>
      <c r="F456" s="32">
        <v>10181.1</v>
      </c>
      <c r="H456" s="32">
        <v>1296.8999999999999</v>
      </c>
      <c r="I456" s="12"/>
      <c r="J456" s="32">
        <v>1843.4999999999998</v>
      </c>
      <c r="K456" s="32"/>
      <c r="L456" s="32">
        <v>869.3</v>
      </c>
      <c r="M456" s="3">
        <v>6087</v>
      </c>
      <c r="N456" s="6">
        <f t="shared" si="21"/>
        <v>6956.3</v>
      </c>
      <c r="Q456" s="34"/>
      <c r="R456" s="12"/>
      <c r="S456" s="12"/>
      <c r="T456" s="12"/>
      <c r="U456" s="12"/>
      <c r="V456" s="12"/>
      <c r="W456" s="12"/>
      <c r="Z456" s="4"/>
      <c r="AB456" s="55"/>
      <c r="AC456" s="55"/>
      <c r="AD456" s="55"/>
      <c r="AE456" s="1"/>
      <c r="AF456" s="1"/>
      <c r="AG456" s="1"/>
      <c r="AH456" s="1"/>
      <c r="AI456" s="29" t="str">
        <f t="shared" si="20"/>
        <v/>
      </c>
      <c r="AJ456" s="1"/>
      <c r="AK456" s="1"/>
      <c r="AS456" s="56"/>
      <c r="AT456" s="56"/>
      <c r="AU456" s="56"/>
      <c r="AV456" s="56"/>
      <c r="AW456" s="56"/>
      <c r="AX456" s="56"/>
      <c r="BA456" s="1" t="s">
        <v>24</v>
      </c>
    </row>
    <row r="457" spans="1:53" ht="15">
      <c r="A457" t="s">
        <v>17</v>
      </c>
      <c r="B457" s="16">
        <v>31973</v>
      </c>
      <c r="C457" s="17">
        <v>14.081067302737743</v>
      </c>
      <c r="D457" s="20"/>
      <c r="E457" s="30">
        <v>775</v>
      </c>
      <c r="F457" s="32">
        <v>13194.999999999998</v>
      </c>
      <c r="H457" s="32">
        <v>1385</v>
      </c>
      <c r="I457" s="12"/>
      <c r="J457" s="32">
        <v>2173.5</v>
      </c>
      <c r="K457" s="32"/>
      <c r="L457" s="32">
        <v>1126.5</v>
      </c>
      <c r="M457" s="3">
        <v>8138.2999999999993</v>
      </c>
      <c r="N457" s="6">
        <f t="shared" si="21"/>
        <v>9264.7999999999993</v>
      </c>
      <c r="Q457" s="34"/>
      <c r="R457" s="12"/>
      <c r="S457" s="12"/>
      <c r="T457" s="12"/>
      <c r="U457" s="12"/>
      <c r="V457" s="12"/>
      <c r="W457" s="12"/>
      <c r="Z457" s="4"/>
      <c r="AB457" s="55"/>
      <c r="AC457" s="55"/>
      <c r="AD457" s="55"/>
      <c r="AE457" s="1"/>
      <c r="AF457" s="1"/>
      <c r="AG457" s="1"/>
      <c r="AH457" s="1"/>
      <c r="AI457" s="29" t="str">
        <f t="shared" si="20"/>
        <v/>
      </c>
      <c r="AJ457" s="1"/>
      <c r="AK457" s="1"/>
      <c r="AS457" s="56"/>
      <c r="AT457" s="56"/>
      <c r="AU457" s="56"/>
      <c r="AV457" s="56"/>
      <c r="AW457" s="56"/>
      <c r="AX457" s="56"/>
      <c r="BA457" s="1" t="s">
        <v>24</v>
      </c>
    </row>
    <row r="458" spans="1:53" ht="15">
      <c r="A458" t="s">
        <v>17</v>
      </c>
      <c r="B458" s="16">
        <v>33465</v>
      </c>
      <c r="C458" s="17">
        <v>18.166027912437279</v>
      </c>
      <c r="D458" s="20"/>
      <c r="E458" s="30">
        <v>412</v>
      </c>
      <c r="F458" s="31"/>
      <c r="H458" s="31"/>
      <c r="I458" s="12"/>
      <c r="J458" s="31"/>
      <c r="K458" s="31"/>
      <c r="L458" s="31">
        <v>1428.5234557963718</v>
      </c>
      <c r="M458" s="3">
        <v>11292.189033277353</v>
      </c>
      <c r="N458" s="6">
        <f t="shared" si="21"/>
        <v>12720.712489073725</v>
      </c>
      <c r="Q458" s="34"/>
      <c r="R458" s="12"/>
      <c r="S458" s="12"/>
      <c r="T458" s="12"/>
      <c r="U458" s="12"/>
      <c r="V458" s="12"/>
      <c r="W458" s="12"/>
      <c r="Z458" s="4"/>
      <c r="AB458" s="55"/>
      <c r="AC458" s="55"/>
      <c r="AD458" s="55"/>
      <c r="AE458" s="1"/>
      <c r="AF458" s="1"/>
      <c r="AG458" s="1"/>
      <c r="AH458" s="1"/>
      <c r="AI458" s="29" t="str">
        <f t="shared" si="20"/>
        <v/>
      </c>
      <c r="AJ458" s="1"/>
      <c r="AK458" s="1"/>
      <c r="AS458" s="56"/>
      <c r="AT458" s="56"/>
      <c r="AU458" s="56"/>
      <c r="AV458" s="56"/>
      <c r="AW458" s="56"/>
      <c r="AX458" s="56"/>
      <c r="BA458" s="1" t="s">
        <v>24</v>
      </c>
    </row>
    <row r="459" spans="1:53" ht="15">
      <c r="A459" t="s">
        <v>17</v>
      </c>
      <c r="B459" s="16">
        <v>33831</v>
      </c>
      <c r="C459" s="17">
        <v>19.168102700071348</v>
      </c>
      <c r="D459" s="20"/>
      <c r="E459" s="30">
        <v>412</v>
      </c>
      <c r="F459" s="31"/>
      <c r="H459" s="31"/>
      <c r="I459" s="12"/>
      <c r="J459" s="31"/>
      <c r="K459" s="31"/>
      <c r="L459" s="31">
        <v>1608.7842019230475</v>
      </c>
      <c r="M459" s="3">
        <v>12880.975609051899</v>
      </c>
      <c r="N459" s="6">
        <f t="shared" si="21"/>
        <v>14489.759810974945</v>
      </c>
      <c r="Q459" s="34">
        <v>214.88</v>
      </c>
      <c r="R459" s="12"/>
      <c r="S459" s="12"/>
      <c r="T459" s="12"/>
      <c r="U459" s="12"/>
      <c r="V459" s="12"/>
      <c r="W459" s="12"/>
      <c r="Z459" s="4"/>
      <c r="AB459" s="55"/>
      <c r="AC459" s="55"/>
      <c r="AD459" s="55"/>
      <c r="AE459" s="1"/>
      <c r="AF459" s="1"/>
      <c r="AG459" s="1"/>
      <c r="AH459" s="1"/>
      <c r="AI459" s="29" t="str">
        <f t="shared" si="20"/>
        <v/>
      </c>
      <c r="AJ459" s="1"/>
      <c r="AK459" s="1"/>
      <c r="AS459" s="56"/>
      <c r="AT459" s="56"/>
      <c r="AU459" s="56"/>
      <c r="AV459" s="56"/>
      <c r="AW459" s="56"/>
      <c r="AX459" s="56"/>
      <c r="BA459" s="1" t="s">
        <v>24</v>
      </c>
    </row>
    <row r="460" spans="1:53" ht="15">
      <c r="A460" t="s">
        <v>17</v>
      </c>
      <c r="B460" s="16">
        <v>34135</v>
      </c>
      <c r="C460" s="17">
        <v>20.000427113843909</v>
      </c>
      <c r="D460" s="20"/>
      <c r="E460" s="30">
        <v>412</v>
      </c>
      <c r="F460" s="32">
        <v>10810.5</v>
      </c>
      <c r="H460" s="32">
        <v>1330</v>
      </c>
      <c r="I460" s="12"/>
      <c r="J460" s="32">
        <v>2470</v>
      </c>
      <c r="K460" s="32"/>
      <c r="L460" s="32">
        <v>1820</v>
      </c>
      <c r="M460" s="3">
        <v>17000</v>
      </c>
      <c r="N460" s="6">
        <f t="shared" si="21"/>
        <v>18820</v>
      </c>
      <c r="Q460" s="34">
        <v>210.24000000000004</v>
      </c>
      <c r="R460" s="12"/>
      <c r="S460" s="12"/>
      <c r="T460" s="12"/>
      <c r="U460" s="12"/>
      <c r="V460" s="12"/>
      <c r="W460" s="12"/>
      <c r="Z460" s="4"/>
      <c r="AB460" s="55"/>
      <c r="AC460" s="55"/>
      <c r="AD460" s="55"/>
      <c r="AE460" s="1"/>
      <c r="AF460" s="1"/>
      <c r="AG460" s="1"/>
      <c r="AH460" s="1"/>
      <c r="AI460" s="29" t="str">
        <f t="shared" si="20"/>
        <v/>
      </c>
      <c r="AJ460" s="1"/>
      <c r="AK460" s="1"/>
      <c r="AS460" s="56"/>
      <c r="AT460" s="56"/>
      <c r="AU460" s="56"/>
      <c r="AV460" s="56"/>
      <c r="AW460" s="56"/>
      <c r="AX460" s="56"/>
      <c r="BA460" s="1" t="s">
        <v>24</v>
      </c>
    </row>
    <row r="461" spans="1:53" ht="15">
      <c r="A461" t="s">
        <v>17</v>
      </c>
      <c r="B461" s="16">
        <v>34530</v>
      </c>
      <c r="C461" s="17">
        <v>21.08190126989707</v>
      </c>
      <c r="D461" s="20"/>
      <c r="E461" s="30">
        <v>412</v>
      </c>
      <c r="F461" s="31"/>
      <c r="H461" s="31"/>
      <c r="I461" s="12"/>
      <c r="J461" s="11"/>
      <c r="K461" s="11"/>
      <c r="L461" s="12"/>
      <c r="Q461" s="34"/>
      <c r="R461" s="12"/>
      <c r="S461" s="12"/>
      <c r="T461" s="12"/>
      <c r="U461" s="12"/>
      <c r="V461" s="12"/>
      <c r="W461" s="12"/>
      <c r="Z461" s="4"/>
      <c r="AB461" s="55"/>
      <c r="AC461" s="55"/>
      <c r="AD461" s="55"/>
      <c r="AE461" s="1"/>
      <c r="AF461" s="1"/>
      <c r="AG461" s="1"/>
      <c r="AH461" s="1"/>
      <c r="AI461" s="29" t="str">
        <f t="shared" si="20"/>
        <v/>
      </c>
      <c r="AJ461" s="1"/>
      <c r="AK461" s="1"/>
      <c r="AS461" s="56"/>
      <c r="AT461" s="56"/>
      <c r="AU461" s="56"/>
      <c r="AV461" s="56"/>
      <c r="AW461" s="56"/>
      <c r="AX461" s="56"/>
      <c r="BA461" s="1" t="s">
        <v>24</v>
      </c>
    </row>
    <row r="462" spans="1:53" ht="15">
      <c r="A462" t="s">
        <v>17</v>
      </c>
      <c r="B462" s="16">
        <v>34926</v>
      </c>
      <c r="C462" s="17">
        <v>22.166113335206063</v>
      </c>
      <c r="D462" s="20"/>
      <c r="E462" s="30">
        <v>412</v>
      </c>
      <c r="I462" s="12"/>
      <c r="J462" s="11"/>
      <c r="K462" s="11"/>
      <c r="L462" s="12"/>
      <c r="Q462" s="34"/>
      <c r="R462" s="12"/>
      <c r="S462" s="12"/>
      <c r="T462" s="12"/>
      <c r="U462" s="12"/>
      <c r="V462" s="12"/>
      <c r="W462" s="12"/>
      <c r="Z462" s="4"/>
      <c r="AB462" s="55"/>
      <c r="AC462" s="55"/>
      <c r="AD462" s="55"/>
      <c r="AE462" s="1"/>
      <c r="AF462" s="1"/>
      <c r="AG462" s="1"/>
      <c r="AH462" s="1"/>
      <c r="AI462" s="29" t="str">
        <f t="shared" si="20"/>
        <v/>
      </c>
      <c r="AJ462" s="1"/>
      <c r="AK462" s="1"/>
      <c r="AS462" s="56"/>
      <c r="AT462" s="56"/>
      <c r="AU462" s="56"/>
      <c r="AV462" s="56"/>
      <c r="AW462" s="56"/>
      <c r="AX462" s="56"/>
      <c r="BA462" s="1" t="s">
        <v>24</v>
      </c>
    </row>
    <row r="463" spans="1:53" ht="15">
      <c r="A463" t="s">
        <v>17</v>
      </c>
      <c r="B463" s="16">
        <v>35292</v>
      </c>
      <c r="C463" s="17">
        <v>23.168188122840132</v>
      </c>
      <c r="D463" s="20"/>
      <c r="E463" s="30">
        <v>412</v>
      </c>
      <c r="I463" s="12"/>
      <c r="J463" s="11"/>
      <c r="K463" s="11"/>
      <c r="L463" s="12"/>
      <c r="Q463" s="34"/>
      <c r="R463" s="12"/>
      <c r="S463" s="12"/>
      <c r="T463" s="12"/>
      <c r="U463" s="12"/>
      <c r="V463" s="12"/>
      <c r="W463" s="12"/>
      <c r="Z463" s="4"/>
      <c r="AB463" s="12"/>
      <c r="AC463" s="55"/>
      <c r="AD463" s="55"/>
      <c r="AE463" s="1"/>
      <c r="AF463" s="1"/>
      <c r="AG463" s="1"/>
      <c r="AH463" s="1"/>
      <c r="AI463" s="29" t="str">
        <f t="shared" si="20"/>
        <v/>
      </c>
      <c r="AJ463" s="1"/>
      <c r="AK463" s="1"/>
      <c r="AS463" s="56"/>
      <c r="AT463" s="56"/>
      <c r="AU463" s="56"/>
      <c r="AV463" s="56"/>
      <c r="AW463" s="56"/>
      <c r="AX463" s="56"/>
      <c r="BA463" s="1" t="s">
        <v>24</v>
      </c>
    </row>
    <row r="464" spans="1:53" ht="15">
      <c r="A464" t="s">
        <v>17</v>
      </c>
      <c r="B464" s="16">
        <v>35688</v>
      </c>
      <c r="C464" s="17">
        <v>24.252400188149121</v>
      </c>
      <c r="D464" s="20"/>
      <c r="E464" s="30">
        <v>412</v>
      </c>
      <c r="I464" s="12"/>
      <c r="J464" s="11"/>
      <c r="K464" s="11"/>
      <c r="L464" s="12"/>
      <c r="Q464" s="34"/>
      <c r="R464" s="12"/>
      <c r="S464" s="12"/>
      <c r="T464" s="12"/>
      <c r="U464" s="12"/>
      <c r="V464" s="12"/>
      <c r="W464" s="12"/>
      <c r="Z464" s="4"/>
      <c r="AB464" s="12"/>
      <c r="AC464" s="55"/>
      <c r="AD464" s="55"/>
      <c r="AE464" s="1"/>
      <c r="AF464" s="1"/>
      <c r="AG464" s="1"/>
      <c r="AH464" s="1"/>
      <c r="AI464" s="29" t="str">
        <f t="shared" si="20"/>
        <v/>
      </c>
      <c r="AJ464" s="1"/>
      <c r="AK464" s="1"/>
      <c r="AS464" s="56"/>
      <c r="AT464" s="56"/>
      <c r="AU464" s="56"/>
      <c r="AV464" s="56"/>
      <c r="AW464" s="56"/>
      <c r="AX464" s="56"/>
      <c r="BA464" s="1" t="s">
        <v>24</v>
      </c>
    </row>
    <row r="465" spans="1:53" ht="15">
      <c r="A465" t="s">
        <v>17</v>
      </c>
      <c r="B465" s="16">
        <v>36022</v>
      </c>
      <c r="C465" s="17">
        <v>25.166861879596606</v>
      </c>
      <c r="D465" s="20"/>
      <c r="E465" s="30">
        <v>412</v>
      </c>
      <c r="I465" s="12"/>
      <c r="J465" s="11"/>
      <c r="K465" s="11"/>
      <c r="L465" s="12"/>
      <c r="Q465" s="34"/>
      <c r="R465" s="12"/>
      <c r="S465" s="12"/>
      <c r="T465" s="12"/>
      <c r="U465" s="12"/>
      <c r="V465" s="12"/>
      <c r="W465" s="12"/>
      <c r="Z465" s="4"/>
      <c r="AB465" s="12"/>
      <c r="AC465" s="55"/>
      <c r="AD465" s="55"/>
      <c r="AE465" s="1"/>
      <c r="AF465" s="1"/>
      <c r="AG465" s="1"/>
      <c r="AH465" s="1"/>
      <c r="AI465" s="29" t="str">
        <f t="shared" si="20"/>
        <v/>
      </c>
      <c r="AJ465" s="1"/>
      <c r="AK465" s="1"/>
      <c r="AS465" s="56"/>
      <c r="AT465" s="56"/>
      <c r="AU465" s="56"/>
      <c r="AV465" s="56"/>
      <c r="AW465" s="56"/>
      <c r="AX465" s="56"/>
      <c r="BA465" s="1" t="s">
        <v>24</v>
      </c>
    </row>
    <row r="466" spans="1:53" ht="15">
      <c r="A466" t="s">
        <v>17</v>
      </c>
      <c r="B466" s="16">
        <v>36418</v>
      </c>
      <c r="C466" s="17">
        <v>26.251073944905599</v>
      </c>
      <c r="D466" s="20"/>
      <c r="E466" s="30">
        <v>412</v>
      </c>
      <c r="I466" s="12"/>
      <c r="J466" s="11"/>
      <c r="K466" s="11"/>
      <c r="L466" s="12"/>
      <c r="Q466" s="34"/>
      <c r="R466" s="12"/>
      <c r="S466" s="12"/>
      <c r="T466" s="12"/>
      <c r="U466" s="12"/>
      <c r="V466" s="12"/>
      <c r="W466" s="12"/>
      <c r="Z466" s="4"/>
      <c r="AB466" s="12"/>
      <c r="AC466" s="55"/>
      <c r="AD466" s="55"/>
      <c r="AE466" s="1"/>
      <c r="AF466" s="1"/>
      <c r="AG466" s="1"/>
      <c r="AH466" s="1"/>
      <c r="AI466" s="29" t="str">
        <f t="shared" si="20"/>
        <v/>
      </c>
      <c r="AJ466" s="1"/>
      <c r="AK466" s="1"/>
      <c r="AS466" s="56"/>
      <c r="AT466" s="56"/>
      <c r="AU466" s="56"/>
      <c r="AV466" s="56"/>
      <c r="AW466" s="56"/>
      <c r="AX466" s="56"/>
      <c r="BA466" s="1" t="s">
        <v>24</v>
      </c>
    </row>
    <row r="467" spans="1:53" ht="15">
      <c r="A467" t="s">
        <v>17</v>
      </c>
      <c r="B467" s="16">
        <v>36784</v>
      </c>
      <c r="C467" s="17">
        <v>27.253148732539668</v>
      </c>
      <c r="D467" s="20"/>
      <c r="E467" s="30">
        <v>412</v>
      </c>
      <c r="I467" s="12"/>
      <c r="J467" s="11"/>
      <c r="K467" s="11"/>
      <c r="L467" s="12"/>
      <c r="Q467" s="34"/>
      <c r="R467" s="12"/>
      <c r="S467" s="12"/>
      <c r="T467" s="12"/>
      <c r="U467" s="12"/>
      <c r="V467" s="12"/>
      <c r="W467" s="12"/>
      <c r="Z467" s="4"/>
      <c r="AB467" s="12"/>
      <c r="AC467" s="55"/>
      <c r="AD467" s="55"/>
      <c r="AE467" s="1"/>
      <c r="AF467" s="1"/>
      <c r="AG467" s="1"/>
      <c r="AH467" s="1"/>
      <c r="AI467" s="29" t="str">
        <f t="shared" si="20"/>
        <v/>
      </c>
      <c r="AJ467" s="1"/>
      <c r="AK467" s="1"/>
      <c r="AS467" s="56"/>
      <c r="AT467" s="56"/>
      <c r="AU467" s="56"/>
      <c r="AV467" s="56"/>
      <c r="AW467" s="56"/>
      <c r="AX467" s="56"/>
      <c r="BA467" s="1" t="s">
        <v>24</v>
      </c>
    </row>
    <row r="468" spans="1:53" ht="15">
      <c r="A468" t="s">
        <v>9</v>
      </c>
      <c r="B468" s="16">
        <v>30512</v>
      </c>
      <c r="C468" s="17">
        <v>10.080981879968963</v>
      </c>
      <c r="D468" s="20"/>
      <c r="E468" s="21"/>
      <c r="F468" s="32">
        <v>3211</v>
      </c>
      <c r="H468" s="32">
        <v>505.90000000000003</v>
      </c>
      <c r="I468" s="12"/>
      <c r="J468" s="32">
        <v>637.4</v>
      </c>
      <c r="K468" s="32"/>
      <c r="L468" s="12">
        <v>285.70000000000005</v>
      </c>
      <c r="M468" s="3">
        <v>1781.8999999999999</v>
      </c>
      <c r="N468" s="6">
        <f t="shared" ref="N468:N475" si="22">L468+M468</f>
        <v>2067.6</v>
      </c>
      <c r="Q468" s="34"/>
      <c r="R468" s="12"/>
      <c r="S468" s="12"/>
      <c r="T468" s="12"/>
      <c r="U468" s="12"/>
      <c r="V468" s="12"/>
      <c r="W468" s="12"/>
      <c r="Z468" s="4"/>
      <c r="AB468" s="55"/>
      <c r="AC468" s="55"/>
      <c r="AD468" s="55"/>
      <c r="AE468" s="1"/>
      <c r="AF468" s="1"/>
      <c r="AG468" s="1"/>
      <c r="AH468" s="1"/>
      <c r="AI468" s="29" t="str">
        <f t="shared" si="20"/>
        <v/>
      </c>
      <c r="AJ468" s="1"/>
      <c r="AK468" s="1"/>
      <c r="AS468" s="56"/>
      <c r="AT468" s="56"/>
      <c r="AU468" s="56"/>
      <c r="AV468" s="56"/>
      <c r="AW468" s="56"/>
      <c r="AX468" s="56"/>
      <c r="BA468" s="1" t="s">
        <v>24</v>
      </c>
    </row>
    <row r="469" spans="1:53" ht="15">
      <c r="A469" t="s">
        <v>9</v>
      </c>
      <c r="B469" s="16">
        <v>30878</v>
      </c>
      <c r="C469" s="17">
        <v>11.083056667603032</v>
      </c>
      <c r="D469" s="20"/>
      <c r="E469" s="21"/>
      <c r="F469" s="32">
        <v>5033.5</v>
      </c>
      <c r="H469" s="32">
        <v>772.5</v>
      </c>
      <c r="I469" s="12"/>
      <c r="J469" s="32">
        <v>1142.5999999999999</v>
      </c>
      <c r="K469" s="32"/>
      <c r="L469" s="12">
        <v>416.7</v>
      </c>
      <c r="M469" s="3">
        <v>2701.8</v>
      </c>
      <c r="N469" s="6">
        <f t="shared" si="22"/>
        <v>3118.5</v>
      </c>
      <c r="Q469" s="34"/>
      <c r="R469" s="12"/>
      <c r="S469" s="12"/>
      <c r="T469" s="12"/>
      <c r="U469" s="12"/>
      <c r="V469" s="12"/>
      <c r="W469" s="12"/>
      <c r="Z469" s="4"/>
      <c r="AB469" s="55"/>
      <c r="AC469" s="55"/>
      <c r="AD469" s="55"/>
      <c r="AE469" s="1"/>
      <c r="AF469" s="1"/>
      <c r="AG469" s="1"/>
      <c r="AH469" s="1"/>
      <c r="AI469" s="29" t="str">
        <f t="shared" si="20"/>
        <v/>
      </c>
      <c r="AJ469" s="1"/>
      <c r="AK469" s="1"/>
      <c r="AS469" s="56"/>
      <c r="AT469" s="56"/>
      <c r="AU469" s="56"/>
      <c r="AV469" s="56"/>
      <c r="AW469" s="56"/>
      <c r="AX469" s="56"/>
      <c r="BA469" s="1" t="s">
        <v>24</v>
      </c>
    </row>
    <row r="470" spans="1:53" ht="15">
      <c r="A470" t="s">
        <v>9</v>
      </c>
      <c r="B470" s="16">
        <v>31243</v>
      </c>
      <c r="C470" s="17">
        <v>12.082393545981269</v>
      </c>
      <c r="D470" s="20"/>
      <c r="E470" s="21"/>
      <c r="F470" s="32">
        <v>7532.5999999999995</v>
      </c>
      <c r="H470" s="32">
        <v>1122</v>
      </c>
      <c r="I470" s="12"/>
      <c r="J470" s="32">
        <v>1462.1000000000001</v>
      </c>
      <c r="K470" s="32"/>
      <c r="L470" s="12">
        <v>633.79999999999995</v>
      </c>
      <c r="M470" s="3">
        <v>4313.3999999999996</v>
      </c>
      <c r="N470" s="6">
        <f t="shared" si="22"/>
        <v>4947.2</v>
      </c>
      <c r="Q470" s="34"/>
      <c r="R470" s="12"/>
      <c r="S470" s="12"/>
      <c r="T470" s="12"/>
      <c r="U470" s="12"/>
      <c r="V470" s="12"/>
      <c r="W470" s="12"/>
      <c r="Z470" s="4"/>
      <c r="AB470" s="55"/>
      <c r="AC470" s="55"/>
      <c r="AD470" s="55"/>
      <c r="AE470" s="1"/>
      <c r="AF470" s="1"/>
      <c r="AG470" s="1"/>
      <c r="AH470" s="1"/>
      <c r="AI470" s="29" t="str">
        <f t="shared" si="20"/>
        <v/>
      </c>
      <c r="AJ470" s="1"/>
      <c r="AK470" s="1"/>
      <c r="AS470" s="56"/>
      <c r="AT470" s="56"/>
      <c r="AU470" s="56"/>
      <c r="AV470" s="56"/>
      <c r="AW470" s="56"/>
      <c r="AX470" s="56"/>
      <c r="BA470" s="1" t="s">
        <v>24</v>
      </c>
    </row>
    <row r="471" spans="1:53" ht="15">
      <c r="A471" t="s">
        <v>9</v>
      </c>
      <c r="B471" s="16">
        <v>31608</v>
      </c>
      <c r="C471" s="17">
        <v>13.081730424359506</v>
      </c>
      <c r="D471" s="20"/>
      <c r="E471" s="21"/>
      <c r="F471" s="32">
        <v>10274.4</v>
      </c>
      <c r="H471" s="32">
        <v>1341.3</v>
      </c>
      <c r="I471" s="12"/>
      <c r="J471" s="32">
        <v>1969.2</v>
      </c>
      <c r="K471" s="32"/>
      <c r="L471" s="12">
        <v>854.40000000000009</v>
      </c>
      <c r="M471" s="3">
        <v>6026.5</v>
      </c>
      <c r="N471" s="6">
        <f t="shared" si="22"/>
        <v>6880.9</v>
      </c>
      <c r="Q471" s="34"/>
      <c r="R471" s="12"/>
      <c r="S471" s="12"/>
      <c r="T471" s="12"/>
      <c r="U471" s="12"/>
      <c r="V471" s="12"/>
      <c r="W471" s="12"/>
      <c r="Z471" s="4"/>
      <c r="AB471" s="55"/>
      <c r="AC471" s="55"/>
      <c r="AD471" s="55"/>
      <c r="AE471" s="1"/>
      <c r="AF471" s="1"/>
      <c r="AG471" s="1"/>
      <c r="AH471" s="1"/>
      <c r="AI471" s="29" t="str">
        <f t="shared" si="20"/>
        <v/>
      </c>
      <c r="AJ471" s="1"/>
      <c r="AK471" s="1"/>
      <c r="AS471" s="56"/>
      <c r="AT471" s="56"/>
      <c r="AU471" s="56"/>
      <c r="AV471" s="56"/>
      <c r="AW471" s="56"/>
      <c r="AX471" s="56"/>
      <c r="BA471" s="1" t="s">
        <v>24</v>
      </c>
    </row>
    <row r="472" spans="1:53" ht="15">
      <c r="A472" t="s">
        <v>9</v>
      </c>
      <c r="B472" s="16">
        <v>31973</v>
      </c>
      <c r="C472" s="17">
        <v>14.081067302737743</v>
      </c>
      <c r="D472" s="20"/>
      <c r="E472" s="21"/>
      <c r="F472" s="32">
        <v>13454.400000000001</v>
      </c>
      <c r="H472" s="32">
        <v>1424.7</v>
      </c>
      <c r="I472" s="12"/>
      <c r="J472" s="32">
        <v>2300.9</v>
      </c>
      <c r="K472" s="32"/>
      <c r="L472" s="12">
        <v>1127.3999999999999</v>
      </c>
      <c r="M472" s="3">
        <v>8224.4</v>
      </c>
      <c r="N472" s="6">
        <f t="shared" si="22"/>
        <v>9351.7999999999993</v>
      </c>
      <c r="Q472" s="34"/>
      <c r="R472" s="12"/>
      <c r="S472" s="12"/>
      <c r="T472" s="12"/>
      <c r="U472" s="12"/>
      <c r="V472" s="12"/>
      <c r="W472" s="12"/>
      <c r="Z472" s="4"/>
      <c r="AB472" s="55"/>
      <c r="AC472" s="55"/>
      <c r="AD472" s="55"/>
      <c r="AE472" s="1"/>
      <c r="AF472" s="1"/>
      <c r="AG472" s="1"/>
      <c r="AH472" s="1"/>
      <c r="AI472" s="29" t="str">
        <f t="shared" si="20"/>
        <v/>
      </c>
      <c r="AJ472" s="1"/>
      <c r="AK472" s="1"/>
      <c r="AS472" s="56"/>
      <c r="AT472" s="56"/>
      <c r="AU472" s="56"/>
      <c r="AV472" s="56"/>
      <c r="AW472" s="56"/>
      <c r="AX472" s="56"/>
      <c r="BA472" s="1" t="s">
        <v>24</v>
      </c>
    </row>
    <row r="473" spans="1:53" ht="15">
      <c r="A473" t="s">
        <v>9</v>
      </c>
      <c r="B473" s="16">
        <v>33465</v>
      </c>
      <c r="C473" s="17">
        <v>18.166027912437279</v>
      </c>
      <c r="D473" s="20"/>
      <c r="E473" s="21"/>
      <c r="H473" s="31"/>
      <c r="I473" s="12"/>
      <c r="J473" s="31"/>
      <c r="K473" s="31"/>
      <c r="L473" s="12">
        <v>1360.3329596792098</v>
      </c>
      <c r="M473" s="3">
        <v>10700.320610236038</v>
      </c>
      <c r="N473" s="6">
        <f t="shared" si="22"/>
        <v>12060.653569915248</v>
      </c>
      <c r="Q473" s="34"/>
      <c r="R473" s="12"/>
      <c r="S473" s="12"/>
      <c r="T473" s="12"/>
      <c r="U473" s="12"/>
      <c r="V473" s="12"/>
      <c r="W473" s="12"/>
      <c r="Z473" s="4"/>
      <c r="AB473" s="55"/>
      <c r="AC473" s="55"/>
      <c r="AD473" s="55"/>
      <c r="AE473" s="1"/>
      <c r="AF473" s="1"/>
      <c r="AG473" s="1"/>
      <c r="AH473" s="1"/>
      <c r="AI473" s="29" t="str">
        <f t="shared" si="20"/>
        <v/>
      </c>
      <c r="AJ473" s="1"/>
      <c r="AK473" s="1"/>
      <c r="AS473" s="56"/>
      <c r="AT473" s="56"/>
      <c r="AU473" s="56"/>
      <c r="AV473" s="56"/>
      <c r="AW473" s="56"/>
      <c r="AX473" s="56"/>
      <c r="BA473" s="1" t="s">
        <v>24</v>
      </c>
    </row>
    <row r="474" spans="1:53" ht="15">
      <c r="A474" t="s">
        <v>9</v>
      </c>
      <c r="B474" s="16">
        <v>33831</v>
      </c>
      <c r="C474" s="17">
        <v>19.168102700071348</v>
      </c>
      <c r="D474" s="20"/>
      <c r="E474" s="21"/>
      <c r="H474" s="31"/>
      <c r="I474" s="12"/>
      <c r="J474" s="11"/>
      <c r="K474" s="11"/>
      <c r="L474" s="12">
        <v>1466.8626783913801</v>
      </c>
      <c r="M474" s="3">
        <v>11621.362694203035</v>
      </c>
      <c r="N474" s="6">
        <f t="shared" si="22"/>
        <v>13088.225372594416</v>
      </c>
      <c r="Q474" s="34"/>
      <c r="R474" s="12"/>
      <c r="S474" s="12"/>
      <c r="T474" s="12"/>
      <c r="U474" s="12"/>
      <c r="V474" s="12"/>
      <c r="W474" s="12"/>
      <c r="Z474" s="4"/>
      <c r="AB474" s="55"/>
      <c r="AC474" s="55"/>
      <c r="AD474" s="55"/>
      <c r="AE474" s="1"/>
      <c r="AF474" s="1"/>
      <c r="AG474" s="1"/>
      <c r="AH474" s="1"/>
      <c r="AI474" s="29" t="str">
        <f t="shared" si="20"/>
        <v/>
      </c>
      <c r="AJ474" s="1"/>
      <c r="AK474" s="1"/>
      <c r="AS474" s="56"/>
      <c r="AT474" s="56"/>
      <c r="AU474" s="56"/>
      <c r="AV474" s="56"/>
      <c r="AW474" s="56"/>
      <c r="AX474" s="56"/>
      <c r="BA474" s="1" t="s">
        <v>24</v>
      </c>
    </row>
    <row r="475" spans="1:53" ht="15">
      <c r="A475" t="s">
        <v>9</v>
      </c>
      <c r="B475" s="16">
        <v>34135</v>
      </c>
      <c r="C475" s="17">
        <v>20.000427113843909</v>
      </c>
      <c r="D475" s="20"/>
      <c r="E475" s="21"/>
      <c r="I475" s="12"/>
      <c r="J475" s="11"/>
      <c r="K475" s="11"/>
      <c r="L475" s="12">
        <v>1596.1085809502633</v>
      </c>
      <c r="M475" s="3">
        <v>12760.782207864599</v>
      </c>
      <c r="N475" s="6">
        <f t="shared" si="22"/>
        <v>14356.890788814862</v>
      </c>
      <c r="Q475" s="34"/>
      <c r="R475" s="12"/>
      <c r="S475" s="12"/>
      <c r="T475" s="12"/>
      <c r="U475" s="12"/>
      <c r="V475" s="12"/>
      <c r="W475" s="12"/>
      <c r="Z475" s="4"/>
      <c r="AB475" s="55"/>
      <c r="AC475" s="55"/>
      <c r="AD475" s="55"/>
      <c r="AE475" s="1"/>
      <c r="AF475" s="1"/>
      <c r="AG475" s="1"/>
      <c r="AH475" s="1"/>
      <c r="AI475" s="29" t="str">
        <f t="shared" si="20"/>
        <v/>
      </c>
      <c r="AJ475" s="1"/>
      <c r="AK475" s="1"/>
      <c r="AS475" s="56"/>
      <c r="AT475" s="56"/>
      <c r="AU475" s="56"/>
      <c r="AV475" s="56"/>
      <c r="AW475" s="56"/>
      <c r="AX475" s="56"/>
      <c r="BA475" s="1" t="s">
        <v>24</v>
      </c>
    </row>
    <row r="476" spans="1:53" ht="15">
      <c r="A476" t="s">
        <v>9</v>
      </c>
      <c r="B476" s="16">
        <v>34530</v>
      </c>
      <c r="C476" s="17">
        <v>21.08190126989707</v>
      </c>
      <c r="D476" s="20"/>
      <c r="E476" s="21"/>
      <c r="I476" s="12"/>
      <c r="J476" s="11"/>
      <c r="K476" s="11"/>
      <c r="L476" s="12"/>
      <c r="Q476" s="34"/>
      <c r="R476" s="12"/>
      <c r="S476" s="12"/>
      <c r="T476" s="12"/>
      <c r="U476" s="12"/>
      <c r="V476" s="12"/>
      <c r="W476" s="12"/>
      <c r="Z476" s="4"/>
      <c r="AB476" s="12"/>
      <c r="AC476" s="55"/>
      <c r="AD476" s="55"/>
      <c r="AE476" s="1"/>
      <c r="AF476" s="1"/>
      <c r="AG476" s="1"/>
      <c r="AH476" s="1"/>
      <c r="AI476" s="29" t="str">
        <f t="shared" si="20"/>
        <v/>
      </c>
      <c r="AJ476" s="1"/>
      <c r="AK476" s="1"/>
      <c r="AS476" s="56"/>
      <c r="AT476" s="56"/>
      <c r="AU476" s="56"/>
      <c r="AV476" s="56"/>
      <c r="AW476" s="56"/>
      <c r="AX476" s="56"/>
      <c r="BA476" s="1" t="s">
        <v>24</v>
      </c>
    </row>
    <row r="477" spans="1:53" ht="15">
      <c r="A477" t="s">
        <v>9</v>
      </c>
      <c r="B477" s="16">
        <v>34926</v>
      </c>
      <c r="C477" s="17">
        <v>22.166113335206063</v>
      </c>
      <c r="D477" s="20"/>
      <c r="E477" s="21"/>
      <c r="I477" s="12"/>
      <c r="J477" s="11"/>
      <c r="K477" s="11"/>
      <c r="L477" s="12"/>
      <c r="Q477" s="34"/>
      <c r="R477" s="12"/>
      <c r="S477" s="12"/>
      <c r="T477" s="12"/>
      <c r="U477" s="12"/>
      <c r="V477" s="12"/>
      <c r="W477" s="12"/>
      <c r="Z477" s="4"/>
      <c r="AB477" s="12"/>
      <c r="AC477" s="55"/>
      <c r="AD477" s="55"/>
      <c r="AE477" s="1"/>
      <c r="AF477" s="1"/>
      <c r="AG477" s="1"/>
      <c r="AH477" s="1"/>
      <c r="AI477" s="29" t="str">
        <f t="shared" si="20"/>
        <v/>
      </c>
      <c r="AJ477" s="1"/>
      <c r="AK477" s="1"/>
      <c r="AS477" s="56"/>
      <c r="AT477" s="56"/>
      <c r="AU477" s="56"/>
      <c r="AV477" s="56"/>
      <c r="AW477" s="56"/>
      <c r="AX477" s="56"/>
      <c r="BA477" s="1" t="s">
        <v>24</v>
      </c>
    </row>
    <row r="478" spans="1:53" ht="15">
      <c r="A478" t="s">
        <v>9</v>
      </c>
      <c r="B478" s="16">
        <v>35292</v>
      </c>
      <c r="C478" s="17">
        <v>23.168188122840132</v>
      </c>
      <c r="D478" s="20"/>
      <c r="E478" s="21"/>
      <c r="I478" s="12"/>
      <c r="J478" s="11"/>
      <c r="K478" s="11"/>
      <c r="L478" s="12"/>
      <c r="Q478" s="34"/>
      <c r="R478" s="12"/>
      <c r="S478" s="12"/>
      <c r="T478" s="12"/>
      <c r="U478" s="12"/>
      <c r="V478" s="12"/>
      <c r="W478" s="12"/>
      <c r="Z478" s="4"/>
      <c r="AB478" s="12"/>
      <c r="AC478" s="55"/>
      <c r="AD478" s="55"/>
      <c r="AE478" s="1"/>
      <c r="AF478" s="1"/>
      <c r="AG478" s="1"/>
      <c r="AH478" s="1"/>
      <c r="AI478" s="29" t="str">
        <f t="shared" si="20"/>
        <v/>
      </c>
      <c r="AJ478" s="1"/>
      <c r="AK478" s="1"/>
      <c r="AS478" s="56"/>
      <c r="AT478" s="56"/>
      <c r="AU478" s="56"/>
      <c r="AV478" s="56"/>
      <c r="AW478" s="56"/>
      <c r="AX478" s="56"/>
      <c r="BA478" s="1" t="s">
        <v>24</v>
      </c>
    </row>
    <row r="479" spans="1:53" ht="15">
      <c r="A479" t="s">
        <v>9</v>
      </c>
      <c r="B479" s="16">
        <v>35688</v>
      </c>
      <c r="C479" s="17">
        <v>24.252400188149121</v>
      </c>
      <c r="D479" s="20"/>
      <c r="E479" s="21"/>
      <c r="I479" s="12"/>
      <c r="J479" s="11"/>
      <c r="K479" s="11"/>
      <c r="L479" s="12"/>
      <c r="Q479" s="34"/>
      <c r="R479" s="12"/>
      <c r="S479" s="12"/>
      <c r="T479" s="12"/>
      <c r="U479" s="12"/>
      <c r="V479" s="12"/>
      <c r="W479" s="12"/>
      <c r="Z479" s="4"/>
      <c r="AB479" s="12"/>
      <c r="AC479" s="55"/>
      <c r="AD479" s="55"/>
      <c r="AE479" s="1"/>
      <c r="AF479" s="1"/>
      <c r="AG479" s="1"/>
      <c r="AH479" s="1"/>
      <c r="AI479" s="29" t="str">
        <f t="shared" si="20"/>
        <v/>
      </c>
      <c r="AJ479" s="1"/>
      <c r="AK479" s="1"/>
      <c r="AS479" s="56"/>
      <c r="AT479" s="56"/>
      <c r="AU479" s="56"/>
      <c r="AV479" s="56"/>
      <c r="AW479" s="56"/>
      <c r="AX479" s="56"/>
      <c r="BA479" s="1" t="s">
        <v>24</v>
      </c>
    </row>
    <row r="480" spans="1:53" ht="15">
      <c r="A480" t="s">
        <v>9</v>
      </c>
      <c r="B480" s="16">
        <v>36022</v>
      </c>
      <c r="C480" s="17">
        <v>25.166861879596606</v>
      </c>
      <c r="D480" s="20"/>
      <c r="E480" s="21"/>
      <c r="I480" s="12"/>
      <c r="J480" s="11"/>
      <c r="K480" s="11"/>
      <c r="L480" s="12"/>
      <c r="Q480" s="34"/>
      <c r="R480" s="12"/>
      <c r="S480" s="12"/>
      <c r="T480" s="12"/>
      <c r="U480" s="12"/>
      <c r="V480" s="12"/>
      <c r="W480" s="12"/>
      <c r="Z480" s="4"/>
      <c r="AB480" s="12"/>
      <c r="AC480" s="55"/>
      <c r="AD480" s="55"/>
      <c r="AE480" s="1"/>
      <c r="AF480" s="1"/>
      <c r="AG480" s="1"/>
      <c r="AH480" s="1"/>
      <c r="AI480" s="29" t="str">
        <f t="shared" si="20"/>
        <v/>
      </c>
      <c r="AJ480" s="1"/>
      <c r="AK480" s="1"/>
      <c r="AS480" s="56"/>
      <c r="AT480" s="56"/>
      <c r="AU480" s="56"/>
      <c r="AV480" s="56"/>
      <c r="AW480" s="56"/>
      <c r="AX480" s="56"/>
      <c r="BA480" s="1" t="s">
        <v>24</v>
      </c>
    </row>
    <row r="481" spans="1:53" ht="15">
      <c r="A481" t="s">
        <v>9</v>
      </c>
      <c r="B481" s="16">
        <v>36418</v>
      </c>
      <c r="C481" s="17">
        <v>26.251073944905599</v>
      </c>
      <c r="D481" s="20"/>
      <c r="E481" s="21"/>
      <c r="I481" s="12"/>
      <c r="J481" s="11"/>
      <c r="K481" s="11"/>
      <c r="L481" s="12"/>
      <c r="Q481" s="34"/>
      <c r="R481" s="12"/>
      <c r="S481" s="12"/>
      <c r="T481" s="12"/>
      <c r="U481" s="12"/>
      <c r="V481" s="12"/>
      <c r="W481" s="12"/>
      <c r="Z481" s="4"/>
      <c r="AB481" s="12"/>
      <c r="AC481" s="55"/>
      <c r="AD481" s="55"/>
      <c r="AE481" s="1"/>
      <c r="AF481" s="1"/>
      <c r="AG481" s="1"/>
      <c r="AH481" s="1"/>
      <c r="AI481" s="29" t="str">
        <f t="shared" si="20"/>
        <v/>
      </c>
      <c r="AJ481" s="1"/>
      <c r="AK481" s="1"/>
      <c r="AS481" s="56"/>
      <c r="AT481" s="56"/>
      <c r="AU481" s="56"/>
      <c r="AV481" s="56"/>
      <c r="AW481" s="56"/>
      <c r="AX481" s="56"/>
      <c r="BA481" s="1" t="s">
        <v>24</v>
      </c>
    </row>
    <row r="482" spans="1:53" ht="15">
      <c r="A482" t="s">
        <v>9</v>
      </c>
      <c r="B482" s="16">
        <v>36784</v>
      </c>
      <c r="C482" s="17">
        <v>27.253148732539668</v>
      </c>
      <c r="D482" s="20"/>
      <c r="E482" s="21"/>
      <c r="I482" s="12"/>
      <c r="J482" s="11"/>
      <c r="K482" s="11"/>
      <c r="L482" s="12"/>
      <c r="Q482" s="34"/>
      <c r="R482" s="12"/>
      <c r="S482" s="12"/>
      <c r="T482" s="12"/>
      <c r="U482" s="12"/>
      <c r="V482" s="12"/>
      <c r="W482" s="12"/>
      <c r="Z482" s="4"/>
      <c r="AB482" s="12"/>
      <c r="AC482" s="55"/>
      <c r="AD482" s="55"/>
      <c r="AE482" s="1"/>
      <c r="AF482" s="1"/>
      <c r="AG482" s="1"/>
      <c r="AH482" s="1"/>
      <c r="AI482" s="29" t="str">
        <f t="shared" si="20"/>
        <v/>
      </c>
      <c r="AJ482" s="1"/>
      <c r="AK482" s="1"/>
      <c r="AS482" s="56"/>
      <c r="AT482" s="56"/>
      <c r="AU482" s="56"/>
      <c r="AV482" s="56"/>
      <c r="AW482" s="56"/>
      <c r="AX482" s="56"/>
      <c r="BA482" s="1" t="s">
        <v>24</v>
      </c>
    </row>
    <row r="483" spans="1:53" ht="15">
      <c r="A483" s="1" t="s">
        <v>18</v>
      </c>
      <c r="B483" s="16">
        <v>30512</v>
      </c>
      <c r="C483" s="17">
        <v>10.080981879968963</v>
      </c>
      <c r="D483" s="20"/>
      <c r="E483" s="21"/>
      <c r="F483" s="3">
        <v>3053.3</v>
      </c>
      <c r="H483" s="3">
        <v>488.69999999999993</v>
      </c>
      <c r="I483" s="12"/>
      <c r="J483" s="11">
        <v>623.70000000000005</v>
      </c>
      <c r="K483" s="11"/>
      <c r="L483" s="33">
        <v>267.5</v>
      </c>
      <c r="M483" s="3">
        <v>1673.4</v>
      </c>
      <c r="N483" s="6">
        <f t="shared" ref="N483:N490" si="23">L483+M483</f>
        <v>1940.9</v>
      </c>
      <c r="Q483" s="34"/>
      <c r="R483" s="12"/>
      <c r="S483" s="12"/>
      <c r="T483" s="12"/>
      <c r="U483" s="12"/>
      <c r="V483" s="12"/>
      <c r="W483" s="12"/>
      <c r="Z483" s="4"/>
      <c r="AB483" s="55"/>
      <c r="AC483" s="55"/>
      <c r="AD483" s="55"/>
      <c r="AE483" s="1"/>
      <c r="AF483" s="1"/>
      <c r="AG483" s="1"/>
      <c r="AH483" s="1"/>
      <c r="AI483" s="29" t="str">
        <f t="shared" si="20"/>
        <v/>
      </c>
      <c r="AJ483" s="1"/>
      <c r="AK483" s="1"/>
      <c r="AS483" s="56"/>
      <c r="AT483" s="56"/>
      <c r="AU483" s="56"/>
      <c r="AV483" s="56"/>
      <c r="AW483" s="56"/>
      <c r="AX483" s="56"/>
      <c r="BA483" s="1" t="s">
        <v>24</v>
      </c>
    </row>
    <row r="484" spans="1:53" ht="15">
      <c r="A484" s="1" t="s">
        <v>18</v>
      </c>
      <c r="B484" s="16">
        <v>30878</v>
      </c>
      <c r="C484" s="17">
        <v>11.083056667603032</v>
      </c>
      <c r="D484" s="20"/>
      <c r="E484" s="21"/>
      <c r="F484" s="3">
        <v>5119.8</v>
      </c>
      <c r="H484" s="3">
        <v>789.4</v>
      </c>
      <c r="I484" s="12"/>
      <c r="J484" s="11">
        <v>1321.4</v>
      </c>
      <c r="K484" s="11"/>
      <c r="L484" s="33">
        <v>401</v>
      </c>
      <c r="M484" s="3">
        <v>2608</v>
      </c>
      <c r="N484" s="6">
        <f t="shared" si="23"/>
        <v>3009</v>
      </c>
      <c r="Q484" s="34"/>
      <c r="R484" s="12"/>
      <c r="S484" s="12"/>
      <c r="T484" s="12"/>
      <c r="U484" s="12"/>
      <c r="V484" s="12"/>
      <c r="W484" s="12"/>
      <c r="Z484" s="4"/>
      <c r="AB484" s="55"/>
      <c r="AC484" s="55"/>
      <c r="AD484" s="55"/>
      <c r="AE484" s="1"/>
      <c r="AF484" s="1"/>
      <c r="AG484" s="1"/>
      <c r="AH484" s="1"/>
      <c r="AI484" s="29" t="str">
        <f t="shared" si="20"/>
        <v/>
      </c>
      <c r="AJ484" s="1"/>
      <c r="AK484" s="1"/>
      <c r="AS484" s="56"/>
      <c r="AT484" s="56"/>
      <c r="AU484" s="56"/>
      <c r="AV484" s="56"/>
      <c r="AW484" s="56"/>
      <c r="AX484" s="56"/>
      <c r="BA484" s="1" t="s">
        <v>24</v>
      </c>
    </row>
    <row r="485" spans="1:53" ht="15">
      <c r="A485" s="1" t="s">
        <v>18</v>
      </c>
      <c r="B485" s="16">
        <v>31243</v>
      </c>
      <c r="C485" s="17">
        <v>12.082393545981269</v>
      </c>
      <c r="D485" s="20"/>
      <c r="E485" s="21"/>
      <c r="F485" s="3">
        <v>6193.5</v>
      </c>
      <c r="H485" s="3">
        <v>905.59999999999991</v>
      </c>
      <c r="I485" s="12"/>
      <c r="J485" s="11">
        <v>1647.8999999999999</v>
      </c>
      <c r="K485" s="11"/>
      <c r="L485" s="33">
        <v>472.79999999999995</v>
      </c>
      <c r="M485" s="3">
        <v>3166.2</v>
      </c>
      <c r="N485" s="6">
        <f t="shared" si="23"/>
        <v>3639</v>
      </c>
      <c r="Q485" s="34"/>
      <c r="R485" s="12"/>
      <c r="S485" s="12"/>
      <c r="T485" s="12"/>
      <c r="U485" s="12"/>
      <c r="V485" s="12"/>
      <c r="W485" s="12"/>
      <c r="Z485" s="4"/>
      <c r="AB485" s="55"/>
      <c r="AC485" s="55"/>
      <c r="AD485" s="55"/>
      <c r="AE485" s="1"/>
      <c r="AF485" s="1"/>
      <c r="AG485" s="1"/>
      <c r="AH485" s="1"/>
      <c r="AI485" s="29" t="str">
        <f t="shared" si="20"/>
        <v/>
      </c>
      <c r="AJ485" s="1"/>
      <c r="AK485" s="1"/>
      <c r="AS485" s="56"/>
      <c r="AT485" s="56"/>
      <c r="AU485" s="56"/>
      <c r="AV485" s="56"/>
      <c r="AW485" s="56"/>
      <c r="AX485" s="56"/>
      <c r="BA485" s="1" t="s">
        <v>24</v>
      </c>
    </row>
    <row r="486" spans="1:53" ht="15">
      <c r="A486" s="1" t="s">
        <v>18</v>
      </c>
      <c r="B486" s="16">
        <v>31608</v>
      </c>
      <c r="C486" s="17">
        <v>13.081730424359506</v>
      </c>
      <c r="D486" s="20"/>
      <c r="E486" s="21"/>
      <c r="F486" s="3">
        <v>7634.9000000000005</v>
      </c>
      <c r="H486" s="3">
        <v>1062.5</v>
      </c>
      <c r="I486" s="12"/>
      <c r="J486" s="11">
        <v>2077.1</v>
      </c>
      <c r="K486" s="11"/>
      <c r="L486" s="33">
        <v>566.09999999999991</v>
      </c>
      <c r="M486" s="3">
        <v>3887.1000000000004</v>
      </c>
      <c r="N486" s="6">
        <f t="shared" si="23"/>
        <v>4453.2000000000007</v>
      </c>
      <c r="Q486" s="34"/>
      <c r="R486" s="12"/>
      <c r="S486" s="12"/>
      <c r="T486" s="12"/>
      <c r="U486" s="12"/>
      <c r="V486" s="12"/>
      <c r="W486" s="12"/>
      <c r="Z486" s="4"/>
      <c r="AB486" s="55"/>
      <c r="AC486" s="55"/>
      <c r="AD486" s="55"/>
      <c r="AE486" s="1"/>
      <c r="AF486" s="1"/>
      <c r="AG486" s="1"/>
      <c r="AH486" s="1"/>
      <c r="AI486" s="29" t="str">
        <f t="shared" si="20"/>
        <v/>
      </c>
      <c r="AJ486" s="1"/>
      <c r="AK486" s="1"/>
      <c r="AS486" s="56"/>
      <c r="AT486" s="56"/>
      <c r="AU486" s="56"/>
      <c r="AV486" s="56"/>
      <c r="AW486" s="56"/>
      <c r="AX486" s="56"/>
      <c r="BA486" s="1" t="s">
        <v>24</v>
      </c>
    </row>
    <row r="487" spans="1:53" ht="15">
      <c r="A487" s="1" t="s">
        <v>18</v>
      </c>
      <c r="B487" s="16">
        <v>31973</v>
      </c>
      <c r="C487" s="17">
        <v>14.081067302737743</v>
      </c>
      <c r="D487" s="20"/>
      <c r="E487" s="21"/>
      <c r="F487" s="3">
        <v>9433.5</v>
      </c>
      <c r="H487" s="3">
        <v>1215</v>
      </c>
      <c r="I487" s="12"/>
      <c r="J487" s="11">
        <v>2539</v>
      </c>
      <c r="K487" s="11"/>
      <c r="L487" s="33">
        <v>661.1</v>
      </c>
      <c r="M487" s="3">
        <v>4630.2</v>
      </c>
      <c r="N487" s="6">
        <f t="shared" si="23"/>
        <v>5291.3</v>
      </c>
      <c r="Q487" s="34"/>
      <c r="R487" s="12"/>
      <c r="S487" s="12"/>
      <c r="T487" s="12"/>
      <c r="U487" s="12"/>
      <c r="V487" s="12"/>
      <c r="W487" s="12"/>
      <c r="Z487" s="4"/>
      <c r="AB487" s="55"/>
      <c r="AC487" s="55"/>
      <c r="AD487" s="55"/>
      <c r="AE487" s="1"/>
      <c r="AF487" s="1"/>
      <c r="AG487" s="1"/>
      <c r="AH487" s="1"/>
      <c r="AI487" s="29" t="str">
        <f t="shared" si="20"/>
        <v/>
      </c>
      <c r="AJ487" s="1"/>
      <c r="AK487" s="1"/>
      <c r="AS487" s="56"/>
      <c r="AT487" s="56"/>
      <c r="AU487" s="56"/>
      <c r="AV487" s="56"/>
      <c r="AW487" s="56"/>
      <c r="AX487" s="56"/>
      <c r="BA487" s="1" t="s">
        <v>24</v>
      </c>
    </row>
    <row r="488" spans="1:53" ht="15">
      <c r="A488" s="1" t="s">
        <v>18</v>
      </c>
      <c r="B488" s="16">
        <v>33465</v>
      </c>
      <c r="C488" s="17">
        <v>18.166027912437279</v>
      </c>
      <c r="D488" s="20"/>
      <c r="E488" s="21"/>
      <c r="I488" s="12"/>
      <c r="J488" s="11"/>
      <c r="K488" s="11"/>
      <c r="L488" s="31">
        <v>1069.6448091640918</v>
      </c>
      <c r="M488" s="3">
        <v>7941.5055811663069</v>
      </c>
      <c r="N488" s="6">
        <f t="shared" si="23"/>
        <v>9011.1503903303983</v>
      </c>
      <c r="Q488" s="34"/>
      <c r="R488" s="12"/>
      <c r="S488" s="12"/>
      <c r="T488" s="12"/>
      <c r="U488" s="12"/>
      <c r="V488" s="12"/>
      <c r="W488" s="12"/>
      <c r="Z488" s="4"/>
      <c r="AB488" s="55"/>
      <c r="AC488" s="55"/>
      <c r="AD488" s="55"/>
      <c r="AE488" s="1"/>
      <c r="AF488" s="1"/>
      <c r="AG488" s="1"/>
      <c r="AH488" s="1"/>
      <c r="AI488" s="29" t="str">
        <f t="shared" si="20"/>
        <v/>
      </c>
      <c r="AJ488" s="1"/>
      <c r="AK488" s="1"/>
      <c r="AS488" s="56"/>
      <c r="AT488" s="56"/>
      <c r="AU488" s="56"/>
      <c r="AV488" s="56"/>
      <c r="AW488" s="56"/>
      <c r="AX488" s="56"/>
      <c r="BA488" s="1" t="s">
        <v>24</v>
      </c>
    </row>
    <row r="489" spans="1:53" ht="15">
      <c r="A489" s="1" t="s">
        <v>18</v>
      </c>
      <c r="B489" s="16">
        <v>33831</v>
      </c>
      <c r="C489" s="17">
        <v>19.168102700071348</v>
      </c>
      <c r="D489" s="20"/>
      <c r="E489" s="21"/>
      <c r="I489" s="12"/>
      <c r="J489" s="11"/>
      <c r="K489" s="11"/>
      <c r="L489" s="31">
        <v>1148.452815096997</v>
      </c>
      <c r="M489" s="3">
        <v>8609.2553511843471</v>
      </c>
      <c r="N489" s="6">
        <f t="shared" si="23"/>
        <v>9757.7081662813434</v>
      </c>
      <c r="Q489" s="34"/>
      <c r="R489" s="12"/>
      <c r="S489" s="12"/>
      <c r="T489" s="12"/>
      <c r="U489" s="12"/>
      <c r="V489" s="12"/>
      <c r="W489" s="12"/>
      <c r="Z489" s="4"/>
      <c r="AB489" s="55"/>
      <c r="AC489" s="55"/>
      <c r="AD489" s="55"/>
      <c r="AE489" s="1"/>
      <c r="AF489" s="1"/>
      <c r="AG489" s="1"/>
      <c r="AH489" s="1"/>
      <c r="AI489" s="29" t="str">
        <f t="shared" si="20"/>
        <v/>
      </c>
      <c r="AJ489" s="1"/>
      <c r="AK489" s="1"/>
      <c r="AS489" s="56"/>
      <c r="AT489" s="56"/>
      <c r="AU489" s="56"/>
      <c r="AV489" s="56"/>
      <c r="AW489" s="56"/>
      <c r="AX489" s="56"/>
      <c r="BA489" s="1" t="s">
        <v>24</v>
      </c>
    </row>
    <row r="490" spans="1:53" ht="15">
      <c r="A490" s="1" t="s">
        <v>18</v>
      </c>
      <c r="B490" s="16">
        <v>34135</v>
      </c>
      <c r="C490" s="17">
        <v>20.000427113843909</v>
      </c>
      <c r="D490" s="20"/>
      <c r="E490" s="21"/>
      <c r="I490" s="12"/>
      <c r="J490" s="11"/>
      <c r="K490" s="11"/>
      <c r="L490" s="31">
        <v>1244.6582802841876</v>
      </c>
      <c r="M490" s="3">
        <v>9431.3780200794426</v>
      </c>
      <c r="N490" s="6">
        <f t="shared" si="23"/>
        <v>10676.03630036363</v>
      </c>
      <c r="Q490" s="34">
        <v>311.23</v>
      </c>
      <c r="R490" s="12"/>
      <c r="S490" s="12"/>
      <c r="T490" s="12"/>
      <c r="U490" s="12"/>
      <c r="V490" s="12"/>
      <c r="W490" s="12"/>
      <c r="Z490" s="4"/>
      <c r="AB490" s="55"/>
      <c r="AC490" s="55"/>
      <c r="AD490" s="55"/>
      <c r="AE490" s="1"/>
      <c r="AF490" s="1"/>
      <c r="AG490" s="1"/>
      <c r="AH490" s="1"/>
      <c r="AI490" s="29" t="str">
        <f t="shared" si="20"/>
        <v/>
      </c>
      <c r="AJ490" s="1"/>
      <c r="AK490" s="1"/>
      <c r="AS490" s="56"/>
      <c r="AT490" s="56"/>
      <c r="AU490" s="56"/>
      <c r="AV490" s="56"/>
      <c r="AW490" s="56"/>
      <c r="AX490" s="56"/>
      <c r="BA490" s="1" t="s">
        <v>24</v>
      </c>
    </row>
    <row r="491" spans="1:53" ht="15">
      <c r="A491" s="1" t="s">
        <v>18</v>
      </c>
      <c r="B491" s="16">
        <v>34530</v>
      </c>
      <c r="C491" s="17">
        <v>21.08190126989707</v>
      </c>
      <c r="D491" s="20"/>
      <c r="E491" s="21"/>
      <c r="I491" s="12"/>
      <c r="J491" s="11"/>
      <c r="K491" s="11"/>
      <c r="L491" s="12"/>
      <c r="Q491" s="34"/>
      <c r="R491" s="12"/>
      <c r="S491" s="12"/>
      <c r="T491" s="12"/>
      <c r="U491" s="12"/>
      <c r="V491" s="12"/>
      <c r="W491" s="12"/>
      <c r="Z491" s="4"/>
      <c r="AB491" s="12"/>
      <c r="AC491" s="55"/>
      <c r="AD491" s="55"/>
      <c r="AE491" s="1"/>
      <c r="AF491" s="1"/>
      <c r="AG491" s="1"/>
      <c r="AH491" s="1"/>
      <c r="AI491" s="29" t="str">
        <f t="shared" si="20"/>
        <v/>
      </c>
      <c r="AJ491" s="1"/>
      <c r="AK491" s="1"/>
      <c r="AS491" s="56"/>
      <c r="AT491" s="56"/>
      <c r="AU491" s="56"/>
      <c r="AV491" s="56"/>
      <c r="AW491" s="56"/>
      <c r="AX491" s="56"/>
      <c r="BA491" s="1" t="s">
        <v>24</v>
      </c>
    </row>
    <row r="492" spans="1:53" ht="15">
      <c r="A492" s="1" t="s">
        <v>18</v>
      </c>
      <c r="B492" s="16">
        <v>34926</v>
      </c>
      <c r="C492" s="17">
        <v>22.166113335206063</v>
      </c>
      <c r="D492" s="20"/>
      <c r="E492" s="21"/>
      <c r="I492" s="12"/>
      <c r="J492" s="11"/>
      <c r="K492" s="11"/>
      <c r="L492" s="12"/>
      <c r="Q492" s="34"/>
      <c r="R492" s="12"/>
      <c r="S492" s="12"/>
      <c r="T492" s="12"/>
      <c r="U492" s="12"/>
      <c r="V492" s="12"/>
      <c r="W492" s="12"/>
      <c r="Z492" s="4"/>
      <c r="AB492" s="12"/>
      <c r="AC492" s="55"/>
      <c r="AD492" s="55"/>
      <c r="AE492" s="1"/>
      <c r="AF492" s="1"/>
      <c r="AG492" s="1"/>
      <c r="AH492" s="1"/>
      <c r="AI492" s="29" t="str">
        <f t="shared" si="20"/>
        <v/>
      </c>
      <c r="AJ492" s="1"/>
      <c r="AK492" s="1"/>
      <c r="AS492" s="56"/>
      <c r="AT492" s="56"/>
      <c r="AU492" s="56"/>
      <c r="AV492" s="56"/>
      <c r="AW492" s="56"/>
      <c r="AX492" s="56"/>
      <c r="BA492" s="1" t="s">
        <v>24</v>
      </c>
    </row>
    <row r="493" spans="1:53" ht="15">
      <c r="A493" s="1" t="s">
        <v>18</v>
      </c>
      <c r="B493" s="16">
        <v>35292</v>
      </c>
      <c r="C493" s="17">
        <v>23.168188122840132</v>
      </c>
      <c r="D493" s="20"/>
      <c r="E493" s="21"/>
      <c r="I493" s="12"/>
      <c r="J493" s="11"/>
      <c r="K493" s="11"/>
      <c r="L493" s="12"/>
      <c r="Q493" s="34"/>
      <c r="R493" s="12"/>
      <c r="S493" s="12"/>
      <c r="T493" s="12"/>
      <c r="U493" s="12"/>
      <c r="V493" s="12"/>
      <c r="W493" s="12"/>
      <c r="Z493" s="4"/>
      <c r="AB493" s="12"/>
      <c r="AC493" s="55"/>
      <c r="AD493" s="55"/>
      <c r="AE493" s="1"/>
      <c r="AF493" s="1"/>
      <c r="AG493" s="1"/>
      <c r="AH493" s="1"/>
      <c r="AI493" s="29" t="str">
        <f t="shared" si="20"/>
        <v/>
      </c>
      <c r="AJ493" s="1"/>
      <c r="AK493" s="1"/>
      <c r="AS493" s="56"/>
      <c r="AT493" s="56"/>
      <c r="AU493" s="56"/>
      <c r="AV493" s="56"/>
      <c r="AW493" s="56"/>
      <c r="AX493" s="56"/>
      <c r="BA493" s="1" t="s">
        <v>24</v>
      </c>
    </row>
    <row r="494" spans="1:53" ht="15">
      <c r="A494" s="1" t="s">
        <v>18</v>
      </c>
      <c r="B494" s="16">
        <v>35688</v>
      </c>
      <c r="C494" s="17">
        <v>24.252400188149121</v>
      </c>
      <c r="D494" s="20"/>
      <c r="E494" s="21"/>
      <c r="I494" s="12"/>
      <c r="J494" s="11"/>
      <c r="K494" s="11"/>
      <c r="L494" s="12"/>
      <c r="Q494" s="34"/>
      <c r="R494" s="12"/>
      <c r="S494" s="12"/>
      <c r="T494" s="12"/>
      <c r="U494" s="12"/>
      <c r="V494" s="12"/>
      <c r="W494" s="12"/>
      <c r="Z494" s="4"/>
      <c r="AB494" s="12"/>
      <c r="AC494" s="55"/>
      <c r="AD494" s="55"/>
      <c r="AE494" s="1"/>
      <c r="AF494" s="1"/>
      <c r="AG494" s="1"/>
      <c r="AH494" s="1"/>
      <c r="AI494" s="29" t="str">
        <f t="shared" si="20"/>
        <v/>
      </c>
      <c r="AJ494" s="1"/>
      <c r="AK494" s="1"/>
      <c r="AS494" s="56"/>
      <c r="AT494" s="56"/>
      <c r="AU494" s="56"/>
      <c r="AV494" s="56"/>
      <c r="AW494" s="56"/>
      <c r="AX494" s="56"/>
      <c r="BA494" s="1" t="s">
        <v>24</v>
      </c>
    </row>
    <row r="495" spans="1:53" ht="15">
      <c r="A495" s="1" t="s">
        <v>18</v>
      </c>
      <c r="B495" s="16">
        <v>36022</v>
      </c>
      <c r="C495" s="17">
        <v>25.166861879596606</v>
      </c>
      <c r="D495" s="20"/>
      <c r="E495" s="21"/>
      <c r="I495" s="12"/>
      <c r="J495" s="11"/>
      <c r="K495" s="11"/>
      <c r="L495" s="12"/>
      <c r="Q495" s="34"/>
      <c r="R495" s="12"/>
      <c r="S495" s="12"/>
      <c r="T495" s="12"/>
      <c r="U495" s="12"/>
      <c r="V495" s="12"/>
      <c r="W495" s="12"/>
      <c r="Z495" s="4"/>
      <c r="AB495" s="12"/>
      <c r="AC495" s="55"/>
      <c r="AD495" s="55"/>
      <c r="AE495" s="1"/>
      <c r="AF495" s="1"/>
      <c r="AG495" s="1"/>
      <c r="AH495" s="1"/>
      <c r="AI495" s="29" t="str">
        <f t="shared" si="20"/>
        <v/>
      </c>
      <c r="AJ495" s="1"/>
      <c r="AK495" s="1"/>
      <c r="AS495" s="56"/>
      <c r="AT495" s="56"/>
      <c r="AU495" s="56"/>
      <c r="AV495" s="56"/>
      <c r="AW495" s="56"/>
      <c r="AX495" s="56"/>
      <c r="BA495" s="1" t="s">
        <v>24</v>
      </c>
    </row>
    <row r="496" spans="1:53" ht="15">
      <c r="A496" s="1" t="s">
        <v>18</v>
      </c>
      <c r="B496" s="16">
        <v>36418</v>
      </c>
      <c r="C496" s="17">
        <v>26.251073944905599</v>
      </c>
      <c r="D496" s="20"/>
      <c r="E496" s="21"/>
      <c r="I496" s="12"/>
      <c r="J496" s="11"/>
      <c r="K496" s="11"/>
      <c r="L496" s="12"/>
      <c r="Q496" s="34"/>
      <c r="R496" s="12"/>
      <c r="S496" s="12"/>
      <c r="T496" s="12"/>
      <c r="U496" s="12"/>
      <c r="V496" s="12"/>
      <c r="W496" s="12"/>
      <c r="Z496" s="4"/>
      <c r="AB496" s="12"/>
      <c r="AC496" s="55"/>
      <c r="AD496" s="55"/>
      <c r="AE496" s="1"/>
      <c r="AF496" s="1"/>
      <c r="AG496" s="1"/>
      <c r="AH496" s="1"/>
      <c r="AI496" s="29" t="str">
        <f t="shared" si="20"/>
        <v/>
      </c>
      <c r="AJ496" s="1"/>
      <c r="AK496" s="1"/>
      <c r="AS496" s="56"/>
      <c r="AT496" s="56"/>
      <c r="AU496" s="56"/>
      <c r="AV496" s="56"/>
      <c r="AW496" s="56"/>
      <c r="AX496" s="56"/>
      <c r="BA496" s="1" t="s">
        <v>24</v>
      </c>
    </row>
    <row r="497" spans="1:53" ht="15">
      <c r="A497" s="1" t="s">
        <v>18</v>
      </c>
      <c r="B497" s="16">
        <v>36784</v>
      </c>
      <c r="C497" s="17">
        <v>27.253148732539668</v>
      </c>
      <c r="D497" s="20"/>
      <c r="E497" s="21"/>
      <c r="I497" s="12"/>
      <c r="J497" s="11"/>
      <c r="K497" s="11"/>
      <c r="L497" s="12"/>
      <c r="Q497" s="34"/>
      <c r="R497" s="12"/>
      <c r="S497" s="12"/>
      <c r="T497" s="12"/>
      <c r="U497" s="12"/>
      <c r="V497" s="12"/>
      <c r="W497" s="12"/>
      <c r="Z497" s="4"/>
      <c r="AB497" s="12"/>
      <c r="AC497" s="55"/>
      <c r="AD497" s="55"/>
      <c r="AE497" s="1"/>
      <c r="AF497" s="1"/>
      <c r="AG497" s="1"/>
      <c r="AH497" s="1"/>
      <c r="AI497" s="29" t="str">
        <f t="shared" si="20"/>
        <v/>
      </c>
      <c r="AJ497" s="1"/>
      <c r="AK497" s="1"/>
      <c r="AS497" s="56"/>
      <c r="AT497" s="56"/>
      <c r="AU497" s="56"/>
      <c r="AV497" s="56"/>
      <c r="AW497" s="56"/>
      <c r="AX497" s="56"/>
      <c r="BA497" s="1" t="s">
        <v>24</v>
      </c>
    </row>
    <row r="498" spans="1:53" ht="15">
      <c r="A498" t="s">
        <v>4</v>
      </c>
      <c r="B498" s="16">
        <v>33039.117400000003</v>
      </c>
      <c r="C498">
        <v>17</v>
      </c>
      <c r="D498" s="12"/>
      <c r="E498" s="21"/>
      <c r="F498" s="10"/>
      <c r="G498" s="10"/>
      <c r="H498" s="12"/>
      <c r="I498" s="12"/>
      <c r="J498" s="12"/>
      <c r="K498" s="12"/>
      <c r="L498" s="12"/>
      <c r="M498" s="12"/>
      <c r="N498" s="12"/>
      <c r="O498" s="12"/>
      <c r="P498" s="12"/>
      <c r="Q498" s="34"/>
      <c r="R498" s="12"/>
      <c r="S498" s="12"/>
      <c r="T498" s="12"/>
      <c r="U498" s="12"/>
      <c r="V498" s="12"/>
      <c r="W498" s="12"/>
      <c r="Z498" s="4"/>
      <c r="AC498" s="2"/>
      <c r="AD498" s="2"/>
      <c r="AI498" s="29" t="str">
        <f t="shared" si="20"/>
        <v/>
      </c>
      <c r="AL498">
        <v>6.0999999999999995E-3</v>
      </c>
      <c r="AM498"/>
      <c r="AN498"/>
      <c r="AO498"/>
      <c r="AP498"/>
      <c r="AQ498"/>
      <c r="AR498"/>
      <c r="AS498" s="26"/>
      <c r="AT498" s="26"/>
      <c r="AU498" s="26"/>
      <c r="AV498" s="26"/>
      <c r="AW498" s="26"/>
      <c r="AX498" s="56"/>
      <c r="BA498" s="1" t="s">
        <v>13</v>
      </c>
    </row>
    <row r="499" spans="1:53" ht="15">
      <c r="A499" t="s">
        <v>4</v>
      </c>
      <c r="B499" s="16">
        <v>33404.359600000003</v>
      </c>
      <c r="C499">
        <v>18</v>
      </c>
      <c r="D499" s="12"/>
      <c r="E499" s="21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34"/>
      <c r="R499" s="12"/>
      <c r="S499" s="12"/>
      <c r="T499" s="12"/>
      <c r="U499" s="12"/>
      <c r="V499" s="12"/>
      <c r="W499" s="12"/>
      <c r="Z499" s="4"/>
      <c r="AB499" s="10"/>
      <c r="AI499" s="29" t="str">
        <f t="shared" si="20"/>
        <v/>
      </c>
      <c r="AL499">
        <v>4.1999999999999997E-3</v>
      </c>
      <c r="AM499"/>
      <c r="AN499"/>
      <c r="AO499"/>
      <c r="AP499"/>
      <c r="AQ499"/>
      <c r="AR499"/>
      <c r="AS499" s="26"/>
      <c r="AT499" s="26"/>
      <c r="AU499" s="26"/>
      <c r="AV499" s="26"/>
      <c r="AW499" s="26"/>
      <c r="AX499" s="56"/>
      <c r="BA499" s="1" t="s">
        <v>13</v>
      </c>
    </row>
    <row r="500" spans="1:53" ht="15">
      <c r="A500" t="s">
        <v>4</v>
      </c>
      <c r="B500" s="16">
        <v>33769.601800000004</v>
      </c>
      <c r="C500">
        <v>19</v>
      </c>
      <c r="D500" s="12"/>
      <c r="E500" s="21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34"/>
      <c r="R500" s="12"/>
      <c r="S500" s="12"/>
      <c r="T500" s="12"/>
      <c r="U500" s="12"/>
      <c r="V500" s="12"/>
      <c r="W500" s="12"/>
      <c r="Z500" s="4"/>
      <c r="AB500" s="10"/>
      <c r="AI500" s="29" t="str">
        <f t="shared" si="20"/>
        <v/>
      </c>
      <c r="AL500">
        <v>4.1999999999999997E-3</v>
      </c>
      <c r="AM500"/>
      <c r="AN500"/>
      <c r="AO500"/>
      <c r="AP500"/>
      <c r="AQ500"/>
      <c r="AR500"/>
      <c r="AS500" s="26"/>
      <c r="AT500" s="26"/>
      <c r="AU500" s="26"/>
      <c r="AV500" s="26"/>
      <c r="AW500" s="26"/>
      <c r="AX500" s="56"/>
      <c r="BA500" s="1" t="s">
        <v>13</v>
      </c>
    </row>
    <row r="501" spans="1:53" ht="15">
      <c r="A501" t="s">
        <v>4</v>
      </c>
      <c r="B501" s="16">
        <v>34134.843999999997</v>
      </c>
      <c r="C501">
        <v>20</v>
      </c>
      <c r="D501" s="12"/>
      <c r="E501" s="21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34"/>
      <c r="R501" s="12"/>
      <c r="S501" s="12"/>
      <c r="T501" s="12"/>
      <c r="U501" s="12"/>
      <c r="V501" s="12"/>
      <c r="W501" s="12"/>
      <c r="Z501" s="4"/>
      <c r="AB501" s="10"/>
      <c r="AI501" s="29" t="str">
        <f t="shared" si="20"/>
        <v/>
      </c>
      <c r="AL501">
        <v>4.4000000000000003E-3</v>
      </c>
      <c r="AM501"/>
      <c r="AN501"/>
      <c r="AO501"/>
      <c r="AP501"/>
      <c r="AQ501"/>
      <c r="AR501"/>
      <c r="AS501" s="26"/>
      <c r="AT501" s="26"/>
      <c r="AU501" s="26"/>
      <c r="AV501" s="26"/>
      <c r="AW501" s="26"/>
      <c r="AX501" s="56"/>
      <c r="BA501" s="1" t="s">
        <v>13</v>
      </c>
    </row>
    <row r="502" spans="1:53" ht="15">
      <c r="A502" t="s">
        <v>5</v>
      </c>
      <c r="B502" s="16">
        <v>33039.117400000003</v>
      </c>
      <c r="C502">
        <v>17</v>
      </c>
      <c r="D502" s="12"/>
      <c r="E502" s="21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34"/>
      <c r="R502" s="12"/>
      <c r="S502" s="12"/>
      <c r="T502" s="12"/>
      <c r="U502" s="12"/>
      <c r="V502" s="12"/>
      <c r="W502" s="12"/>
      <c r="Z502" s="4"/>
      <c r="AB502" s="10"/>
      <c r="AI502" s="29" t="str">
        <f t="shared" si="20"/>
        <v/>
      </c>
      <c r="AL502">
        <v>6.5000000000000006E-3</v>
      </c>
      <c r="AM502"/>
      <c r="AN502"/>
      <c r="AO502"/>
      <c r="AP502"/>
      <c r="AQ502"/>
      <c r="AR502"/>
      <c r="AS502" s="26"/>
      <c r="AT502" s="26"/>
      <c r="AU502" s="26"/>
      <c r="AV502" s="26"/>
      <c r="AW502" s="26"/>
      <c r="AX502" s="56"/>
      <c r="BA502" s="1" t="s">
        <v>13</v>
      </c>
    </row>
    <row r="503" spans="1:53" ht="15">
      <c r="A503" t="s">
        <v>5</v>
      </c>
      <c r="B503" s="16">
        <v>33404.359600000003</v>
      </c>
      <c r="C503">
        <v>18</v>
      </c>
      <c r="D503" s="12"/>
      <c r="E503" s="21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34"/>
      <c r="R503" s="12"/>
      <c r="S503" s="12"/>
      <c r="T503" s="12"/>
      <c r="U503" s="12"/>
      <c r="V503" s="12"/>
      <c r="W503" s="12"/>
      <c r="Z503" s="4"/>
      <c r="AB503" s="10"/>
      <c r="AI503" s="29" t="str">
        <f t="shared" si="20"/>
        <v/>
      </c>
      <c r="AL503">
        <v>4.4000000000000003E-3</v>
      </c>
      <c r="AM503"/>
      <c r="AN503"/>
      <c r="AO503"/>
      <c r="AP503"/>
      <c r="AQ503"/>
      <c r="AR503"/>
      <c r="AS503" s="26"/>
      <c r="AT503" s="26"/>
      <c r="AU503" s="26"/>
      <c r="AV503" s="26"/>
      <c r="AW503" s="26"/>
      <c r="AX503" s="56"/>
      <c r="BA503" s="1" t="s">
        <v>13</v>
      </c>
    </row>
    <row r="504" spans="1:53" ht="15">
      <c r="A504" t="s">
        <v>5</v>
      </c>
      <c r="B504" s="16">
        <v>33769.601800000004</v>
      </c>
      <c r="C504">
        <v>19</v>
      </c>
      <c r="D504" s="12"/>
      <c r="E504" s="21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34"/>
      <c r="R504" s="12"/>
      <c r="S504" s="12"/>
      <c r="T504" s="12"/>
      <c r="U504" s="12"/>
      <c r="V504" s="12"/>
      <c r="W504" s="12"/>
      <c r="Z504" s="4"/>
      <c r="AB504" s="10"/>
      <c r="AI504" s="29" t="str">
        <f t="shared" si="20"/>
        <v/>
      </c>
      <c r="AL504">
        <v>4.4000000000000003E-3</v>
      </c>
      <c r="AM504"/>
      <c r="AN504"/>
      <c r="AO504"/>
      <c r="AP504"/>
      <c r="AQ504"/>
      <c r="AR504"/>
      <c r="AS504" s="26"/>
      <c r="AT504" s="26"/>
      <c r="AU504" s="26"/>
      <c r="AV504" s="26"/>
      <c r="AW504" s="26"/>
      <c r="AX504" s="56"/>
      <c r="BA504" s="1" t="s">
        <v>13</v>
      </c>
    </row>
    <row r="505" spans="1:53" ht="15">
      <c r="A505" t="s">
        <v>5</v>
      </c>
      <c r="B505" s="16">
        <v>34134.843999999997</v>
      </c>
      <c r="C505">
        <v>20</v>
      </c>
      <c r="D505" s="12"/>
      <c r="E505" s="21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34"/>
      <c r="R505" s="12"/>
      <c r="S505" s="12"/>
      <c r="T505" s="12"/>
      <c r="U505" s="12"/>
      <c r="V505" s="12"/>
      <c r="W505" s="12"/>
      <c r="Z505" s="4"/>
      <c r="AB505" s="10"/>
      <c r="AI505" s="29" t="str">
        <f t="shared" si="20"/>
        <v/>
      </c>
      <c r="AL505">
        <v>4.1999999999999997E-3</v>
      </c>
      <c r="AM505"/>
      <c r="AN505"/>
      <c r="AO505"/>
      <c r="AP505"/>
      <c r="AQ505"/>
      <c r="AR505"/>
      <c r="AS505" s="26"/>
      <c r="AT505" s="26"/>
      <c r="AU505" s="26"/>
      <c r="AV505" s="26"/>
      <c r="AW505" s="26"/>
      <c r="AX505" s="56"/>
      <c r="BA505" s="1" t="s">
        <v>13</v>
      </c>
    </row>
    <row r="506" spans="1:53" ht="15">
      <c r="A506" t="s">
        <v>6</v>
      </c>
      <c r="B506" s="16">
        <v>33039.117400000003</v>
      </c>
      <c r="C506">
        <v>17</v>
      </c>
      <c r="D506" s="12"/>
      <c r="E506" s="21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34"/>
      <c r="R506" s="12"/>
      <c r="S506" s="12"/>
      <c r="T506" s="12"/>
      <c r="U506" s="12"/>
      <c r="V506" s="12"/>
      <c r="W506" s="12"/>
      <c r="Z506" s="4"/>
      <c r="AB506" s="10"/>
      <c r="AI506" s="29" t="str">
        <f t="shared" si="20"/>
        <v/>
      </c>
      <c r="AL506">
        <v>5.6000000000000008E-3</v>
      </c>
      <c r="AM506"/>
      <c r="AN506"/>
      <c r="AO506"/>
      <c r="AP506"/>
      <c r="AQ506"/>
      <c r="AR506"/>
      <c r="AS506" s="26"/>
      <c r="AT506" s="26"/>
      <c r="AU506" s="26"/>
      <c r="AV506" s="26"/>
      <c r="AW506" s="26"/>
      <c r="AX506" s="56"/>
      <c r="BA506" s="1" t="s">
        <v>13</v>
      </c>
    </row>
    <row r="507" spans="1:53" ht="15">
      <c r="A507" t="s">
        <v>6</v>
      </c>
      <c r="B507" s="16">
        <v>33404.359600000003</v>
      </c>
      <c r="C507">
        <v>18</v>
      </c>
      <c r="D507" s="12"/>
      <c r="E507" s="21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34"/>
      <c r="R507" s="12"/>
      <c r="S507" s="12"/>
      <c r="T507" s="12"/>
      <c r="U507" s="12"/>
      <c r="V507" s="12"/>
      <c r="W507" s="12"/>
      <c r="Z507" s="4"/>
      <c r="AB507" s="10"/>
      <c r="AI507" s="29" t="str">
        <f t="shared" si="20"/>
        <v/>
      </c>
      <c r="AL507">
        <v>4.1999999999999997E-3</v>
      </c>
      <c r="AM507"/>
      <c r="AN507"/>
      <c r="AO507"/>
      <c r="AP507"/>
      <c r="AQ507"/>
      <c r="AR507"/>
      <c r="AS507" s="26"/>
      <c r="AT507" s="26"/>
      <c r="AU507" s="26"/>
      <c r="AV507" s="26"/>
      <c r="AW507" s="26"/>
      <c r="AX507" s="56"/>
      <c r="BA507" s="1" t="s">
        <v>13</v>
      </c>
    </row>
    <row r="508" spans="1:53" ht="15">
      <c r="A508" t="s">
        <v>6</v>
      </c>
      <c r="B508" s="16">
        <v>33769.601800000004</v>
      </c>
      <c r="C508">
        <v>19</v>
      </c>
      <c r="D508" s="12"/>
      <c r="E508" s="21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34"/>
      <c r="R508" s="12"/>
      <c r="S508" s="12"/>
      <c r="T508" s="12"/>
      <c r="U508" s="12"/>
      <c r="V508" s="12"/>
      <c r="W508" s="12"/>
      <c r="Z508" s="4"/>
      <c r="AB508" s="10"/>
      <c r="AI508" s="29" t="str">
        <f t="shared" si="20"/>
        <v/>
      </c>
      <c r="AL508">
        <v>3.9000000000000003E-3</v>
      </c>
      <c r="AM508"/>
      <c r="AN508"/>
      <c r="AO508"/>
      <c r="AP508"/>
      <c r="AQ508"/>
      <c r="AR508"/>
      <c r="AS508" s="26"/>
      <c r="AT508" s="26"/>
      <c r="AU508" s="26"/>
      <c r="AV508" s="26"/>
      <c r="AW508" s="26"/>
      <c r="AX508" s="56"/>
      <c r="BA508" s="1" t="s">
        <v>13</v>
      </c>
    </row>
    <row r="509" spans="1:53" ht="15">
      <c r="A509" t="s">
        <v>6</v>
      </c>
      <c r="B509" s="16">
        <v>34134.843999999997</v>
      </c>
      <c r="C509">
        <v>20</v>
      </c>
      <c r="D509" s="12"/>
      <c r="E509" s="21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34"/>
      <c r="R509" s="12"/>
      <c r="S509" s="12"/>
      <c r="T509" s="12"/>
      <c r="U509" s="12"/>
      <c r="V509" s="12"/>
      <c r="W509" s="12"/>
      <c r="Z509" s="4"/>
      <c r="AB509" s="10"/>
      <c r="AI509" s="29" t="str">
        <f t="shared" si="20"/>
        <v/>
      </c>
      <c r="AL509">
        <v>4.3E-3</v>
      </c>
      <c r="AM509"/>
      <c r="AN509"/>
      <c r="AO509"/>
      <c r="AP509"/>
      <c r="AQ509"/>
      <c r="AR509"/>
      <c r="AS509" s="26"/>
      <c r="AT509" s="26"/>
      <c r="AU509" s="26"/>
      <c r="AV509" s="26"/>
      <c r="AW509" s="26"/>
      <c r="AX509" s="56"/>
      <c r="BA509" s="1" t="s">
        <v>13</v>
      </c>
    </row>
    <row r="510" spans="1:53" ht="15">
      <c r="A510" t="s">
        <v>16</v>
      </c>
      <c r="B510" s="16">
        <v>33039.117400000003</v>
      </c>
      <c r="C510">
        <v>17</v>
      </c>
      <c r="D510" s="12"/>
      <c r="E510" s="21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34"/>
      <c r="R510" s="12"/>
      <c r="S510" s="12"/>
      <c r="T510" s="12"/>
      <c r="U510" s="12"/>
      <c r="V510" s="12"/>
      <c r="W510" s="12"/>
      <c r="Z510" s="4"/>
      <c r="AB510" s="10"/>
      <c r="AI510" s="29" t="str">
        <f t="shared" si="20"/>
        <v/>
      </c>
      <c r="AL510">
        <v>6.6E-3</v>
      </c>
      <c r="AM510"/>
      <c r="AN510"/>
      <c r="AO510"/>
      <c r="AP510"/>
      <c r="AQ510"/>
      <c r="AR510"/>
      <c r="AS510" s="26"/>
      <c r="AT510" s="26"/>
      <c r="AU510" s="26"/>
      <c r="AV510" s="26"/>
      <c r="AW510" s="26"/>
      <c r="AX510" s="56"/>
      <c r="BA510" s="1" t="s">
        <v>13</v>
      </c>
    </row>
    <row r="511" spans="1:53" ht="15">
      <c r="A511" t="s">
        <v>16</v>
      </c>
      <c r="B511" s="16">
        <v>33404.359600000003</v>
      </c>
      <c r="C511">
        <v>18</v>
      </c>
      <c r="D511" s="12"/>
      <c r="E511" s="21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34"/>
      <c r="R511" s="12"/>
      <c r="S511" s="12"/>
      <c r="T511" s="12"/>
      <c r="U511" s="12"/>
      <c r="V511" s="12"/>
      <c r="W511" s="12"/>
      <c r="Z511" s="4"/>
      <c r="AB511" s="10"/>
      <c r="AI511" s="29" t="str">
        <f t="shared" si="20"/>
        <v/>
      </c>
      <c r="AL511">
        <v>4.8999999999999998E-3</v>
      </c>
      <c r="AM511"/>
      <c r="AN511"/>
      <c r="AO511"/>
      <c r="AP511"/>
      <c r="AQ511"/>
      <c r="AR511"/>
      <c r="AS511" s="26"/>
      <c r="AT511" s="26"/>
      <c r="AU511" s="26"/>
      <c r="AV511" s="26"/>
      <c r="AW511" s="26"/>
      <c r="AX511" s="56"/>
      <c r="BA511" s="1" t="s">
        <v>13</v>
      </c>
    </row>
    <row r="512" spans="1:53" ht="15">
      <c r="A512" t="s">
        <v>16</v>
      </c>
      <c r="B512" s="16">
        <v>33769.601800000004</v>
      </c>
      <c r="C512">
        <v>19</v>
      </c>
      <c r="D512" s="12"/>
      <c r="E512" s="21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34"/>
      <c r="R512" s="12"/>
      <c r="S512" s="12"/>
      <c r="T512" s="12"/>
      <c r="U512" s="12"/>
      <c r="V512" s="12"/>
      <c r="W512" s="12"/>
      <c r="Z512" s="4"/>
      <c r="AB512" s="10"/>
      <c r="AI512" s="29" t="str">
        <f t="shared" si="20"/>
        <v/>
      </c>
      <c r="AL512">
        <v>4.8999999999999998E-3</v>
      </c>
      <c r="AM512"/>
      <c r="AN512"/>
      <c r="AO512"/>
      <c r="AP512"/>
      <c r="AQ512"/>
      <c r="AR512"/>
      <c r="AS512" s="26"/>
      <c r="AT512" s="26"/>
      <c r="AU512" s="26"/>
      <c r="AV512" s="26"/>
      <c r="AW512" s="26"/>
      <c r="AX512" s="56"/>
      <c r="BA512" s="1" t="s">
        <v>13</v>
      </c>
    </row>
    <row r="513" spans="1:54" ht="15">
      <c r="A513" t="s">
        <v>16</v>
      </c>
      <c r="B513" s="16">
        <v>34134.843999999997</v>
      </c>
      <c r="C513">
        <v>20</v>
      </c>
      <c r="D513" s="12"/>
      <c r="E513" s="21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34"/>
      <c r="R513" s="12"/>
      <c r="S513" s="12"/>
      <c r="T513" s="12"/>
      <c r="U513" s="12"/>
      <c r="V513" s="12"/>
      <c r="W513" s="12"/>
      <c r="Z513" s="4"/>
      <c r="AB513" s="10"/>
      <c r="AI513" s="29" t="str">
        <f t="shared" si="20"/>
        <v/>
      </c>
      <c r="AL513">
        <v>4.5999999999999999E-3</v>
      </c>
      <c r="AM513"/>
      <c r="AN513"/>
      <c r="AO513"/>
      <c r="AP513"/>
      <c r="AQ513"/>
      <c r="AR513"/>
      <c r="AS513" s="26"/>
      <c r="AT513" s="26"/>
      <c r="AU513" s="26"/>
      <c r="AV513" s="26"/>
      <c r="AW513" s="26"/>
      <c r="AX513" s="56"/>
      <c r="BA513" s="1" t="s">
        <v>13</v>
      </c>
    </row>
    <row r="514" spans="1:54" ht="15">
      <c r="A514" t="s">
        <v>16</v>
      </c>
      <c r="B514" s="16">
        <v>33039.117400000003</v>
      </c>
      <c r="C514">
        <v>17</v>
      </c>
      <c r="D514" s="12"/>
      <c r="E514" s="21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34"/>
      <c r="R514" s="12"/>
      <c r="S514" s="12"/>
      <c r="T514" s="12"/>
      <c r="U514" s="12"/>
      <c r="V514" s="12"/>
      <c r="W514" s="12"/>
      <c r="Z514" s="4"/>
      <c r="AB514" s="10"/>
      <c r="AI514" s="29" t="str">
        <f t="shared" si="20"/>
        <v/>
      </c>
      <c r="AL514">
        <v>6.9999999999999993E-3</v>
      </c>
      <c r="AM514"/>
      <c r="AN514"/>
      <c r="AO514"/>
      <c r="AP514"/>
      <c r="AQ514"/>
      <c r="AR514"/>
      <c r="AS514" s="26"/>
      <c r="AT514" s="26"/>
      <c r="AU514" s="26"/>
      <c r="AV514" s="26"/>
      <c r="AW514" s="26"/>
      <c r="AX514" s="56"/>
      <c r="BA514" s="1" t="s">
        <v>13</v>
      </c>
    </row>
    <row r="515" spans="1:54" ht="15">
      <c r="A515" t="s">
        <v>16</v>
      </c>
      <c r="B515" s="16">
        <v>33404.359600000003</v>
      </c>
      <c r="C515">
        <v>18</v>
      </c>
      <c r="D515" s="12"/>
      <c r="E515" s="21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34"/>
      <c r="R515" s="12"/>
      <c r="S515" s="12"/>
      <c r="T515" s="12"/>
      <c r="U515" s="12"/>
      <c r="V515" s="12"/>
      <c r="W515" s="12"/>
      <c r="Z515" s="4"/>
      <c r="AB515" s="10"/>
      <c r="AI515" s="29" t="str">
        <f t="shared" ref="AI515:AI578" si="24">IF(AH515&gt;0.001,AH515/C515,"")</f>
        <v/>
      </c>
      <c r="AL515">
        <v>5.1000000000000004E-3</v>
      </c>
      <c r="AM515"/>
      <c r="AN515"/>
      <c r="AO515"/>
      <c r="AP515"/>
      <c r="AQ515"/>
      <c r="AR515"/>
      <c r="AS515" s="26"/>
      <c r="AT515" s="26"/>
      <c r="AU515" s="26"/>
      <c r="AV515" s="26"/>
      <c r="AW515" s="26"/>
      <c r="AX515" s="56"/>
      <c r="BA515" s="1" t="s">
        <v>13</v>
      </c>
    </row>
    <row r="516" spans="1:54" ht="15">
      <c r="A516" t="s">
        <v>16</v>
      </c>
      <c r="B516" s="16">
        <v>33769.601800000004</v>
      </c>
      <c r="C516">
        <v>19</v>
      </c>
      <c r="D516" s="12"/>
      <c r="E516" s="21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34"/>
      <c r="R516" s="12"/>
      <c r="S516" s="12"/>
      <c r="T516" s="12"/>
      <c r="U516" s="12"/>
      <c r="V516" s="12"/>
      <c r="W516" s="12"/>
      <c r="Z516" s="4"/>
      <c r="AB516" s="10"/>
      <c r="AI516" s="29" t="str">
        <f t="shared" si="24"/>
        <v/>
      </c>
      <c r="AL516">
        <v>4.5999999999999999E-3</v>
      </c>
      <c r="AM516"/>
      <c r="AN516"/>
      <c r="AO516"/>
      <c r="AP516"/>
      <c r="AQ516"/>
      <c r="AR516"/>
      <c r="AS516" s="26"/>
      <c r="AT516" s="26"/>
      <c r="AU516" s="26"/>
      <c r="AV516" s="26"/>
      <c r="AW516" s="26"/>
      <c r="AX516" s="56"/>
      <c r="BA516" s="1" t="s">
        <v>13</v>
      </c>
    </row>
    <row r="517" spans="1:54" ht="15">
      <c r="A517" t="s">
        <v>16</v>
      </c>
      <c r="B517" s="16">
        <v>34134.843999999997</v>
      </c>
      <c r="C517">
        <v>20</v>
      </c>
      <c r="D517" s="12"/>
      <c r="E517" s="21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34"/>
      <c r="R517" s="12"/>
      <c r="S517" s="12"/>
      <c r="T517" s="12"/>
      <c r="U517" s="12"/>
      <c r="V517" s="12"/>
      <c r="W517" s="12"/>
      <c r="Z517" s="4"/>
      <c r="AB517" s="10"/>
      <c r="AI517" s="29" t="str">
        <f t="shared" si="24"/>
        <v/>
      </c>
      <c r="AL517">
        <v>5.0000000000000001E-3</v>
      </c>
      <c r="AM517"/>
      <c r="AN517"/>
      <c r="AO517"/>
      <c r="AP517"/>
      <c r="AQ517"/>
      <c r="AR517"/>
      <c r="AS517" s="26"/>
      <c r="AT517" s="26"/>
      <c r="AU517" s="26"/>
      <c r="AV517" s="26"/>
      <c r="AW517" s="26"/>
      <c r="AX517" s="56"/>
      <c r="BA517" s="1" t="s">
        <v>13</v>
      </c>
    </row>
    <row r="518" spans="1:54" ht="15">
      <c r="A518" t="s">
        <v>17</v>
      </c>
      <c r="B518" s="16">
        <v>33039.117400000003</v>
      </c>
      <c r="C518">
        <v>17</v>
      </c>
      <c r="D518" s="12"/>
      <c r="E518" s="21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34"/>
      <c r="R518" s="12"/>
      <c r="S518" s="12"/>
      <c r="T518" s="12"/>
      <c r="U518" s="12"/>
      <c r="V518" s="12"/>
      <c r="W518" s="12"/>
      <c r="Z518" s="4"/>
      <c r="AB518" s="10"/>
      <c r="AI518" s="29" t="str">
        <f t="shared" si="24"/>
        <v/>
      </c>
      <c r="AL518">
        <v>9.7999999999999997E-3</v>
      </c>
      <c r="AM518"/>
      <c r="AN518"/>
      <c r="AO518"/>
      <c r="AP518"/>
      <c r="AQ518"/>
      <c r="AR518"/>
      <c r="AS518" s="26"/>
      <c r="AT518" s="26"/>
      <c r="AU518" s="26"/>
      <c r="AV518" s="26"/>
      <c r="AW518" s="26"/>
      <c r="AX518" s="56"/>
      <c r="BA518" s="1" t="s">
        <v>13</v>
      </c>
    </row>
    <row r="519" spans="1:54" ht="15">
      <c r="A519" t="s">
        <v>17</v>
      </c>
      <c r="B519" s="16">
        <v>33404.359600000003</v>
      </c>
      <c r="C519">
        <v>18</v>
      </c>
      <c r="D519" s="12"/>
      <c r="E519" s="21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34"/>
      <c r="R519" s="12"/>
      <c r="S519" s="12"/>
      <c r="T519" s="12"/>
      <c r="U519" s="12"/>
      <c r="V519" s="12"/>
      <c r="W519" s="12"/>
      <c r="Z519" s="4"/>
      <c r="AB519" s="10"/>
      <c r="AI519" s="29" t="str">
        <f t="shared" si="24"/>
        <v/>
      </c>
      <c r="AL519">
        <v>7.8000000000000005E-3</v>
      </c>
      <c r="AM519"/>
      <c r="AN519"/>
      <c r="AO519"/>
      <c r="AP519"/>
      <c r="AQ519"/>
      <c r="AR519"/>
      <c r="AS519" s="26"/>
      <c r="AT519" s="26"/>
      <c r="AU519" s="26"/>
      <c r="AV519" s="26"/>
      <c r="AW519" s="26"/>
      <c r="AX519" s="56"/>
      <c r="BA519" s="1" t="s">
        <v>13</v>
      </c>
    </row>
    <row r="520" spans="1:54" ht="15">
      <c r="A520" t="s">
        <v>17</v>
      </c>
      <c r="B520" s="16">
        <v>33769.601800000004</v>
      </c>
      <c r="C520">
        <v>19</v>
      </c>
      <c r="D520" s="12"/>
      <c r="E520" s="21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34"/>
      <c r="R520" s="12"/>
      <c r="S520" s="12"/>
      <c r="T520" s="12"/>
      <c r="U520" s="12"/>
      <c r="V520" s="12"/>
      <c r="W520" s="12"/>
      <c r="Z520" s="4"/>
      <c r="AB520" s="10"/>
      <c r="AI520" s="29" t="str">
        <f t="shared" si="24"/>
        <v/>
      </c>
      <c r="AL520">
        <v>6.8000000000000005E-3</v>
      </c>
      <c r="AM520"/>
      <c r="AN520"/>
      <c r="AO520"/>
      <c r="AP520"/>
      <c r="AQ520"/>
      <c r="AR520"/>
      <c r="AS520" s="26"/>
      <c r="AT520" s="26"/>
      <c r="AU520" s="26"/>
      <c r="AV520" s="26"/>
      <c r="AW520" s="26"/>
      <c r="AX520" s="56"/>
      <c r="BA520" s="1" t="s">
        <v>13</v>
      </c>
    </row>
    <row r="521" spans="1:54" ht="15">
      <c r="A521" t="s">
        <v>17</v>
      </c>
      <c r="B521" s="16">
        <v>34134.843999999997</v>
      </c>
      <c r="C521">
        <v>20</v>
      </c>
      <c r="D521" s="12"/>
      <c r="E521" s="21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34"/>
      <c r="R521" s="12"/>
      <c r="S521" s="12"/>
      <c r="T521" s="12"/>
      <c r="U521" s="12"/>
      <c r="V521" s="12"/>
      <c r="W521" s="12"/>
      <c r="Z521" s="4"/>
      <c r="AB521" s="10"/>
      <c r="AI521" s="29" t="str">
        <f t="shared" si="24"/>
        <v/>
      </c>
      <c r="AL521">
        <v>5.1999999999999998E-3</v>
      </c>
      <c r="AM521"/>
      <c r="AN521"/>
      <c r="AO521"/>
      <c r="AP521"/>
      <c r="AQ521"/>
      <c r="AR521"/>
      <c r="AS521" s="26"/>
      <c r="AT521" s="26"/>
      <c r="AU521" s="26"/>
      <c r="AV521" s="26"/>
      <c r="AW521" s="26"/>
      <c r="AX521" s="56"/>
      <c r="BA521" s="1" t="s">
        <v>13</v>
      </c>
    </row>
    <row r="522" spans="1:54" ht="15">
      <c r="A522" t="s">
        <v>9</v>
      </c>
      <c r="B522" s="16">
        <v>33039.117400000003</v>
      </c>
      <c r="C522">
        <v>17</v>
      </c>
      <c r="D522" s="12"/>
      <c r="E522" s="21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34"/>
      <c r="R522" s="12"/>
      <c r="S522" s="12"/>
      <c r="T522" s="12"/>
      <c r="U522" s="12"/>
      <c r="V522" s="12"/>
      <c r="W522" s="12"/>
      <c r="Z522" s="4"/>
      <c r="AB522" s="10"/>
      <c r="AI522" s="29" t="str">
        <f t="shared" si="24"/>
        <v/>
      </c>
      <c r="AL522">
        <v>9.8999999999999991E-3</v>
      </c>
      <c r="AM522"/>
      <c r="AN522"/>
      <c r="AO522"/>
      <c r="AP522"/>
      <c r="AQ522"/>
      <c r="AR522"/>
      <c r="AS522" s="26"/>
      <c r="AT522" s="26"/>
      <c r="AU522" s="26"/>
      <c r="AV522" s="26"/>
      <c r="AW522" s="26"/>
      <c r="AX522" s="56"/>
      <c r="BA522" s="1" t="s">
        <v>13</v>
      </c>
    </row>
    <row r="523" spans="1:54" ht="15">
      <c r="A523" t="s">
        <v>9</v>
      </c>
      <c r="B523" s="16">
        <v>33404.359600000003</v>
      </c>
      <c r="C523">
        <v>18</v>
      </c>
      <c r="D523" s="12"/>
      <c r="E523" s="21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34"/>
      <c r="R523" s="12"/>
      <c r="S523" s="12"/>
      <c r="T523" s="12"/>
      <c r="U523" s="12"/>
      <c r="V523" s="12"/>
      <c r="W523" s="12"/>
      <c r="Z523" s="4"/>
      <c r="AB523" s="10"/>
      <c r="AI523" s="29" t="str">
        <f t="shared" si="24"/>
        <v/>
      </c>
      <c r="AL523">
        <v>6.9999999999999993E-3</v>
      </c>
      <c r="AM523"/>
      <c r="AN523"/>
      <c r="AO523"/>
      <c r="AP523"/>
      <c r="AQ523"/>
      <c r="AR523"/>
      <c r="AS523" s="26"/>
      <c r="AT523" s="26"/>
      <c r="AU523" s="26"/>
      <c r="AV523" s="26"/>
      <c r="AW523" s="26"/>
      <c r="AX523" s="56"/>
      <c r="AY523" s="7"/>
      <c r="AZ523" s="7"/>
      <c r="BA523" s="1" t="s">
        <v>13</v>
      </c>
    </row>
    <row r="524" spans="1:54" ht="15">
      <c r="A524" t="s">
        <v>9</v>
      </c>
      <c r="B524" s="16">
        <v>33769.601800000004</v>
      </c>
      <c r="C524">
        <v>19</v>
      </c>
      <c r="D524" s="12"/>
      <c r="E524" s="21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34"/>
      <c r="R524" s="12"/>
      <c r="S524" s="12"/>
      <c r="T524" s="12"/>
      <c r="U524" s="12"/>
      <c r="V524" s="12"/>
      <c r="W524" s="12"/>
      <c r="Z524" s="4"/>
      <c r="AB524" s="10"/>
      <c r="AI524" s="29" t="str">
        <f t="shared" si="24"/>
        <v/>
      </c>
      <c r="AL524">
        <v>6.3E-3</v>
      </c>
      <c r="AM524"/>
      <c r="AN524"/>
      <c r="AO524"/>
      <c r="AP524"/>
      <c r="AQ524"/>
      <c r="AR524"/>
      <c r="AS524" s="26"/>
      <c r="AT524" s="26"/>
      <c r="AU524" s="26"/>
      <c r="AV524" s="26"/>
      <c r="AW524" s="26"/>
      <c r="AX524" s="56"/>
      <c r="AY524" s="7"/>
      <c r="AZ524" s="7"/>
      <c r="BA524" s="1" t="s">
        <v>13</v>
      </c>
    </row>
    <row r="525" spans="1:54" ht="15">
      <c r="A525" t="s">
        <v>9</v>
      </c>
      <c r="B525" s="16">
        <v>34134.843999999997</v>
      </c>
      <c r="C525">
        <v>20</v>
      </c>
      <c r="D525" s="6"/>
      <c r="E525" s="20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R525" s="6"/>
      <c r="S525" s="6"/>
      <c r="T525" s="6"/>
      <c r="U525" s="6"/>
      <c r="V525" s="6"/>
      <c r="W525" s="6"/>
      <c r="Z525" s="4"/>
      <c r="AB525" s="10"/>
      <c r="AI525" s="29" t="str">
        <f t="shared" si="24"/>
        <v/>
      </c>
      <c r="AL525">
        <v>5.1000000000000004E-3</v>
      </c>
      <c r="AM525"/>
      <c r="AN525"/>
      <c r="AO525"/>
      <c r="AP525"/>
      <c r="AQ525"/>
      <c r="AR525"/>
      <c r="AS525" s="26"/>
      <c r="AT525" s="26"/>
      <c r="AU525" s="26"/>
      <c r="AV525" s="26"/>
      <c r="AW525" s="26"/>
      <c r="AX525" s="56"/>
      <c r="AY525" s="7"/>
      <c r="AZ525" s="7"/>
      <c r="BA525" s="1" t="s">
        <v>13</v>
      </c>
    </row>
    <row r="526" spans="1:54" ht="15">
      <c r="A526" s="1" t="s">
        <v>4</v>
      </c>
      <c r="B526" s="5">
        <v>30857.980456000016</v>
      </c>
      <c r="C526" s="8">
        <v>11.025507063532132</v>
      </c>
      <c r="D526" s="6"/>
      <c r="E526" s="20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R526" s="6"/>
      <c r="S526" s="6"/>
      <c r="T526" s="6"/>
      <c r="U526" s="6"/>
      <c r="V526" s="6"/>
      <c r="W526" s="6"/>
      <c r="X526" s="8">
        <v>273.82</v>
      </c>
      <c r="Y526" s="8"/>
      <c r="Z526" s="4"/>
      <c r="AB526" s="10"/>
      <c r="AI526" s="29" t="str">
        <f t="shared" si="24"/>
        <v/>
      </c>
      <c r="AL526" s="6"/>
      <c r="AM526" s="6"/>
      <c r="AN526" s="6"/>
      <c r="AO526" s="6"/>
      <c r="AP526" s="6"/>
      <c r="AQ526" s="6"/>
      <c r="AR526" s="6"/>
      <c r="AS526" s="63"/>
      <c r="AT526" s="63"/>
      <c r="AU526" s="63"/>
      <c r="AV526" s="63"/>
      <c r="AW526" s="63"/>
      <c r="AX526" s="56"/>
      <c r="BA526" s="1" t="s">
        <v>14</v>
      </c>
      <c r="BB526" s="8">
        <v>273.82</v>
      </c>
    </row>
    <row r="527" spans="1:54" ht="15">
      <c r="A527" s="1" t="s">
        <v>4</v>
      </c>
      <c r="B527" s="5">
        <v>30868.937722000006</v>
      </c>
      <c r="C527" s="8">
        <v>11.055507063532104</v>
      </c>
      <c r="D527" s="6"/>
      <c r="E527" s="20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R527" s="6"/>
      <c r="S527" s="6"/>
      <c r="T527" s="6"/>
      <c r="U527" s="6"/>
      <c r="V527" s="6"/>
      <c r="W527" s="6"/>
      <c r="X527" s="8">
        <v>268.62</v>
      </c>
      <c r="Y527" s="8"/>
      <c r="Z527" s="4"/>
      <c r="AB527" s="10"/>
      <c r="AI527" s="29" t="str">
        <f t="shared" si="24"/>
        <v/>
      </c>
      <c r="AL527" s="6"/>
      <c r="AM527" s="6"/>
      <c r="AN527" s="6"/>
      <c r="AO527" s="6"/>
      <c r="AP527" s="6"/>
      <c r="AQ527" s="6"/>
      <c r="AR527" s="6"/>
      <c r="AS527" s="63"/>
      <c r="AT527" s="63"/>
      <c r="AU527" s="63"/>
      <c r="AV527" s="63"/>
      <c r="AW527" s="63"/>
      <c r="AX527" s="56"/>
      <c r="BA527" s="1" t="s">
        <v>14</v>
      </c>
      <c r="BB527" s="8">
        <v>268.62</v>
      </c>
    </row>
    <row r="528" spans="1:54" ht="15">
      <c r="A528" s="1" t="s">
        <v>4</v>
      </c>
      <c r="B528" s="5">
        <v>30883.547409999992</v>
      </c>
      <c r="C528" s="8">
        <v>11.095507063532066</v>
      </c>
      <c r="D528" s="6"/>
      <c r="E528" s="20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R528" s="6"/>
      <c r="S528" s="6"/>
      <c r="T528" s="6"/>
      <c r="U528" s="6"/>
      <c r="V528" s="6"/>
      <c r="W528" s="6"/>
      <c r="X528" s="8">
        <v>269.58999999999997</v>
      </c>
      <c r="Y528" s="8"/>
      <c r="Z528" s="4"/>
      <c r="AB528" s="10"/>
      <c r="AI528" s="29" t="str">
        <f t="shared" si="24"/>
        <v/>
      </c>
      <c r="AL528" s="6"/>
      <c r="AM528" s="6"/>
      <c r="AN528" s="6"/>
      <c r="AO528" s="6"/>
      <c r="AP528" s="6"/>
      <c r="AQ528" s="6"/>
      <c r="AR528" s="6"/>
      <c r="AS528" s="63"/>
      <c r="AT528" s="63"/>
      <c r="AU528" s="63"/>
      <c r="AV528" s="63"/>
      <c r="AW528" s="63"/>
      <c r="AX528" s="56"/>
      <c r="BA528" s="1" t="s">
        <v>14</v>
      </c>
      <c r="BB528" s="8">
        <v>269.58999999999997</v>
      </c>
    </row>
    <row r="529" spans="1:54" ht="15">
      <c r="A529" s="1" t="s">
        <v>4</v>
      </c>
      <c r="B529" s="5">
        <v>30898.157097999978</v>
      </c>
      <c r="C529" s="8">
        <v>11.135507063532028</v>
      </c>
      <c r="D529" s="6"/>
      <c r="E529" s="20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R529" s="6"/>
      <c r="S529" s="6"/>
      <c r="T529" s="6"/>
      <c r="U529" s="6"/>
      <c r="V529" s="6"/>
      <c r="W529" s="6"/>
      <c r="X529" s="8">
        <v>329.11</v>
      </c>
      <c r="Y529" s="8"/>
      <c r="Z529" s="4"/>
      <c r="AB529" s="10"/>
      <c r="AI529" s="29" t="str">
        <f t="shared" si="24"/>
        <v/>
      </c>
      <c r="AL529" s="6"/>
      <c r="AM529" s="6"/>
      <c r="AN529" s="6"/>
      <c r="AO529" s="6"/>
      <c r="AP529" s="6"/>
      <c r="AQ529" s="6"/>
      <c r="AR529" s="6"/>
      <c r="AS529" s="63"/>
      <c r="AT529" s="63"/>
      <c r="AU529" s="63"/>
      <c r="AV529" s="63"/>
      <c r="AW529" s="63"/>
      <c r="AX529" s="56"/>
      <c r="BA529" s="1" t="s">
        <v>14</v>
      </c>
      <c r="BB529" s="8">
        <v>329.11</v>
      </c>
    </row>
    <row r="530" spans="1:54" ht="15">
      <c r="A530" s="1" t="s">
        <v>4</v>
      </c>
      <c r="B530" s="5">
        <v>30912.766786000051</v>
      </c>
      <c r="C530" s="8">
        <v>11.175507063532228</v>
      </c>
      <c r="D530" s="6"/>
      <c r="E530" s="20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R530" s="6"/>
      <c r="S530" s="6"/>
      <c r="T530" s="6"/>
      <c r="U530" s="6"/>
      <c r="V530" s="6"/>
      <c r="W530" s="6"/>
      <c r="X530" s="8">
        <v>347.97</v>
      </c>
      <c r="Y530" s="8"/>
      <c r="Z530" s="4"/>
      <c r="AB530" s="10"/>
      <c r="AI530" s="29" t="str">
        <f t="shared" si="24"/>
        <v/>
      </c>
      <c r="AL530" s="6"/>
      <c r="AM530" s="6"/>
      <c r="AN530" s="6"/>
      <c r="AO530" s="6"/>
      <c r="AP530" s="6"/>
      <c r="AQ530" s="6"/>
      <c r="AR530" s="6"/>
      <c r="AS530" s="63"/>
      <c r="AT530" s="63"/>
      <c r="AU530" s="63"/>
      <c r="AV530" s="63"/>
      <c r="AW530" s="63"/>
      <c r="AX530" s="56"/>
      <c r="BA530" s="1" t="s">
        <v>14</v>
      </c>
      <c r="BB530" s="8">
        <v>347.97</v>
      </c>
    </row>
    <row r="531" spans="1:54" ht="15">
      <c r="A531" s="1" t="s">
        <v>4</v>
      </c>
      <c r="B531" s="5">
        <v>30927.376474000037</v>
      </c>
      <c r="C531" s="8">
        <v>11.21550706353219</v>
      </c>
      <c r="D531" s="6"/>
      <c r="E531" s="20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R531" s="6"/>
      <c r="S531" s="6"/>
      <c r="T531" s="6"/>
      <c r="U531" s="6"/>
      <c r="V531" s="6"/>
      <c r="W531" s="6"/>
      <c r="X531" s="8">
        <v>365.53</v>
      </c>
      <c r="Y531" s="8"/>
      <c r="Z531" s="4"/>
      <c r="AB531" s="10"/>
      <c r="AI531" s="29" t="str">
        <f t="shared" si="24"/>
        <v/>
      </c>
      <c r="AL531" s="6"/>
      <c r="AM531" s="6"/>
      <c r="AN531" s="6"/>
      <c r="AO531" s="6"/>
      <c r="AP531" s="6"/>
      <c r="AQ531" s="6"/>
      <c r="AR531" s="6"/>
      <c r="AS531" s="63"/>
      <c r="AT531" s="63"/>
      <c r="AU531" s="63"/>
      <c r="AV531" s="63"/>
      <c r="AW531" s="63"/>
      <c r="AX531" s="56"/>
      <c r="BA531" s="1" t="s">
        <v>14</v>
      </c>
      <c r="BB531" s="8">
        <v>365.53</v>
      </c>
    </row>
    <row r="532" spans="1:54" ht="15">
      <c r="A532" s="1" t="s">
        <v>4</v>
      </c>
      <c r="B532" s="5">
        <v>30941.986162000023</v>
      </c>
      <c r="C532" s="8">
        <v>11.255507063532152</v>
      </c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R532" s="6"/>
      <c r="S532" s="6"/>
      <c r="T532" s="6"/>
      <c r="U532" s="6"/>
      <c r="V532" s="6"/>
      <c r="W532" s="6"/>
      <c r="X532" s="8">
        <v>366.18</v>
      </c>
      <c r="Y532" s="8"/>
      <c r="Z532" s="4"/>
      <c r="AB532" s="10"/>
      <c r="AI532" s="29" t="str">
        <f t="shared" si="24"/>
        <v/>
      </c>
      <c r="AL532" s="6"/>
      <c r="AM532" s="6"/>
      <c r="AN532" s="6"/>
      <c r="AO532" s="6"/>
      <c r="AP532" s="6"/>
      <c r="AQ532" s="6"/>
      <c r="AR532" s="6"/>
      <c r="AS532" s="63"/>
      <c r="AT532" s="63"/>
      <c r="AU532" s="63"/>
      <c r="AV532" s="63"/>
      <c r="AW532" s="63"/>
      <c r="AX532" s="56"/>
      <c r="BA532" s="1" t="s">
        <v>14</v>
      </c>
      <c r="BB532" s="8">
        <v>366.18</v>
      </c>
    </row>
    <row r="533" spans="1:54" ht="15">
      <c r="A533" s="1" t="s">
        <v>4</v>
      </c>
      <c r="B533" s="5">
        <v>30956.595850000009</v>
      </c>
      <c r="C533" s="8">
        <v>11.295507063532112</v>
      </c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R533" s="6"/>
      <c r="S533" s="6"/>
      <c r="T533" s="6"/>
      <c r="U533" s="6"/>
      <c r="V533" s="6"/>
      <c r="W533" s="6"/>
      <c r="X533" s="8">
        <v>367.15</v>
      </c>
      <c r="Y533" s="8"/>
      <c r="Z533" s="4"/>
      <c r="AB533" s="10"/>
      <c r="AI533" s="29" t="str">
        <f t="shared" si="24"/>
        <v/>
      </c>
      <c r="AL533" s="6"/>
      <c r="AM533" s="6"/>
      <c r="AN533" s="6"/>
      <c r="AO533" s="6"/>
      <c r="AP533" s="6"/>
      <c r="AQ533" s="6"/>
      <c r="AR533" s="6"/>
      <c r="AS533" s="63"/>
      <c r="AT533" s="63"/>
      <c r="AU533" s="63"/>
      <c r="AV533" s="63"/>
      <c r="AW533" s="63"/>
      <c r="AX533" s="56"/>
      <c r="BA533" s="1" t="s">
        <v>14</v>
      </c>
      <c r="BB533" s="8">
        <v>367.15</v>
      </c>
    </row>
    <row r="534" spans="1:54" ht="15">
      <c r="A534" s="1" t="s">
        <v>4</v>
      </c>
      <c r="B534" s="5">
        <v>30967.553115999999</v>
      </c>
      <c r="C534" s="8">
        <v>11.325507063532086</v>
      </c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R534" s="6"/>
      <c r="S534" s="6"/>
      <c r="T534" s="6"/>
      <c r="U534" s="6"/>
      <c r="V534" s="6"/>
      <c r="W534" s="6"/>
      <c r="X534" s="8">
        <v>333.33</v>
      </c>
      <c r="Y534" s="8"/>
      <c r="Z534" s="4"/>
      <c r="AB534" s="10"/>
      <c r="AI534" s="29" t="str">
        <f t="shared" si="24"/>
        <v/>
      </c>
      <c r="AL534" s="6"/>
      <c r="AM534" s="6"/>
      <c r="AN534" s="6"/>
      <c r="AO534" s="6"/>
      <c r="AP534" s="6"/>
      <c r="AQ534" s="6"/>
      <c r="AR534" s="6"/>
      <c r="AS534" s="63"/>
      <c r="AT534" s="63"/>
      <c r="AU534" s="63"/>
      <c r="AV534" s="63"/>
      <c r="AW534" s="63"/>
      <c r="AX534" s="56"/>
      <c r="BA534" s="1" t="s">
        <v>14</v>
      </c>
      <c r="BB534" s="8">
        <v>333.33</v>
      </c>
    </row>
    <row r="535" spans="1:54" ht="15">
      <c r="A535" s="1" t="s">
        <v>4</v>
      </c>
      <c r="B535" s="5">
        <v>30982.162803999985</v>
      </c>
      <c r="C535" s="8">
        <v>11.365507063532048</v>
      </c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R535" s="6"/>
      <c r="S535" s="6"/>
      <c r="T535" s="6"/>
      <c r="U535" s="6"/>
      <c r="V535" s="6"/>
      <c r="W535" s="6"/>
      <c r="X535" s="8">
        <v>293.98</v>
      </c>
      <c r="Y535" s="8"/>
      <c r="Z535" s="4"/>
      <c r="AB535" s="10"/>
      <c r="AI535" s="29" t="str">
        <f t="shared" si="24"/>
        <v/>
      </c>
      <c r="AL535" s="6"/>
      <c r="AM535" s="6"/>
      <c r="AN535" s="6"/>
      <c r="AO535" s="6"/>
      <c r="AP535" s="6"/>
      <c r="AQ535" s="6"/>
      <c r="AR535" s="6"/>
      <c r="AS535" s="63"/>
      <c r="AT535" s="63"/>
      <c r="AU535" s="63"/>
      <c r="AV535" s="63"/>
      <c r="AW535" s="63"/>
      <c r="AX535" s="56"/>
      <c r="BA535" s="1" t="s">
        <v>14</v>
      </c>
      <c r="BB535" s="8">
        <v>293.98</v>
      </c>
    </row>
    <row r="536" spans="1:54" ht="15">
      <c r="A536" s="1" t="s">
        <v>4</v>
      </c>
      <c r="B536" s="5">
        <v>30996.772491999975</v>
      </c>
      <c r="C536" s="8">
        <v>11.405507063532019</v>
      </c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R536" s="6"/>
      <c r="S536" s="6"/>
      <c r="T536" s="6"/>
      <c r="U536" s="6"/>
      <c r="V536" s="6"/>
      <c r="W536" s="6"/>
      <c r="X536" s="8">
        <v>280</v>
      </c>
      <c r="Y536" s="8"/>
      <c r="Z536" s="4"/>
      <c r="AB536" s="10"/>
      <c r="AI536" s="29" t="str">
        <f t="shared" si="24"/>
        <v/>
      </c>
      <c r="AL536" s="6"/>
      <c r="AM536" s="6"/>
      <c r="AN536" s="6"/>
      <c r="AO536" s="6"/>
      <c r="AP536" s="6"/>
      <c r="AQ536" s="6"/>
      <c r="AR536" s="6"/>
      <c r="AS536" s="63"/>
      <c r="AT536" s="63"/>
      <c r="AU536" s="63"/>
      <c r="AV536" s="63"/>
      <c r="AW536" s="63"/>
      <c r="AX536" s="56"/>
      <c r="BA536" s="1" t="s">
        <v>14</v>
      </c>
      <c r="BB536" s="8">
        <v>280</v>
      </c>
    </row>
    <row r="537" spans="1:54" ht="15">
      <c r="A537" s="1" t="s">
        <v>4</v>
      </c>
      <c r="B537" s="5">
        <v>31011.382180000044</v>
      </c>
      <c r="C537" s="8">
        <v>11.44550706353221</v>
      </c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R537" s="6"/>
      <c r="S537" s="6"/>
      <c r="T537" s="6"/>
      <c r="U537" s="6"/>
      <c r="V537" s="6"/>
      <c r="W537" s="6"/>
      <c r="X537" s="8">
        <v>246.5</v>
      </c>
      <c r="Y537" s="8"/>
      <c r="Z537" s="4"/>
      <c r="AB537" s="10"/>
      <c r="AI537" s="29" t="str">
        <f t="shared" si="24"/>
        <v/>
      </c>
      <c r="AL537" s="6"/>
      <c r="AM537" s="6"/>
      <c r="AN537" s="6"/>
      <c r="AO537" s="6"/>
      <c r="AP537" s="6"/>
      <c r="AQ537" s="6"/>
      <c r="AR537" s="6"/>
      <c r="AS537" s="63"/>
      <c r="AT537" s="63"/>
      <c r="AU537" s="63"/>
      <c r="AV537" s="63"/>
      <c r="AW537" s="63"/>
      <c r="AX537" s="56"/>
      <c r="BA537" s="1" t="s">
        <v>14</v>
      </c>
      <c r="BB537" s="8">
        <v>246.5</v>
      </c>
    </row>
    <row r="538" spans="1:54" ht="15">
      <c r="A538" s="1" t="s">
        <v>4</v>
      </c>
      <c r="B538" s="5">
        <v>31025.99186800003</v>
      </c>
      <c r="C538" s="8">
        <v>11.48550706353217</v>
      </c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R538" s="6"/>
      <c r="S538" s="6"/>
      <c r="T538" s="6"/>
      <c r="U538" s="6"/>
      <c r="V538" s="6"/>
      <c r="W538" s="6"/>
      <c r="X538" s="8">
        <v>220.49</v>
      </c>
      <c r="Y538" s="8"/>
      <c r="Z538" s="4"/>
      <c r="AB538" s="10"/>
      <c r="AI538" s="29" t="str">
        <f t="shared" si="24"/>
        <v/>
      </c>
      <c r="AL538" s="6"/>
      <c r="AM538" s="6"/>
      <c r="AN538" s="6"/>
      <c r="AO538" s="6"/>
      <c r="AP538" s="6"/>
      <c r="AQ538" s="6"/>
      <c r="AR538" s="6"/>
      <c r="AS538" s="63"/>
      <c r="AT538" s="63"/>
      <c r="AU538" s="63"/>
      <c r="AV538" s="63"/>
      <c r="AW538" s="63"/>
      <c r="AX538" s="56"/>
      <c r="BA538" s="1" t="s">
        <v>14</v>
      </c>
      <c r="BB538" s="8">
        <v>220.49</v>
      </c>
    </row>
    <row r="539" spans="1:54" ht="15">
      <c r="A539" s="1" t="s">
        <v>4</v>
      </c>
      <c r="B539" s="5">
        <v>31040.601556000016</v>
      </c>
      <c r="C539" s="8">
        <v>11.525507063532132</v>
      </c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R539" s="6"/>
      <c r="S539" s="6"/>
      <c r="T539" s="6"/>
      <c r="U539" s="6"/>
      <c r="V539" s="6"/>
      <c r="W539" s="6"/>
      <c r="X539" s="8">
        <v>202.6</v>
      </c>
      <c r="Y539" s="8"/>
      <c r="Z539" s="4"/>
      <c r="AB539" s="10"/>
      <c r="AI539" s="29" t="str">
        <f t="shared" si="24"/>
        <v/>
      </c>
      <c r="AL539" s="6"/>
      <c r="AM539" s="6"/>
      <c r="AN539" s="6"/>
      <c r="AO539" s="6"/>
      <c r="AP539" s="6"/>
      <c r="AQ539" s="6"/>
      <c r="AR539" s="6"/>
      <c r="AS539" s="63"/>
      <c r="AT539" s="63"/>
      <c r="AU539" s="63"/>
      <c r="AV539" s="63"/>
      <c r="AW539" s="63"/>
      <c r="AX539" s="56"/>
      <c r="BA539" s="1" t="s">
        <v>14</v>
      </c>
      <c r="BB539" s="8">
        <v>202.6</v>
      </c>
    </row>
    <row r="540" spans="1:54" ht="15">
      <c r="A540" s="1" t="s">
        <v>4</v>
      </c>
      <c r="B540" s="5">
        <v>31051.558822000006</v>
      </c>
      <c r="C540" s="8">
        <v>11.555507063532106</v>
      </c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R540" s="6"/>
      <c r="S540" s="6"/>
      <c r="T540" s="6"/>
      <c r="U540" s="6"/>
      <c r="V540" s="6"/>
      <c r="W540" s="6"/>
      <c r="X540" s="8">
        <v>189.92</v>
      </c>
      <c r="Y540" s="8"/>
      <c r="Z540" s="4"/>
      <c r="AB540" s="10"/>
      <c r="AI540" s="29" t="str">
        <f t="shared" si="24"/>
        <v/>
      </c>
      <c r="AL540" s="6"/>
      <c r="AM540" s="6"/>
      <c r="AN540" s="6"/>
      <c r="AO540" s="6"/>
      <c r="AP540" s="6"/>
      <c r="AQ540" s="6"/>
      <c r="AR540" s="6"/>
      <c r="AS540" s="63"/>
      <c r="AT540" s="63"/>
      <c r="AU540" s="63"/>
      <c r="AV540" s="63"/>
      <c r="AW540" s="63"/>
      <c r="AX540" s="56"/>
      <c r="BA540" s="1" t="s">
        <v>14</v>
      </c>
      <c r="BB540" s="8">
        <v>189.92</v>
      </c>
    </row>
    <row r="541" spans="1:54" ht="15">
      <c r="A541" s="1" t="s">
        <v>4</v>
      </c>
      <c r="B541" s="5">
        <v>31066.168509999992</v>
      </c>
      <c r="C541" s="8">
        <v>11.595507063532066</v>
      </c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R541" s="6"/>
      <c r="S541" s="6"/>
      <c r="T541" s="6"/>
      <c r="U541" s="6"/>
      <c r="V541" s="6"/>
      <c r="W541" s="6"/>
      <c r="X541" s="8">
        <v>175.61</v>
      </c>
      <c r="Y541" s="8"/>
      <c r="Z541" s="4"/>
      <c r="AB541" s="10"/>
      <c r="AI541" s="29" t="str">
        <f t="shared" si="24"/>
        <v/>
      </c>
      <c r="AL541" s="6"/>
      <c r="AM541" s="6"/>
      <c r="AN541" s="6"/>
      <c r="AO541" s="6"/>
      <c r="AP541" s="6"/>
      <c r="AQ541" s="6"/>
      <c r="AR541" s="6"/>
      <c r="AS541" s="63"/>
      <c r="AT541" s="63"/>
      <c r="AU541" s="63"/>
      <c r="AV541" s="63"/>
      <c r="AW541" s="63"/>
      <c r="AX541" s="56"/>
      <c r="BA541" s="1" t="s">
        <v>14</v>
      </c>
      <c r="BB541" s="8">
        <v>175.61</v>
      </c>
    </row>
    <row r="542" spans="1:54" ht="15">
      <c r="A542" s="1" t="s">
        <v>4</v>
      </c>
      <c r="B542" s="5">
        <v>31080.778197999978</v>
      </c>
      <c r="C542" s="8">
        <v>11.635507063532028</v>
      </c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R542" s="6"/>
      <c r="S542" s="6"/>
      <c r="T542" s="6"/>
      <c r="U542" s="6"/>
      <c r="V542" s="6"/>
      <c r="W542" s="6"/>
      <c r="X542" s="8">
        <v>171.38</v>
      </c>
      <c r="Y542" s="8"/>
      <c r="Z542" s="4"/>
      <c r="AB542" s="10"/>
      <c r="AI542" s="29" t="str">
        <f t="shared" si="24"/>
        <v/>
      </c>
      <c r="AL542" s="6"/>
      <c r="AM542" s="6"/>
      <c r="AN542" s="6"/>
      <c r="AO542" s="6"/>
      <c r="AP542" s="6"/>
      <c r="AQ542" s="6"/>
      <c r="AR542" s="6"/>
      <c r="AS542" s="63"/>
      <c r="AT542" s="63"/>
      <c r="AU542" s="63"/>
      <c r="AV542" s="63"/>
      <c r="AW542" s="63"/>
      <c r="AX542" s="56"/>
      <c r="BA542" s="1" t="s">
        <v>14</v>
      </c>
      <c r="BB542" s="8">
        <v>171.38</v>
      </c>
    </row>
    <row r="543" spans="1:54" ht="15">
      <c r="A543" s="1" t="s">
        <v>4</v>
      </c>
      <c r="B543" s="5">
        <v>31095.387886000048</v>
      </c>
      <c r="C543" s="8">
        <v>11.675507063532219</v>
      </c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R543" s="6"/>
      <c r="S543" s="6"/>
      <c r="T543" s="6"/>
      <c r="U543" s="6"/>
      <c r="V543" s="6"/>
      <c r="W543" s="6"/>
      <c r="X543" s="8">
        <v>163.58000000000001</v>
      </c>
      <c r="Y543" s="8"/>
      <c r="Z543" s="4"/>
      <c r="AB543" s="10"/>
      <c r="AI543" s="29" t="str">
        <f t="shared" si="24"/>
        <v/>
      </c>
      <c r="AL543" s="6"/>
      <c r="AM543" s="6"/>
      <c r="AN543" s="6"/>
      <c r="AO543" s="6"/>
      <c r="AP543" s="6"/>
      <c r="AQ543" s="6"/>
      <c r="AR543" s="6"/>
      <c r="AS543" s="63"/>
      <c r="AT543" s="63"/>
      <c r="AU543" s="63"/>
      <c r="AV543" s="63"/>
      <c r="AW543" s="63"/>
      <c r="AX543" s="56"/>
      <c r="BA543" s="1" t="s">
        <v>14</v>
      </c>
      <c r="BB543" s="8">
        <v>163.58000000000001</v>
      </c>
    </row>
    <row r="544" spans="1:54" ht="15">
      <c r="A544" s="1" t="s">
        <v>4</v>
      </c>
      <c r="B544" s="5">
        <v>31106.345152000038</v>
      </c>
      <c r="C544" s="8">
        <v>11.705507063532192</v>
      </c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R544" s="6"/>
      <c r="S544" s="6"/>
      <c r="T544" s="6"/>
      <c r="U544" s="6"/>
      <c r="V544" s="6"/>
      <c r="W544" s="6"/>
      <c r="X544" s="8">
        <v>155.12</v>
      </c>
      <c r="Y544" s="8"/>
      <c r="Z544" s="4"/>
      <c r="AB544" s="10"/>
      <c r="AI544" s="29" t="str">
        <f t="shared" si="24"/>
        <v/>
      </c>
      <c r="AL544" s="6"/>
      <c r="AM544" s="6"/>
      <c r="AN544" s="6"/>
      <c r="AO544" s="6"/>
      <c r="AP544" s="6"/>
      <c r="AQ544" s="6"/>
      <c r="AR544" s="6"/>
      <c r="AS544" s="63"/>
      <c r="AT544" s="63"/>
      <c r="AU544" s="63"/>
      <c r="AV544" s="63"/>
      <c r="AW544" s="63"/>
      <c r="AX544" s="56"/>
      <c r="BA544" s="1" t="s">
        <v>14</v>
      </c>
      <c r="BB544" s="8">
        <v>155.12</v>
      </c>
    </row>
    <row r="545" spans="1:54" ht="15">
      <c r="A545" s="1" t="s">
        <v>4</v>
      </c>
      <c r="B545" s="5">
        <v>31124.607262000023</v>
      </c>
      <c r="C545" s="8">
        <v>11.755507063532152</v>
      </c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R545" s="6"/>
      <c r="S545" s="6"/>
      <c r="T545" s="6"/>
      <c r="U545" s="6"/>
      <c r="V545" s="6"/>
      <c r="W545" s="6"/>
      <c r="X545" s="8">
        <v>158.05000000000001</v>
      </c>
      <c r="Y545" s="8"/>
      <c r="Z545" s="4"/>
      <c r="AB545" s="10"/>
      <c r="AI545" s="29" t="str">
        <f t="shared" si="24"/>
        <v/>
      </c>
      <c r="AL545" s="6"/>
      <c r="AM545" s="6"/>
      <c r="AN545" s="6"/>
      <c r="AO545" s="6"/>
      <c r="AP545" s="6"/>
      <c r="AQ545" s="6"/>
      <c r="AR545" s="6"/>
      <c r="AS545" s="63"/>
      <c r="AT545" s="63"/>
      <c r="AU545" s="63"/>
      <c r="AV545" s="63"/>
      <c r="AW545" s="63"/>
      <c r="AX545" s="56"/>
      <c r="BA545" s="1" t="s">
        <v>14</v>
      </c>
      <c r="BB545" s="8">
        <v>158.05000000000001</v>
      </c>
    </row>
    <row r="546" spans="1:54" ht="15">
      <c r="A546" s="1" t="s">
        <v>4</v>
      </c>
      <c r="B546" s="5">
        <v>31131.912106000018</v>
      </c>
      <c r="C546" s="8">
        <v>11.775507063532137</v>
      </c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R546" s="6"/>
      <c r="S546" s="6"/>
      <c r="T546" s="6"/>
      <c r="U546" s="6"/>
      <c r="V546" s="6"/>
      <c r="W546" s="6"/>
      <c r="X546" s="8">
        <v>284.55</v>
      </c>
      <c r="Y546" s="8"/>
      <c r="Z546" s="4"/>
      <c r="AB546" s="10"/>
      <c r="AI546" s="29" t="str">
        <f t="shared" si="24"/>
        <v/>
      </c>
      <c r="AL546" s="6"/>
      <c r="AM546" s="6"/>
      <c r="AN546" s="6"/>
      <c r="AO546" s="6"/>
      <c r="AP546" s="6"/>
      <c r="AQ546" s="6"/>
      <c r="AR546" s="6"/>
      <c r="AS546" s="63"/>
      <c r="AT546" s="63"/>
      <c r="AU546" s="63"/>
      <c r="AV546" s="63"/>
      <c r="AW546" s="63"/>
      <c r="AX546" s="56"/>
      <c r="BA546" s="1" t="s">
        <v>14</v>
      </c>
      <c r="BB546" s="8">
        <v>284.55</v>
      </c>
    </row>
    <row r="547" spans="1:54" ht="15">
      <c r="A547" s="1" t="s">
        <v>4</v>
      </c>
      <c r="B547" s="5">
        <v>31139.216950000009</v>
      </c>
      <c r="C547" s="8">
        <v>11.795507063532114</v>
      </c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R547" s="6"/>
      <c r="S547" s="6"/>
      <c r="T547" s="6"/>
      <c r="U547" s="6"/>
      <c r="V547" s="6"/>
      <c r="W547" s="6"/>
      <c r="X547" s="8">
        <v>278.7</v>
      </c>
      <c r="Y547" s="8"/>
      <c r="Z547" s="4"/>
      <c r="AB547" s="10"/>
      <c r="AI547" s="29" t="str">
        <f t="shared" si="24"/>
        <v/>
      </c>
      <c r="AL547" s="6"/>
      <c r="AM547" s="6"/>
      <c r="AN547" s="6"/>
      <c r="AO547" s="6"/>
      <c r="AP547" s="6"/>
      <c r="AQ547" s="6"/>
      <c r="AR547" s="6"/>
      <c r="AS547" s="63"/>
      <c r="AT547" s="63"/>
      <c r="AU547" s="63"/>
      <c r="AV547" s="63"/>
      <c r="AW547" s="63"/>
      <c r="AX547" s="56"/>
      <c r="BA547" s="1" t="s">
        <v>14</v>
      </c>
      <c r="BB547" s="8">
        <v>278.7</v>
      </c>
    </row>
    <row r="548" spans="1:54" ht="15">
      <c r="A548" s="1" t="s">
        <v>4</v>
      </c>
      <c r="B548" s="5">
        <v>31150.174215999999</v>
      </c>
      <c r="C548" s="8">
        <v>11.825507063532086</v>
      </c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R548" s="6"/>
      <c r="S548" s="6"/>
      <c r="T548" s="6"/>
      <c r="U548" s="6"/>
      <c r="V548" s="6"/>
      <c r="W548" s="6"/>
      <c r="X548" s="8">
        <v>248.13</v>
      </c>
      <c r="Y548" s="8"/>
      <c r="Z548" s="4"/>
      <c r="AB548" s="10"/>
      <c r="AI548" s="29" t="str">
        <f t="shared" si="24"/>
        <v/>
      </c>
      <c r="AL548" s="6"/>
      <c r="AM548" s="6"/>
      <c r="AN548" s="6"/>
      <c r="AO548" s="6"/>
      <c r="AP548" s="6"/>
      <c r="AQ548" s="6"/>
      <c r="AR548" s="6"/>
      <c r="AS548" s="63"/>
      <c r="AT548" s="63"/>
      <c r="AU548" s="63"/>
      <c r="AV548" s="63"/>
      <c r="AW548" s="63"/>
      <c r="AX548" s="56"/>
      <c r="BA548" s="1" t="s">
        <v>14</v>
      </c>
      <c r="BB548" s="8">
        <v>248.13</v>
      </c>
    </row>
    <row r="549" spans="1:54" ht="15">
      <c r="A549" s="1" t="s">
        <v>4</v>
      </c>
      <c r="B549" s="5">
        <v>31164.783903999985</v>
      </c>
      <c r="C549" s="8">
        <v>11.865507063532048</v>
      </c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R549" s="6"/>
      <c r="S549" s="6"/>
      <c r="T549" s="6"/>
      <c r="U549" s="6"/>
      <c r="V549" s="6"/>
      <c r="W549" s="6"/>
      <c r="X549" s="8">
        <v>230.24</v>
      </c>
      <c r="Y549" s="8"/>
      <c r="Z549" s="4"/>
      <c r="AB549" s="10"/>
      <c r="AI549" s="29" t="str">
        <f t="shared" si="24"/>
        <v/>
      </c>
      <c r="AL549" s="6"/>
      <c r="AM549" s="6"/>
      <c r="AN549" s="6"/>
      <c r="AO549" s="6"/>
      <c r="AP549" s="6"/>
      <c r="AQ549" s="6"/>
      <c r="AR549" s="6"/>
      <c r="AS549" s="63"/>
      <c r="AT549" s="63"/>
      <c r="AU549" s="63"/>
      <c r="AV549" s="63"/>
      <c r="AW549" s="63"/>
      <c r="AX549" s="56"/>
      <c r="BA549" s="1" t="s">
        <v>14</v>
      </c>
      <c r="BB549" s="8">
        <v>230.24</v>
      </c>
    </row>
    <row r="550" spans="1:54" ht="15">
      <c r="A550" s="1" t="s">
        <v>4</v>
      </c>
      <c r="B550" s="5">
        <v>31179.393591999971</v>
      </c>
      <c r="C550" s="8">
        <v>11.90550706353201</v>
      </c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R550" s="6"/>
      <c r="S550" s="6"/>
      <c r="T550" s="6"/>
      <c r="U550" s="6"/>
      <c r="V550" s="6"/>
      <c r="W550" s="6"/>
      <c r="X550" s="8">
        <v>218.54</v>
      </c>
      <c r="Y550" s="8"/>
      <c r="Z550" s="4"/>
      <c r="AB550" s="10"/>
      <c r="AI550" s="29" t="str">
        <f t="shared" si="24"/>
        <v/>
      </c>
      <c r="AL550" s="6"/>
      <c r="AM550" s="6"/>
      <c r="AN550" s="6"/>
      <c r="AO550" s="6"/>
      <c r="AP550" s="6"/>
      <c r="AQ550" s="6"/>
      <c r="AR550" s="6"/>
      <c r="AS550" s="63"/>
      <c r="AT550" s="63"/>
      <c r="AU550" s="63"/>
      <c r="AV550" s="63"/>
      <c r="AW550" s="63"/>
      <c r="AX550" s="56"/>
      <c r="BA550" s="1" t="s">
        <v>14</v>
      </c>
      <c r="BB550" s="8">
        <v>218.54</v>
      </c>
    </row>
    <row r="551" spans="1:54" ht="15">
      <c r="A551" s="1" t="s">
        <v>4</v>
      </c>
      <c r="B551" s="5">
        <v>31190.350858000045</v>
      </c>
      <c r="C551" s="8">
        <v>11.935507063532212</v>
      </c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R551" s="6"/>
      <c r="S551" s="6"/>
      <c r="T551" s="6"/>
      <c r="U551" s="6"/>
      <c r="V551" s="6"/>
      <c r="W551" s="6"/>
      <c r="X551" s="8">
        <v>216.59</v>
      </c>
      <c r="Y551" s="8"/>
      <c r="Z551" s="4"/>
      <c r="AB551" s="10"/>
      <c r="AI551" s="29" t="str">
        <f t="shared" si="24"/>
        <v/>
      </c>
      <c r="AL551" s="6"/>
      <c r="AM551" s="6"/>
      <c r="AN551" s="6"/>
      <c r="AO551" s="6"/>
      <c r="AP551" s="6"/>
      <c r="AQ551" s="6"/>
      <c r="AR551" s="6"/>
      <c r="AS551" s="63"/>
      <c r="AT551" s="63"/>
      <c r="AU551" s="63"/>
      <c r="AV551" s="63"/>
      <c r="AW551" s="63"/>
      <c r="AX551" s="56"/>
      <c r="BA551" s="1" t="s">
        <v>14</v>
      </c>
      <c r="BB551" s="8">
        <v>216.59</v>
      </c>
    </row>
    <row r="552" spans="1:54" ht="15">
      <c r="A552" s="1" t="s">
        <v>4</v>
      </c>
      <c r="B552" s="5">
        <v>31201.308124000036</v>
      </c>
      <c r="C552" s="8">
        <v>11.965507063532186</v>
      </c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R552" s="6"/>
      <c r="S552" s="6"/>
      <c r="T552" s="6"/>
      <c r="U552" s="6"/>
      <c r="V552" s="6"/>
      <c r="W552" s="6"/>
      <c r="X552" s="8">
        <v>216.59</v>
      </c>
      <c r="Y552" s="8"/>
      <c r="Z552" s="4"/>
      <c r="AB552" s="10"/>
      <c r="AI552" s="29" t="str">
        <f t="shared" si="24"/>
        <v/>
      </c>
      <c r="AL552" s="6"/>
      <c r="AM552" s="6"/>
      <c r="AN552" s="6"/>
      <c r="AO552" s="6"/>
      <c r="AP552" s="6"/>
      <c r="AQ552" s="6"/>
      <c r="AR552" s="6"/>
      <c r="AS552" s="63"/>
      <c r="AT552" s="63"/>
      <c r="AU552" s="63"/>
      <c r="AV552" s="63"/>
      <c r="AW552" s="63"/>
      <c r="AX552" s="56"/>
      <c r="BA552" s="1" t="s">
        <v>14</v>
      </c>
      <c r="BB552" s="8">
        <v>216.59</v>
      </c>
    </row>
    <row r="553" spans="1:54" ht="15">
      <c r="A553" s="1" t="s">
        <v>4</v>
      </c>
      <c r="B553" s="5">
        <v>31215.917812000022</v>
      </c>
      <c r="C553" s="8">
        <v>12.005507063532146</v>
      </c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R553" s="6"/>
      <c r="S553" s="6"/>
      <c r="T553" s="6"/>
      <c r="U553" s="6"/>
      <c r="V553" s="6"/>
      <c r="W553" s="6"/>
      <c r="X553" s="8">
        <v>219.84</v>
      </c>
      <c r="Y553" s="8"/>
      <c r="Z553" s="4"/>
      <c r="AB553" s="10"/>
      <c r="AI553" s="29" t="str">
        <f t="shared" si="24"/>
        <v/>
      </c>
      <c r="AL553" s="6"/>
      <c r="AM553" s="6"/>
      <c r="AN553" s="6"/>
      <c r="AO553" s="6"/>
      <c r="AP553" s="6"/>
      <c r="AQ553" s="6"/>
      <c r="AR553" s="6"/>
      <c r="AS553" s="63"/>
      <c r="AT553" s="63"/>
      <c r="AU553" s="63"/>
      <c r="AV553" s="63"/>
      <c r="AW553" s="63"/>
      <c r="AX553" s="56"/>
      <c r="BA553" s="1" t="s">
        <v>14</v>
      </c>
      <c r="BB553" s="8">
        <v>219.84</v>
      </c>
    </row>
    <row r="554" spans="1:54" ht="15">
      <c r="A554" s="1" t="s">
        <v>4</v>
      </c>
      <c r="B554" s="5">
        <v>31234.179922000007</v>
      </c>
      <c r="C554" s="8">
        <v>12.055507063532106</v>
      </c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R554" s="6"/>
      <c r="S554" s="6"/>
      <c r="T554" s="6"/>
      <c r="U554" s="6"/>
      <c r="V554" s="6"/>
      <c r="W554" s="6"/>
      <c r="X554" s="8">
        <v>214.63</v>
      </c>
      <c r="Y554" s="8"/>
      <c r="Z554" s="4"/>
      <c r="AB554" s="10"/>
      <c r="AI554" s="29" t="str">
        <f t="shared" si="24"/>
        <v/>
      </c>
      <c r="AL554" s="6"/>
      <c r="AM554" s="6"/>
      <c r="AN554" s="6"/>
      <c r="AO554" s="6"/>
      <c r="AP554" s="6"/>
      <c r="AQ554" s="6"/>
      <c r="AR554" s="6"/>
      <c r="AS554" s="63"/>
      <c r="AT554" s="63"/>
      <c r="AU554" s="63"/>
      <c r="AV554" s="63"/>
      <c r="AW554" s="63"/>
      <c r="AX554" s="56"/>
      <c r="BA554" s="1" t="s">
        <v>14</v>
      </c>
      <c r="BB554" s="8">
        <v>214.63</v>
      </c>
    </row>
    <row r="555" spans="1:54" ht="15">
      <c r="A555" s="1" t="s">
        <v>4</v>
      </c>
      <c r="B555" s="5">
        <v>31252.442031999988</v>
      </c>
      <c r="C555" s="8">
        <v>12.105507063532055</v>
      </c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R555" s="6"/>
      <c r="S555" s="6"/>
      <c r="T555" s="6"/>
      <c r="U555" s="6"/>
      <c r="V555" s="6"/>
      <c r="W555" s="6"/>
      <c r="X555" s="8">
        <v>230.57</v>
      </c>
      <c r="Y555" s="8"/>
      <c r="Z555" s="4"/>
      <c r="AB555" s="10"/>
      <c r="AI555" s="29" t="str">
        <f t="shared" si="24"/>
        <v/>
      </c>
      <c r="AL555" s="6"/>
      <c r="AM555" s="6"/>
      <c r="AN555" s="6"/>
      <c r="AO555" s="6"/>
      <c r="AP555" s="6"/>
      <c r="AQ555" s="6"/>
      <c r="AR555" s="6"/>
      <c r="AS555" s="63"/>
      <c r="AT555" s="63"/>
      <c r="AU555" s="63"/>
      <c r="AV555" s="63"/>
      <c r="AW555" s="63"/>
      <c r="AX555" s="56"/>
      <c r="BA555" s="1" t="s">
        <v>14</v>
      </c>
      <c r="BB555" s="8">
        <v>230.57</v>
      </c>
    </row>
    <row r="556" spans="1:54" ht="15">
      <c r="A556" s="1" t="s">
        <v>4</v>
      </c>
      <c r="B556" s="5">
        <v>31263.399297999978</v>
      </c>
      <c r="C556" s="8">
        <v>12.13550706353203</v>
      </c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R556" s="6"/>
      <c r="S556" s="6"/>
      <c r="T556" s="6"/>
      <c r="U556" s="6"/>
      <c r="V556" s="6"/>
      <c r="W556" s="6"/>
      <c r="X556" s="8">
        <v>220.81</v>
      </c>
      <c r="Y556" s="8"/>
      <c r="Z556" s="4"/>
      <c r="AB556" s="10"/>
      <c r="AI556" s="29" t="str">
        <f t="shared" si="24"/>
        <v/>
      </c>
      <c r="AL556" s="6"/>
      <c r="AM556" s="6"/>
      <c r="AN556" s="6"/>
      <c r="AO556" s="6"/>
      <c r="AP556" s="6"/>
      <c r="AQ556" s="6"/>
      <c r="AR556" s="6"/>
      <c r="AS556" s="63"/>
      <c r="AT556" s="63"/>
      <c r="AU556" s="63"/>
      <c r="AV556" s="63"/>
      <c r="AW556" s="63"/>
      <c r="AX556" s="56"/>
      <c r="BA556" s="1" t="s">
        <v>14</v>
      </c>
      <c r="BB556" s="8">
        <v>220.81</v>
      </c>
    </row>
    <row r="557" spans="1:54" ht="15">
      <c r="A557" s="1" t="s">
        <v>4</v>
      </c>
      <c r="B557" s="5">
        <v>31278.008986000048</v>
      </c>
      <c r="C557" s="8">
        <v>12.175507063532219</v>
      </c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8">
        <v>240</v>
      </c>
      <c r="Y557" s="8"/>
      <c r="Z557" s="4"/>
      <c r="AB557" s="10"/>
      <c r="AI557" s="29" t="str">
        <f t="shared" si="24"/>
        <v/>
      </c>
      <c r="AL557" s="6"/>
      <c r="AM557" s="6"/>
      <c r="AN557" s="6"/>
      <c r="AO557" s="6"/>
      <c r="AP557" s="6"/>
      <c r="AQ557" s="6"/>
      <c r="AR557" s="6"/>
      <c r="AS557" s="63"/>
      <c r="AT557" s="63"/>
      <c r="AU557" s="63"/>
      <c r="AV557" s="63"/>
      <c r="AW557" s="63"/>
      <c r="AX557" s="56"/>
      <c r="BA557" s="1" t="s">
        <v>14</v>
      </c>
      <c r="BB557" s="8">
        <v>240</v>
      </c>
    </row>
    <row r="558" spans="1:54" ht="15">
      <c r="A558" s="1" t="s">
        <v>4</v>
      </c>
      <c r="B558" s="5">
        <v>31292.618674000034</v>
      </c>
      <c r="C558" s="8">
        <v>12.215507063532181</v>
      </c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8">
        <v>300.49</v>
      </c>
      <c r="Y558" s="8"/>
      <c r="Z558" s="4"/>
      <c r="AB558" s="10"/>
      <c r="AI558" s="29" t="str">
        <f t="shared" si="24"/>
        <v/>
      </c>
      <c r="AL558" s="6"/>
      <c r="AM558" s="6"/>
      <c r="AN558" s="6"/>
      <c r="AO558" s="6"/>
      <c r="AP558" s="6"/>
      <c r="AQ558" s="6"/>
      <c r="AR558" s="6"/>
      <c r="AS558" s="63"/>
      <c r="AT558" s="63"/>
      <c r="AU558" s="63"/>
      <c r="AV558" s="63"/>
      <c r="AW558" s="63"/>
      <c r="AX558" s="56"/>
      <c r="BA558" s="1" t="s">
        <v>14</v>
      </c>
      <c r="BB558" s="8">
        <v>300.49</v>
      </c>
    </row>
    <row r="559" spans="1:54" ht="15">
      <c r="A559" s="1" t="s">
        <v>4</v>
      </c>
      <c r="B559" s="5">
        <v>31307.228362000023</v>
      </c>
      <c r="C559" s="8">
        <v>12.255507063532152</v>
      </c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8">
        <v>287.8</v>
      </c>
      <c r="Y559" s="8"/>
      <c r="Z559" s="4"/>
      <c r="AB559" s="10"/>
      <c r="AI559" s="29" t="str">
        <f t="shared" si="24"/>
        <v/>
      </c>
      <c r="AL559" s="6"/>
      <c r="AM559" s="6"/>
      <c r="AN559" s="6"/>
      <c r="AO559" s="6"/>
      <c r="AP559" s="6"/>
      <c r="AQ559" s="6"/>
      <c r="AR559" s="6"/>
      <c r="AS559" s="63"/>
      <c r="AT559" s="63"/>
      <c r="AU559" s="63"/>
      <c r="AV559" s="63"/>
      <c r="AW559" s="63"/>
      <c r="AX559" s="56"/>
      <c r="BA559" s="1" t="s">
        <v>14</v>
      </c>
      <c r="BB559" s="8">
        <v>287.8</v>
      </c>
    </row>
    <row r="560" spans="1:54" ht="15">
      <c r="A560" s="1" t="s">
        <v>4</v>
      </c>
      <c r="B560" s="5">
        <v>31318.185628000014</v>
      </c>
      <c r="C560" s="8">
        <v>12.285507063532126</v>
      </c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8">
        <v>318.7</v>
      </c>
      <c r="Y560" s="8"/>
      <c r="Z560" s="4"/>
      <c r="AB560" s="10"/>
      <c r="AI560" s="29" t="str">
        <f t="shared" si="24"/>
        <v/>
      </c>
      <c r="AL560" s="6"/>
      <c r="AM560" s="6"/>
      <c r="AN560" s="6"/>
      <c r="AO560" s="6"/>
      <c r="AP560" s="6"/>
      <c r="AQ560" s="6"/>
      <c r="AR560" s="6"/>
      <c r="AS560" s="63"/>
      <c r="AT560" s="63"/>
      <c r="AU560" s="63"/>
      <c r="AV560" s="63"/>
      <c r="AW560" s="63"/>
      <c r="AX560" s="56"/>
      <c r="BA560" s="1" t="s">
        <v>14</v>
      </c>
      <c r="BB560" s="8">
        <v>318.7</v>
      </c>
    </row>
    <row r="561" spans="1:54" ht="15">
      <c r="A561" s="1" t="s">
        <v>4</v>
      </c>
      <c r="B561" s="5">
        <v>31332.795316</v>
      </c>
      <c r="C561" s="8">
        <v>12.325507063532088</v>
      </c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8">
        <v>284.88</v>
      </c>
      <c r="Y561" s="8"/>
      <c r="Z561" s="4"/>
      <c r="AB561" s="10"/>
      <c r="AI561" s="29" t="str">
        <f t="shared" si="24"/>
        <v/>
      </c>
      <c r="AL561" s="6"/>
      <c r="AM561" s="6"/>
      <c r="AN561" s="6"/>
      <c r="AO561" s="6"/>
      <c r="AP561" s="6"/>
      <c r="AQ561" s="6"/>
      <c r="AR561" s="6"/>
      <c r="AS561" s="63"/>
      <c r="AT561" s="63"/>
      <c r="AU561" s="63"/>
      <c r="AV561" s="63"/>
      <c r="AW561" s="63"/>
      <c r="AX561" s="56"/>
      <c r="BA561" s="1" t="s">
        <v>14</v>
      </c>
      <c r="BB561" s="8">
        <v>284.88</v>
      </c>
    </row>
    <row r="562" spans="1:54" ht="15">
      <c r="A562" s="1" t="s">
        <v>4</v>
      </c>
      <c r="B562" s="5">
        <v>31347.405003999986</v>
      </c>
      <c r="C562" s="8">
        <v>12.365507063532048</v>
      </c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8">
        <v>274.8</v>
      </c>
      <c r="Y562" s="8"/>
      <c r="Z562" s="4"/>
      <c r="AB562" s="10"/>
      <c r="AI562" s="29" t="str">
        <f t="shared" si="24"/>
        <v/>
      </c>
      <c r="AL562" s="6"/>
      <c r="AM562" s="6"/>
      <c r="AN562" s="6"/>
      <c r="AO562" s="6"/>
      <c r="AP562" s="6"/>
      <c r="AQ562" s="6"/>
      <c r="AR562" s="6"/>
      <c r="AS562" s="63"/>
      <c r="AT562" s="63"/>
      <c r="AU562" s="63"/>
      <c r="AV562" s="63"/>
      <c r="AW562" s="63"/>
      <c r="AX562" s="56"/>
      <c r="BA562" s="1" t="s">
        <v>14</v>
      </c>
      <c r="BB562" s="8">
        <v>274.8</v>
      </c>
    </row>
    <row r="563" spans="1:54" ht="15">
      <c r="A563" s="1" t="s">
        <v>4</v>
      </c>
      <c r="B563" s="5">
        <v>31362.014691999972</v>
      </c>
      <c r="C563" s="8">
        <v>12.40550706353201</v>
      </c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8">
        <v>251.06</v>
      </c>
      <c r="Y563" s="8"/>
      <c r="Z563" s="4"/>
      <c r="AB563" s="10"/>
      <c r="AI563" s="29" t="str">
        <f t="shared" si="24"/>
        <v/>
      </c>
      <c r="AL563" s="6"/>
      <c r="AM563" s="6"/>
      <c r="AN563" s="6"/>
      <c r="AO563" s="6"/>
      <c r="AP563" s="6"/>
      <c r="AQ563" s="6"/>
      <c r="AR563" s="6"/>
      <c r="AS563" s="63"/>
      <c r="AT563" s="63"/>
      <c r="AU563" s="63"/>
      <c r="AV563" s="63"/>
      <c r="AW563" s="63"/>
      <c r="AX563" s="56"/>
      <c r="BA563" s="1" t="s">
        <v>14</v>
      </c>
      <c r="BB563" s="8">
        <v>251.06</v>
      </c>
    </row>
    <row r="564" spans="1:54" ht="15">
      <c r="A564" s="1" t="s">
        <v>4</v>
      </c>
      <c r="B564" s="5">
        <v>31372.971958000046</v>
      </c>
      <c r="C564" s="8">
        <v>12.435507063532214</v>
      </c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8">
        <v>237.4</v>
      </c>
      <c r="Y564" s="8"/>
      <c r="Z564" s="4"/>
      <c r="AB564" s="10"/>
      <c r="AI564" s="29" t="str">
        <f t="shared" si="24"/>
        <v/>
      </c>
      <c r="AL564" s="6"/>
      <c r="AM564" s="6"/>
      <c r="AN564" s="6"/>
      <c r="AO564" s="6"/>
      <c r="AP564" s="6"/>
      <c r="AQ564" s="6"/>
      <c r="AR564" s="6"/>
      <c r="AS564" s="63"/>
      <c r="AT564" s="63"/>
      <c r="AU564" s="63"/>
      <c r="AV564" s="63"/>
      <c r="AW564" s="63"/>
      <c r="AX564" s="56"/>
      <c r="BA564" s="1" t="s">
        <v>14</v>
      </c>
      <c r="BB564" s="8">
        <v>237.4</v>
      </c>
    </row>
    <row r="565" spans="1:54" ht="15">
      <c r="A565" s="1" t="s">
        <v>4</v>
      </c>
      <c r="B565" s="5">
        <v>31391.234068000027</v>
      </c>
      <c r="C565" s="8">
        <v>12.485507063532163</v>
      </c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8">
        <v>230.89</v>
      </c>
      <c r="Y565" s="8"/>
      <c r="Z565" s="4"/>
      <c r="AB565" s="10"/>
      <c r="AI565" s="29" t="str">
        <f t="shared" si="24"/>
        <v/>
      </c>
      <c r="AL565" s="6"/>
      <c r="AM565" s="6"/>
      <c r="AN565" s="6"/>
      <c r="AO565" s="6"/>
      <c r="AP565" s="6"/>
      <c r="AQ565" s="6"/>
      <c r="AR565" s="6"/>
      <c r="AS565" s="63"/>
      <c r="AT565" s="63"/>
      <c r="AU565" s="63"/>
      <c r="AV565" s="63"/>
      <c r="AW565" s="63"/>
      <c r="AX565" s="56"/>
      <c r="BA565" s="1" t="s">
        <v>14</v>
      </c>
      <c r="BB565" s="8">
        <v>230.89</v>
      </c>
    </row>
    <row r="566" spans="1:54" ht="15">
      <c r="A566" s="1" t="s">
        <v>4</v>
      </c>
      <c r="B566" s="5">
        <v>31420.453444000002</v>
      </c>
      <c r="C566" s="8">
        <v>12.565507063532095</v>
      </c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8">
        <v>189.92</v>
      </c>
      <c r="Y566" s="8"/>
      <c r="Z566" s="4"/>
      <c r="AB566" s="10"/>
      <c r="AI566" s="29" t="str">
        <f t="shared" si="24"/>
        <v/>
      </c>
      <c r="AL566" s="6"/>
      <c r="AM566" s="6"/>
      <c r="AN566" s="6"/>
      <c r="AO566" s="6"/>
      <c r="AP566" s="6"/>
      <c r="AQ566" s="6"/>
      <c r="AR566" s="6"/>
      <c r="AS566" s="63"/>
      <c r="AT566" s="63"/>
      <c r="AU566" s="63"/>
      <c r="AV566" s="63"/>
      <c r="AW566" s="63"/>
      <c r="AX566" s="56"/>
      <c r="BA566" s="1" t="s">
        <v>14</v>
      </c>
      <c r="BB566" s="8">
        <v>189.92</v>
      </c>
    </row>
    <row r="567" spans="1:54" ht="15">
      <c r="A567" s="1" t="s">
        <v>4</v>
      </c>
      <c r="B567" s="5">
        <v>31427.758287999997</v>
      </c>
      <c r="C567" s="8">
        <v>12.585507063532081</v>
      </c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8">
        <v>180.16</v>
      </c>
      <c r="Y567" s="8"/>
      <c r="Z567" s="4"/>
      <c r="AB567" s="10"/>
      <c r="AI567" s="29" t="str">
        <f t="shared" si="24"/>
        <v/>
      </c>
      <c r="AL567" s="6"/>
      <c r="AM567" s="6"/>
      <c r="AN567" s="6"/>
      <c r="AO567" s="6"/>
      <c r="AP567" s="6"/>
      <c r="AQ567" s="6"/>
      <c r="AR567" s="6"/>
      <c r="AS567" s="63"/>
      <c r="AT567" s="63"/>
      <c r="AU567" s="63"/>
      <c r="AV567" s="63"/>
      <c r="AW567" s="63"/>
      <c r="AX567" s="56"/>
      <c r="BA567" s="1" t="s">
        <v>14</v>
      </c>
      <c r="BB567" s="8">
        <v>180.16</v>
      </c>
    </row>
    <row r="568" spans="1:54" ht="15">
      <c r="A568" s="1" t="s">
        <v>4</v>
      </c>
      <c r="B568" s="5">
        <v>31446.020397999979</v>
      </c>
      <c r="C568" s="8">
        <v>12.63550706353203</v>
      </c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8">
        <v>181.79</v>
      </c>
      <c r="Y568" s="8"/>
      <c r="Z568" s="4"/>
      <c r="AB568" s="10"/>
      <c r="AI568" s="29" t="str">
        <f t="shared" si="24"/>
        <v/>
      </c>
      <c r="AL568" s="6"/>
      <c r="AM568" s="6"/>
      <c r="AN568" s="6"/>
      <c r="AO568" s="6"/>
      <c r="AP568" s="6"/>
      <c r="AQ568" s="6"/>
      <c r="AR568" s="6"/>
      <c r="AS568" s="63"/>
      <c r="AT568" s="63"/>
      <c r="AU568" s="63"/>
      <c r="AV568" s="63"/>
      <c r="AW568" s="63"/>
      <c r="AX568" s="56"/>
      <c r="BA568" s="1" t="s">
        <v>14</v>
      </c>
      <c r="BB568" s="8">
        <v>181.79</v>
      </c>
    </row>
    <row r="569" spans="1:54" ht="15">
      <c r="A569" s="1" t="s">
        <v>4</v>
      </c>
      <c r="B569" s="5">
        <v>31456.977663999969</v>
      </c>
      <c r="C569" s="8">
        <v>12.665507063532004</v>
      </c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8">
        <v>169.11</v>
      </c>
      <c r="Y569" s="8"/>
      <c r="Z569" s="4"/>
      <c r="AB569" s="10"/>
      <c r="AI569" s="29" t="str">
        <f t="shared" si="24"/>
        <v/>
      </c>
      <c r="AL569" s="6"/>
      <c r="AM569" s="6"/>
      <c r="AN569" s="6"/>
      <c r="AO569" s="6"/>
      <c r="AP569" s="6"/>
      <c r="AQ569" s="6"/>
      <c r="AR569" s="6"/>
      <c r="AS569" s="63"/>
      <c r="AT569" s="63"/>
      <c r="AU569" s="63"/>
      <c r="AV569" s="63"/>
      <c r="AW569" s="63"/>
      <c r="AX569" s="56"/>
      <c r="BA569" s="1" t="s">
        <v>14</v>
      </c>
      <c r="BB569" s="8">
        <v>169.11</v>
      </c>
    </row>
    <row r="570" spans="1:54" ht="15">
      <c r="A570" s="1" t="s">
        <v>4</v>
      </c>
      <c r="B570" s="5">
        <v>31475.239774000038</v>
      </c>
      <c r="C570" s="8">
        <v>12.715507063532192</v>
      </c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8">
        <v>167.8</v>
      </c>
      <c r="Y570" s="8"/>
      <c r="Z570" s="4"/>
      <c r="AB570" s="10"/>
      <c r="AI570" s="29" t="str">
        <f t="shared" si="24"/>
        <v/>
      </c>
      <c r="AL570" s="6"/>
      <c r="AM570" s="6"/>
      <c r="AN570" s="6"/>
      <c r="AO570" s="6"/>
      <c r="AP570" s="6"/>
      <c r="AQ570" s="6"/>
      <c r="AR570" s="6"/>
      <c r="AS570" s="63"/>
      <c r="AT570" s="63"/>
      <c r="AU570" s="63"/>
      <c r="AV570" s="63"/>
      <c r="AW570" s="63"/>
      <c r="AX570" s="56"/>
      <c r="BA570" s="1" t="s">
        <v>14</v>
      </c>
      <c r="BB570" s="8">
        <v>167.8</v>
      </c>
    </row>
    <row r="571" spans="1:54" ht="15">
      <c r="A571" s="1" t="s">
        <v>4</v>
      </c>
      <c r="B571" s="5">
        <v>31486.197040000025</v>
      </c>
      <c r="C571" s="8">
        <v>12.745507063532155</v>
      </c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8">
        <v>159.02000000000001</v>
      </c>
      <c r="Y571" s="8"/>
      <c r="Z571" s="4"/>
      <c r="AB571" s="10"/>
      <c r="AI571" s="29" t="str">
        <f t="shared" si="24"/>
        <v/>
      </c>
      <c r="AL571" s="6"/>
      <c r="AM571" s="6"/>
      <c r="AN571" s="6"/>
      <c r="AO571" s="6"/>
      <c r="AP571" s="6"/>
      <c r="AQ571" s="6"/>
      <c r="AR571" s="6"/>
      <c r="AS571" s="63"/>
      <c r="AT571" s="63"/>
      <c r="AU571" s="63"/>
      <c r="AV571" s="63"/>
      <c r="AW571" s="63"/>
      <c r="AX571" s="56"/>
      <c r="BA571" s="1" t="s">
        <v>14</v>
      </c>
      <c r="BB571" s="8">
        <v>159.02000000000001</v>
      </c>
    </row>
    <row r="572" spans="1:54" ht="15">
      <c r="A572" s="1" t="s">
        <v>4</v>
      </c>
      <c r="B572" s="5">
        <v>31500.80672800001</v>
      </c>
      <c r="C572" s="8">
        <v>12.785507063532117</v>
      </c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8">
        <v>148.29</v>
      </c>
      <c r="Y572" s="8"/>
      <c r="Z572" s="4"/>
      <c r="AB572" s="10"/>
      <c r="AI572" s="29" t="str">
        <f t="shared" si="24"/>
        <v/>
      </c>
      <c r="AL572" s="6"/>
      <c r="AM572" s="6"/>
      <c r="AN572" s="6"/>
      <c r="AO572" s="6"/>
      <c r="AP572" s="6"/>
      <c r="AQ572" s="6"/>
      <c r="AR572" s="6"/>
      <c r="AS572" s="63"/>
      <c r="AT572" s="63"/>
      <c r="AU572" s="63"/>
      <c r="AV572" s="63"/>
      <c r="AW572" s="63"/>
      <c r="AX572" s="56"/>
      <c r="BA572" s="1" t="s">
        <v>14</v>
      </c>
      <c r="BB572" s="8">
        <v>148.29</v>
      </c>
    </row>
    <row r="573" spans="1:54" ht="15">
      <c r="A573" s="1" t="s">
        <v>4</v>
      </c>
      <c r="B573" s="5">
        <v>31511.763994000001</v>
      </c>
      <c r="C573" s="8">
        <v>12.81550706353209</v>
      </c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8">
        <v>150.24</v>
      </c>
      <c r="Y573" s="8"/>
      <c r="Z573" s="4"/>
      <c r="AB573" s="10"/>
      <c r="AI573" s="29" t="str">
        <f t="shared" si="24"/>
        <v/>
      </c>
      <c r="AL573" s="6"/>
      <c r="AM573" s="6"/>
      <c r="AN573" s="6"/>
      <c r="AO573" s="6"/>
      <c r="AP573" s="6"/>
      <c r="AQ573" s="6"/>
      <c r="AR573" s="6"/>
      <c r="AS573" s="63"/>
      <c r="AT573" s="63"/>
      <c r="AU573" s="63"/>
      <c r="AV573" s="63"/>
      <c r="AW573" s="63"/>
      <c r="AX573" s="56"/>
      <c r="BA573" s="1" t="s">
        <v>14</v>
      </c>
      <c r="BB573" s="8">
        <v>150.24</v>
      </c>
    </row>
    <row r="574" spans="1:54" ht="15">
      <c r="A574" s="1" t="s">
        <v>4</v>
      </c>
      <c r="B574" s="5">
        <v>31530.026103999986</v>
      </c>
      <c r="C574" s="8">
        <v>12.86550706353205</v>
      </c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8">
        <v>155.77000000000001</v>
      </c>
      <c r="Y574" s="8"/>
      <c r="Z574" s="4"/>
      <c r="AB574" s="10"/>
      <c r="AI574" s="29" t="str">
        <f t="shared" si="24"/>
        <v/>
      </c>
      <c r="AL574" s="6"/>
      <c r="AM574" s="6"/>
      <c r="AN574" s="6"/>
      <c r="AO574" s="6"/>
      <c r="AP574" s="6"/>
      <c r="AQ574" s="6"/>
      <c r="AR574" s="6"/>
      <c r="AS574" s="63"/>
      <c r="AT574" s="63"/>
      <c r="AU574" s="63"/>
      <c r="AV574" s="63"/>
      <c r="AW574" s="63"/>
      <c r="AX574" s="56"/>
      <c r="BA574" s="1" t="s">
        <v>14</v>
      </c>
      <c r="BB574" s="8">
        <v>155.77000000000001</v>
      </c>
    </row>
    <row r="575" spans="1:54" ht="15">
      <c r="A575" s="1" t="s">
        <v>4</v>
      </c>
      <c r="B575" s="5">
        <v>31544.635791999972</v>
      </c>
      <c r="C575" s="8">
        <v>12.905507063532012</v>
      </c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8">
        <v>189.92</v>
      </c>
      <c r="Y575" s="8"/>
      <c r="Z575" s="4"/>
      <c r="AB575" s="10"/>
      <c r="AI575" s="29" t="str">
        <f t="shared" si="24"/>
        <v/>
      </c>
      <c r="AL575" s="6"/>
      <c r="AM575" s="6"/>
      <c r="AN575" s="6"/>
      <c r="AO575" s="6"/>
      <c r="AP575" s="6"/>
      <c r="AQ575" s="6"/>
      <c r="AR575" s="6"/>
      <c r="AS575" s="63"/>
      <c r="AT575" s="63"/>
      <c r="AU575" s="63"/>
      <c r="AV575" s="63"/>
      <c r="AW575" s="63"/>
      <c r="AX575" s="56"/>
      <c r="BA575" s="1" t="s">
        <v>14</v>
      </c>
      <c r="BB575" s="8">
        <v>189.92</v>
      </c>
    </row>
    <row r="576" spans="1:54" ht="15">
      <c r="A576" s="1" t="s">
        <v>4</v>
      </c>
      <c r="B576" s="5">
        <v>31555.593058000046</v>
      </c>
      <c r="C576" s="8">
        <v>12.935507063532214</v>
      </c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8">
        <v>206.18</v>
      </c>
      <c r="Y576" s="8"/>
      <c r="Z576" s="4"/>
      <c r="AB576" s="10"/>
      <c r="AI576" s="29" t="str">
        <f t="shared" si="24"/>
        <v/>
      </c>
      <c r="AL576" s="6"/>
      <c r="AM576" s="6"/>
      <c r="AN576" s="6"/>
      <c r="AO576" s="6"/>
      <c r="AP576" s="6"/>
      <c r="AQ576" s="6"/>
      <c r="AR576" s="6"/>
      <c r="AS576" s="63"/>
      <c r="AT576" s="63"/>
      <c r="AU576" s="63"/>
      <c r="AV576" s="63"/>
      <c r="AW576" s="63"/>
      <c r="AX576" s="56"/>
      <c r="BA576" s="1" t="s">
        <v>14</v>
      </c>
      <c r="BB576" s="8">
        <v>206.18</v>
      </c>
    </row>
    <row r="577" spans="1:54" ht="15">
      <c r="A577" s="1" t="s">
        <v>4</v>
      </c>
      <c r="B577" s="5">
        <v>31566.550324000036</v>
      </c>
      <c r="C577" s="8">
        <v>12.965507063532188</v>
      </c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8">
        <v>217.56</v>
      </c>
      <c r="Y577" s="8"/>
      <c r="Z577" s="4"/>
      <c r="AB577" s="10"/>
      <c r="AI577" s="29" t="str">
        <f t="shared" si="24"/>
        <v/>
      </c>
      <c r="AL577" s="6"/>
      <c r="AM577" s="6"/>
      <c r="AN577" s="6"/>
      <c r="AO577" s="6"/>
      <c r="AP577" s="6"/>
      <c r="AQ577" s="6"/>
      <c r="AR577" s="6"/>
      <c r="AS577" s="63"/>
      <c r="AT577" s="63"/>
      <c r="AU577" s="63"/>
      <c r="AV577" s="63"/>
      <c r="AW577" s="63"/>
      <c r="AX577" s="56"/>
      <c r="BA577" s="1" t="s">
        <v>14</v>
      </c>
      <c r="BB577" s="8">
        <v>217.56</v>
      </c>
    </row>
    <row r="578" spans="1:54" ht="15">
      <c r="A578" s="1" t="s">
        <v>4</v>
      </c>
      <c r="B578" s="5">
        <v>31584.812434000021</v>
      </c>
      <c r="C578" s="8">
        <v>13.015507063532146</v>
      </c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8">
        <v>209.76</v>
      </c>
      <c r="Y578" s="8"/>
      <c r="Z578" s="4"/>
      <c r="AB578" s="10"/>
      <c r="AI578" s="29" t="str">
        <f t="shared" si="24"/>
        <v/>
      </c>
      <c r="AL578" s="6"/>
      <c r="AM578" s="6"/>
      <c r="AN578" s="6"/>
      <c r="AO578" s="6"/>
      <c r="AP578" s="6"/>
      <c r="AQ578" s="6"/>
      <c r="AR578" s="6"/>
      <c r="AS578" s="63"/>
      <c r="AT578" s="63"/>
      <c r="AU578" s="63"/>
      <c r="AV578" s="63"/>
      <c r="AW578" s="63"/>
      <c r="AX578" s="56"/>
      <c r="BA578" s="1" t="s">
        <v>14</v>
      </c>
      <c r="BB578" s="8">
        <v>209.76</v>
      </c>
    </row>
    <row r="579" spans="1:54" ht="15">
      <c r="A579" s="1" t="s">
        <v>4</v>
      </c>
      <c r="B579" s="5">
        <v>31599.422122000007</v>
      </c>
      <c r="C579" s="8">
        <v>13.055507063532108</v>
      </c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8">
        <v>196.75</v>
      </c>
      <c r="Y579" s="8"/>
      <c r="Z579" s="4"/>
      <c r="AB579" s="10"/>
      <c r="AI579" s="29" t="str">
        <f t="shared" ref="AI579:AI642" si="25">IF(AH579&gt;0.001,AH579/C579,"")</f>
        <v/>
      </c>
      <c r="AL579" s="6"/>
      <c r="AM579" s="6"/>
      <c r="AN579" s="6"/>
      <c r="AO579" s="6"/>
      <c r="AP579" s="6"/>
      <c r="AQ579" s="6"/>
      <c r="AR579" s="6"/>
      <c r="AS579" s="63"/>
      <c r="AT579" s="63"/>
      <c r="AU579" s="63"/>
      <c r="AV579" s="63"/>
      <c r="AW579" s="63"/>
      <c r="AX579" s="56"/>
      <c r="BA579" s="1" t="s">
        <v>14</v>
      </c>
      <c r="BB579" s="8">
        <v>196.75</v>
      </c>
    </row>
    <row r="580" spans="1:54" ht="15">
      <c r="A580" s="1" t="s">
        <v>4</v>
      </c>
      <c r="B580" s="5">
        <v>31610.379387999994</v>
      </c>
      <c r="C580" s="8">
        <v>13.085507063532072</v>
      </c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8">
        <v>249.76</v>
      </c>
      <c r="Y580" s="8"/>
      <c r="Z580" s="4"/>
      <c r="AB580" s="10"/>
      <c r="AI580" s="29" t="str">
        <f t="shared" si="25"/>
        <v/>
      </c>
      <c r="AL580" s="6"/>
      <c r="AM580" s="6"/>
      <c r="AN580" s="6"/>
      <c r="AO580" s="6"/>
      <c r="AP580" s="6"/>
      <c r="AQ580" s="6"/>
      <c r="AR580" s="6"/>
      <c r="AS580" s="63"/>
      <c r="AT580" s="63"/>
      <c r="AU580" s="63"/>
      <c r="AV580" s="63"/>
      <c r="AW580" s="63"/>
      <c r="AX580" s="56"/>
      <c r="BA580" s="1" t="s">
        <v>14</v>
      </c>
      <c r="BB580" s="8">
        <v>249.76</v>
      </c>
    </row>
    <row r="581" spans="1:54" ht="15">
      <c r="A581" s="1" t="s">
        <v>4</v>
      </c>
      <c r="B581" s="5">
        <v>31628.641497999979</v>
      </c>
      <c r="C581" s="8">
        <v>13.135507063532032</v>
      </c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8">
        <v>295.27999999999997</v>
      </c>
      <c r="Y581" s="8"/>
      <c r="Z581" s="4"/>
      <c r="AB581" s="10"/>
      <c r="AI581" s="29" t="str">
        <f t="shared" si="25"/>
        <v/>
      </c>
      <c r="AL581" s="6"/>
      <c r="AM581" s="6"/>
      <c r="AN581" s="6"/>
      <c r="AO581" s="6"/>
      <c r="AP581" s="6"/>
      <c r="AQ581" s="6"/>
      <c r="AR581" s="6"/>
      <c r="AS581" s="63"/>
      <c r="AT581" s="63"/>
      <c r="AU581" s="63"/>
      <c r="AV581" s="63"/>
      <c r="AW581" s="63"/>
      <c r="AX581" s="56"/>
      <c r="BA581" s="1" t="s">
        <v>14</v>
      </c>
      <c r="BB581" s="8">
        <v>295.27999999999997</v>
      </c>
    </row>
    <row r="582" spans="1:54" ht="15">
      <c r="A582" s="1" t="s">
        <v>4</v>
      </c>
      <c r="B582" s="5">
        <v>31643.251186000049</v>
      </c>
      <c r="C582" s="8">
        <v>13.175507063532221</v>
      </c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8">
        <v>276.75</v>
      </c>
      <c r="Y582" s="8"/>
      <c r="Z582" s="4"/>
      <c r="AB582" s="10"/>
      <c r="AI582" s="29" t="str">
        <f t="shared" si="25"/>
        <v/>
      </c>
      <c r="AL582" s="6"/>
      <c r="AM582" s="6"/>
      <c r="AN582" s="6"/>
      <c r="AO582" s="6"/>
      <c r="AP582" s="6"/>
      <c r="AQ582" s="6"/>
      <c r="AR582" s="6"/>
      <c r="AS582" s="63"/>
      <c r="AT582" s="63"/>
      <c r="AU582" s="63"/>
      <c r="AV582" s="63"/>
      <c r="AW582" s="63"/>
      <c r="AX582" s="56"/>
      <c r="BA582" s="1" t="s">
        <v>14</v>
      </c>
      <c r="BB582" s="8">
        <v>276.75</v>
      </c>
    </row>
    <row r="583" spans="1:54" ht="15">
      <c r="A583" s="1" t="s">
        <v>4</v>
      </c>
      <c r="B583" s="5">
        <v>31654.208452000039</v>
      </c>
      <c r="C583" s="8">
        <v>13.205507063532195</v>
      </c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8">
        <v>296.26</v>
      </c>
      <c r="Y583" s="8"/>
      <c r="Z583" s="4"/>
      <c r="AB583" s="10"/>
      <c r="AI583" s="29" t="str">
        <f t="shared" si="25"/>
        <v/>
      </c>
      <c r="AL583" s="6"/>
      <c r="AM583" s="6"/>
      <c r="AN583" s="6"/>
      <c r="AO583" s="6"/>
      <c r="AP583" s="6"/>
      <c r="AQ583" s="6"/>
      <c r="AR583" s="6"/>
      <c r="AS583" s="63"/>
      <c r="AT583" s="63"/>
      <c r="AU583" s="63"/>
      <c r="AV583" s="63"/>
      <c r="AW583" s="63"/>
      <c r="AX583" s="56"/>
      <c r="BA583" s="1" t="s">
        <v>14</v>
      </c>
      <c r="BB583" s="8">
        <v>296.26</v>
      </c>
    </row>
    <row r="584" spans="1:54" ht="15">
      <c r="A584" s="1" t="s">
        <v>4</v>
      </c>
      <c r="B584" s="5">
        <v>31665.165718000029</v>
      </c>
      <c r="C584" s="8">
        <v>13.235507063532168</v>
      </c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8">
        <v>273.5</v>
      </c>
      <c r="Y584" s="8"/>
      <c r="Z584" s="4"/>
      <c r="AB584" s="10"/>
      <c r="AI584" s="29" t="str">
        <f t="shared" si="25"/>
        <v/>
      </c>
      <c r="AL584" s="6"/>
      <c r="AM584" s="6"/>
      <c r="AN584" s="6"/>
      <c r="AO584" s="6"/>
      <c r="AP584" s="6"/>
      <c r="AQ584" s="6"/>
      <c r="AR584" s="6"/>
      <c r="AS584" s="63"/>
      <c r="AT584" s="63"/>
      <c r="AU584" s="63"/>
      <c r="AV584" s="63"/>
      <c r="AW584" s="63"/>
      <c r="AX584" s="56"/>
      <c r="BA584" s="1" t="s">
        <v>14</v>
      </c>
      <c r="BB584" s="8">
        <v>273.5</v>
      </c>
    </row>
    <row r="585" spans="1:54" ht="15">
      <c r="A585" s="1" t="s">
        <v>4</v>
      </c>
      <c r="B585" s="5">
        <v>31690.732672000006</v>
      </c>
      <c r="C585" s="8">
        <v>13.305507063532103</v>
      </c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8">
        <v>269.58999999999997</v>
      </c>
      <c r="Y585" s="8"/>
      <c r="Z585" s="4"/>
      <c r="AB585" s="10"/>
      <c r="AI585" s="29" t="str">
        <f t="shared" si="25"/>
        <v/>
      </c>
      <c r="AL585" s="6"/>
      <c r="AM585" s="6"/>
      <c r="AN585" s="6"/>
      <c r="AO585" s="6"/>
      <c r="AP585" s="6"/>
      <c r="AQ585" s="6"/>
      <c r="AR585" s="6"/>
      <c r="AS585" s="63"/>
      <c r="AT585" s="63"/>
      <c r="AU585" s="63"/>
      <c r="AV585" s="63"/>
      <c r="AW585" s="63"/>
      <c r="AX585" s="56"/>
      <c r="BA585" s="1" t="s">
        <v>14</v>
      </c>
      <c r="BB585" s="8">
        <v>269.58999999999997</v>
      </c>
    </row>
    <row r="586" spans="1:54" ht="15">
      <c r="A586" s="1" t="s">
        <v>4</v>
      </c>
      <c r="B586" s="5">
        <v>31698.037516</v>
      </c>
      <c r="C586" s="8">
        <v>13.32550706353209</v>
      </c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8">
        <v>256.91000000000003</v>
      </c>
      <c r="Y586" s="8"/>
      <c r="Z586" s="4"/>
      <c r="AB586" s="10"/>
      <c r="AI586" s="29" t="str">
        <f t="shared" si="25"/>
        <v/>
      </c>
      <c r="AL586" s="6"/>
      <c r="AM586" s="6"/>
      <c r="AN586" s="6"/>
      <c r="AO586" s="6"/>
      <c r="AP586" s="6"/>
      <c r="AQ586" s="6"/>
      <c r="AR586" s="6"/>
      <c r="AS586" s="63"/>
      <c r="AT586" s="63"/>
      <c r="AU586" s="63"/>
      <c r="AV586" s="63"/>
      <c r="AW586" s="63"/>
      <c r="AX586" s="56"/>
      <c r="BA586" s="1" t="s">
        <v>14</v>
      </c>
      <c r="BB586" s="8">
        <v>256.91000000000003</v>
      </c>
    </row>
    <row r="587" spans="1:54" ht="15">
      <c r="A587" s="1" t="s">
        <v>4</v>
      </c>
      <c r="B587" s="5">
        <v>31712.647203999986</v>
      </c>
      <c r="C587" s="8">
        <v>13.36550706353205</v>
      </c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8">
        <v>270.89</v>
      </c>
      <c r="Y587" s="8"/>
      <c r="Z587" s="4"/>
      <c r="AB587" s="10"/>
      <c r="AI587" s="29" t="str">
        <f t="shared" si="25"/>
        <v/>
      </c>
      <c r="AL587" s="6"/>
      <c r="AM587" s="6"/>
      <c r="AN587" s="6"/>
      <c r="AO587" s="6"/>
      <c r="AP587" s="6"/>
      <c r="AQ587" s="6"/>
      <c r="AR587" s="6"/>
      <c r="AS587" s="63"/>
      <c r="AT587" s="63"/>
      <c r="AU587" s="63"/>
      <c r="AV587" s="63"/>
      <c r="AW587" s="63"/>
      <c r="AX587" s="56"/>
      <c r="BA587" s="1" t="s">
        <v>14</v>
      </c>
      <c r="BB587" s="8">
        <v>270.89</v>
      </c>
    </row>
    <row r="588" spans="1:54" ht="15">
      <c r="A588" s="1" t="s">
        <v>4</v>
      </c>
      <c r="B588" s="5">
        <v>31723.604469999977</v>
      </c>
      <c r="C588" s="8">
        <v>13.395507063532024</v>
      </c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8">
        <v>239.02</v>
      </c>
      <c r="Y588" s="8"/>
      <c r="Z588" s="4"/>
      <c r="AB588" s="10"/>
      <c r="AI588" s="29" t="str">
        <f t="shared" si="25"/>
        <v/>
      </c>
      <c r="AL588" s="6"/>
      <c r="AM588" s="6"/>
      <c r="AN588" s="6"/>
      <c r="AO588" s="6"/>
      <c r="AP588" s="6"/>
      <c r="AQ588" s="6"/>
      <c r="AR588" s="6"/>
      <c r="AS588" s="63"/>
      <c r="AT588" s="63"/>
      <c r="AU588" s="63"/>
      <c r="AV588" s="63"/>
      <c r="AW588" s="63"/>
      <c r="AX588" s="56"/>
      <c r="BA588" s="1" t="s">
        <v>14</v>
      </c>
      <c r="BB588" s="8">
        <v>239.02</v>
      </c>
    </row>
    <row r="589" spans="1:54" ht="15">
      <c r="A589" s="1" t="s">
        <v>4</v>
      </c>
      <c r="B589" s="5">
        <v>31738.214158000046</v>
      </c>
      <c r="C589" s="8">
        <v>13.435507063532215</v>
      </c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8">
        <v>249.11</v>
      </c>
      <c r="Y589" s="8"/>
      <c r="Z589" s="4"/>
      <c r="AB589" s="10"/>
      <c r="AI589" s="29" t="str">
        <f t="shared" si="25"/>
        <v/>
      </c>
      <c r="AL589" s="6"/>
      <c r="AM589" s="6"/>
      <c r="AN589" s="6"/>
      <c r="AO589" s="6"/>
      <c r="AP589" s="6"/>
      <c r="AQ589" s="6"/>
      <c r="AR589" s="6"/>
      <c r="AS589" s="63"/>
      <c r="AT589" s="63"/>
      <c r="AU589" s="63"/>
      <c r="AV589" s="63"/>
      <c r="AW589" s="63"/>
      <c r="AX589" s="56"/>
      <c r="BA589" s="1" t="s">
        <v>14</v>
      </c>
      <c r="BB589" s="8">
        <v>249.11</v>
      </c>
    </row>
    <row r="590" spans="1:54" ht="15">
      <c r="A590" s="1" t="s">
        <v>4</v>
      </c>
      <c r="B590" s="5">
        <v>31760.128690000027</v>
      </c>
      <c r="C590" s="8">
        <v>13.495507063532161</v>
      </c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8">
        <v>222.11</v>
      </c>
      <c r="Y590" s="8"/>
      <c r="Z590" s="4"/>
      <c r="AB590" s="10"/>
      <c r="AI590" s="29" t="str">
        <f t="shared" si="25"/>
        <v/>
      </c>
      <c r="AL590" s="6"/>
      <c r="AM590" s="6"/>
      <c r="AN590" s="6"/>
      <c r="AO590" s="6"/>
      <c r="AP590" s="6"/>
      <c r="AQ590" s="6"/>
      <c r="AR590" s="6"/>
      <c r="AS590" s="63"/>
      <c r="AT590" s="63"/>
      <c r="AU590" s="63"/>
      <c r="AV590" s="63"/>
      <c r="AW590" s="63"/>
      <c r="AX590" s="56"/>
      <c r="BA590" s="1" t="s">
        <v>14</v>
      </c>
      <c r="BB590" s="8">
        <v>222.11</v>
      </c>
    </row>
    <row r="591" spans="1:54" ht="15">
      <c r="A591" s="1" t="s">
        <v>4</v>
      </c>
      <c r="B591" s="5">
        <v>31767.433534000018</v>
      </c>
      <c r="C591" s="8">
        <v>13.515507063532137</v>
      </c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8">
        <v>211.38</v>
      </c>
      <c r="Y591" s="8"/>
      <c r="Z591" s="4"/>
      <c r="AB591" s="10"/>
      <c r="AI591" s="29" t="str">
        <f t="shared" si="25"/>
        <v/>
      </c>
      <c r="AL591" s="6"/>
      <c r="AM591" s="6"/>
      <c r="AN591" s="6"/>
      <c r="AO591" s="6"/>
      <c r="AP591" s="6"/>
      <c r="AQ591" s="6"/>
      <c r="AR591" s="6"/>
      <c r="AS591" s="63"/>
      <c r="AT591" s="63"/>
      <c r="AU591" s="63"/>
      <c r="AV591" s="63"/>
      <c r="AW591" s="63"/>
      <c r="AX591" s="56"/>
      <c r="BA591" s="1" t="s">
        <v>14</v>
      </c>
      <c r="BB591" s="8">
        <v>211.38</v>
      </c>
    </row>
    <row r="592" spans="1:54" ht="15">
      <c r="A592" s="1" t="s">
        <v>4</v>
      </c>
      <c r="B592" s="5">
        <v>31782.043222000008</v>
      </c>
      <c r="C592" s="8">
        <v>13.555507063532108</v>
      </c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8">
        <v>183.09</v>
      </c>
      <c r="Y592" s="8"/>
      <c r="Z592" s="4"/>
      <c r="AB592" s="10"/>
      <c r="AI592" s="29" t="str">
        <f t="shared" si="25"/>
        <v/>
      </c>
      <c r="AL592" s="6"/>
      <c r="AM592" s="6"/>
      <c r="AN592" s="6"/>
      <c r="AO592" s="6"/>
      <c r="AP592" s="6"/>
      <c r="AQ592" s="6"/>
      <c r="AR592" s="6"/>
      <c r="AS592" s="63"/>
      <c r="AT592" s="63"/>
      <c r="AU592" s="63"/>
      <c r="AV592" s="63"/>
      <c r="AW592" s="63"/>
      <c r="AX592" s="56"/>
      <c r="BA592" s="1" t="s">
        <v>14</v>
      </c>
      <c r="BB592" s="8">
        <v>183.09</v>
      </c>
    </row>
    <row r="593" spans="1:54" ht="15">
      <c r="A593" s="1" t="s">
        <v>4</v>
      </c>
      <c r="B593" s="5">
        <v>31796.652909999993</v>
      </c>
      <c r="C593" s="8">
        <v>13.59550706353207</v>
      </c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8">
        <v>175.61</v>
      </c>
      <c r="Y593" s="8"/>
      <c r="Z593" s="4"/>
      <c r="AB593" s="10"/>
      <c r="AI593" s="29" t="str">
        <f t="shared" si="25"/>
        <v/>
      </c>
      <c r="AL593" s="6"/>
      <c r="AM593" s="6"/>
      <c r="AN593" s="6"/>
      <c r="AO593" s="6"/>
      <c r="AP593" s="6"/>
      <c r="AQ593" s="6"/>
      <c r="AR593" s="6"/>
      <c r="AS593" s="63"/>
      <c r="AT593" s="63"/>
      <c r="AU593" s="63"/>
      <c r="AV593" s="63"/>
      <c r="AW593" s="63"/>
      <c r="AX593" s="56"/>
      <c r="BA593" s="1" t="s">
        <v>14</v>
      </c>
      <c r="BB593" s="8">
        <v>175.61</v>
      </c>
    </row>
    <row r="594" spans="1:54" ht="15">
      <c r="A594" s="1" t="s">
        <v>4</v>
      </c>
      <c r="B594" s="5">
        <v>31807.610175999984</v>
      </c>
      <c r="C594" s="8">
        <v>13.625507063532044</v>
      </c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8">
        <v>159.66999999999999</v>
      </c>
      <c r="Y594" s="8"/>
      <c r="Z594" s="4"/>
      <c r="AB594" s="10"/>
      <c r="AI594" s="29" t="str">
        <f t="shared" si="25"/>
        <v/>
      </c>
      <c r="AL594" s="6"/>
      <c r="AM594" s="6"/>
      <c r="AN594" s="6"/>
      <c r="AO594" s="6"/>
      <c r="AP594" s="6"/>
      <c r="AQ594" s="6"/>
      <c r="AR594" s="6"/>
      <c r="AS594" s="63"/>
      <c r="AT594" s="63"/>
      <c r="AU594" s="63"/>
      <c r="AV594" s="63"/>
      <c r="AW594" s="63"/>
      <c r="AX594" s="56"/>
      <c r="BA594" s="1" t="s">
        <v>14</v>
      </c>
      <c r="BB594" s="8">
        <v>159.66999999999999</v>
      </c>
    </row>
    <row r="595" spans="1:54" ht="15">
      <c r="A595" s="1" t="s">
        <v>4</v>
      </c>
      <c r="B595" s="5">
        <v>31836.829552000039</v>
      </c>
      <c r="C595" s="8">
        <v>13.705507063532195</v>
      </c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8">
        <v>172.36</v>
      </c>
      <c r="Y595" s="8"/>
      <c r="Z595" s="4"/>
      <c r="AB595" s="10"/>
      <c r="AI595" s="29" t="str">
        <f t="shared" si="25"/>
        <v/>
      </c>
      <c r="AL595" s="6"/>
      <c r="AM595" s="6"/>
      <c r="AN595" s="6"/>
      <c r="AO595" s="6"/>
      <c r="AP595" s="6"/>
      <c r="AQ595" s="6"/>
      <c r="AR595" s="6"/>
      <c r="AS595" s="63"/>
      <c r="AT595" s="63"/>
      <c r="AU595" s="63"/>
      <c r="AV595" s="63"/>
      <c r="AW595" s="63"/>
      <c r="AX595" s="56"/>
      <c r="BA595" s="1" t="s">
        <v>14</v>
      </c>
      <c r="BB595" s="8">
        <v>172.36</v>
      </c>
    </row>
    <row r="596" spans="1:54" ht="15">
      <c r="A596" s="1" t="s">
        <v>4</v>
      </c>
      <c r="B596" s="5">
        <v>31851.439240000025</v>
      </c>
      <c r="C596" s="8">
        <v>13.745507063532157</v>
      </c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8">
        <v>165.2</v>
      </c>
      <c r="Y596" s="8"/>
      <c r="Z596" s="4"/>
      <c r="AB596" s="10"/>
      <c r="AI596" s="29" t="str">
        <f t="shared" si="25"/>
        <v/>
      </c>
      <c r="AL596" s="6"/>
      <c r="AM596" s="6"/>
      <c r="AN596" s="6"/>
      <c r="AO596" s="6"/>
      <c r="AP596" s="6"/>
      <c r="AQ596" s="6"/>
      <c r="AR596" s="6"/>
      <c r="AS596" s="63"/>
      <c r="AT596" s="63"/>
      <c r="AU596" s="63"/>
      <c r="AV596" s="63"/>
      <c r="AW596" s="63"/>
      <c r="AX596" s="56"/>
      <c r="BA596" s="1" t="s">
        <v>14</v>
      </c>
      <c r="BB596" s="8">
        <v>165.2</v>
      </c>
    </row>
    <row r="597" spans="1:54" ht="15">
      <c r="A597" s="1" t="s">
        <v>4</v>
      </c>
      <c r="B597" s="5">
        <v>31866.048928000011</v>
      </c>
      <c r="C597" s="8">
        <v>13.785507063532119</v>
      </c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8">
        <v>160</v>
      </c>
      <c r="Y597" s="8"/>
      <c r="Z597" s="4"/>
      <c r="AB597" s="10"/>
      <c r="AI597" s="29" t="str">
        <f t="shared" si="25"/>
        <v/>
      </c>
      <c r="AL597" s="6"/>
      <c r="AM597" s="6"/>
      <c r="AN597" s="6"/>
      <c r="AO597" s="6"/>
      <c r="AP597" s="6"/>
      <c r="AQ597" s="6"/>
      <c r="AR597" s="6"/>
      <c r="AS597" s="63"/>
      <c r="AT597" s="63"/>
      <c r="AU597" s="63"/>
      <c r="AV597" s="63"/>
      <c r="AW597" s="63"/>
      <c r="AX597" s="56"/>
      <c r="BA597" s="1" t="s">
        <v>14</v>
      </c>
      <c r="BB597" s="8">
        <v>160</v>
      </c>
    </row>
    <row r="598" spans="1:54" ht="15">
      <c r="A598" s="1" t="s">
        <v>4</v>
      </c>
      <c r="B598" s="5">
        <v>31887.963459999992</v>
      </c>
      <c r="C598" s="8">
        <v>13.845507063532066</v>
      </c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8">
        <v>150.57</v>
      </c>
      <c r="Y598" s="8"/>
      <c r="Z598" s="4"/>
      <c r="AB598" s="10"/>
      <c r="AI598" s="29" t="str">
        <f t="shared" si="25"/>
        <v/>
      </c>
      <c r="AL598" s="6"/>
      <c r="AM598" s="6"/>
      <c r="AN598" s="6"/>
      <c r="AO598" s="6"/>
      <c r="AP598" s="6"/>
      <c r="AQ598" s="6"/>
      <c r="AR598" s="6"/>
      <c r="AS598" s="63"/>
      <c r="AT598" s="63"/>
      <c r="AU598" s="63"/>
      <c r="AV598" s="63"/>
      <c r="AW598" s="63"/>
      <c r="AX598" s="56"/>
      <c r="BA598" s="1" t="s">
        <v>14</v>
      </c>
      <c r="BB598" s="8">
        <v>150.57</v>
      </c>
    </row>
    <row r="599" spans="1:54" ht="15">
      <c r="A599" s="1" t="s">
        <v>4</v>
      </c>
      <c r="B599" s="5">
        <v>31898.920725999982</v>
      </c>
      <c r="C599" s="8">
        <v>13.875507063532039</v>
      </c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8">
        <v>151.87</v>
      </c>
      <c r="Y599" s="8"/>
      <c r="Z599" s="4"/>
      <c r="AB599" s="10"/>
      <c r="AI599" s="29" t="str">
        <f t="shared" si="25"/>
        <v/>
      </c>
      <c r="AL599" s="6"/>
      <c r="AM599" s="6"/>
      <c r="AN599" s="6"/>
      <c r="AO599" s="6"/>
      <c r="AP599" s="6"/>
      <c r="AQ599" s="6"/>
      <c r="AR599" s="6"/>
      <c r="AS599" s="63"/>
      <c r="AT599" s="63"/>
      <c r="AU599" s="63"/>
      <c r="AV599" s="63"/>
      <c r="AW599" s="63"/>
      <c r="AX599" s="56"/>
      <c r="BA599" s="1" t="s">
        <v>14</v>
      </c>
      <c r="BB599" s="8">
        <v>151.87</v>
      </c>
    </row>
    <row r="600" spans="1:54" ht="15">
      <c r="A600" s="1" t="s">
        <v>4</v>
      </c>
      <c r="B600" s="5">
        <v>31917.182836000051</v>
      </c>
      <c r="C600" s="8">
        <v>13.925507063532228</v>
      </c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8">
        <v>157.72</v>
      </c>
      <c r="Y600" s="8"/>
      <c r="Z600" s="4"/>
      <c r="AB600" s="10"/>
      <c r="AI600" s="29" t="str">
        <f t="shared" si="25"/>
        <v/>
      </c>
      <c r="AL600" s="6"/>
      <c r="AM600" s="6"/>
      <c r="AN600" s="6"/>
      <c r="AO600" s="6"/>
      <c r="AP600" s="6"/>
      <c r="AQ600" s="6"/>
      <c r="AR600" s="6"/>
      <c r="AS600" s="63"/>
      <c r="AT600" s="63"/>
      <c r="AU600" s="63"/>
      <c r="AV600" s="63"/>
      <c r="AW600" s="63"/>
      <c r="AX600" s="56"/>
      <c r="BA600" s="1" t="s">
        <v>14</v>
      </c>
      <c r="BB600" s="8">
        <v>157.72</v>
      </c>
    </row>
    <row r="601" spans="1:54" ht="15">
      <c r="A601" s="1" t="s">
        <v>4</v>
      </c>
      <c r="B601" s="5">
        <v>31928.140102000041</v>
      </c>
      <c r="C601" s="8">
        <v>13.955507063532201</v>
      </c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8">
        <v>164.55</v>
      </c>
      <c r="Y601" s="8"/>
      <c r="Z601" s="4"/>
      <c r="AB601" s="10"/>
      <c r="AI601" s="29" t="str">
        <f t="shared" si="25"/>
        <v/>
      </c>
      <c r="AL601" s="6"/>
      <c r="AM601" s="6"/>
      <c r="AN601" s="6"/>
      <c r="AO601" s="6"/>
      <c r="AP601" s="6"/>
      <c r="AQ601" s="6"/>
      <c r="AR601" s="6"/>
      <c r="AS601" s="63"/>
      <c r="AT601" s="63"/>
      <c r="AU601" s="63"/>
      <c r="AV601" s="63"/>
      <c r="AW601" s="63"/>
      <c r="AX601" s="56"/>
      <c r="BA601" s="1" t="s">
        <v>14</v>
      </c>
      <c r="BB601" s="8">
        <v>164.55</v>
      </c>
    </row>
    <row r="602" spans="1:54" ht="15">
      <c r="A602" s="1" t="s">
        <v>4</v>
      </c>
      <c r="B602" s="5">
        <v>31942.749790000027</v>
      </c>
      <c r="C602" s="8">
        <v>13.995507063532163</v>
      </c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8">
        <v>161.63</v>
      </c>
      <c r="Y602" s="8"/>
      <c r="Z602" s="4"/>
      <c r="AB602" s="10"/>
      <c r="AI602" s="29" t="str">
        <f t="shared" si="25"/>
        <v/>
      </c>
      <c r="AL602" s="6"/>
      <c r="AM602" s="6"/>
      <c r="AN602" s="6"/>
      <c r="AO602" s="6"/>
      <c r="AP602" s="6"/>
      <c r="AQ602" s="6"/>
      <c r="AR602" s="6"/>
      <c r="AS602" s="63"/>
      <c r="AT602" s="63"/>
      <c r="AU602" s="63"/>
      <c r="AV602" s="63"/>
      <c r="AW602" s="63"/>
      <c r="AX602" s="56"/>
      <c r="BA602" s="1" t="s">
        <v>14</v>
      </c>
      <c r="BB602" s="8">
        <v>161.63</v>
      </c>
    </row>
    <row r="603" spans="1:54" ht="15">
      <c r="A603" s="1" t="s">
        <v>4</v>
      </c>
      <c r="B603" s="5">
        <v>31957.359478000013</v>
      </c>
      <c r="C603" s="8">
        <v>14.035507063532124</v>
      </c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8">
        <v>186.67</v>
      </c>
      <c r="Y603" s="8"/>
      <c r="Z603" s="4"/>
      <c r="AB603" s="10"/>
      <c r="AI603" s="29" t="str">
        <f t="shared" si="25"/>
        <v/>
      </c>
      <c r="AL603" s="6"/>
      <c r="AM603" s="6"/>
      <c r="AN603" s="6"/>
      <c r="AO603" s="6"/>
      <c r="AP603" s="6"/>
      <c r="AQ603" s="6"/>
      <c r="AR603" s="6"/>
      <c r="AS603" s="63"/>
      <c r="AT603" s="63"/>
      <c r="AU603" s="63"/>
      <c r="AV603" s="63"/>
      <c r="AW603" s="63"/>
      <c r="AX603" s="56"/>
      <c r="BA603" s="1" t="s">
        <v>14</v>
      </c>
      <c r="BB603" s="8">
        <v>186.67</v>
      </c>
    </row>
    <row r="604" spans="1:54" ht="15">
      <c r="A604" s="1" t="s">
        <v>4</v>
      </c>
      <c r="B604" s="5">
        <v>31968.316744000003</v>
      </c>
      <c r="C604" s="8">
        <v>14.065507063532097</v>
      </c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8">
        <v>185.37</v>
      </c>
      <c r="Y604" s="8"/>
      <c r="Z604" s="4"/>
      <c r="AB604" s="10"/>
      <c r="AI604" s="29" t="str">
        <f t="shared" si="25"/>
        <v/>
      </c>
      <c r="AL604" s="6"/>
      <c r="AM604" s="6"/>
      <c r="AN604" s="6"/>
      <c r="AO604" s="6"/>
      <c r="AP604" s="6"/>
      <c r="AQ604" s="6"/>
      <c r="AR604" s="6"/>
      <c r="AS604" s="63"/>
      <c r="AT604" s="63"/>
      <c r="AU604" s="63"/>
      <c r="AV604" s="63"/>
      <c r="AW604" s="63"/>
      <c r="AX604" s="56"/>
      <c r="BA604" s="1" t="s">
        <v>14</v>
      </c>
      <c r="BB604" s="8">
        <v>185.37</v>
      </c>
    </row>
    <row r="605" spans="1:54" ht="15">
      <c r="A605" s="1" t="s">
        <v>4</v>
      </c>
      <c r="B605" s="5">
        <v>31986.578853999985</v>
      </c>
      <c r="C605" s="8">
        <v>14.115507063532046</v>
      </c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8">
        <v>178.54</v>
      </c>
      <c r="Y605" s="8"/>
      <c r="Z605" s="4"/>
      <c r="AB605" s="10"/>
      <c r="AI605" s="29" t="str">
        <f t="shared" si="25"/>
        <v/>
      </c>
      <c r="AL605" s="6"/>
      <c r="AM605" s="6"/>
      <c r="AN605" s="6"/>
      <c r="AO605" s="6"/>
      <c r="AP605" s="6"/>
      <c r="AQ605" s="6"/>
      <c r="AR605" s="6"/>
      <c r="AS605" s="63"/>
      <c r="AT605" s="63"/>
      <c r="AU605" s="63"/>
      <c r="AV605" s="63"/>
      <c r="AW605" s="63"/>
      <c r="AX605" s="56"/>
      <c r="BA605" s="1" t="s">
        <v>14</v>
      </c>
      <c r="BB605" s="8">
        <v>178.54</v>
      </c>
    </row>
    <row r="606" spans="1:54" ht="15">
      <c r="A606" s="1" t="s">
        <v>4</v>
      </c>
      <c r="B606" s="5">
        <v>32001.188541999974</v>
      </c>
      <c r="C606" s="8">
        <v>14.155507063532019</v>
      </c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8">
        <v>198.7</v>
      </c>
      <c r="Y606" s="8"/>
      <c r="Z606" s="4"/>
      <c r="AB606" s="10"/>
      <c r="AI606" s="29" t="str">
        <f t="shared" si="25"/>
        <v/>
      </c>
      <c r="AL606" s="6"/>
      <c r="AM606" s="6"/>
      <c r="AN606" s="6"/>
      <c r="AO606" s="6"/>
      <c r="AP606" s="6"/>
      <c r="AQ606" s="6"/>
      <c r="AR606" s="6"/>
      <c r="AS606" s="63"/>
      <c r="AT606" s="63"/>
      <c r="AU606" s="63"/>
      <c r="AV606" s="63"/>
      <c r="AW606" s="63"/>
      <c r="AX606" s="56"/>
      <c r="BA606" s="1" t="s">
        <v>14</v>
      </c>
      <c r="BB606" s="8">
        <v>198.7</v>
      </c>
    </row>
    <row r="607" spans="1:54" ht="15">
      <c r="A607" s="1" t="s">
        <v>4</v>
      </c>
      <c r="B607" s="5">
        <v>32012.145808000045</v>
      </c>
      <c r="C607" s="8">
        <v>14.18550706353221</v>
      </c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8">
        <v>200.98</v>
      </c>
      <c r="Y607" s="8"/>
      <c r="Z607" s="4"/>
      <c r="AB607" s="10"/>
      <c r="AI607" s="29" t="str">
        <f t="shared" si="25"/>
        <v/>
      </c>
      <c r="AL607" s="6"/>
      <c r="AM607" s="6"/>
      <c r="AN607" s="6"/>
      <c r="AO607" s="6"/>
      <c r="AP607" s="6"/>
      <c r="AQ607" s="6"/>
      <c r="AR607" s="6"/>
      <c r="AS607" s="63"/>
      <c r="AT607" s="63"/>
      <c r="AU607" s="63"/>
      <c r="AV607" s="63"/>
      <c r="AW607" s="63"/>
      <c r="AX607" s="56"/>
      <c r="BA607" s="1" t="s">
        <v>14</v>
      </c>
      <c r="BB607" s="8">
        <v>200.98</v>
      </c>
    </row>
    <row r="608" spans="1:54" ht="15">
      <c r="A608" s="1" t="s">
        <v>4</v>
      </c>
      <c r="B608" s="5">
        <v>32041.36518400002</v>
      </c>
      <c r="C608" s="8">
        <v>14.265507063532144</v>
      </c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8">
        <v>194.15</v>
      </c>
      <c r="Y608" s="8"/>
      <c r="Z608" s="4"/>
      <c r="AB608" s="10"/>
      <c r="AI608" s="29" t="str">
        <f t="shared" si="25"/>
        <v/>
      </c>
      <c r="AL608" s="6"/>
      <c r="AM608" s="6"/>
      <c r="AN608" s="6"/>
      <c r="AO608" s="6"/>
      <c r="AP608" s="6"/>
      <c r="AQ608" s="6"/>
      <c r="AR608" s="6"/>
      <c r="AS608" s="63"/>
      <c r="AT608" s="63"/>
      <c r="AU608" s="63"/>
      <c r="AV608" s="63"/>
      <c r="AW608" s="63"/>
      <c r="AX608" s="56"/>
      <c r="BA608" s="1" t="s">
        <v>14</v>
      </c>
      <c r="BB608" s="8">
        <v>194.15</v>
      </c>
    </row>
    <row r="609" spans="1:54" ht="15">
      <c r="A609" s="1" t="s">
        <v>4</v>
      </c>
      <c r="B609" s="5">
        <v>32055.974872000006</v>
      </c>
      <c r="C609" s="8">
        <v>14.305507063532104</v>
      </c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8">
        <v>174.96</v>
      </c>
      <c r="Y609" s="8"/>
      <c r="Z609" s="4"/>
      <c r="AB609" s="10"/>
      <c r="AI609" s="29" t="str">
        <f t="shared" si="25"/>
        <v/>
      </c>
      <c r="AL609" s="6"/>
      <c r="AM609" s="6"/>
      <c r="AN609" s="6"/>
      <c r="AO609" s="6"/>
      <c r="AP609" s="6"/>
      <c r="AQ609" s="6"/>
      <c r="AR609" s="6"/>
      <c r="AS609" s="63"/>
      <c r="AT609" s="63"/>
      <c r="AU609" s="63"/>
      <c r="AV609" s="63"/>
      <c r="AW609" s="63"/>
      <c r="AX609" s="56"/>
      <c r="BA609" s="1" t="s">
        <v>14</v>
      </c>
      <c r="BB609" s="8">
        <v>174.96</v>
      </c>
    </row>
    <row r="610" spans="1:54" ht="15">
      <c r="A610" s="1" t="s">
        <v>4</v>
      </c>
      <c r="B610" s="5">
        <v>32070.584559999992</v>
      </c>
      <c r="C610" s="8">
        <v>14.345507063532066</v>
      </c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8">
        <v>169.11</v>
      </c>
      <c r="Y610" s="8"/>
      <c r="Z610" s="4"/>
      <c r="AB610" s="10"/>
      <c r="AI610" s="29" t="str">
        <f t="shared" si="25"/>
        <v/>
      </c>
      <c r="AL610" s="6"/>
      <c r="AM610" s="6"/>
      <c r="AN610" s="6"/>
      <c r="AO610" s="6"/>
      <c r="AP610" s="6"/>
      <c r="AQ610" s="6"/>
      <c r="AR610" s="6"/>
      <c r="AS610" s="63"/>
      <c r="AT610" s="63"/>
      <c r="AU610" s="63"/>
      <c r="AV610" s="63"/>
      <c r="AW610" s="63"/>
      <c r="AX610" s="56"/>
      <c r="BA610" s="1" t="s">
        <v>14</v>
      </c>
      <c r="BB610" s="8">
        <v>169.11</v>
      </c>
    </row>
    <row r="611" spans="1:54" ht="15">
      <c r="A611" s="1" t="s">
        <v>4</v>
      </c>
      <c r="B611" s="5">
        <v>32081.541825999982</v>
      </c>
      <c r="C611" s="8">
        <v>14.375507063532041</v>
      </c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8">
        <v>156.1</v>
      </c>
      <c r="Y611" s="8"/>
      <c r="Z611" s="4"/>
      <c r="AB611" s="10"/>
      <c r="AI611" s="29" t="str">
        <f t="shared" si="25"/>
        <v/>
      </c>
      <c r="AL611" s="6"/>
      <c r="AM611" s="6"/>
      <c r="AN611" s="6"/>
      <c r="AO611" s="6"/>
      <c r="AP611" s="6"/>
      <c r="AQ611" s="6"/>
      <c r="AR611" s="6"/>
      <c r="AS611" s="63"/>
      <c r="AT611" s="63"/>
      <c r="AU611" s="63"/>
      <c r="AV611" s="63"/>
      <c r="AW611" s="63"/>
      <c r="AX611" s="56"/>
      <c r="BA611" s="1" t="s">
        <v>14</v>
      </c>
      <c r="BB611" s="8">
        <v>156.1</v>
      </c>
    </row>
    <row r="612" spans="1:54" ht="15">
      <c r="A612" s="1" t="s">
        <v>4</v>
      </c>
      <c r="B612" s="5">
        <v>32099.803936000048</v>
      </c>
      <c r="C612" s="8">
        <v>14.425507063532219</v>
      </c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8">
        <v>166.5</v>
      </c>
      <c r="Y612" s="8"/>
      <c r="Z612" s="4"/>
      <c r="AB612" s="10"/>
      <c r="AI612" s="29" t="str">
        <f t="shared" si="25"/>
        <v/>
      </c>
      <c r="AL612" s="6"/>
      <c r="AM612" s="6"/>
      <c r="AN612" s="6"/>
      <c r="AO612" s="6"/>
      <c r="AP612" s="6"/>
      <c r="AQ612" s="6"/>
      <c r="AR612" s="6"/>
      <c r="AS612" s="63"/>
      <c r="AT612" s="63"/>
      <c r="AU612" s="63"/>
      <c r="AV612" s="63"/>
      <c r="AW612" s="63"/>
      <c r="AX612" s="56"/>
      <c r="BA612" s="1" t="s">
        <v>14</v>
      </c>
      <c r="BB612" s="8">
        <v>166.5</v>
      </c>
    </row>
    <row r="613" spans="1:54" ht="15">
      <c r="A613" s="1" t="s">
        <v>4</v>
      </c>
      <c r="B613" s="5">
        <v>32110.761202000038</v>
      </c>
      <c r="C613" s="8">
        <v>14.455507063532192</v>
      </c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8">
        <v>167.8</v>
      </c>
      <c r="Y613" s="8"/>
      <c r="Z613" s="4"/>
      <c r="AB613" s="10"/>
      <c r="AI613" s="29" t="str">
        <f t="shared" si="25"/>
        <v/>
      </c>
      <c r="AL613" s="6"/>
      <c r="AM613" s="6"/>
      <c r="AN613" s="6"/>
      <c r="AO613" s="6"/>
      <c r="AP613" s="6"/>
      <c r="AQ613" s="6"/>
      <c r="AR613" s="6"/>
      <c r="AS613" s="63"/>
      <c r="AT613" s="63"/>
      <c r="AU613" s="63"/>
      <c r="AV613" s="63"/>
      <c r="AW613" s="63"/>
      <c r="AX613" s="56"/>
      <c r="BA613" s="1" t="s">
        <v>14</v>
      </c>
      <c r="BB613" s="8">
        <v>167.8</v>
      </c>
    </row>
    <row r="614" spans="1:54" ht="15">
      <c r="A614" s="1" t="s">
        <v>4</v>
      </c>
      <c r="B614" s="5">
        <v>32125.370890000027</v>
      </c>
      <c r="C614" s="8">
        <v>14.495507063532163</v>
      </c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8">
        <v>159.35</v>
      </c>
      <c r="Y614" s="8"/>
      <c r="Z614" s="4"/>
      <c r="AB614" s="10"/>
      <c r="AI614" s="29" t="str">
        <f t="shared" si="25"/>
        <v/>
      </c>
      <c r="AL614" s="13"/>
      <c r="AM614" s="13"/>
      <c r="AN614" s="13"/>
      <c r="AO614" s="13"/>
      <c r="AP614" s="13"/>
      <c r="AQ614" s="13"/>
      <c r="AR614" s="13"/>
      <c r="AS614" s="64"/>
      <c r="AT614" s="64"/>
      <c r="AU614" s="64"/>
      <c r="AV614" s="64"/>
      <c r="AW614" s="64"/>
      <c r="AX614" s="56"/>
      <c r="BA614" s="1" t="s">
        <v>14</v>
      </c>
      <c r="BB614" s="8">
        <v>159.35</v>
      </c>
    </row>
    <row r="615" spans="1:54" ht="15">
      <c r="A615" s="1" t="s">
        <v>4</v>
      </c>
      <c r="B615" s="5">
        <v>32136.328156000018</v>
      </c>
      <c r="C615" s="8">
        <v>14.525507063532137</v>
      </c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8">
        <v>153.82</v>
      </c>
      <c r="Y615" s="8"/>
      <c r="Z615" s="4"/>
      <c r="AB615" s="10"/>
      <c r="AI615" s="29" t="str">
        <f t="shared" si="25"/>
        <v/>
      </c>
      <c r="AL615" s="13"/>
      <c r="AM615" s="13"/>
      <c r="AN615" s="13"/>
      <c r="AO615" s="13"/>
      <c r="AP615" s="13"/>
      <c r="AQ615" s="13"/>
      <c r="AR615" s="13"/>
      <c r="AS615" s="64"/>
      <c r="AT615" s="64"/>
      <c r="AU615" s="64"/>
      <c r="AV615" s="64"/>
      <c r="AW615" s="64"/>
      <c r="AX615" s="56"/>
      <c r="BA615" s="1" t="s">
        <v>14</v>
      </c>
      <c r="BB615" s="8">
        <v>153.82</v>
      </c>
    </row>
    <row r="616" spans="1:54" ht="15">
      <c r="A616" s="1" t="s">
        <v>4</v>
      </c>
      <c r="B616" s="5">
        <v>32150.937844000004</v>
      </c>
      <c r="C616" s="8">
        <v>14.565507063532099</v>
      </c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8">
        <v>163.9</v>
      </c>
      <c r="Y616" s="8"/>
      <c r="Z616" s="4"/>
      <c r="AB616" s="10"/>
      <c r="AI616" s="29" t="str">
        <f t="shared" si="25"/>
        <v/>
      </c>
      <c r="AL616" s="13"/>
      <c r="AM616" s="13"/>
      <c r="AN616" s="13"/>
      <c r="AO616" s="13"/>
      <c r="AP616" s="13"/>
      <c r="AQ616" s="13"/>
      <c r="AR616" s="13"/>
      <c r="AS616" s="64"/>
      <c r="AT616" s="64"/>
      <c r="AU616" s="64"/>
      <c r="AV616" s="64"/>
      <c r="AW616" s="64"/>
      <c r="AX616" s="56"/>
      <c r="BA616" s="1" t="s">
        <v>14</v>
      </c>
      <c r="BB616" s="8">
        <v>163.9</v>
      </c>
    </row>
    <row r="617" spans="1:54" ht="15">
      <c r="A617" s="1" t="s">
        <v>4</v>
      </c>
      <c r="B617" s="5">
        <v>32158.242687999995</v>
      </c>
      <c r="C617" s="8">
        <v>14.585507063532074</v>
      </c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8">
        <v>153.82</v>
      </c>
      <c r="Y617" s="8"/>
      <c r="Z617" s="4"/>
      <c r="AB617" s="10"/>
      <c r="AI617" s="29" t="str">
        <f t="shared" si="25"/>
        <v/>
      </c>
      <c r="AL617" s="13"/>
      <c r="AM617" s="13"/>
      <c r="AN617" s="13"/>
      <c r="AO617" s="13"/>
      <c r="AP617" s="13"/>
      <c r="AQ617" s="13"/>
      <c r="AR617" s="13"/>
      <c r="AS617" s="64"/>
      <c r="AT617" s="64"/>
      <c r="AU617" s="64"/>
      <c r="AV617" s="64"/>
      <c r="AW617" s="64"/>
      <c r="AX617" s="56"/>
      <c r="BA617" s="1" t="s">
        <v>14</v>
      </c>
      <c r="BB617" s="8">
        <v>153.82</v>
      </c>
    </row>
    <row r="618" spans="1:54" ht="15">
      <c r="A618" s="1" t="s">
        <v>4</v>
      </c>
      <c r="B618" s="5">
        <v>32172.852375999981</v>
      </c>
      <c r="C618" s="8">
        <v>14.625507063532035</v>
      </c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8">
        <v>153.82</v>
      </c>
      <c r="Y618" s="8"/>
      <c r="Z618" s="4"/>
      <c r="AB618" s="10"/>
      <c r="AI618" s="29" t="str">
        <f t="shared" si="25"/>
        <v/>
      </c>
      <c r="AL618" s="13"/>
      <c r="AM618" s="13"/>
      <c r="AN618" s="13"/>
      <c r="AO618" s="13"/>
      <c r="AP618" s="13"/>
      <c r="AQ618" s="13"/>
      <c r="AR618" s="13"/>
      <c r="AS618" s="64"/>
      <c r="AT618" s="64"/>
      <c r="AU618" s="64"/>
      <c r="AV618" s="64"/>
      <c r="AW618" s="64"/>
      <c r="AX618" s="56"/>
      <c r="BA618" s="1" t="s">
        <v>14</v>
      </c>
      <c r="BB618" s="8">
        <v>153.82</v>
      </c>
    </row>
    <row r="619" spans="1:54" ht="15">
      <c r="A619" s="1" t="s">
        <v>4</v>
      </c>
      <c r="B619" s="5">
        <v>32187.46206399997</v>
      </c>
      <c r="C619" s="8">
        <v>14.665507063532006</v>
      </c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8">
        <v>171.38</v>
      </c>
      <c r="Y619" s="8"/>
      <c r="Z619" s="4"/>
      <c r="AB619" s="10"/>
      <c r="AI619" s="29" t="str">
        <f t="shared" si="25"/>
        <v/>
      </c>
      <c r="AL619" s="6"/>
      <c r="AM619" s="6"/>
      <c r="AN619" s="6"/>
      <c r="AO619" s="6"/>
      <c r="AP619" s="6"/>
      <c r="AQ619" s="6"/>
      <c r="AR619" s="6"/>
      <c r="AS619" s="63"/>
      <c r="AT619" s="63"/>
      <c r="AU619" s="63"/>
      <c r="AV619" s="63"/>
      <c r="AW619" s="63"/>
      <c r="AX619" s="56"/>
      <c r="BA619" s="1" t="s">
        <v>14</v>
      </c>
      <c r="BB619" s="8">
        <v>171.38</v>
      </c>
    </row>
    <row r="620" spans="1:54" ht="15">
      <c r="A620" s="1" t="s">
        <v>4</v>
      </c>
      <c r="B620" s="5">
        <v>32202.07175200004</v>
      </c>
      <c r="C620" s="8">
        <v>14.705507063532197</v>
      </c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8">
        <v>154.15</v>
      </c>
      <c r="Y620" s="8"/>
      <c r="Z620" s="4"/>
      <c r="AB620" s="10"/>
      <c r="AI620" s="29" t="str">
        <f t="shared" si="25"/>
        <v/>
      </c>
      <c r="AL620" s="6"/>
      <c r="AM620" s="6"/>
      <c r="AN620" s="6"/>
      <c r="AO620" s="6"/>
      <c r="AP620" s="6"/>
      <c r="AQ620" s="6"/>
      <c r="AR620" s="6"/>
      <c r="AS620" s="63"/>
      <c r="AT620" s="63"/>
      <c r="AU620" s="63"/>
      <c r="AV620" s="63"/>
      <c r="AW620" s="63"/>
      <c r="AX620" s="56"/>
      <c r="BA620" s="1" t="s">
        <v>14</v>
      </c>
      <c r="BB620" s="8">
        <v>154.15</v>
      </c>
    </row>
    <row r="621" spans="1:54" ht="15">
      <c r="A621" s="1" t="s">
        <v>4</v>
      </c>
      <c r="B621" s="5">
        <v>32213.02901800003</v>
      </c>
      <c r="C621" s="8">
        <v>14.73550706353217</v>
      </c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8">
        <v>151.54</v>
      </c>
      <c r="Y621" s="8"/>
      <c r="Z621" s="4"/>
      <c r="AB621" s="10"/>
      <c r="AI621" s="29" t="str">
        <f t="shared" si="25"/>
        <v/>
      </c>
      <c r="AL621" s="6"/>
      <c r="AM621" s="6"/>
      <c r="AN621" s="6"/>
      <c r="AO621" s="6"/>
      <c r="AP621" s="6"/>
      <c r="AQ621" s="6"/>
      <c r="AR621" s="6"/>
      <c r="AS621" s="63"/>
      <c r="AT621" s="63"/>
      <c r="AU621" s="63"/>
      <c r="AV621" s="63"/>
      <c r="AW621" s="63"/>
      <c r="AX621" s="56"/>
      <c r="BA621" s="1" t="s">
        <v>14</v>
      </c>
      <c r="BB621" s="8">
        <v>151.54</v>
      </c>
    </row>
    <row r="622" spans="1:54" ht="15">
      <c r="A622" s="1" t="s">
        <v>4</v>
      </c>
      <c r="B622" s="5">
        <v>32231.291128000012</v>
      </c>
      <c r="C622" s="8">
        <v>14.785507063532121</v>
      </c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8">
        <v>147.32</v>
      </c>
      <c r="Y622" s="8"/>
      <c r="Z622" s="4"/>
      <c r="AB622" s="10"/>
      <c r="AI622" s="29" t="str">
        <f t="shared" si="25"/>
        <v/>
      </c>
      <c r="AL622" s="6"/>
      <c r="AM622" s="6"/>
      <c r="AN622" s="6"/>
      <c r="AO622" s="6"/>
      <c r="AP622" s="6"/>
      <c r="AQ622" s="6"/>
      <c r="AR622" s="6"/>
      <c r="AS622" s="63"/>
      <c r="AT622" s="63"/>
      <c r="AU622" s="63"/>
      <c r="AV622" s="63"/>
      <c r="AW622" s="63"/>
      <c r="AX622" s="56"/>
      <c r="BA622" s="1" t="s">
        <v>14</v>
      </c>
      <c r="BB622" s="8">
        <v>147.32</v>
      </c>
    </row>
    <row r="623" spans="1:54" ht="15">
      <c r="A623" s="1" t="s">
        <v>4</v>
      </c>
      <c r="B623" s="5">
        <v>32242.248394000002</v>
      </c>
      <c r="C623" s="8">
        <v>14.815507063532094</v>
      </c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8">
        <v>148.62</v>
      </c>
      <c r="Y623" s="8"/>
      <c r="Z623" s="4"/>
      <c r="AB623" s="10"/>
      <c r="AI623" s="29" t="str">
        <f t="shared" si="25"/>
        <v/>
      </c>
      <c r="AL623" s="6"/>
      <c r="AM623" s="6"/>
      <c r="AN623" s="6"/>
      <c r="AO623" s="6"/>
      <c r="AP623" s="6"/>
      <c r="AQ623" s="6"/>
      <c r="AR623" s="6"/>
      <c r="AS623" s="63"/>
      <c r="AT623" s="63"/>
      <c r="AU623" s="63"/>
      <c r="AV623" s="63"/>
      <c r="AW623" s="63"/>
      <c r="AX623" s="56"/>
      <c r="BA623" s="1" t="s">
        <v>14</v>
      </c>
      <c r="BB623" s="8">
        <v>148.62</v>
      </c>
    </row>
    <row r="624" spans="1:54" ht="15">
      <c r="A624" s="1" t="s">
        <v>4</v>
      </c>
      <c r="B624" s="5">
        <v>32256.858081999992</v>
      </c>
      <c r="C624" s="8">
        <v>14.855507063532064</v>
      </c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8">
        <v>160.65</v>
      </c>
      <c r="Y624" s="8"/>
      <c r="Z624" s="4"/>
      <c r="AB624" s="10"/>
      <c r="AI624" s="29" t="str">
        <f t="shared" si="25"/>
        <v/>
      </c>
      <c r="AL624" s="13"/>
      <c r="AM624" s="13"/>
      <c r="AN624" s="13"/>
      <c r="AO624" s="13"/>
      <c r="AP624" s="13"/>
      <c r="AQ624" s="13"/>
      <c r="AR624" s="13"/>
      <c r="AS624" s="64"/>
      <c r="AT624" s="64"/>
      <c r="AU624" s="64"/>
      <c r="AV624" s="64"/>
      <c r="AW624" s="64"/>
      <c r="AX624" s="56"/>
      <c r="BA624" s="1" t="s">
        <v>14</v>
      </c>
      <c r="BB624" s="8">
        <v>160.65</v>
      </c>
    </row>
    <row r="625" spans="1:54" ht="15">
      <c r="A625" s="1" t="s">
        <v>4</v>
      </c>
      <c r="B625" s="5">
        <v>32271.467769999974</v>
      </c>
      <c r="C625" s="8">
        <v>14.895507063532017</v>
      </c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8">
        <v>206.83</v>
      </c>
      <c r="Y625" s="8"/>
      <c r="Z625" s="4"/>
      <c r="AB625" s="10"/>
      <c r="AI625" s="29" t="str">
        <f t="shared" si="25"/>
        <v/>
      </c>
      <c r="AL625" s="13"/>
      <c r="AM625" s="13"/>
      <c r="AN625" s="13"/>
      <c r="AO625" s="13"/>
      <c r="AP625" s="13"/>
      <c r="AQ625" s="13"/>
      <c r="AR625" s="13"/>
      <c r="AS625" s="64"/>
      <c r="AT625" s="64"/>
      <c r="AU625" s="64"/>
      <c r="AV625" s="64"/>
      <c r="AW625" s="64"/>
      <c r="AX625" s="56"/>
      <c r="BA625" s="1" t="s">
        <v>14</v>
      </c>
      <c r="BB625" s="8">
        <v>206.83</v>
      </c>
    </row>
    <row r="626" spans="1:54" ht="15">
      <c r="A626" s="1" t="s">
        <v>4</v>
      </c>
      <c r="B626" s="5">
        <v>32286.077458000047</v>
      </c>
      <c r="C626" s="8">
        <v>14.935507063532217</v>
      </c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8">
        <v>239.02</v>
      </c>
      <c r="Y626" s="8"/>
      <c r="Z626" s="4"/>
      <c r="AB626" s="10"/>
      <c r="AI626" s="29" t="str">
        <f t="shared" si="25"/>
        <v/>
      </c>
      <c r="AL626" s="13"/>
      <c r="AM626" s="13"/>
      <c r="AN626" s="13"/>
      <c r="AO626" s="13"/>
      <c r="AP626" s="13"/>
      <c r="AQ626" s="13"/>
      <c r="AR626" s="13"/>
      <c r="AS626" s="64"/>
      <c r="AT626" s="64"/>
      <c r="AU626" s="64"/>
      <c r="AV626" s="64"/>
      <c r="AW626" s="64"/>
      <c r="AX626" s="56"/>
      <c r="BA626" s="1" t="s">
        <v>14</v>
      </c>
      <c r="BB626" s="8">
        <v>239.02</v>
      </c>
    </row>
    <row r="627" spans="1:54" ht="15">
      <c r="A627" s="1" t="s">
        <v>4</v>
      </c>
      <c r="B627" s="5">
        <v>32300.687146000033</v>
      </c>
      <c r="C627" s="8">
        <v>14.975507063532179</v>
      </c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8">
        <v>252.03</v>
      </c>
      <c r="Y627" s="8"/>
      <c r="Z627" s="4"/>
      <c r="AB627" s="10"/>
      <c r="AI627" s="29" t="str">
        <f t="shared" si="25"/>
        <v/>
      </c>
      <c r="AL627" s="13"/>
      <c r="AM627" s="13"/>
      <c r="AN627" s="13"/>
      <c r="AO627" s="13"/>
      <c r="AP627" s="13"/>
      <c r="AQ627" s="13"/>
      <c r="AR627" s="13"/>
      <c r="AS627" s="64"/>
      <c r="AT627" s="64"/>
      <c r="AU627" s="64"/>
      <c r="AV627" s="64"/>
      <c r="AW627" s="64"/>
      <c r="AX627" s="56"/>
      <c r="BA627" s="1" t="s">
        <v>14</v>
      </c>
      <c r="BB627" s="8">
        <v>252.03</v>
      </c>
    </row>
    <row r="628" spans="1:54" ht="15">
      <c r="A628" s="1" t="s">
        <v>4</v>
      </c>
      <c r="B628" s="5">
        <v>32311.644412000023</v>
      </c>
      <c r="C628" s="8">
        <v>15.005507063532152</v>
      </c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8">
        <v>284.23</v>
      </c>
      <c r="Y628" s="8"/>
      <c r="Z628" s="4"/>
      <c r="AB628" s="10"/>
      <c r="AI628" s="29" t="str">
        <f t="shared" si="25"/>
        <v/>
      </c>
      <c r="AL628" s="13"/>
      <c r="AM628" s="13"/>
      <c r="AN628" s="13"/>
      <c r="AO628" s="13"/>
      <c r="AP628" s="13"/>
      <c r="AQ628" s="13"/>
      <c r="AR628" s="13"/>
      <c r="AS628" s="64"/>
      <c r="AT628" s="64"/>
      <c r="AU628" s="64"/>
      <c r="AV628" s="64"/>
      <c r="AW628" s="64"/>
      <c r="AX628" s="56"/>
      <c r="BA628" s="1" t="s">
        <v>14</v>
      </c>
      <c r="BB628" s="8">
        <v>284.23</v>
      </c>
    </row>
    <row r="629" spans="1:54" ht="15">
      <c r="A629" s="1" t="s">
        <v>4</v>
      </c>
      <c r="B629" s="5">
        <v>32329.906522000005</v>
      </c>
      <c r="C629" s="8">
        <v>15.055507063532101</v>
      </c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8">
        <v>288.13</v>
      </c>
      <c r="Y629" s="8"/>
      <c r="Z629" s="4"/>
      <c r="AB629" s="10"/>
      <c r="AI629" s="29" t="str">
        <f t="shared" si="25"/>
        <v/>
      </c>
      <c r="AL629" s="13"/>
      <c r="AM629" s="13"/>
      <c r="AN629" s="13"/>
      <c r="AO629" s="13"/>
      <c r="AP629" s="13"/>
      <c r="AQ629" s="13"/>
      <c r="AR629" s="13"/>
      <c r="AS629" s="64"/>
      <c r="AT629" s="64"/>
      <c r="AU629" s="64"/>
      <c r="AV629" s="64"/>
      <c r="AW629" s="64"/>
      <c r="AX629" s="56"/>
      <c r="BA629" s="1" t="s">
        <v>14</v>
      </c>
      <c r="BB629" s="8">
        <v>288.13</v>
      </c>
    </row>
    <row r="630" spans="1:54" ht="15">
      <c r="A630" s="26" t="s">
        <v>5</v>
      </c>
      <c r="B630" s="5">
        <v>30607.176911508526</v>
      </c>
      <c r="C630" s="8">
        <v>10.338829717673713</v>
      </c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8">
        <v>323.76816399999996</v>
      </c>
      <c r="Y630" s="8"/>
      <c r="Z630" s="4"/>
      <c r="AB630" s="10"/>
      <c r="AI630" s="29" t="str">
        <f t="shared" si="25"/>
        <v/>
      </c>
      <c r="AL630" s="13"/>
      <c r="AM630" s="13"/>
      <c r="AN630" s="13"/>
      <c r="AO630" s="13"/>
      <c r="AP630" s="13"/>
      <c r="AQ630" s="13"/>
      <c r="AR630" s="13"/>
      <c r="AS630" s="64"/>
      <c r="AT630" s="64"/>
      <c r="AU630" s="64"/>
      <c r="AV630" s="64"/>
      <c r="AW630" s="64"/>
      <c r="AX630" s="56"/>
      <c r="BA630" s="1" t="s">
        <v>15</v>
      </c>
      <c r="BB630" s="8">
        <v>323.76816399999996</v>
      </c>
    </row>
    <row r="631" spans="1:54" ht="15">
      <c r="A631" s="26" t="s">
        <v>5</v>
      </c>
      <c r="B631" s="5">
        <v>30607.176911508526</v>
      </c>
      <c r="C631" s="8">
        <v>10.338829717673713</v>
      </c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8">
        <v>335.32658400000003</v>
      </c>
      <c r="Y631" s="8"/>
      <c r="Z631" s="4"/>
      <c r="AB631" s="10"/>
      <c r="AI631" s="29" t="str">
        <f t="shared" si="25"/>
        <v/>
      </c>
      <c r="AL631" s="13"/>
      <c r="AM631" s="13"/>
      <c r="AN631" s="13"/>
      <c r="AO631" s="13"/>
      <c r="AP631" s="13"/>
      <c r="AQ631" s="13"/>
      <c r="AR631" s="13"/>
      <c r="AS631" s="64"/>
      <c r="AT631" s="64"/>
      <c r="AU631" s="64"/>
      <c r="AV631" s="64"/>
      <c r="AW631" s="64"/>
      <c r="AX631" s="56"/>
      <c r="BA631" s="1" t="s">
        <v>15</v>
      </c>
      <c r="BB631" s="8">
        <v>335.32658400000003</v>
      </c>
    </row>
    <row r="632" spans="1:54" ht="15">
      <c r="A632" s="26" t="s">
        <v>5</v>
      </c>
      <c r="B632" s="5">
        <v>30607.176911508526</v>
      </c>
      <c r="C632" s="8">
        <v>10.338829717673713</v>
      </c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8">
        <v>350.22689500000001</v>
      </c>
      <c r="Y632" s="8"/>
      <c r="Z632" s="4"/>
      <c r="AB632" s="10"/>
      <c r="AI632" s="29" t="str">
        <f t="shared" si="25"/>
        <v/>
      </c>
      <c r="AL632" s="13"/>
      <c r="AM632" s="13"/>
      <c r="AN632" s="13"/>
      <c r="AO632" s="13"/>
      <c r="AP632" s="13"/>
      <c r="AQ632" s="13"/>
      <c r="AR632" s="13"/>
      <c r="AS632" s="64"/>
      <c r="AT632" s="64"/>
      <c r="AU632" s="64"/>
      <c r="AV632" s="64"/>
      <c r="AW632" s="64"/>
      <c r="AX632" s="56"/>
      <c r="BA632" s="1" t="s">
        <v>15</v>
      </c>
      <c r="BB632" s="8">
        <v>350.22689500000001</v>
      </c>
    </row>
    <row r="633" spans="1:54" ht="15">
      <c r="A633" s="26" t="s">
        <v>5</v>
      </c>
      <c r="B633" s="5">
        <v>30612.165117407891</v>
      </c>
      <c r="C633" s="8">
        <v>10.352486972775573</v>
      </c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8">
        <v>363.26780800000006</v>
      </c>
      <c r="Y633" s="8"/>
      <c r="Z633" s="4"/>
      <c r="AB633" s="10"/>
      <c r="AI633" s="29" t="str">
        <f t="shared" si="25"/>
        <v/>
      </c>
      <c r="AL633" s="13"/>
      <c r="AM633" s="13"/>
      <c r="AN633" s="13"/>
      <c r="AO633" s="13"/>
      <c r="AP633" s="13"/>
      <c r="AQ633" s="13"/>
      <c r="AR633" s="13"/>
      <c r="AS633" s="64"/>
      <c r="AT633" s="64"/>
      <c r="AU633" s="64"/>
      <c r="AV633" s="64"/>
      <c r="AW633" s="64"/>
      <c r="AX633" s="56"/>
      <c r="BA633" s="1" t="s">
        <v>15</v>
      </c>
      <c r="BB633" s="8">
        <v>363.26780800000006</v>
      </c>
    </row>
    <row r="634" spans="1:54" ht="15">
      <c r="A634" s="26" t="s">
        <v>5</v>
      </c>
      <c r="B634" s="5">
        <v>30612.165117407891</v>
      </c>
      <c r="C634" s="8">
        <v>10.352486972775573</v>
      </c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8">
        <v>365.152333</v>
      </c>
      <c r="Y634" s="8"/>
      <c r="Z634" s="4"/>
      <c r="AB634" s="10"/>
      <c r="AI634" s="29" t="str">
        <f t="shared" si="25"/>
        <v/>
      </c>
      <c r="AL634" s="13"/>
      <c r="AM634" s="13"/>
      <c r="AN634" s="13"/>
      <c r="AO634" s="13"/>
      <c r="AP634" s="13"/>
      <c r="AQ634" s="13"/>
      <c r="AR634" s="13"/>
      <c r="AS634" s="64"/>
      <c r="AT634" s="64"/>
      <c r="AU634" s="64"/>
      <c r="AV634" s="64"/>
      <c r="AW634" s="64"/>
      <c r="AX634" s="56"/>
      <c r="BA634" s="1" t="s">
        <v>15</v>
      </c>
      <c r="BB634" s="8">
        <v>365.152333</v>
      </c>
    </row>
    <row r="635" spans="1:54" ht="15">
      <c r="A635" s="26" t="s">
        <v>5</v>
      </c>
      <c r="B635" s="5">
        <v>30632.117941005683</v>
      </c>
      <c r="C635" s="8">
        <v>10.407115993183927</v>
      </c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8">
        <v>359.22236099999998</v>
      </c>
      <c r="Y635" s="8"/>
      <c r="Z635" s="4"/>
      <c r="AB635" s="10"/>
      <c r="AI635" s="29" t="str">
        <f t="shared" si="25"/>
        <v/>
      </c>
      <c r="AL635" s="13"/>
      <c r="AM635" s="13"/>
      <c r="AN635" s="13"/>
      <c r="AO635" s="13"/>
      <c r="AP635" s="13"/>
      <c r="AQ635" s="13"/>
      <c r="AR635" s="13"/>
      <c r="AS635" s="64"/>
      <c r="AT635" s="64"/>
      <c r="AU635" s="64"/>
      <c r="AV635" s="64"/>
      <c r="AW635" s="64"/>
      <c r="AX635" s="56"/>
      <c r="BA635" s="1" t="s">
        <v>15</v>
      </c>
      <c r="BB635" s="8">
        <v>359.22236099999998</v>
      </c>
    </row>
    <row r="636" spans="1:54" ht="15">
      <c r="A636" s="26" t="s">
        <v>5</v>
      </c>
      <c r="B636" s="5">
        <v>30647.082558704027</v>
      </c>
      <c r="C636" s="8">
        <v>10.448087758490193</v>
      </c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8">
        <v>353.66929399999998</v>
      </c>
      <c r="Y636" s="8"/>
      <c r="Z636" s="4"/>
      <c r="AB636" s="10"/>
      <c r="AI636" s="29" t="str">
        <f t="shared" si="25"/>
        <v/>
      </c>
      <c r="AL636" s="13"/>
      <c r="AM636" s="13"/>
      <c r="AN636" s="13"/>
      <c r="AO636" s="13"/>
      <c r="AP636" s="13"/>
      <c r="AQ636" s="13"/>
      <c r="AR636" s="13"/>
      <c r="AS636" s="64"/>
      <c r="AT636" s="64"/>
      <c r="AU636" s="64"/>
      <c r="AV636" s="64"/>
      <c r="AW636" s="64"/>
      <c r="AX636" s="56"/>
      <c r="BA636" s="1" t="s">
        <v>15</v>
      </c>
      <c r="BB636" s="8">
        <v>353.66929399999998</v>
      </c>
    </row>
    <row r="637" spans="1:54" ht="15">
      <c r="A637" s="26" t="s">
        <v>5</v>
      </c>
      <c r="B637" s="5">
        <v>30662.047176402291</v>
      </c>
      <c r="C637" s="8">
        <v>10.489059523796239</v>
      </c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8">
        <v>365.62974600000001</v>
      </c>
      <c r="Y637" s="8"/>
      <c r="Z637" s="4"/>
      <c r="AB637" s="10"/>
      <c r="AI637" s="29" t="str">
        <f t="shared" si="25"/>
        <v/>
      </c>
      <c r="AL637" s="13"/>
      <c r="AM637" s="13"/>
      <c r="AN637" s="13"/>
      <c r="AO637" s="13"/>
      <c r="AP637" s="13"/>
      <c r="AQ637" s="13"/>
      <c r="AR637" s="13"/>
      <c r="AS637" s="64"/>
      <c r="AT637" s="64"/>
      <c r="AU637" s="64"/>
      <c r="AV637" s="64"/>
      <c r="AW637" s="64"/>
      <c r="AX637" s="56"/>
      <c r="BA637" s="1" t="s">
        <v>15</v>
      </c>
      <c r="BB637" s="8">
        <v>365.62974600000001</v>
      </c>
    </row>
    <row r="638" spans="1:54" ht="15">
      <c r="A638" s="26" t="s">
        <v>5</v>
      </c>
      <c r="B638" s="5">
        <v>30682</v>
      </c>
      <c r="C638" s="8">
        <v>10.543688544204366</v>
      </c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8">
        <v>324.69786299999998</v>
      </c>
      <c r="Y638" s="8"/>
      <c r="Z638" s="4"/>
      <c r="AB638" s="10"/>
      <c r="AI638" s="29" t="str">
        <f t="shared" si="25"/>
        <v/>
      </c>
      <c r="AL638" s="13"/>
      <c r="AM638" s="13"/>
      <c r="AN638" s="13"/>
      <c r="AO638" s="13"/>
      <c r="AP638" s="13"/>
      <c r="AQ638" s="13"/>
      <c r="AR638" s="13"/>
      <c r="AS638" s="64"/>
      <c r="AT638" s="64"/>
      <c r="AU638" s="64"/>
      <c r="AV638" s="64"/>
      <c r="AW638" s="64"/>
      <c r="AX638" s="56"/>
      <c r="BA638" s="1" t="s">
        <v>15</v>
      </c>
      <c r="BB638" s="8">
        <v>324.69786299999998</v>
      </c>
    </row>
    <row r="639" spans="1:54" ht="15">
      <c r="A639" s="26" t="s">
        <v>5</v>
      </c>
      <c r="B639" s="5">
        <v>30699.084986566835</v>
      </c>
      <c r="C639" s="8">
        <v>10.590465687061448</v>
      </c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8">
        <v>365.35334899999998</v>
      </c>
      <c r="Y639" s="8"/>
      <c r="Z639" s="4"/>
      <c r="AB639" s="10"/>
      <c r="AI639" s="29" t="str">
        <f t="shared" si="25"/>
        <v/>
      </c>
      <c r="AL639" s="6"/>
      <c r="AM639" s="6"/>
      <c r="AN639" s="6"/>
      <c r="AO639" s="6"/>
      <c r="AP639" s="6"/>
      <c r="AQ639" s="6"/>
      <c r="AR639" s="6"/>
      <c r="AS639" s="63"/>
      <c r="AT639" s="63"/>
      <c r="AU639" s="63"/>
      <c r="AV639" s="63"/>
      <c r="AW639" s="63"/>
      <c r="AX639" s="56"/>
      <c r="BA639" s="1" t="s">
        <v>15</v>
      </c>
      <c r="BB639" s="8">
        <v>365.35334899999998</v>
      </c>
    </row>
    <row r="640" spans="1:54" ht="15">
      <c r="A640" s="26" t="s">
        <v>5</v>
      </c>
      <c r="B640" s="5">
        <v>30724.712466417088</v>
      </c>
      <c r="C640" s="8">
        <v>10.660631401347072</v>
      </c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8">
        <v>365.805635</v>
      </c>
      <c r="Y640" s="8"/>
      <c r="Z640" s="4"/>
      <c r="AB640" s="10"/>
      <c r="AI640" s="29" t="str">
        <f t="shared" si="25"/>
        <v/>
      </c>
      <c r="AL640" s="6"/>
      <c r="AM640" s="6"/>
      <c r="AN640" s="6"/>
      <c r="AO640" s="6"/>
      <c r="AP640" s="6"/>
      <c r="AQ640" s="6"/>
      <c r="AR640" s="6"/>
      <c r="AS640" s="63"/>
      <c r="AT640" s="63"/>
      <c r="AU640" s="63"/>
      <c r="AV640" s="63"/>
      <c r="AW640" s="63"/>
      <c r="AX640" s="56"/>
      <c r="BA640" s="1" t="s">
        <v>15</v>
      </c>
      <c r="BB640" s="8">
        <v>365.805635</v>
      </c>
    </row>
    <row r="641" spans="1:54" ht="15">
      <c r="A641" s="26" t="s">
        <v>5</v>
      </c>
      <c r="B641" s="5">
        <v>30741.797452984003</v>
      </c>
      <c r="C641" s="8">
        <v>10.707408544204373</v>
      </c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8">
        <v>315.17473000000001</v>
      </c>
      <c r="Y641" s="8"/>
      <c r="Z641" s="4"/>
      <c r="AB641" s="10"/>
      <c r="AI641" s="29" t="str">
        <f t="shared" si="25"/>
        <v/>
      </c>
      <c r="AL641" s="6"/>
      <c r="AM641" s="6"/>
      <c r="AN641" s="6"/>
      <c r="AO641" s="6"/>
      <c r="AP641" s="6"/>
      <c r="AQ641" s="6"/>
      <c r="AR641" s="6"/>
      <c r="AS641" s="63"/>
      <c r="AT641" s="63"/>
      <c r="AU641" s="63"/>
      <c r="AV641" s="63"/>
      <c r="AW641" s="63"/>
      <c r="AX641" s="56"/>
      <c r="BA641" s="1" t="s">
        <v>15</v>
      </c>
      <c r="BB641" s="8">
        <v>315.17473000000001</v>
      </c>
    </row>
    <row r="642" spans="1:54" ht="15">
      <c r="A642" s="26" t="s">
        <v>5</v>
      </c>
      <c r="B642" s="5">
        <v>30754.611192909171</v>
      </c>
      <c r="C642" s="8">
        <v>10.7424914013473</v>
      </c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8">
        <v>300.67645099999999</v>
      </c>
      <c r="Y642" s="8"/>
      <c r="Z642" s="4"/>
      <c r="AB642" s="10"/>
      <c r="AI642" s="29" t="str">
        <f t="shared" si="25"/>
        <v/>
      </c>
      <c r="AL642" s="6"/>
      <c r="AM642" s="6"/>
      <c r="AN642" s="6"/>
      <c r="AO642" s="6"/>
      <c r="AP642" s="6"/>
      <c r="AQ642" s="6"/>
      <c r="AR642" s="6"/>
      <c r="AS642" s="63"/>
      <c r="AT642" s="63"/>
      <c r="AU642" s="63"/>
      <c r="AV642" s="63"/>
      <c r="AW642" s="63"/>
      <c r="AX642" s="56"/>
      <c r="BA642" s="1" t="s">
        <v>15</v>
      </c>
      <c r="BB642" s="8">
        <v>300.67645099999999</v>
      </c>
    </row>
    <row r="643" spans="1:54" ht="15">
      <c r="A643" s="26" t="s">
        <v>5</v>
      </c>
      <c r="B643" s="5">
        <v>30763.153686192589</v>
      </c>
      <c r="C643" s="8">
        <v>10.765879972775842</v>
      </c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8">
        <v>270.17227300000002</v>
      </c>
      <c r="Y643" s="8"/>
      <c r="Z643" s="4"/>
      <c r="AB643" s="10"/>
      <c r="AI643" s="29" t="str">
        <f t="shared" ref="AI643:AI706" si="26">IF(AH643&gt;0.001,AH643/C643,"")</f>
        <v/>
      </c>
      <c r="AL643" s="6"/>
      <c r="AM643" s="6"/>
      <c r="AN643" s="6"/>
      <c r="AO643" s="6"/>
      <c r="AP643" s="6"/>
      <c r="AQ643" s="6"/>
      <c r="AR643" s="6"/>
      <c r="AS643" s="63"/>
      <c r="AT643" s="63"/>
      <c r="AU643" s="63"/>
      <c r="AV643" s="63"/>
      <c r="AW643" s="63"/>
      <c r="AX643" s="56"/>
      <c r="BA643" s="1" t="s">
        <v>15</v>
      </c>
      <c r="BB643" s="8">
        <v>270.17227300000002</v>
      </c>
    </row>
    <row r="644" spans="1:54" ht="15">
      <c r="A644" s="26" t="s">
        <v>5</v>
      </c>
      <c r="B644" s="5">
        <v>30767.424932834339</v>
      </c>
      <c r="C644" s="8">
        <v>10.777574258490226</v>
      </c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8">
        <v>254.54327900000001</v>
      </c>
      <c r="Y644" s="8"/>
      <c r="Z644" s="4"/>
      <c r="AB644" s="10"/>
      <c r="AI644" s="29" t="str">
        <f t="shared" si="26"/>
        <v/>
      </c>
      <c r="AL644" s="6"/>
      <c r="AM644" s="6"/>
      <c r="AN644" s="6"/>
      <c r="AO644" s="6"/>
      <c r="AP644" s="6"/>
      <c r="AQ644" s="6"/>
      <c r="AR644" s="6"/>
      <c r="AS644" s="63"/>
      <c r="AT644" s="63"/>
      <c r="AU644" s="63"/>
      <c r="AV644" s="63"/>
      <c r="AW644" s="63"/>
      <c r="AX644" s="56"/>
      <c r="BA644" s="1" t="s">
        <v>15</v>
      </c>
      <c r="BB644" s="8">
        <v>254.54327900000001</v>
      </c>
    </row>
    <row r="645" spans="1:54" ht="15">
      <c r="A645" s="26" t="s">
        <v>5</v>
      </c>
      <c r="B645" s="5">
        <v>30775.967426117757</v>
      </c>
      <c r="C645" s="8">
        <v>10.800962829918769</v>
      </c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8">
        <v>234.064774</v>
      </c>
      <c r="Y645" s="8"/>
      <c r="Z645" s="4"/>
      <c r="AB645" s="10"/>
      <c r="AI645" s="29" t="str">
        <f t="shared" si="26"/>
        <v/>
      </c>
      <c r="AL645" s="6"/>
      <c r="AM645" s="6"/>
      <c r="AN645" s="6"/>
      <c r="AO645" s="6"/>
      <c r="AP645" s="6"/>
      <c r="AQ645" s="6"/>
      <c r="AR645" s="6"/>
      <c r="AS645" s="63"/>
      <c r="AT645" s="63"/>
      <c r="AU645" s="63"/>
      <c r="AV645" s="63"/>
      <c r="AW645" s="63"/>
      <c r="AX645" s="56"/>
      <c r="BA645" s="1" t="s">
        <v>15</v>
      </c>
      <c r="BB645" s="8">
        <v>234.064774</v>
      </c>
    </row>
    <row r="646" spans="1:54" ht="15">
      <c r="A646" s="26" t="s">
        <v>5</v>
      </c>
      <c r="B646" s="5">
        <v>30797.323659326259</v>
      </c>
      <c r="C646" s="8">
        <v>10.859434258490007</v>
      </c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8">
        <v>211.77712500000001</v>
      </c>
      <c r="Y646" s="8"/>
      <c r="Z646" s="4"/>
      <c r="AB646" s="10"/>
      <c r="AI646" s="29" t="str">
        <f t="shared" si="26"/>
        <v/>
      </c>
      <c r="AL646" s="6"/>
      <c r="AM646" s="6"/>
      <c r="AN646" s="6"/>
      <c r="AO646" s="6"/>
      <c r="AP646" s="6"/>
      <c r="AQ646" s="6"/>
      <c r="AR646" s="6"/>
      <c r="AS646" s="63"/>
      <c r="AT646" s="63"/>
      <c r="AU646" s="63"/>
      <c r="AV646" s="63"/>
      <c r="AW646" s="63"/>
      <c r="AX646" s="56"/>
      <c r="BA646" s="1" t="s">
        <v>15</v>
      </c>
      <c r="BB646" s="8">
        <v>211.77712500000001</v>
      </c>
    </row>
    <row r="647" spans="1:54" ht="15">
      <c r="A647" s="26" t="s">
        <v>5</v>
      </c>
      <c r="B647" s="5">
        <v>30801.59490596801</v>
      </c>
      <c r="C647" s="8">
        <v>10.871128544204392</v>
      </c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8">
        <v>285.92690200000004</v>
      </c>
      <c r="Y647" s="8"/>
      <c r="Z647" s="4"/>
      <c r="AB647" s="10"/>
      <c r="AI647" s="29" t="str">
        <f t="shared" si="26"/>
        <v/>
      </c>
      <c r="AL647" s="6"/>
      <c r="AM647" s="6"/>
      <c r="AN647" s="6"/>
      <c r="AO647" s="6"/>
      <c r="AP647" s="6"/>
      <c r="AQ647" s="6"/>
      <c r="AR647" s="6"/>
      <c r="AS647" s="63"/>
      <c r="AT647" s="63"/>
      <c r="AU647" s="63"/>
      <c r="AV647" s="63"/>
      <c r="AW647" s="63"/>
      <c r="AX647" s="56"/>
      <c r="BA647" s="1" t="s">
        <v>15</v>
      </c>
      <c r="BB647" s="8">
        <v>285.92690200000004</v>
      </c>
    </row>
    <row r="648" spans="1:54" ht="15">
      <c r="A648" s="26" t="s">
        <v>5</v>
      </c>
      <c r="B648" s="5">
        <v>30822.951139176512</v>
      </c>
      <c r="C648" s="8">
        <v>10.92959997277563</v>
      </c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8">
        <v>280.02205700000002</v>
      </c>
      <c r="Y648" s="8"/>
      <c r="Z648" s="4"/>
      <c r="AB648" s="10"/>
      <c r="AI648" s="29" t="str">
        <f t="shared" si="26"/>
        <v/>
      </c>
      <c r="AL648" s="6"/>
      <c r="AM648" s="6"/>
      <c r="AN648" s="6"/>
      <c r="AO648" s="6"/>
      <c r="AP648" s="6"/>
      <c r="AQ648" s="6"/>
      <c r="AR648" s="6"/>
      <c r="AS648" s="63"/>
      <c r="AT648" s="63"/>
      <c r="AU648" s="63"/>
      <c r="AV648" s="63"/>
      <c r="AW648" s="63"/>
      <c r="AX648" s="56"/>
      <c r="BA648" s="1" t="s">
        <v>15</v>
      </c>
      <c r="BB648" s="8">
        <v>280.02205700000002</v>
      </c>
    </row>
    <row r="649" spans="1:54" ht="15">
      <c r="A649" s="26" t="s">
        <v>5</v>
      </c>
      <c r="B649" s="5">
        <v>30848.578619026928</v>
      </c>
      <c r="C649" s="8">
        <v>10.999765687061704</v>
      </c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8">
        <v>233.88888500000002</v>
      </c>
      <c r="Y649" s="8"/>
      <c r="Z649" s="4"/>
      <c r="AB649" s="10"/>
      <c r="AI649" s="29" t="str">
        <f t="shared" si="26"/>
        <v/>
      </c>
      <c r="AL649" s="13"/>
      <c r="AM649" s="13"/>
      <c r="AN649" s="13"/>
      <c r="AO649" s="13"/>
      <c r="AP649" s="13"/>
      <c r="AQ649" s="13"/>
      <c r="AR649" s="13"/>
      <c r="AS649" s="64"/>
      <c r="AT649" s="64"/>
      <c r="AU649" s="64"/>
      <c r="AV649" s="64"/>
      <c r="AW649" s="64"/>
      <c r="AX649" s="56"/>
      <c r="BA649" s="1" t="s">
        <v>15</v>
      </c>
      <c r="BB649" s="8">
        <v>233.88888500000002</v>
      </c>
    </row>
    <row r="650" spans="1:54" ht="15">
      <c r="A650" s="26" t="s">
        <v>5</v>
      </c>
      <c r="B650" s="5">
        <v>30865.663605593763</v>
      </c>
      <c r="C650" s="8">
        <v>11.046542829918785</v>
      </c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8">
        <v>224.99392699999999</v>
      </c>
      <c r="Y650" s="8"/>
      <c r="Z650" s="4"/>
      <c r="AB650" s="10"/>
      <c r="AI650" s="29" t="str">
        <f t="shared" si="26"/>
        <v/>
      </c>
      <c r="AL650" s="13"/>
      <c r="AM650" s="13"/>
      <c r="AN650" s="13"/>
      <c r="AO650" s="13"/>
      <c r="AP650" s="13"/>
      <c r="AQ650" s="13"/>
      <c r="AR650" s="13"/>
      <c r="AS650" s="64"/>
      <c r="AT650" s="64"/>
      <c r="AU650" s="64"/>
      <c r="AV650" s="64"/>
      <c r="AW650" s="64"/>
      <c r="AX650" s="56"/>
      <c r="BA650" s="1" t="s">
        <v>15</v>
      </c>
      <c r="BB650" s="8">
        <v>224.99392699999999</v>
      </c>
    </row>
    <row r="651" spans="1:54" ht="15">
      <c r="A651" s="26" t="s">
        <v>5</v>
      </c>
      <c r="B651" s="5">
        <v>30882.748592160598</v>
      </c>
      <c r="C651" s="8">
        <v>11.093319972775868</v>
      </c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8">
        <v>216.09896900000001</v>
      </c>
      <c r="Y651" s="8"/>
      <c r="Z651" s="4"/>
      <c r="AB651" s="10"/>
      <c r="AI651" s="29" t="str">
        <f t="shared" si="26"/>
        <v/>
      </c>
      <c r="AL651" s="13"/>
      <c r="AM651" s="13"/>
      <c r="AN651" s="13"/>
      <c r="AO651" s="13"/>
      <c r="AP651" s="13"/>
      <c r="AQ651" s="13"/>
      <c r="AR651" s="13"/>
      <c r="AS651" s="64"/>
      <c r="AT651" s="64"/>
      <c r="AU651" s="64"/>
      <c r="AV651" s="64"/>
      <c r="AW651" s="64"/>
      <c r="AX651" s="56"/>
      <c r="BA651" s="1" t="s">
        <v>15</v>
      </c>
      <c r="BB651" s="8">
        <v>216.09896900000001</v>
      </c>
    </row>
    <row r="652" spans="1:54" ht="15">
      <c r="A652" s="26" t="s">
        <v>5</v>
      </c>
      <c r="B652" s="5">
        <v>30904.104825369101</v>
      </c>
      <c r="C652" s="8">
        <v>11.151791401347108</v>
      </c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8">
        <v>274.644879</v>
      </c>
      <c r="Y652" s="8"/>
      <c r="Z652" s="4"/>
      <c r="AB652" s="10"/>
      <c r="AI652" s="29" t="str">
        <f t="shared" si="26"/>
        <v/>
      </c>
      <c r="AL652" s="13"/>
      <c r="AM652" s="13"/>
      <c r="AN652" s="13"/>
      <c r="AO652" s="13"/>
      <c r="AP652" s="13"/>
      <c r="AQ652" s="13"/>
      <c r="AR652" s="13"/>
      <c r="AS652" s="64"/>
      <c r="AT652" s="64"/>
      <c r="AU652" s="64"/>
      <c r="AV652" s="64"/>
      <c r="AW652" s="64"/>
      <c r="AX652" s="56"/>
      <c r="BA652" s="1" t="s">
        <v>15</v>
      </c>
      <c r="BB652" s="8">
        <v>274.644879</v>
      </c>
    </row>
    <row r="653" spans="1:54" ht="15">
      <c r="A653" s="26" t="s">
        <v>5</v>
      </c>
      <c r="B653" s="5">
        <v>30908.376072010851</v>
      </c>
      <c r="C653" s="8">
        <v>11.163485687061492</v>
      </c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8">
        <v>292.18352500000003</v>
      </c>
      <c r="Y653" s="8"/>
      <c r="Z653" s="4"/>
      <c r="AB653" s="10"/>
      <c r="AI653" s="29" t="str">
        <f t="shared" si="26"/>
        <v/>
      </c>
      <c r="AL653" s="13"/>
      <c r="AM653" s="13"/>
      <c r="AN653" s="13"/>
      <c r="AO653" s="13"/>
      <c r="AP653" s="13"/>
      <c r="AQ653" s="13"/>
      <c r="AR653" s="13"/>
      <c r="AS653" s="64"/>
      <c r="AT653" s="64"/>
      <c r="AU653" s="64"/>
      <c r="AV653" s="64"/>
      <c r="AW653" s="64"/>
      <c r="AX653" s="56"/>
      <c r="BA653" s="1" t="s">
        <v>15</v>
      </c>
      <c r="BB653" s="8">
        <v>292.18352500000003</v>
      </c>
    </row>
    <row r="654" spans="1:54" ht="15">
      <c r="A654" s="26" t="s">
        <v>5</v>
      </c>
      <c r="B654" s="5">
        <v>30938.274798502851</v>
      </c>
      <c r="C654" s="8">
        <v>11.245345687061491</v>
      </c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8">
        <v>320.20013000000006</v>
      </c>
      <c r="Y654" s="8"/>
      <c r="Z654" s="4"/>
      <c r="AB654" s="10"/>
      <c r="AI654" s="29" t="str">
        <f t="shared" si="26"/>
        <v/>
      </c>
      <c r="AL654" s="13"/>
      <c r="AM654" s="13"/>
      <c r="AN654" s="13"/>
      <c r="AO654" s="13"/>
      <c r="AP654" s="13"/>
      <c r="AQ654" s="13"/>
      <c r="AR654" s="13"/>
      <c r="AS654" s="64"/>
      <c r="AT654" s="64"/>
      <c r="AU654" s="64"/>
      <c r="AV654" s="64"/>
      <c r="AW654" s="64"/>
      <c r="AX654" s="56"/>
      <c r="BA654" s="1" t="s">
        <v>15</v>
      </c>
      <c r="BB654" s="8">
        <v>320.20013000000006</v>
      </c>
    </row>
    <row r="655" spans="1:54" ht="15">
      <c r="A655" s="26" t="s">
        <v>5</v>
      </c>
      <c r="B655" s="5">
        <v>30946.817291786268</v>
      </c>
      <c r="C655" s="8">
        <v>11.268734258490033</v>
      </c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8">
        <v>321.33084499999995</v>
      </c>
      <c r="Y655" s="8"/>
      <c r="Z655" s="4"/>
      <c r="AB655" s="10"/>
      <c r="AI655" s="29" t="str">
        <f t="shared" si="26"/>
        <v/>
      </c>
      <c r="AL655" s="13"/>
      <c r="AM655" s="13"/>
      <c r="AN655" s="13"/>
      <c r="AO655" s="13"/>
      <c r="AP655" s="13"/>
      <c r="AQ655" s="13"/>
      <c r="AR655" s="13"/>
      <c r="AS655" s="64"/>
      <c r="AT655" s="64"/>
      <c r="AU655" s="64"/>
      <c r="AV655" s="64"/>
      <c r="AW655" s="64"/>
      <c r="AX655" s="56"/>
      <c r="BA655" s="1" t="s">
        <v>15</v>
      </c>
      <c r="BB655" s="8">
        <v>321.33084499999995</v>
      </c>
    </row>
    <row r="656" spans="1:54" ht="15">
      <c r="A656" s="26" t="s">
        <v>5</v>
      </c>
      <c r="B656" s="5">
        <v>30980.987264920022</v>
      </c>
      <c r="C656" s="8">
        <v>11.362288544204427</v>
      </c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8">
        <v>293.31424000000004</v>
      </c>
      <c r="Y656" s="8"/>
      <c r="Z656" s="4"/>
      <c r="AB656" s="10"/>
      <c r="AI656" s="29" t="str">
        <f t="shared" si="26"/>
        <v/>
      </c>
      <c r="AL656" s="13"/>
      <c r="AM656" s="13"/>
      <c r="AN656" s="13"/>
      <c r="AO656" s="13"/>
      <c r="AP656" s="13"/>
      <c r="AQ656" s="13"/>
      <c r="AR656" s="13"/>
      <c r="AS656" s="64"/>
      <c r="AT656" s="64"/>
      <c r="AU656" s="64"/>
      <c r="AV656" s="64"/>
      <c r="AW656" s="64"/>
      <c r="AX656" s="56"/>
      <c r="BA656" s="1" t="s">
        <v>15</v>
      </c>
      <c r="BB656" s="8">
        <v>293.31424000000004</v>
      </c>
    </row>
    <row r="657" spans="1:54" ht="15">
      <c r="A657" s="26" t="s">
        <v>5</v>
      </c>
      <c r="B657" s="5">
        <v>30985.258511561689</v>
      </c>
      <c r="C657" s="8">
        <v>11.373982829918583</v>
      </c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8">
        <v>267.05652500000002</v>
      </c>
      <c r="Y657" s="8"/>
      <c r="Z657" s="4"/>
      <c r="AB657" s="10"/>
      <c r="AI657" s="29" t="str">
        <f t="shared" si="26"/>
        <v/>
      </c>
      <c r="AL657" s="13"/>
      <c r="AM657" s="13"/>
      <c r="AN657" s="13"/>
      <c r="AO657" s="13"/>
      <c r="AP657" s="13"/>
      <c r="AQ657" s="13"/>
      <c r="AR657" s="13"/>
      <c r="AS657" s="64"/>
      <c r="AT657" s="64"/>
      <c r="AU657" s="64"/>
      <c r="AV657" s="64"/>
      <c r="AW657" s="64"/>
      <c r="AX657" s="56"/>
      <c r="BA657" s="1" t="s">
        <v>15</v>
      </c>
      <c r="BB657" s="8">
        <v>267.05652500000002</v>
      </c>
    </row>
    <row r="658" spans="1:54" ht="15">
      <c r="A658" s="26" t="s">
        <v>5</v>
      </c>
      <c r="B658" s="5">
        <v>30989.52975820344</v>
      </c>
      <c r="C658" s="8">
        <v>11.385677115632967</v>
      </c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8">
        <v>256.251915</v>
      </c>
      <c r="Y658" s="8"/>
      <c r="Z658" s="4"/>
      <c r="AB658" s="10"/>
      <c r="AI658" s="29" t="str">
        <f t="shared" si="26"/>
        <v/>
      </c>
      <c r="AL658" s="13"/>
      <c r="AM658" s="13"/>
      <c r="AN658" s="13"/>
      <c r="AO658" s="13"/>
      <c r="AP658" s="13"/>
      <c r="AQ658" s="13"/>
      <c r="AR658" s="13"/>
      <c r="AS658" s="64"/>
      <c r="AT658" s="64"/>
      <c r="AU658" s="64"/>
      <c r="AV658" s="64"/>
      <c r="AW658" s="64"/>
      <c r="AX658" s="56"/>
      <c r="BA658" s="1" t="s">
        <v>15</v>
      </c>
      <c r="BB658" s="8">
        <v>256.251915</v>
      </c>
    </row>
    <row r="659" spans="1:54" ht="15">
      <c r="A659" s="26" t="s">
        <v>5</v>
      </c>
      <c r="B659" s="5">
        <v>31002.343498128608</v>
      </c>
      <c r="C659" s="8">
        <v>11.420759972775894</v>
      </c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8">
        <v>233.93913900000001</v>
      </c>
      <c r="Y659" s="8"/>
      <c r="Z659" s="4"/>
      <c r="AB659" s="10"/>
      <c r="AI659" s="29" t="str">
        <f t="shared" si="26"/>
        <v/>
      </c>
      <c r="AL659" s="13"/>
      <c r="AM659" s="13"/>
      <c r="AN659" s="13"/>
      <c r="AO659" s="13"/>
      <c r="AP659" s="13"/>
      <c r="AQ659" s="13"/>
      <c r="AR659" s="13"/>
      <c r="AS659" s="64"/>
      <c r="AT659" s="64"/>
      <c r="AU659" s="64"/>
      <c r="AV659" s="64"/>
      <c r="AW659" s="64"/>
      <c r="AX659" s="56"/>
      <c r="BA659" s="1" t="s">
        <v>15</v>
      </c>
      <c r="BB659" s="8">
        <v>233.93913900000001</v>
      </c>
    </row>
    <row r="660" spans="1:54" ht="15">
      <c r="A660" s="26" t="s">
        <v>5</v>
      </c>
      <c r="B660" s="5">
        <v>31040.784717903942</v>
      </c>
      <c r="C660" s="8">
        <v>11.526008544204206</v>
      </c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8">
        <v>158.80940900000002</v>
      </c>
      <c r="Y660" s="8"/>
      <c r="Z660" s="4"/>
      <c r="AB660" s="10"/>
      <c r="AI660" s="29" t="str">
        <f t="shared" si="26"/>
        <v/>
      </c>
      <c r="AL660" s="13"/>
      <c r="AM660" s="13"/>
      <c r="AN660" s="13"/>
      <c r="AO660" s="13"/>
      <c r="AP660" s="13"/>
      <c r="AQ660" s="13"/>
      <c r="AR660" s="13"/>
      <c r="AS660" s="64"/>
      <c r="AT660" s="64"/>
      <c r="AU660" s="64"/>
      <c r="AV660" s="64"/>
      <c r="AW660" s="64"/>
      <c r="AX660" s="56"/>
      <c r="BA660" s="1" t="s">
        <v>15</v>
      </c>
      <c r="BB660" s="8">
        <v>158.80940900000002</v>
      </c>
    </row>
    <row r="661" spans="1:54" ht="15">
      <c r="A661" s="26" t="s">
        <v>5</v>
      </c>
      <c r="B661" s="5">
        <v>31104.853417529699</v>
      </c>
      <c r="C661" s="8">
        <v>11.701422829918609</v>
      </c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8">
        <v>118.731844</v>
      </c>
      <c r="Y661" s="8"/>
      <c r="Z661" s="4"/>
      <c r="AB661" s="10"/>
      <c r="AI661" s="29" t="str">
        <f t="shared" si="26"/>
        <v/>
      </c>
      <c r="AL661" s="13"/>
      <c r="AM661" s="13"/>
      <c r="AN661" s="13"/>
      <c r="AO661" s="13"/>
      <c r="AP661" s="13"/>
      <c r="AQ661" s="13"/>
      <c r="AR661" s="13"/>
      <c r="AS661" s="64"/>
      <c r="AT661" s="64"/>
      <c r="AU661" s="64"/>
      <c r="AV661" s="64"/>
      <c r="AW661" s="64"/>
      <c r="AX661" s="56"/>
      <c r="BA661" s="1" t="s">
        <v>15</v>
      </c>
      <c r="BB661" s="8">
        <v>118.731844</v>
      </c>
    </row>
    <row r="662" spans="1:54" ht="15">
      <c r="A662" s="26" t="s">
        <v>5</v>
      </c>
      <c r="B662" s="5">
        <v>31130.480897379952</v>
      </c>
      <c r="C662" s="8">
        <v>11.771588544204233</v>
      </c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8">
        <v>118.807225</v>
      </c>
      <c r="Y662" s="8"/>
      <c r="Z662" s="4"/>
      <c r="AB662" s="10"/>
      <c r="AI662" s="29" t="str">
        <f t="shared" si="26"/>
        <v/>
      </c>
      <c r="AL662" s="13"/>
      <c r="AM662" s="13"/>
      <c r="AN662" s="13"/>
      <c r="AO662" s="13"/>
      <c r="AP662" s="13"/>
      <c r="AQ662" s="13"/>
      <c r="AR662" s="13"/>
      <c r="AS662" s="64"/>
      <c r="AT662" s="64"/>
      <c r="AU662" s="64"/>
      <c r="AV662" s="64"/>
      <c r="AW662" s="64"/>
      <c r="AX662" s="56"/>
      <c r="BA662" s="1" t="s">
        <v>15</v>
      </c>
      <c r="BB662" s="8">
        <v>118.807225</v>
      </c>
    </row>
    <row r="663" spans="1:54" ht="15">
      <c r="A663" s="26" t="s">
        <v>5</v>
      </c>
      <c r="B663" s="5">
        <v>31139.023390663366</v>
      </c>
      <c r="C663" s="8">
        <v>11.794977115632765</v>
      </c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8">
        <v>292.81169999999997</v>
      </c>
      <c r="Y663" s="8"/>
      <c r="Z663" s="4"/>
      <c r="AB663" s="10"/>
      <c r="AI663" s="29" t="str">
        <f t="shared" si="26"/>
        <v/>
      </c>
      <c r="AL663" s="13"/>
      <c r="AM663" s="13"/>
      <c r="AN663" s="13"/>
      <c r="AO663" s="13"/>
      <c r="AP663" s="13"/>
      <c r="AQ663" s="13"/>
      <c r="AR663" s="13"/>
      <c r="AS663" s="64"/>
      <c r="AT663" s="64"/>
      <c r="AU663" s="64"/>
      <c r="AV663" s="64"/>
      <c r="AW663" s="64"/>
      <c r="AX663" s="56"/>
      <c r="BA663" s="1" t="s">
        <v>15</v>
      </c>
      <c r="BB663" s="8">
        <v>292.81169999999997</v>
      </c>
    </row>
    <row r="664" spans="1:54" ht="15">
      <c r="A664" s="26" t="s">
        <v>5</v>
      </c>
      <c r="B664" s="5">
        <v>31160.379623871951</v>
      </c>
      <c r="C664" s="8">
        <v>11.853448544204232</v>
      </c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8">
        <v>247.40721099999999</v>
      </c>
      <c r="Y664" s="8"/>
      <c r="Z664" s="4"/>
      <c r="AB664" s="10"/>
      <c r="AI664" s="29" t="str">
        <f t="shared" si="26"/>
        <v/>
      </c>
      <c r="AL664" s="13"/>
      <c r="AM664" s="13"/>
      <c r="AN664" s="13"/>
      <c r="AO664" s="13"/>
      <c r="AP664" s="13"/>
      <c r="AQ664" s="13"/>
      <c r="AR664" s="13"/>
      <c r="AS664" s="64"/>
      <c r="AT664" s="64"/>
      <c r="AU664" s="64"/>
      <c r="AV664" s="64"/>
      <c r="AW664" s="64"/>
      <c r="AX664" s="56"/>
      <c r="BA664" s="1" t="s">
        <v>15</v>
      </c>
      <c r="BB664" s="8">
        <v>247.40721099999999</v>
      </c>
    </row>
    <row r="665" spans="1:54" ht="15">
      <c r="A665" s="26" t="s">
        <v>5</v>
      </c>
      <c r="B665" s="5">
        <v>31173.193363797203</v>
      </c>
      <c r="C665" s="8">
        <v>11.888531401347388</v>
      </c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8">
        <v>227.70764300000002</v>
      </c>
      <c r="Y665" s="8"/>
      <c r="Z665" s="4"/>
      <c r="AB665" s="10"/>
      <c r="AI665" s="29" t="str">
        <f t="shared" si="26"/>
        <v/>
      </c>
      <c r="AL665" s="13"/>
      <c r="AM665" s="13"/>
      <c r="AN665" s="13"/>
      <c r="AO665" s="13"/>
      <c r="AP665" s="13"/>
      <c r="AQ665" s="13"/>
      <c r="AR665" s="13"/>
      <c r="AS665" s="64"/>
      <c r="AT665" s="64"/>
      <c r="AU665" s="64"/>
      <c r="AV665" s="64"/>
      <c r="AW665" s="64"/>
      <c r="AX665" s="56"/>
      <c r="BA665" s="1" t="s">
        <v>15</v>
      </c>
      <c r="BB665" s="8">
        <v>227.70764300000002</v>
      </c>
    </row>
    <row r="666" spans="1:54" ht="15">
      <c r="A666" s="26" t="s">
        <v>5</v>
      </c>
      <c r="B666" s="5">
        <v>31190.278350364038</v>
      </c>
      <c r="C666" s="8">
        <v>11.935308544204471</v>
      </c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8">
        <v>213.98830100000001</v>
      </c>
      <c r="Y666" s="8"/>
      <c r="Z666" s="4"/>
      <c r="AB666" s="10"/>
      <c r="AI666" s="29" t="str">
        <f t="shared" si="26"/>
        <v/>
      </c>
      <c r="AL666" s="13"/>
      <c r="AM666" s="13"/>
      <c r="AN666" s="13"/>
      <c r="AO666" s="13"/>
      <c r="AP666" s="13"/>
      <c r="AQ666" s="13"/>
      <c r="AR666" s="13"/>
      <c r="AS666" s="64"/>
      <c r="AT666" s="64"/>
      <c r="AU666" s="64"/>
      <c r="AV666" s="64"/>
      <c r="AW666" s="64"/>
      <c r="AX666" s="56"/>
      <c r="BA666" s="1" t="s">
        <v>15</v>
      </c>
      <c r="BB666" s="8">
        <v>213.98830100000001</v>
      </c>
    </row>
    <row r="667" spans="1:54" ht="15">
      <c r="A667" s="26" t="s">
        <v>5</v>
      </c>
      <c r="B667" s="5">
        <v>31215.905830214291</v>
      </c>
      <c r="C667" s="8">
        <v>12.005474258490095</v>
      </c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8">
        <v>206.60096300000001</v>
      </c>
      <c r="Y667" s="8"/>
      <c r="Z667" s="4"/>
      <c r="AB667" s="10"/>
      <c r="AI667" s="29" t="str">
        <f t="shared" si="26"/>
        <v/>
      </c>
      <c r="AL667" s="13"/>
      <c r="AM667" s="13"/>
      <c r="AN667" s="13"/>
      <c r="AO667" s="13"/>
      <c r="AP667" s="13"/>
      <c r="AQ667" s="13"/>
      <c r="AR667" s="13"/>
      <c r="AS667" s="64"/>
      <c r="AT667" s="64"/>
      <c r="AU667" s="64"/>
      <c r="AV667" s="64"/>
      <c r="AW667" s="64"/>
      <c r="AX667" s="56"/>
      <c r="BA667" s="1" t="s">
        <v>15</v>
      </c>
      <c r="BB667" s="8">
        <v>206.60096300000001</v>
      </c>
    </row>
    <row r="668" spans="1:54" ht="15">
      <c r="A668" s="26" t="s">
        <v>5</v>
      </c>
      <c r="B668" s="5">
        <v>31258.618296631375</v>
      </c>
      <c r="C668" s="8">
        <v>12.122417115632791</v>
      </c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8">
        <v>206.70147099999997</v>
      </c>
      <c r="Y668" s="8"/>
      <c r="Z668" s="4"/>
      <c r="AB668" s="10"/>
      <c r="AI668" s="29" t="str">
        <f t="shared" si="26"/>
        <v/>
      </c>
      <c r="AL668" s="13"/>
      <c r="AM668" s="13"/>
      <c r="AN668" s="13"/>
      <c r="AO668" s="13"/>
      <c r="AP668" s="13"/>
      <c r="AQ668" s="13"/>
      <c r="AR668" s="13"/>
      <c r="AS668" s="64"/>
      <c r="AT668" s="64"/>
      <c r="AU668" s="64"/>
      <c r="AV668" s="64"/>
      <c r="AW668" s="64"/>
      <c r="AX668" s="56"/>
      <c r="BA668" s="1" t="s">
        <v>15</v>
      </c>
      <c r="BB668" s="8">
        <v>206.70147099999997</v>
      </c>
    </row>
    <row r="669" spans="1:54" ht="15">
      <c r="A669" s="26" t="s">
        <v>5</v>
      </c>
      <c r="B669" s="5">
        <v>31271.432036556627</v>
      </c>
      <c r="C669" s="8">
        <v>12.157499972775947</v>
      </c>
      <c r="X669" s="8">
        <v>201.90221400000001</v>
      </c>
      <c r="Y669" s="8"/>
      <c r="Z669" s="4"/>
      <c r="AA669" s="10"/>
      <c r="AI669" s="29" t="str">
        <f t="shared" si="26"/>
        <v/>
      </c>
      <c r="AS669" s="56"/>
      <c r="AT669" s="56"/>
      <c r="AU669" s="56"/>
      <c r="AV669" s="56"/>
      <c r="AW669" s="56"/>
      <c r="AX669" s="56"/>
      <c r="BA669" s="1" t="s">
        <v>15</v>
      </c>
      <c r="BB669" s="8">
        <v>201.90221400000001</v>
      </c>
    </row>
    <row r="670" spans="1:54" ht="15">
      <c r="A670" s="26" t="s">
        <v>5</v>
      </c>
      <c r="B670" s="5">
        <v>31301.330763048631</v>
      </c>
      <c r="C670" s="8">
        <v>12.239359972775956</v>
      </c>
      <c r="X670" s="8">
        <v>275.75046699999996</v>
      </c>
      <c r="Y670" s="8"/>
      <c r="Z670" s="4"/>
      <c r="AA670" s="10"/>
      <c r="AI670" s="29" t="str">
        <f t="shared" si="26"/>
        <v/>
      </c>
      <c r="AS670" s="56"/>
      <c r="AT670" s="56"/>
      <c r="AU670" s="56"/>
      <c r="AV670" s="56"/>
      <c r="AW670" s="56"/>
      <c r="AX670" s="56"/>
      <c r="BA670" s="1" t="s">
        <v>15</v>
      </c>
      <c r="BB670" s="8">
        <v>275.75046699999996</v>
      </c>
    </row>
    <row r="671" spans="1:54" ht="15">
      <c r="A671" s="26" t="s">
        <v>5</v>
      </c>
      <c r="B671" s="5">
        <v>31309.873256332045</v>
      </c>
      <c r="C671" s="8">
        <v>12.262748544204488</v>
      </c>
      <c r="X671" s="8">
        <v>272.40857600000004</v>
      </c>
      <c r="Y671" s="8"/>
      <c r="Z671" s="4"/>
      <c r="AI671" s="29" t="str">
        <f t="shared" si="26"/>
        <v/>
      </c>
      <c r="AS671" s="56"/>
      <c r="AT671" s="56"/>
      <c r="AU671" s="56"/>
      <c r="AV671" s="56"/>
      <c r="AW671" s="56"/>
      <c r="AX671" s="56"/>
      <c r="BA671" s="1" t="s">
        <v>15</v>
      </c>
      <c r="BB671" s="8">
        <v>272.40857600000004</v>
      </c>
    </row>
    <row r="672" spans="1:54" ht="15">
      <c r="A672" s="26" t="s">
        <v>5</v>
      </c>
      <c r="B672" s="5">
        <v>31318.415749615462</v>
      </c>
      <c r="C672" s="8">
        <v>12.286137115633029</v>
      </c>
      <c r="X672" s="8">
        <v>273.94132300000001</v>
      </c>
      <c r="Y672" s="8"/>
      <c r="Z672" s="4"/>
      <c r="AA672" s="10"/>
      <c r="AI672" s="29" t="str">
        <f t="shared" si="26"/>
        <v/>
      </c>
      <c r="AS672" s="56"/>
      <c r="AT672" s="56"/>
      <c r="AU672" s="56"/>
      <c r="AV672" s="56"/>
      <c r="AW672" s="56"/>
      <c r="AX672" s="56"/>
      <c r="BA672" s="1" t="s">
        <v>15</v>
      </c>
      <c r="BB672" s="8">
        <v>273.94132300000001</v>
      </c>
    </row>
    <row r="673" spans="1:54" ht="15">
      <c r="A673" s="26" t="s">
        <v>5</v>
      </c>
      <c r="B673" s="5">
        <v>31326.95824289888</v>
      </c>
      <c r="C673" s="8">
        <v>12.309525687061569</v>
      </c>
      <c r="X673" s="8">
        <v>310.82775900000001</v>
      </c>
      <c r="Y673" s="8"/>
      <c r="Z673" s="4"/>
      <c r="AA673" s="10"/>
      <c r="AI673" s="29" t="str">
        <f t="shared" si="26"/>
        <v/>
      </c>
      <c r="AS673" s="56"/>
      <c r="AT673" s="56"/>
      <c r="AU673" s="56"/>
      <c r="AV673" s="56"/>
      <c r="AW673" s="56"/>
      <c r="AX673" s="56"/>
      <c r="BA673" s="1" t="s">
        <v>15</v>
      </c>
      <c r="BB673" s="8">
        <v>310.82775900000001</v>
      </c>
    </row>
    <row r="674" spans="1:54" ht="15">
      <c r="A674" s="26" t="s">
        <v>5</v>
      </c>
      <c r="B674" s="5">
        <v>31339.771982823964</v>
      </c>
      <c r="C674" s="8">
        <v>12.344608544204268</v>
      </c>
      <c r="X674" s="8">
        <v>275.47406999999998</v>
      </c>
      <c r="Y674" s="8"/>
      <c r="Z674" s="4"/>
      <c r="AI674" s="29" t="str">
        <f t="shared" si="26"/>
        <v/>
      </c>
      <c r="AS674" s="56"/>
      <c r="AT674" s="56"/>
      <c r="AU674" s="56"/>
      <c r="AV674" s="56"/>
      <c r="AW674" s="56"/>
      <c r="AX674" s="56"/>
      <c r="BA674" s="1" t="s">
        <v>15</v>
      </c>
      <c r="BB674" s="8">
        <v>275.47406999999998</v>
      </c>
    </row>
    <row r="675" spans="1:54" ht="15">
      <c r="A675" s="26" t="s">
        <v>5</v>
      </c>
      <c r="B675" s="5">
        <v>31369.670709315968</v>
      </c>
      <c r="C675" s="8">
        <v>12.426468544204276</v>
      </c>
      <c r="X675" s="8">
        <v>243.16074799999998</v>
      </c>
      <c r="Y675" s="8"/>
      <c r="Z675" s="4"/>
      <c r="AA675" s="10"/>
      <c r="AI675" s="29" t="str">
        <f t="shared" si="26"/>
        <v/>
      </c>
      <c r="AS675" s="56"/>
      <c r="AT675" s="56"/>
      <c r="AU675" s="56"/>
      <c r="AV675" s="56"/>
      <c r="AW675" s="56"/>
      <c r="AX675" s="56"/>
      <c r="BA675" s="1" t="s">
        <v>15</v>
      </c>
      <c r="BB675" s="8">
        <v>243.16074799999998</v>
      </c>
    </row>
    <row r="676" spans="1:54" ht="15">
      <c r="A676" s="26" t="s">
        <v>5</v>
      </c>
      <c r="B676" s="5">
        <v>31382.484449241219</v>
      </c>
      <c r="C676" s="8">
        <v>12.461551401347432</v>
      </c>
      <c r="X676" s="8">
        <v>218.96344699999997</v>
      </c>
      <c r="Y676" s="8"/>
      <c r="Z676" s="4"/>
      <c r="AA676" s="10"/>
      <c r="AI676" s="29" t="str">
        <f t="shared" si="26"/>
        <v/>
      </c>
      <c r="AS676" s="56"/>
      <c r="AT676" s="56"/>
      <c r="AU676" s="56"/>
      <c r="AV676" s="56"/>
      <c r="AW676" s="56"/>
      <c r="AX676" s="56"/>
      <c r="BA676" s="1" t="s">
        <v>15</v>
      </c>
      <c r="BB676" s="8">
        <v>218.96344699999997</v>
      </c>
    </row>
    <row r="677" spans="1:54" ht="15">
      <c r="A677" s="26" t="s">
        <v>5</v>
      </c>
      <c r="B677" s="5">
        <v>31395.298189166304</v>
      </c>
      <c r="C677" s="8">
        <v>12.496634258490129</v>
      </c>
      <c r="X677" s="8">
        <v>208.76188500000001</v>
      </c>
      <c r="Y677" s="8"/>
      <c r="Z677" s="4"/>
      <c r="AI677" s="29" t="str">
        <f t="shared" si="26"/>
        <v/>
      </c>
      <c r="AS677" s="56"/>
      <c r="AT677" s="56"/>
      <c r="AU677" s="56"/>
      <c r="AV677" s="56"/>
      <c r="AW677" s="56"/>
      <c r="AX677" s="56"/>
      <c r="BA677" s="1" t="s">
        <v>15</v>
      </c>
      <c r="BB677" s="8">
        <v>208.76188500000001</v>
      </c>
    </row>
    <row r="678" spans="1:54" ht="15">
      <c r="A678" s="26" t="s">
        <v>5</v>
      </c>
      <c r="B678" s="14">
        <v>31420.925669016557</v>
      </c>
      <c r="C678" s="8">
        <v>12.566799972775753</v>
      </c>
      <c r="X678" s="8">
        <v>169.161733</v>
      </c>
      <c r="Y678" s="8"/>
      <c r="Z678" s="4"/>
      <c r="AI678" s="29" t="str">
        <f t="shared" si="26"/>
        <v/>
      </c>
      <c r="AL678" s="15"/>
      <c r="AM678" s="15"/>
      <c r="AN678" s="15"/>
      <c r="AO678" s="15"/>
      <c r="AP678" s="15"/>
      <c r="AQ678" s="15"/>
      <c r="AR678" s="15"/>
      <c r="AS678" s="65"/>
      <c r="AT678" s="65"/>
      <c r="AU678" s="65"/>
      <c r="AV678" s="65"/>
      <c r="AW678" s="65"/>
      <c r="AX678" s="56"/>
      <c r="BA678" s="1" t="s">
        <v>15</v>
      </c>
      <c r="BB678" s="8">
        <v>169.161733</v>
      </c>
    </row>
    <row r="679" spans="1:54" ht="15">
      <c r="A679" s="26" t="s">
        <v>5</v>
      </c>
      <c r="B679" s="14">
        <v>31438.010655583388</v>
      </c>
      <c r="C679" s="8">
        <v>12.613577115632825</v>
      </c>
      <c r="X679" s="8">
        <v>161.39749</v>
      </c>
      <c r="Y679" s="8"/>
      <c r="Z679" s="4"/>
      <c r="AI679" s="29" t="str">
        <f t="shared" si="26"/>
        <v/>
      </c>
      <c r="AL679" s="15"/>
      <c r="AM679" s="15"/>
      <c r="AN679" s="15"/>
      <c r="AO679" s="15"/>
      <c r="AP679" s="15"/>
      <c r="AQ679" s="15"/>
      <c r="AR679" s="15"/>
      <c r="AS679" s="65"/>
      <c r="AT679" s="65"/>
      <c r="AU679" s="65"/>
      <c r="AV679" s="65"/>
      <c r="AW679" s="65"/>
      <c r="AX679" s="56"/>
      <c r="BA679" s="1" t="s">
        <v>15</v>
      </c>
      <c r="BB679" s="8">
        <v>161.39749</v>
      </c>
    </row>
    <row r="680" spans="1:54" ht="15">
      <c r="A680" s="26" t="s">
        <v>5</v>
      </c>
      <c r="B680" s="14">
        <v>31455.095642150223</v>
      </c>
      <c r="C680" s="8">
        <v>12.660354258489908</v>
      </c>
      <c r="X680" s="8">
        <v>166.47314399999999</v>
      </c>
      <c r="Y680" s="8"/>
      <c r="Z680" s="4"/>
      <c r="AI680" s="29" t="str">
        <f t="shared" si="26"/>
        <v/>
      </c>
      <c r="AL680" s="15"/>
      <c r="AM680" s="15"/>
      <c r="AN680" s="15"/>
      <c r="AO680" s="15"/>
      <c r="AP680" s="15"/>
      <c r="AQ680" s="15"/>
      <c r="AR680" s="15"/>
      <c r="AS680" s="65"/>
      <c r="AT680" s="65"/>
      <c r="AU680" s="65"/>
      <c r="AV680" s="65"/>
      <c r="AW680" s="65"/>
      <c r="AX680" s="56"/>
      <c r="BA680" s="1" t="s">
        <v>15</v>
      </c>
      <c r="BB680" s="8">
        <v>166.47314399999999</v>
      </c>
    </row>
    <row r="681" spans="1:54" ht="15">
      <c r="A681" s="26" t="s">
        <v>5</v>
      </c>
      <c r="B681" s="14">
        <v>31467.909382075391</v>
      </c>
      <c r="C681" s="8">
        <v>12.695437115632835</v>
      </c>
      <c r="X681" s="8">
        <v>153.28146900000002</v>
      </c>
      <c r="Y681" s="8"/>
      <c r="Z681" s="4"/>
      <c r="AI681" s="29" t="str">
        <f t="shared" si="26"/>
        <v/>
      </c>
      <c r="AL681" s="15"/>
      <c r="AM681" s="15"/>
      <c r="AN681" s="15"/>
      <c r="AO681" s="15"/>
      <c r="AP681" s="15"/>
      <c r="AQ681" s="15"/>
      <c r="AR681" s="15"/>
      <c r="AS681" s="65"/>
      <c r="AT681" s="65"/>
      <c r="AU681" s="65"/>
      <c r="AV681" s="65"/>
      <c r="AW681" s="65"/>
      <c r="AX681" s="56"/>
      <c r="BA681" s="1" t="s">
        <v>15</v>
      </c>
      <c r="BB681" s="8">
        <v>153.28146900000002</v>
      </c>
    </row>
    <row r="682" spans="1:54" ht="15">
      <c r="A682" s="26" t="s">
        <v>5</v>
      </c>
      <c r="B682" s="14">
        <v>31476.451875358809</v>
      </c>
      <c r="C682" s="8">
        <v>12.718825687061377</v>
      </c>
      <c r="X682" s="8">
        <v>148.08017999999998</v>
      </c>
      <c r="Y682" s="8"/>
      <c r="Z682" s="4"/>
      <c r="AI682" s="29" t="str">
        <f t="shared" si="26"/>
        <v/>
      </c>
      <c r="AL682" s="15"/>
      <c r="AM682" s="15"/>
      <c r="AN682" s="15"/>
      <c r="AO682" s="15"/>
      <c r="AP682" s="15"/>
      <c r="AQ682" s="15"/>
      <c r="AR682" s="15"/>
      <c r="AS682" s="65"/>
      <c r="AT682" s="65"/>
      <c r="AU682" s="65"/>
      <c r="AV682" s="65"/>
      <c r="AW682" s="65"/>
      <c r="AX682" s="56"/>
      <c r="BA682" s="1" t="s">
        <v>15</v>
      </c>
      <c r="BB682" s="8">
        <v>148.08017999999998</v>
      </c>
    </row>
    <row r="683" spans="1:54" ht="15">
      <c r="A683" s="26" t="s">
        <v>5</v>
      </c>
      <c r="B683" s="14">
        <v>31497.808108567478</v>
      </c>
      <c r="C683" s="8">
        <v>12.777297115633074</v>
      </c>
      <c r="X683" s="8">
        <v>142.92914500000001</v>
      </c>
      <c r="Y683" s="8"/>
      <c r="Z683" s="4"/>
      <c r="AI683" s="29" t="str">
        <f t="shared" si="26"/>
        <v/>
      </c>
      <c r="AL683" s="15"/>
      <c r="AM683" s="15"/>
      <c r="AN683" s="15"/>
      <c r="AO683" s="15"/>
      <c r="AP683" s="15"/>
      <c r="AQ683" s="15"/>
      <c r="AR683" s="15"/>
      <c r="AS683" s="65"/>
      <c r="AT683" s="65"/>
      <c r="AU683" s="65"/>
      <c r="AV683" s="65"/>
      <c r="AW683" s="65"/>
      <c r="AX683" s="56"/>
      <c r="BA683" s="1" t="s">
        <v>15</v>
      </c>
      <c r="BB683" s="8">
        <v>142.92914500000001</v>
      </c>
    </row>
    <row r="684" spans="1:54" ht="15">
      <c r="A684" s="26" t="s">
        <v>5</v>
      </c>
      <c r="B684" s="14">
        <v>31514.89309513431</v>
      </c>
      <c r="C684" s="8">
        <v>12.824074258490146</v>
      </c>
      <c r="X684" s="8">
        <v>131.06920099999999</v>
      </c>
      <c r="Y684" s="8"/>
      <c r="Z684" s="4"/>
      <c r="AI684" s="29" t="str">
        <f t="shared" si="26"/>
        <v/>
      </c>
      <c r="AL684" s="15"/>
      <c r="AM684" s="15"/>
      <c r="AN684" s="15"/>
      <c r="AO684" s="15"/>
      <c r="AP684" s="15"/>
      <c r="AQ684" s="15"/>
      <c r="AR684" s="15"/>
      <c r="AS684" s="65"/>
      <c r="AT684" s="65"/>
      <c r="AU684" s="65"/>
      <c r="AV684" s="65"/>
      <c r="AW684" s="65"/>
      <c r="AX684" s="56"/>
      <c r="BA684" s="1" t="s">
        <v>15</v>
      </c>
      <c r="BB684" s="8">
        <v>131.06920099999999</v>
      </c>
    </row>
    <row r="685" spans="1:54" ht="15">
      <c r="A685" s="26" t="s">
        <v>5</v>
      </c>
      <c r="B685" s="14">
        <v>31574.690548118233</v>
      </c>
      <c r="C685" s="8">
        <v>12.987794258489936</v>
      </c>
      <c r="X685" s="8">
        <v>192.30369999999999</v>
      </c>
      <c r="Y685" s="8"/>
      <c r="Z685" s="4"/>
      <c r="AI685" s="29" t="str">
        <f t="shared" si="26"/>
        <v/>
      </c>
      <c r="AL685" s="15"/>
      <c r="AM685" s="15"/>
      <c r="AN685" s="15"/>
      <c r="AO685" s="15"/>
      <c r="AP685" s="15"/>
      <c r="AQ685" s="15"/>
      <c r="AR685" s="15"/>
      <c r="AS685" s="65"/>
      <c r="AT685" s="65"/>
      <c r="AU685" s="65"/>
      <c r="AV685" s="65"/>
      <c r="AW685" s="65"/>
      <c r="AX685" s="56"/>
      <c r="BA685" s="1" t="s">
        <v>15</v>
      </c>
      <c r="BB685" s="8">
        <v>192.30369999999999</v>
      </c>
    </row>
    <row r="686" spans="1:54" ht="15">
      <c r="A686" s="26" t="s">
        <v>5</v>
      </c>
      <c r="B686" s="14">
        <v>31604.58927461032</v>
      </c>
      <c r="C686" s="8">
        <v>13.069654258490173</v>
      </c>
      <c r="X686" s="8">
        <v>173.38306900000001</v>
      </c>
      <c r="Y686" s="8"/>
      <c r="Z686" s="4"/>
      <c r="AI686" s="29" t="str">
        <f t="shared" si="26"/>
        <v/>
      </c>
      <c r="AL686" s="15"/>
      <c r="AM686" s="15"/>
      <c r="AN686" s="15"/>
      <c r="AO686" s="15"/>
      <c r="AP686" s="15"/>
      <c r="AQ686" s="15"/>
      <c r="AR686" s="15"/>
      <c r="AS686" s="65"/>
      <c r="AT686" s="65"/>
      <c r="AU686" s="65"/>
      <c r="AV686" s="65"/>
      <c r="AW686" s="65"/>
      <c r="AX686" s="56"/>
      <c r="BA686" s="1" t="s">
        <v>15</v>
      </c>
      <c r="BB686" s="8">
        <v>173.38306900000001</v>
      </c>
    </row>
    <row r="687" spans="1:54" ht="15">
      <c r="A687" s="26" t="s">
        <v>5</v>
      </c>
      <c r="B687" s="14">
        <v>31617.403014535485</v>
      </c>
      <c r="C687" s="8">
        <v>13.104737115633091</v>
      </c>
      <c r="X687" s="8">
        <v>224.843165</v>
      </c>
      <c r="Y687" s="8"/>
      <c r="Z687" s="4"/>
      <c r="AI687" s="29" t="str">
        <f t="shared" si="26"/>
        <v/>
      </c>
      <c r="AL687" s="15"/>
      <c r="AM687" s="15"/>
      <c r="AN687" s="15"/>
      <c r="AO687" s="15"/>
      <c r="AP687" s="15"/>
      <c r="AQ687" s="15"/>
      <c r="AR687" s="15"/>
      <c r="AS687" s="65"/>
      <c r="AT687" s="65"/>
      <c r="AU687" s="65"/>
      <c r="AV687" s="65"/>
      <c r="AW687" s="65"/>
      <c r="AX687" s="56"/>
      <c r="BA687" s="1" t="s">
        <v>15</v>
      </c>
      <c r="BB687" s="8">
        <v>224.843165</v>
      </c>
    </row>
    <row r="688" spans="1:54" ht="15">
      <c r="A688" s="26" t="s">
        <v>5</v>
      </c>
      <c r="B688" s="14">
        <v>31634.48800110232</v>
      </c>
      <c r="C688" s="8">
        <v>13.151514258490172</v>
      </c>
      <c r="X688" s="8">
        <v>246.12573399999999</v>
      </c>
      <c r="Y688" s="8"/>
      <c r="Z688" s="4"/>
      <c r="AI688" s="29" t="str">
        <f t="shared" si="26"/>
        <v/>
      </c>
      <c r="AL688" s="15"/>
      <c r="AM688" s="15"/>
      <c r="AN688" s="15"/>
      <c r="AO688" s="15"/>
      <c r="AP688" s="15"/>
      <c r="AQ688" s="15"/>
      <c r="AR688" s="15"/>
      <c r="AS688" s="65"/>
      <c r="AT688" s="65"/>
      <c r="AU688" s="65"/>
      <c r="AV688" s="65"/>
      <c r="AW688" s="65"/>
      <c r="AX688" s="56"/>
      <c r="BA688" s="1" t="s">
        <v>15</v>
      </c>
      <c r="BB688" s="8">
        <v>246.12573399999999</v>
      </c>
    </row>
    <row r="689" spans="1:54" ht="15">
      <c r="A689" s="26" t="s">
        <v>5</v>
      </c>
      <c r="B689" s="14">
        <v>31647.301741027404</v>
      </c>
      <c r="C689" s="8">
        <v>13.186597115632869</v>
      </c>
      <c r="X689" s="8">
        <v>237.95945900000001</v>
      </c>
      <c r="Y689" s="8"/>
      <c r="Z689" s="4"/>
      <c r="AI689" s="29" t="str">
        <f t="shared" si="26"/>
        <v/>
      </c>
      <c r="AL689" s="15"/>
      <c r="AM689" s="15"/>
      <c r="AN689" s="15"/>
      <c r="AO689" s="15"/>
      <c r="AP689" s="15"/>
      <c r="AQ689" s="15"/>
      <c r="AR689" s="15"/>
      <c r="AS689" s="65"/>
      <c r="AT689" s="65"/>
      <c r="AU689" s="65"/>
      <c r="AV689" s="65"/>
      <c r="AW689" s="65"/>
      <c r="AX689" s="56"/>
      <c r="BA689" s="1" t="s">
        <v>15</v>
      </c>
      <c r="BB689" s="8">
        <v>237.95945900000001</v>
      </c>
    </row>
    <row r="690" spans="1:54" ht="15">
      <c r="A690" s="26" t="s">
        <v>5</v>
      </c>
      <c r="B690" s="14">
        <v>31664.386727594239</v>
      </c>
      <c r="C690" s="8">
        <v>13.233374258489953</v>
      </c>
      <c r="X690" s="8">
        <v>253.28692900000001</v>
      </c>
      <c r="Y690" s="8"/>
      <c r="Z690" s="4"/>
      <c r="AI690" s="29" t="str">
        <f t="shared" si="26"/>
        <v/>
      </c>
      <c r="AL690" s="15"/>
      <c r="AM690" s="15"/>
      <c r="AN690" s="15"/>
      <c r="AO690" s="15"/>
      <c r="AP690" s="15"/>
      <c r="AQ690" s="15"/>
      <c r="AR690" s="15"/>
      <c r="AS690" s="65"/>
      <c r="AT690" s="65"/>
      <c r="AU690" s="65"/>
      <c r="AV690" s="65"/>
      <c r="AW690" s="65"/>
      <c r="AX690" s="56"/>
      <c r="BA690" s="1" t="s">
        <v>15</v>
      </c>
      <c r="BB690" s="8">
        <v>253.28692900000001</v>
      </c>
    </row>
    <row r="691" spans="1:54" ht="15">
      <c r="A691" s="26" t="s">
        <v>5</v>
      </c>
      <c r="B691" s="14">
        <v>31681.471714161074</v>
      </c>
      <c r="C691" s="8">
        <v>13.280151401347036</v>
      </c>
      <c r="X691" s="8">
        <v>233.96426600000001</v>
      </c>
      <c r="Y691" s="8"/>
      <c r="Z691" s="4"/>
      <c r="AI691" s="29" t="str">
        <f t="shared" si="26"/>
        <v/>
      </c>
      <c r="AL691" s="15"/>
      <c r="AM691" s="15"/>
      <c r="AN691" s="15"/>
      <c r="AO691" s="15"/>
      <c r="AP691" s="15"/>
      <c r="AQ691" s="15"/>
      <c r="AR691" s="15"/>
      <c r="AS691" s="65"/>
      <c r="AT691" s="65"/>
      <c r="AU691" s="65"/>
      <c r="AV691" s="65"/>
      <c r="AW691" s="65"/>
      <c r="AX691" s="56"/>
      <c r="BA691" s="1" t="s">
        <v>15</v>
      </c>
      <c r="BB691" s="8">
        <v>233.96426600000001</v>
      </c>
    </row>
    <row r="692" spans="1:54" ht="15">
      <c r="A692" s="26" t="s">
        <v>5</v>
      </c>
      <c r="B692" s="14">
        <v>31707.099194011491</v>
      </c>
      <c r="C692" s="8">
        <v>13.350317115633107</v>
      </c>
      <c r="X692" s="8">
        <v>221.55152800000002</v>
      </c>
      <c r="Y692" s="8"/>
      <c r="Z692" s="4"/>
      <c r="AI692" s="29" t="str">
        <f t="shared" si="26"/>
        <v/>
      </c>
      <c r="AL692" s="15"/>
      <c r="AM692" s="15"/>
      <c r="AN692" s="15"/>
      <c r="AO692" s="15"/>
      <c r="AP692" s="15"/>
      <c r="AQ692" s="15"/>
      <c r="AR692" s="15"/>
      <c r="AS692" s="65"/>
      <c r="AT692" s="65"/>
      <c r="AU692" s="65"/>
      <c r="AV692" s="65"/>
      <c r="AW692" s="65"/>
      <c r="AX692" s="56"/>
      <c r="BA692" s="1" t="s">
        <v>15</v>
      </c>
      <c r="BB692" s="8">
        <v>221.55152800000002</v>
      </c>
    </row>
    <row r="693" spans="1:54" ht="15">
      <c r="A693" s="26" t="s">
        <v>5</v>
      </c>
      <c r="B693" s="14">
        <v>31715.641687294908</v>
      </c>
      <c r="C693" s="8">
        <v>13.37370568706165</v>
      </c>
      <c r="X693" s="8">
        <v>229.59216800000002</v>
      </c>
      <c r="Y693" s="8"/>
      <c r="Z693" s="4"/>
      <c r="AI693" s="29" t="str">
        <f t="shared" si="26"/>
        <v/>
      </c>
      <c r="AL693" s="15"/>
      <c r="AM693" s="15"/>
      <c r="AN693" s="15"/>
      <c r="AO693" s="15"/>
      <c r="AP693" s="15"/>
      <c r="AQ693" s="15"/>
      <c r="AR693" s="15"/>
      <c r="AS693" s="65"/>
      <c r="AT693" s="65"/>
      <c r="AU693" s="65"/>
      <c r="AV693" s="65"/>
      <c r="AW693" s="65"/>
      <c r="AX693" s="56"/>
      <c r="BA693" s="1" t="s">
        <v>15</v>
      </c>
      <c r="BB693" s="8">
        <v>229.59216800000002</v>
      </c>
    </row>
    <row r="694" spans="1:54" ht="15">
      <c r="A694" s="26" t="s">
        <v>5</v>
      </c>
      <c r="B694" s="14">
        <v>31736.997920503411</v>
      </c>
      <c r="C694" s="8">
        <v>13.432177115632888</v>
      </c>
      <c r="X694" s="8">
        <v>208.41010699999998</v>
      </c>
      <c r="Y694" s="8"/>
      <c r="Z694" s="4"/>
      <c r="AI694" s="29" t="str">
        <f t="shared" si="26"/>
        <v/>
      </c>
      <c r="AL694" s="15"/>
      <c r="AM694" s="15"/>
      <c r="AN694" s="15"/>
      <c r="AO694" s="15"/>
      <c r="AP694" s="15"/>
      <c r="AQ694" s="15"/>
      <c r="AR694" s="15"/>
      <c r="AS694" s="65"/>
      <c r="AT694" s="65"/>
      <c r="AU694" s="65"/>
      <c r="AV694" s="65"/>
      <c r="AW694" s="65"/>
      <c r="AX694" s="56"/>
      <c r="BA694" s="1" t="s">
        <v>15</v>
      </c>
      <c r="BB694" s="8">
        <v>208.41010699999998</v>
      </c>
    </row>
    <row r="695" spans="1:54" ht="15">
      <c r="A695" s="26" t="s">
        <v>5</v>
      </c>
      <c r="B695" s="14">
        <v>31749.811660428579</v>
      </c>
      <c r="C695" s="8">
        <v>13.467259972775814</v>
      </c>
      <c r="X695" s="8">
        <v>223.53656100000001</v>
      </c>
      <c r="Y695" s="8"/>
      <c r="Z695" s="4"/>
      <c r="AI695" s="29" t="str">
        <f t="shared" si="26"/>
        <v/>
      </c>
      <c r="AL695" s="15"/>
      <c r="AM695" s="15"/>
      <c r="AN695" s="15"/>
      <c r="AO695" s="15"/>
      <c r="AP695" s="15"/>
      <c r="AQ695" s="15"/>
      <c r="AR695" s="15"/>
      <c r="AS695" s="65"/>
      <c r="AT695" s="65"/>
      <c r="AU695" s="65"/>
      <c r="AV695" s="65"/>
      <c r="AW695" s="65"/>
      <c r="AX695" s="56"/>
      <c r="BA695" s="1" t="s">
        <v>15</v>
      </c>
      <c r="BB695" s="8">
        <v>223.53656100000001</v>
      </c>
    </row>
    <row r="696" spans="1:54" ht="15">
      <c r="A696" s="26" t="s">
        <v>5</v>
      </c>
      <c r="B696" s="14">
        <v>31766.896646995414</v>
      </c>
      <c r="C696" s="8">
        <v>13.514037115632897</v>
      </c>
      <c r="X696" s="8">
        <v>203.259072</v>
      </c>
      <c r="Y696" s="8"/>
      <c r="Z696" s="4"/>
      <c r="AI696" s="29" t="str">
        <f t="shared" si="26"/>
        <v/>
      </c>
      <c r="AL696" s="15"/>
      <c r="AM696" s="15"/>
      <c r="AN696" s="15"/>
      <c r="AO696" s="15"/>
      <c r="AP696" s="15"/>
      <c r="AQ696" s="15"/>
      <c r="AR696" s="15"/>
      <c r="AS696" s="65"/>
      <c r="AT696" s="65"/>
      <c r="AU696" s="65"/>
      <c r="AV696" s="65"/>
      <c r="AW696" s="65"/>
      <c r="AX696" s="56"/>
      <c r="BA696" s="1" t="s">
        <v>15</v>
      </c>
      <c r="BB696" s="8">
        <v>203.259072</v>
      </c>
    </row>
    <row r="697" spans="1:54" ht="15">
      <c r="A697" s="26" t="s">
        <v>5</v>
      </c>
      <c r="B697" s="14">
        <v>31783.981633562249</v>
      </c>
      <c r="C697" s="8">
        <v>13.560814258489978</v>
      </c>
      <c r="X697" s="8">
        <v>160.492918</v>
      </c>
      <c r="Y697" s="8"/>
      <c r="Z697" s="4"/>
      <c r="AI697" s="29" t="str">
        <f t="shared" si="26"/>
        <v/>
      </c>
      <c r="AL697" s="15"/>
      <c r="AM697" s="15"/>
      <c r="AN697" s="15"/>
      <c r="AO697" s="15"/>
      <c r="AP697" s="15"/>
      <c r="AQ697" s="15"/>
      <c r="AR697" s="15"/>
      <c r="AS697" s="65"/>
      <c r="AT697" s="65"/>
      <c r="AU697" s="65"/>
      <c r="AV697" s="65"/>
      <c r="AW697" s="65"/>
      <c r="AX697" s="56"/>
      <c r="BA697" s="1" t="s">
        <v>15</v>
      </c>
      <c r="BB697" s="8">
        <v>160.492918</v>
      </c>
    </row>
    <row r="698" spans="1:54" ht="15">
      <c r="A698" s="26" t="s">
        <v>5</v>
      </c>
      <c r="B698" s="14">
        <v>31805.337866770915</v>
      </c>
      <c r="C698" s="8">
        <v>13.619285687061666</v>
      </c>
      <c r="X698" s="8">
        <v>151.22105499999998</v>
      </c>
      <c r="Y698" s="8"/>
      <c r="Z698" s="4"/>
      <c r="AI698" s="29" t="str">
        <f t="shared" si="26"/>
        <v/>
      </c>
      <c r="AL698" s="15"/>
      <c r="AM698" s="15"/>
      <c r="AN698" s="15"/>
      <c r="AO698" s="15"/>
      <c r="AP698" s="15"/>
      <c r="AQ698" s="15"/>
      <c r="AR698" s="15"/>
      <c r="AS698" s="65"/>
      <c r="AT698" s="65"/>
      <c r="AU698" s="65"/>
      <c r="AV698" s="65"/>
      <c r="AW698" s="65"/>
      <c r="AX698" s="56"/>
      <c r="BA698" s="1" t="s">
        <v>15</v>
      </c>
      <c r="BB698" s="8">
        <v>151.22105499999998</v>
      </c>
    </row>
    <row r="699" spans="1:54" ht="15">
      <c r="A699" s="26" t="s">
        <v>5</v>
      </c>
      <c r="B699" s="14">
        <v>31818.151606695999</v>
      </c>
      <c r="C699" s="8">
        <v>13.654368544204363</v>
      </c>
      <c r="X699" s="8">
        <v>136.92379199999999</v>
      </c>
      <c r="Y699" s="8"/>
      <c r="Z699" s="4"/>
      <c r="AI699" s="29" t="str">
        <f t="shared" si="26"/>
        <v/>
      </c>
      <c r="AL699" s="15"/>
      <c r="AM699" s="15"/>
      <c r="AN699" s="15"/>
      <c r="AO699" s="15"/>
      <c r="AP699" s="15"/>
      <c r="AQ699" s="15"/>
      <c r="AR699" s="15"/>
      <c r="AS699" s="65"/>
      <c r="AT699" s="65"/>
      <c r="AU699" s="65"/>
      <c r="AV699" s="65"/>
      <c r="AW699" s="65"/>
      <c r="AX699" s="56"/>
      <c r="BA699" s="1" t="s">
        <v>15</v>
      </c>
      <c r="BB699" s="8">
        <v>136.92379199999999</v>
      </c>
    </row>
    <row r="700" spans="1:54" ht="15">
      <c r="A700" s="26" t="s">
        <v>5</v>
      </c>
      <c r="B700" s="14">
        <v>31830.965346621168</v>
      </c>
      <c r="C700" s="8">
        <v>13.68945140134729</v>
      </c>
      <c r="X700" s="8">
        <v>142.92914500000001</v>
      </c>
      <c r="Y700" s="8"/>
      <c r="Z700" s="4"/>
      <c r="AI700" s="29" t="str">
        <f t="shared" si="26"/>
        <v/>
      </c>
      <c r="AL700" s="15"/>
      <c r="AM700" s="15"/>
      <c r="AN700" s="15"/>
      <c r="AO700" s="15"/>
      <c r="AP700" s="15"/>
      <c r="AQ700" s="15"/>
      <c r="AR700" s="15"/>
      <c r="AS700" s="65"/>
      <c r="AT700" s="65"/>
      <c r="AU700" s="65"/>
      <c r="AV700" s="65"/>
      <c r="AW700" s="65"/>
      <c r="AX700" s="56"/>
      <c r="BA700" s="1" t="s">
        <v>15</v>
      </c>
      <c r="BB700" s="8">
        <v>142.92914500000001</v>
      </c>
    </row>
    <row r="701" spans="1:54" ht="15">
      <c r="A701" s="26" t="s">
        <v>5</v>
      </c>
      <c r="B701" s="14">
        <v>31843.779086546336</v>
      </c>
      <c r="C701" s="8">
        <v>13.724534258490216</v>
      </c>
      <c r="X701" s="8">
        <v>162.50307800000002</v>
      </c>
      <c r="Y701" s="8"/>
      <c r="Z701" s="4"/>
      <c r="AI701" s="29" t="str">
        <f t="shared" si="26"/>
        <v/>
      </c>
      <c r="AL701" s="15"/>
      <c r="AM701" s="15"/>
      <c r="AN701" s="15"/>
      <c r="AO701" s="15"/>
      <c r="AP701" s="15"/>
      <c r="AQ701" s="15"/>
      <c r="AR701" s="15"/>
      <c r="AS701" s="65"/>
      <c r="AT701" s="65"/>
      <c r="AU701" s="65"/>
      <c r="AV701" s="65"/>
      <c r="AW701" s="65"/>
      <c r="AX701" s="56"/>
      <c r="BA701" s="1" t="s">
        <v>15</v>
      </c>
      <c r="BB701" s="8">
        <v>162.50307800000002</v>
      </c>
    </row>
    <row r="702" spans="1:54" ht="15">
      <c r="A702" s="26" t="s">
        <v>5</v>
      </c>
      <c r="B702" s="14">
        <v>31865.135319754838</v>
      </c>
      <c r="C702" s="8">
        <v>13.783005687061456</v>
      </c>
      <c r="X702" s="8">
        <v>153.98502500000001</v>
      </c>
      <c r="Y702" s="8"/>
      <c r="Z702" s="4"/>
      <c r="AI702" s="29" t="str">
        <f t="shared" si="26"/>
        <v/>
      </c>
      <c r="AL702" s="15"/>
      <c r="AM702" s="15"/>
      <c r="AN702" s="15"/>
      <c r="AO702" s="15"/>
      <c r="AP702" s="15"/>
      <c r="AQ702" s="15"/>
      <c r="AR702" s="15"/>
      <c r="AS702" s="65"/>
      <c r="AT702" s="65"/>
      <c r="AU702" s="65"/>
      <c r="AV702" s="65"/>
      <c r="AW702" s="65"/>
      <c r="AX702" s="56"/>
      <c r="BA702" s="1" t="s">
        <v>15</v>
      </c>
      <c r="BB702" s="8">
        <v>153.98502500000001</v>
      </c>
    </row>
    <row r="703" spans="1:54" ht="15">
      <c r="A703" s="26" t="s">
        <v>5</v>
      </c>
      <c r="B703" s="14">
        <v>31877.949059680006</v>
      </c>
      <c r="C703" s="8">
        <v>13.818088544204382</v>
      </c>
      <c r="X703" s="8">
        <v>141.37127100000001</v>
      </c>
      <c r="Y703" s="8"/>
      <c r="Z703" s="4"/>
      <c r="AI703" s="29" t="str">
        <f t="shared" si="26"/>
        <v/>
      </c>
      <c r="AL703" s="15"/>
      <c r="AM703" s="15"/>
      <c r="AN703" s="15"/>
      <c r="AO703" s="15"/>
      <c r="AP703" s="15"/>
      <c r="AQ703" s="15"/>
      <c r="AR703" s="15"/>
      <c r="AS703" s="65"/>
      <c r="AT703" s="65"/>
      <c r="AU703" s="65"/>
      <c r="AV703" s="65"/>
      <c r="AW703" s="65"/>
      <c r="AX703" s="56"/>
      <c r="BA703" s="1" t="s">
        <v>15</v>
      </c>
      <c r="BB703" s="8">
        <v>141.37127100000001</v>
      </c>
    </row>
    <row r="704" spans="1:54" ht="15">
      <c r="A704" s="26" t="s">
        <v>5</v>
      </c>
      <c r="B704" s="14">
        <v>31895.034046246841</v>
      </c>
      <c r="C704" s="8">
        <v>13.864865687061464</v>
      </c>
      <c r="X704" s="8">
        <v>132.09940799999998</v>
      </c>
      <c r="Y704" s="8"/>
      <c r="Z704" s="4"/>
      <c r="AI704" s="29" t="str">
        <f t="shared" si="26"/>
        <v/>
      </c>
      <c r="AL704" s="15"/>
      <c r="AM704" s="15"/>
      <c r="AN704" s="15"/>
      <c r="AO704" s="15"/>
      <c r="AP704" s="15"/>
      <c r="AQ704" s="15"/>
      <c r="AR704" s="15"/>
      <c r="AS704" s="65"/>
      <c r="AT704" s="65"/>
      <c r="AU704" s="65"/>
      <c r="AV704" s="65"/>
      <c r="AW704" s="65"/>
      <c r="AX704" s="56"/>
      <c r="BA704" s="1" t="s">
        <v>15</v>
      </c>
      <c r="BB704" s="8">
        <v>132.09940799999998</v>
      </c>
    </row>
    <row r="705" spans="1:54" ht="15">
      <c r="A705" s="26" t="s">
        <v>5</v>
      </c>
      <c r="B705" s="14">
        <v>31912.119032813756</v>
      </c>
      <c r="C705" s="8">
        <v>13.911642829918767</v>
      </c>
      <c r="X705" s="8">
        <v>131.77275699999998</v>
      </c>
      <c r="Y705" s="8"/>
      <c r="Z705" s="4"/>
      <c r="AI705" s="29" t="str">
        <f t="shared" si="26"/>
        <v/>
      </c>
      <c r="AL705" s="15"/>
      <c r="AM705" s="15"/>
      <c r="AN705" s="15"/>
      <c r="AO705" s="15"/>
      <c r="AP705" s="15"/>
      <c r="AQ705" s="15"/>
      <c r="AR705" s="15"/>
      <c r="AS705" s="65"/>
      <c r="AT705" s="65"/>
      <c r="AU705" s="65"/>
      <c r="AV705" s="65"/>
      <c r="AW705" s="65"/>
      <c r="AX705" s="56"/>
      <c r="BA705" s="1" t="s">
        <v>15</v>
      </c>
      <c r="BB705" s="8">
        <v>131.77275699999998</v>
      </c>
    </row>
    <row r="706" spans="1:54" ht="15">
      <c r="A706" s="26" t="s">
        <v>5</v>
      </c>
      <c r="B706" s="14">
        <v>31920.661526097174</v>
      </c>
      <c r="C706" s="8">
        <v>13.935031401347308</v>
      </c>
      <c r="X706" s="8">
        <v>140.36619099999999</v>
      </c>
      <c r="Y706" s="8"/>
      <c r="Z706" s="4"/>
      <c r="AI706" s="29" t="str">
        <f t="shared" si="26"/>
        <v/>
      </c>
      <c r="AL706" s="15"/>
      <c r="AM706" s="15"/>
      <c r="AN706" s="15"/>
      <c r="AO706" s="15"/>
      <c r="AP706" s="15"/>
      <c r="AQ706" s="15"/>
      <c r="AR706" s="15"/>
      <c r="AS706" s="65"/>
      <c r="AT706" s="65"/>
      <c r="AU706" s="65"/>
      <c r="AV706" s="65"/>
      <c r="AW706" s="65"/>
      <c r="AX706" s="56"/>
      <c r="BA706" s="1" t="s">
        <v>15</v>
      </c>
      <c r="BB706" s="8">
        <v>140.36619099999999</v>
      </c>
    </row>
    <row r="707" spans="1:54" ht="15">
      <c r="A707" s="26" t="s">
        <v>5</v>
      </c>
      <c r="B707" s="14">
        <v>31937.746512664009</v>
      </c>
      <c r="C707" s="8">
        <v>13.981808544204391</v>
      </c>
      <c r="X707" s="8">
        <v>145.81874999999999</v>
      </c>
      <c r="Y707" s="8"/>
      <c r="Z707" s="4"/>
      <c r="AI707" s="29" t="str">
        <f t="shared" ref="AI707:AI770" si="27">IF(AH707&gt;0.001,AH707/C707,"")</f>
        <v/>
      </c>
      <c r="AL707" s="15"/>
      <c r="AM707" s="15"/>
      <c r="AN707" s="15"/>
      <c r="AO707" s="15"/>
      <c r="AP707" s="15"/>
      <c r="AQ707" s="15"/>
      <c r="AR707" s="15"/>
      <c r="AS707" s="65"/>
      <c r="AT707" s="65"/>
      <c r="AU707" s="65"/>
      <c r="AV707" s="65"/>
      <c r="AW707" s="65"/>
      <c r="AX707" s="56"/>
      <c r="BA707" s="1" t="s">
        <v>15</v>
      </c>
      <c r="BB707" s="8">
        <v>145.81874999999999</v>
      </c>
    </row>
    <row r="708" spans="1:54" ht="15">
      <c r="A708" s="26" t="s">
        <v>5</v>
      </c>
      <c r="B708" s="14">
        <v>31950.560252589177</v>
      </c>
      <c r="C708" s="8">
        <v>14.016891401347317</v>
      </c>
      <c r="X708" s="8">
        <v>143.255796</v>
      </c>
      <c r="Y708" s="8"/>
      <c r="Z708" s="4"/>
      <c r="AI708" s="29" t="str">
        <f t="shared" si="27"/>
        <v/>
      </c>
      <c r="AL708" s="15"/>
      <c r="AM708" s="15"/>
      <c r="AN708" s="15"/>
      <c r="AO708" s="15"/>
      <c r="AP708" s="15"/>
      <c r="AQ708" s="15"/>
      <c r="AR708" s="15"/>
      <c r="AS708" s="65"/>
      <c r="AT708" s="65"/>
      <c r="AU708" s="65"/>
      <c r="AV708" s="65"/>
      <c r="AW708" s="65"/>
      <c r="AX708" s="56"/>
      <c r="BA708" s="1" t="s">
        <v>15</v>
      </c>
      <c r="BB708" s="8">
        <v>143.255796</v>
      </c>
    </row>
    <row r="709" spans="1:54" ht="15">
      <c r="A709" s="26" t="s">
        <v>5</v>
      </c>
      <c r="B709" s="14">
        <v>31967.645239156012</v>
      </c>
      <c r="C709" s="8">
        <v>14.063668544204399</v>
      </c>
      <c r="X709" s="8">
        <v>161.724141</v>
      </c>
      <c r="Y709" s="8"/>
      <c r="Z709" s="4"/>
      <c r="AI709" s="29" t="str">
        <f t="shared" si="27"/>
        <v/>
      </c>
      <c r="AL709" s="15"/>
      <c r="AM709" s="15"/>
      <c r="AN709" s="15"/>
      <c r="AO709" s="15"/>
      <c r="AP709" s="15"/>
      <c r="AQ709" s="15"/>
      <c r="AR709" s="15"/>
      <c r="AS709" s="65"/>
      <c r="AT709" s="65"/>
      <c r="AU709" s="65"/>
      <c r="AV709" s="65"/>
      <c r="AW709" s="65"/>
      <c r="AX709" s="56"/>
      <c r="BA709" s="1" t="s">
        <v>15</v>
      </c>
      <c r="BB709" s="8">
        <v>161.724141</v>
      </c>
    </row>
    <row r="710" spans="1:54" ht="15">
      <c r="A710" s="26" t="s">
        <v>5</v>
      </c>
      <c r="B710" s="14">
        <v>31989.001472364514</v>
      </c>
      <c r="C710" s="8">
        <v>14.122139972775638</v>
      </c>
      <c r="X710" s="8">
        <v>157.1259</v>
      </c>
      <c r="Y710" s="8"/>
      <c r="Z710" s="4"/>
      <c r="AI710" s="29" t="str">
        <f t="shared" si="27"/>
        <v/>
      </c>
      <c r="AL710" s="15"/>
      <c r="AM710" s="15"/>
      <c r="AN710" s="15"/>
      <c r="AO710" s="15"/>
      <c r="AP710" s="15"/>
      <c r="AQ710" s="15"/>
      <c r="AR710" s="15"/>
      <c r="AS710" s="65"/>
      <c r="AT710" s="65"/>
      <c r="AU710" s="65"/>
      <c r="AV710" s="65"/>
      <c r="AW710" s="65"/>
      <c r="AX710" s="56"/>
      <c r="BA710" s="1" t="s">
        <v>15</v>
      </c>
      <c r="BB710" s="8">
        <v>157.1259</v>
      </c>
    </row>
    <row r="711" spans="1:54" ht="15">
      <c r="A711" s="26" t="s">
        <v>5</v>
      </c>
      <c r="B711" s="14">
        <v>32006.08645893135</v>
      </c>
      <c r="C711" s="8">
        <v>14.16891711563272</v>
      </c>
      <c r="X711" s="8">
        <v>175.242467</v>
      </c>
      <c r="Y711" s="8"/>
      <c r="Z711" s="4"/>
      <c r="AI711" s="29" t="str">
        <f t="shared" si="27"/>
        <v/>
      </c>
      <c r="AL711" s="15"/>
      <c r="AM711" s="15"/>
      <c r="AN711" s="15"/>
      <c r="AO711" s="15"/>
      <c r="AP711" s="15"/>
      <c r="AQ711" s="15"/>
      <c r="AR711" s="15"/>
      <c r="AS711" s="65"/>
      <c r="AT711" s="65"/>
      <c r="AU711" s="65"/>
      <c r="AV711" s="65"/>
      <c r="AW711" s="65"/>
      <c r="AX711" s="56"/>
      <c r="BA711" s="1" t="s">
        <v>15</v>
      </c>
      <c r="BB711" s="8">
        <v>175.242467</v>
      </c>
    </row>
    <row r="712" spans="1:54" ht="15">
      <c r="A712" s="26" t="s">
        <v>5</v>
      </c>
      <c r="B712" s="14">
        <v>32031.713938781766</v>
      </c>
      <c r="C712" s="8">
        <v>14.239082829918793</v>
      </c>
      <c r="X712" s="8">
        <v>180.89604199999999</v>
      </c>
      <c r="Y712" s="8"/>
      <c r="Z712" s="4"/>
      <c r="AI712" s="29" t="str">
        <f t="shared" si="27"/>
        <v/>
      </c>
      <c r="AL712" s="15"/>
      <c r="AM712" s="15"/>
      <c r="AN712" s="15"/>
      <c r="AO712" s="15"/>
      <c r="AP712" s="15"/>
      <c r="AQ712" s="15"/>
      <c r="AR712" s="15"/>
      <c r="AS712" s="65"/>
      <c r="AT712" s="65"/>
      <c r="AU712" s="65"/>
      <c r="AV712" s="65"/>
      <c r="AW712" s="65"/>
      <c r="AX712" s="56"/>
      <c r="BA712" s="1" t="s">
        <v>15</v>
      </c>
      <c r="BB712" s="8">
        <v>180.89604199999999</v>
      </c>
    </row>
    <row r="713" spans="1:54" ht="15">
      <c r="A713" s="26" t="s">
        <v>5</v>
      </c>
      <c r="B713" s="14">
        <v>32053.070171990268</v>
      </c>
      <c r="C713" s="8">
        <v>14.297554258490031</v>
      </c>
      <c r="X713" s="8">
        <v>171.649306</v>
      </c>
      <c r="Y713" s="8"/>
      <c r="Z713" s="4"/>
      <c r="AI713" s="29" t="str">
        <f t="shared" si="27"/>
        <v/>
      </c>
      <c r="AL713" s="15"/>
      <c r="AM713" s="15"/>
      <c r="AN713" s="15"/>
      <c r="AO713" s="15"/>
      <c r="AP713" s="15"/>
      <c r="AQ713" s="15"/>
      <c r="AR713" s="15"/>
      <c r="AS713" s="65"/>
      <c r="AT713" s="65"/>
      <c r="AU713" s="65"/>
      <c r="AV713" s="65"/>
      <c r="AW713" s="65"/>
      <c r="AX713" s="56"/>
      <c r="BA713" s="1" t="s">
        <v>15</v>
      </c>
      <c r="BB713" s="8">
        <v>171.649306</v>
      </c>
    </row>
    <row r="714" spans="1:54" ht="15">
      <c r="A714" s="26" t="s">
        <v>5</v>
      </c>
      <c r="B714" s="14">
        <v>32057.341418632019</v>
      </c>
      <c r="C714" s="8">
        <v>14.309248544204417</v>
      </c>
      <c r="X714" s="8">
        <v>153.784009</v>
      </c>
      <c r="Y714" s="8"/>
      <c r="Z714" s="4"/>
      <c r="AI714" s="29" t="str">
        <f t="shared" si="27"/>
        <v/>
      </c>
      <c r="AL714" s="15"/>
      <c r="AM714" s="15"/>
      <c r="AN714" s="15"/>
      <c r="AO714" s="15"/>
      <c r="AP714" s="15"/>
      <c r="AQ714" s="15"/>
      <c r="AR714" s="15"/>
      <c r="AS714" s="65"/>
      <c r="AT714" s="65"/>
      <c r="AU714" s="65"/>
      <c r="AV714" s="65"/>
      <c r="AW714" s="65"/>
      <c r="AX714" s="56"/>
      <c r="BA714" s="1" t="s">
        <v>15</v>
      </c>
      <c r="BB714" s="8">
        <v>153.784009</v>
      </c>
    </row>
    <row r="715" spans="1:54" ht="15">
      <c r="A715" s="26" t="s">
        <v>5</v>
      </c>
      <c r="B715" s="14">
        <v>32074.426405198854</v>
      </c>
      <c r="C715" s="8">
        <v>14.3560256870615</v>
      </c>
      <c r="X715" s="8">
        <v>156.07056599999999</v>
      </c>
      <c r="Y715" s="8"/>
      <c r="Z715" s="4"/>
      <c r="AI715" s="29" t="str">
        <f t="shared" si="27"/>
        <v/>
      </c>
      <c r="AL715" s="15"/>
      <c r="AM715" s="15"/>
      <c r="AN715" s="15"/>
      <c r="AO715" s="15"/>
      <c r="AP715" s="15"/>
      <c r="AQ715" s="15"/>
      <c r="AR715" s="15"/>
      <c r="AS715" s="65"/>
      <c r="AT715" s="65"/>
      <c r="AU715" s="65"/>
      <c r="AV715" s="65"/>
      <c r="AW715" s="65"/>
      <c r="AX715" s="56"/>
      <c r="BA715" s="1" t="s">
        <v>15</v>
      </c>
      <c r="BB715" s="8">
        <v>156.07056599999999</v>
      </c>
    </row>
    <row r="716" spans="1:54" ht="15">
      <c r="A716" s="26" t="s">
        <v>5</v>
      </c>
      <c r="B716" s="14">
        <v>32091.511391765689</v>
      </c>
      <c r="C716" s="8">
        <v>14.402802829918581</v>
      </c>
      <c r="X716" s="8">
        <v>140.46669900000001</v>
      </c>
      <c r="Y716" s="8"/>
      <c r="Z716" s="4"/>
      <c r="AI716" s="29" t="str">
        <f t="shared" si="27"/>
        <v/>
      </c>
      <c r="AL716" s="15"/>
      <c r="AM716" s="15"/>
      <c r="AN716" s="15"/>
      <c r="AO716" s="15"/>
      <c r="AP716" s="15"/>
      <c r="AQ716" s="15"/>
      <c r="AR716" s="15"/>
      <c r="AS716" s="65"/>
      <c r="AT716" s="65"/>
      <c r="AU716" s="65"/>
      <c r="AV716" s="65"/>
      <c r="AW716" s="65"/>
      <c r="AX716" s="56"/>
      <c r="BA716" s="1" t="s">
        <v>15</v>
      </c>
      <c r="BB716" s="8">
        <v>140.46669900000001</v>
      </c>
    </row>
    <row r="717" spans="1:54" ht="15">
      <c r="A717" s="26" t="s">
        <v>5</v>
      </c>
      <c r="B717" s="14">
        <v>32104.325131690857</v>
      </c>
      <c r="C717" s="8">
        <v>14.437885687061508</v>
      </c>
      <c r="X717" s="8">
        <v>153.90964400000001</v>
      </c>
      <c r="Y717" s="8"/>
      <c r="Z717" s="4"/>
      <c r="AI717" s="29" t="str">
        <f t="shared" si="27"/>
        <v/>
      </c>
      <c r="AL717" s="15"/>
      <c r="AM717" s="15"/>
      <c r="AN717" s="15"/>
      <c r="AO717" s="15"/>
      <c r="AP717" s="15"/>
      <c r="AQ717" s="15"/>
      <c r="AR717" s="15"/>
      <c r="AS717" s="65"/>
      <c r="AT717" s="65"/>
      <c r="AU717" s="65"/>
      <c r="AV717" s="65"/>
      <c r="AW717" s="65"/>
      <c r="AX717" s="56"/>
      <c r="BA717" s="1" t="s">
        <v>15</v>
      </c>
      <c r="BB717" s="8">
        <v>153.90964400000001</v>
      </c>
    </row>
    <row r="718" spans="1:54" ht="15">
      <c r="A718" s="26" t="s">
        <v>5</v>
      </c>
      <c r="B718" s="14">
        <v>32117.138871615942</v>
      </c>
      <c r="C718" s="8">
        <v>14.472968544204205</v>
      </c>
      <c r="X718" s="8">
        <v>157.67869400000001</v>
      </c>
      <c r="Y718" s="8"/>
      <c r="Z718" s="4"/>
      <c r="AI718" s="29" t="str">
        <f t="shared" si="27"/>
        <v/>
      </c>
      <c r="AL718" s="15"/>
      <c r="AM718" s="15"/>
      <c r="AN718" s="15"/>
      <c r="AO718" s="15"/>
      <c r="AP718" s="15"/>
      <c r="AQ718" s="15"/>
      <c r="AR718" s="15"/>
      <c r="AS718" s="65"/>
      <c r="AT718" s="65"/>
      <c r="AU718" s="65"/>
      <c r="AV718" s="65"/>
      <c r="AW718" s="65"/>
      <c r="AX718" s="56"/>
      <c r="BA718" s="1" t="s">
        <v>15</v>
      </c>
      <c r="BB718" s="8">
        <v>157.67869400000001</v>
      </c>
    </row>
    <row r="719" spans="1:54" ht="15">
      <c r="A719" s="26" t="s">
        <v>5</v>
      </c>
      <c r="B719" s="14">
        <v>32142.766351466358</v>
      </c>
      <c r="C719" s="8">
        <v>14.543134258490278</v>
      </c>
      <c r="X719" s="8">
        <v>143.959352</v>
      </c>
      <c r="Y719" s="8"/>
      <c r="Z719" s="4"/>
      <c r="AI719" s="29" t="str">
        <f t="shared" si="27"/>
        <v/>
      </c>
      <c r="AL719" s="15"/>
      <c r="AM719" s="15"/>
      <c r="AN719" s="15"/>
      <c r="AO719" s="15"/>
      <c r="AP719" s="15"/>
      <c r="AQ719" s="15"/>
      <c r="AR719" s="15"/>
      <c r="AS719" s="65"/>
      <c r="AT719" s="65"/>
      <c r="AU719" s="65"/>
      <c r="AV719" s="65"/>
      <c r="AW719" s="65"/>
      <c r="AX719" s="56"/>
      <c r="BA719" s="1" t="s">
        <v>15</v>
      </c>
      <c r="BB719" s="8">
        <v>143.959352</v>
      </c>
    </row>
    <row r="720" spans="1:54" ht="15">
      <c r="A720" s="27" t="s">
        <v>16</v>
      </c>
      <c r="B720" s="14">
        <v>30617.931300374246</v>
      </c>
      <c r="C720" s="8">
        <v>10.368274258489972</v>
      </c>
      <c r="X720" s="8">
        <v>323.76816399999996</v>
      </c>
      <c r="Y720" s="8">
        <v>323.76816399999996</v>
      </c>
      <c r="Z720" s="4"/>
      <c r="AI720" s="29" t="str">
        <f t="shared" si="27"/>
        <v/>
      </c>
      <c r="AL720" s="15"/>
      <c r="AM720" s="15"/>
      <c r="AN720" s="15"/>
      <c r="AO720" s="15"/>
      <c r="AP720" s="15"/>
      <c r="AQ720" s="15"/>
      <c r="AR720" s="15"/>
      <c r="AS720" s="65"/>
      <c r="AT720" s="65"/>
      <c r="AU720" s="65"/>
      <c r="AV720" s="65"/>
      <c r="AW720" s="65"/>
      <c r="AX720" s="56"/>
      <c r="BA720" s="1" t="s">
        <v>15</v>
      </c>
      <c r="BB720" s="8">
        <v>323.76816399999996</v>
      </c>
    </row>
    <row r="721" spans="1:54" ht="15">
      <c r="A721" s="27" t="s">
        <v>16</v>
      </c>
      <c r="B721" s="14">
        <v>30617.931300374246</v>
      </c>
      <c r="C721" s="8">
        <v>10.368274258489972</v>
      </c>
      <c r="X721" s="8">
        <v>335.32658400000003</v>
      </c>
      <c r="Y721" s="8">
        <v>335.32658400000003</v>
      </c>
      <c r="Z721" s="4"/>
      <c r="AI721" s="29" t="str">
        <f t="shared" si="27"/>
        <v/>
      </c>
      <c r="AL721" s="15"/>
      <c r="AM721" s="15"/>
      <c r="AN721" s="15"/>
      <c r="AO721" s="15"/>
      <c r="AP721" s="15"/>
      <c r="AQ721" s="15"/>
      <c r="AR721" s="15"/>
      <c r="AS721" s="65"/>
      <c r="AT721" s="65"/>
      <c r="AU721" s="65"/>
      <c r="AV721" s="65"/>
      <c r="AW721" s="65"/>
      <c r="AX721" s="56"/>
      <c r="BA721" s="1" t="s">
        <v>15</v>
      </c>
      <c r="BB721" s="8">
        <v>335.32658400000003</v>
      </c>
    </row>
    <row r="722" spans="1:54" ht="15">
      <c r="A722" s="27" t="s">
        <v>16</v>
      </c>
      <c r="B722" s="14">
        <v>30617.931300374246</v>
      </c>
      <c r="C722" s="8">
        <v>10.368274258489972</v>
      </c>
      <c r="X722" s="8">
        <v>357.31270900000004</v>
      </c>
      <c r="Y722" s="8">
        <v>357.31270900000004</v>
      </c>
      <c r="Z722" s="4"/>
      <c r="AI722" s="29" t="str">
        <f t="shared" si="27"/>
        <v/>
      </c>
      <c r="AL722" s="15"/>
      <c r="AM722" s="15"/>
      <c r="AN722" s="15"/>
      <c r="AO722" s="15"/>
      <c r="AP722" s="15"/>
      <c r="AQ722" s="15"/>
      <c r="AR722" s="15"/>
      <c r="AS722" s="65"/>
      <c r="AT722" s="65"/>
      <c r="AU722" s="65"/>
      <c r="AV722" s="65"/>
      <c r="AW722" s="65"/>
      <c r="AX722" s="56"/>
      <c r="BA722" s="1" t="s">
        <v>15</v>
      </c>
      <c r="BB722" s="8">
        <v>357.31270900000004</v>
      </c>
    </row>
    <row r="723" spans="1:54" ht="15">
      <c r="A723" s="27" t="s">
        <v>16</v>
      </c>
      <c r="B723" s="14">
        <v>30622.202547015997</v>
      </c>
      <c r="C723" s="8">
        <v>10.379968544204358</v>
      </c>
      <c r="X723" s="8">
        <v>363.26780800000006</v>
      </c>
      <c r="Y723" s="8">
        <v>363.26780800000006</v>
      </c>
      <c r="Z723" s="4"/>
      <c r="AI723" s="29" t="str">
        <f t="shared" si="27"/>
        <v/>
      </c>
      <c r="AL723" s="15"/>
      <c r="AM723" s="15"/>
      <c r="AN723" s="15"/>
      <c r="AO723" s="15"/>
      <c r="AP723" s="15"/>
      <c r="AQ723" s="15"/>
      <c r="AR723" s="15"/>
      <c r="AS723" s="65"/>
      <c r="AT723" s="65"/>
      <c r="AU723" s="65"/>
      <c r="AV723" s="65"/>
      <c r="AW723" s="65"/>
      <c r="AX723" s="56"/>
      <c r="BA723" s="1" t="s">
        <v>15</v>
      </c>
      <c r="BB723" s="8">
        <v>363.26780800000006</v>
      </c>
    </row>
    <row r="724" spans="1:54" ht="15">
      <c r="A724" s="27" t="s">
        <v>16</v>
      </c>
      <c r="B724" s="14">
        <v>30622.202547015997</v>
      </c>
      <c r="C724" s="8">
        <v>10.379968544204358</v>
      </c>
      <c r="X724" s="8">
        <v>365.152333</v>
      </c>
      <c r="Y724" s="8">
        <v>365.152333</v>
      </c>
      <c r="Z724" s="4"/>
      <c r="AI724" s="29" t="str">
        <f t="shared" si="27"/>
        <v/>
      </c>
      <c r="AL724" s="15"/>
      <c r="AM724" s="15"/>
      <c r="AN724" s="15"/>
      <c r="AO724" s="15"/>
      <c r="AP724" s="15"/>
      <c r="AQ724" s="15"/>
      <c r="AR724" s="15"/>
      <c r="AS724" s="65"/>
      <c r="AT724" s="65"/>
      <c r="AU724" s="65"/>
      <c r="AV724" s="65"/>
      <c r="AW724" s="65"/>
      <c r="AX724" s="56"/>
      <c r="BA724" s="1" t="s">
        <v>15</v>
      </c>
      <c r="BB724" s="8">
        <v>365.152333</v>
      </c>
    </row>
    <row r="725" spans="1:54">
      <c r="A725" s="27" t="s">
        <v>16</v>
      </c>
      <c r="B725" s="14">
        <v>30639.287533582912</v>
      </c>
      <c r="C725" s="8">
        <v>10.426745687061659</v>
      </c>
      <c r="X725" s="8">
        <v>359.22236099999998</v>
      </c>
      <c r="Y725" s="8">
        <v>359.22236099999998</v>
      </c>
      <c r="AI725" s="29" t="str">
        <f t="shared" si="27"/>
        <v/>
      </c>
      <c r="AS725" s="56"/>
      <c r="AT725" s="56"/>
      <c r="AU725" s="56"/>
      <c r="AV725" s="56"/>
      <c r="AW725" s="56"/>
      <c r="AX725" s="56"/>
      <c r="BA725" s="1" t="s">
        <v>15</v>
      </c>
      <c r="BB725" s="8">
        <v>359.22236099999998</v>
      </c>
    </row>
    <row r="726" spans="1:54">
      <c r="A726" s="27" t="s">
        <v>16</v>
      </c>
      <c r="B726" s="14">
        <v>30652.101273507997</v>
      </c>
      <c r="C726" s="8">
        <v>10.461828544204357</v>
      </c>
      <c r="X726" s="8">
        <v>353.66929399999998</v>
      </c>
      <c r="Y726" s="8">
        <v>353.66929399999998</v>
      </c>
      <c r="AI726" s="29" t="str">
        <f t="shared" si="27"/>
        <v/>
      </c>
      <c r="AS726" s="56"/>
      <c r="AT726" s="56"/>
      <c r="AU726" s="56"/>
      <c r="AV726" s="56"/>
      <c r="AW726" s="56"/>
      <c r="AX726" s="56"/>
      <c r="BA726" s="1" t="s">
        <v>15</v>
      </c>
      <c r="BB726" s="8">
        <v>353.66929399999998</v>
      </c>
    </row>
    <row r="727" spans="1:54">
      <c r="A727" s="27" t="s">
        <v>16</v>
      </c>
      <c r="B727" s="14">
        <v>30664.915013433165</v>
      </c>
      <c r="C727" s="8">
        <v>10.496911401347283</v>
      </c>
      <c r="X727" s="8">
        <v>365.62974600000001</v>
      </c>
      <c r="Y727" s="8">
        <v>365.62974600000001</v>
      </c>
      <c r="AI727" s="29" t="str">
        <f t="shared" si="27"/>
        <v/>
      </c>
      <c r="AS727" s="56"/>
      <c r="AT727" s="56"/>
      <c r="AU727" s="56"/>
      <c r="AV727" s="56"/>
      <c r="AW727" s="56"/>
      <c r="AX727" s="56"/>
      <c r="BA727" s="1" t="s">
        <v>15</v>
      </c>
      <c r="BB727" s="8">
        <v>365.62974600000001</v>
      </c>
    </row>
    <row r="728" spans="1:54">
      <c r="A728" s="27" t="s">
        <v>16</v>
      </c>
      <c r="B728" s="14">
        <v>30682</v>
      </c>
      <c r="C728" s="8">
        <v>10.543688544204366</v>
      </c>
      <c r="X728" s="8">
        <v>355.80508899999995</v>
      </c>
      <c r="Y728" s="8">
        <v>355.80508899999995</v>
      </c>
      <c r="AI728" s="29" t="str">
        <f t="shared" si="27"/>
        <v/>
      </c>
      <c r="AS728" s="56"/>
      <c r="AT728" s="56"/>
      <c r="AU728" s="56"/>
      <c r="AV728" s="56"/>
      <c r="AW728" s="56"/>
      <c r="AX728" s="56"/>
      <c r="BA728" s="1" t="s">
        <v>15</v>
      </c>
      <c r="BB728" s="8">
        <v>355.80508899999995</v>
      </c>
    </row>
    <row r="729" spans="1:54">
      <c r="A729" s="27" t="s">
        <v>16</v>
      </c>
      <c r="B729" s="14">
        <v>30699.084986566835</v>
      </c>
      <c r="C729" s="8">
        <v>10.590465687061448</v>
      </c>
      <c r="X729" s="8">
        <v>365.35334899999998</v>
      </c>
      <c r="Y729" s="8">
        <v>365.35334899999998</v>
      </c>
      <c r="AI729" s="29" t="str">
        <f t="shared" si="27"/>
        <v/>
      </c>
      <c r="AS729" s="56"/>
      <c r="AT729" s="56"/>
      <c r="AU729" s="56"/>
      <c r="AV729" s="56"/>
      <c r="AW729" s="56"/>
      <c r="AX729" s="56"/>
      <c r="BA729" s="1" t="s">
        <v>15</v>
      </c>
      <c r="BB729" s="8">
        <v>365.35334899999998</v>
      </c>
    </row>
    <row r="730" spans="1:54">
      <c r="A730" s="27" t="s">
        <v>16</v>
      </c>
      <c r="B730" s="14">
        <v>30724.712466417088</v>
      </c>
      <c r="C730" s="8">
        <v>10.660631401347072</v>
      </c>
      <c r="X730" s="8">
        <v>365.805635</v>
      </c>
      <c r="Y730" s="8">
        <v>365.805635</v>
      </c>
      <c r="AI730" s="29" t="str">
        <f t="shared" si="27"/>
        <v/>
      </c>
      <c r="AS730" s="56"/>
      <c r="AT730" s="56"/>
      <c r="AU730" s="56"/>
      <c r="AV730" s="56"/>
      <c r="AW730" s="56"/>
      <c r="AX730" s="56"/>
      <c r="BA730" s="1" t="s">
        <v>15</v>
      </c>
      <c r="BB730" s="8">
        <v>365.805635</v>
      </c>
    </row>
    <row r="731" spans="1:54">
      <c r="A731" s="27" t="s">
        <v>16</v>
      </c>
      <c r="B731" s="14">
        <v>30741.797452984003</v>
      </c>
      <c r="C731" s="8">
        <v>10.707408544204373</v>
      </c>
      <c r="X731" s="8">
        <v>341.25655600000005</v>
      </c>
      <c r="Y731" s="8">
        <v>341.25655600000005</v>
      </c>
      <c r="AI731" s="29" t="str">
        <f t="shared" si="27"/>
        <v/>
      </c>
      <c r="AS731" s="56"/>
      <c r="AT731" s="56"/>
      <c r="AU731" s="56"/>
      <c r="AV731" s="56"/>
      <c r="AW731" s="56"/>
      <c r="AX731" s="56"/>
      <c r="BA731" s="1" t="s">
        <v>15</v>
      </c>
      <c r="BB731" s="8">
        <v>341.25655600000005</v>
      </c>
    </row>
    <row r="732" spans="1:54">
      <c r="A732" s="27" t="s">
        <v>16</v>
      </c>
      <c r="B732" s="14">
        <v>30754.611192909171</v>
      </c>
      <c r="C732" s="8">
        <v>10.7424914013473</v>
      </c>
      <c r="X732" s="8">
        <v>319.32068500000003</v>
      </c>
      <c r="Y732" s="8">
        <v>319.32068500000003</v>
      </c>
      <c r="AI732" s="29" t="str">
        <f t="shared" si="27"/>
        <v/>
      </c>
      <c r="AS732" s="56"/>
      <c r="AT732" s="56"/>
      <c r="AU732" s="56"/>
      <c r="AV732" s="56"/>
      <c r="AW732" s="56"/>
      <c r="AX732" s="56"/>
      <c r="BA732" s="1" t="s">
        <v>15</v>
      </c>
      <c r="BB732" s="8">
        <v>319.32068500000003</v>
      </c>
    </row>
    <row r="733" spans="1:54">
      <c r="A733" s="27" t="s">
        <v>16</v>
      </c>
      <c r="B733" s="14">
        <v>30763.153686192589</v>
      </c>
      <c r="C733" s="8">
        <v>10.765879972775842</v>
      </c>
      <c r="X733" s="8">
        <v>299.97289499999999</v>
      </c>
      <c r="Y733" s="8">
        <v>299.97289499999999</v>
      </c>
      <c r="AI733" s="29" t="str">
        <f t="shared" si="27"/>
        <v/>
      </c>
      <c r="AS733" s="56"/>
      <c r="AT733" s="56"/>
      <c r="AU733" s="56"/>
      <c r="AV733" s="56"/>
      <c r="AW733" s="56"/>
      <c r="AX733" s="56"/>
      <c r="BA733" s="1" t="s">
        <v>15</v>
      </c>
      <c r="BB733" s="8">
        <v>299.97289499999999</v>
      </c>
    </row>
    <row r="734" spans="1:54">
      <c r="A734" s="27" t="s">
        <v>16</v>
      </c>
      <c r="B734" s="14">
        <v>30767.424932834339</v>
      </c>
      <c r="C734" s="8">
        <v>10.777574258490226</v>
      </c>
      <c r="X734" s="8">
        <v>289.92209500000001</v>
      </c>
      <c r="Y734" s="8">
        <v>289.92209500000001</v>
      </c>
      <c r="AI734" s="29" t="str">
        <f t="shared" si="27"/>
        <v/>
      </c>
      <c r="AS734" s="56"/>
      <c r="AT734" s="56"/>
      <c r="AU734" s="56"/>
      <c r="AV734" s="56"/>
      <c r="AW734" s="56"/>
      <c r="AX734" s="56"/>
      <c r="BA734" s="1" t="s">
        <v>15</v>
      </c>
      <c r="BB734" s="8">
        <v>289.92209500000001</v>
      </c>
    </row>
    <row r="735" spans="1:54">
      <c r="A735" s="27" t="s">
        <v>16</v>
      </c>
      <c r="B735" s="14">
        <v>30775.967426117757</v>
      </c>
      <c r="C735" s="8">
        <v>10.800962829918769</v>
      </c>
      <c r="X735" s="8">
        <v>276.90630900000002</v>
      </c>
      <c r="Y735" s="8">
        <v>276.90630900000002</v>
      </c>
      <c r="AI735" s="29" t="str">
        <f t="shared" si="27"/>
        <v/>
      </c>
      <c r="AS735" s="56"/>
      <c r="AT735" s="56"/>
      <c r="AU735" s="56"/>
      <c r="AV735" s="56"/>
      <c r="AW735" s="56"/>
      <c r="AX735" s="56"/>
      <c r="BA735" s="1" t="s">
        <v>15</v>
      </c>
      <c r="BB735" s="8">
        <v>276.90630900000002</v>
      </c>
    </row>
    <row r="736" spans="1:54">
      <c r="A736" s="27" t="s">
        <v>16</v>
      </c>
      <c r="B736" s="14">
        <v>30793.052412684592</v>
      </c>
      <c r="C736" s="8">
        <v>10.847739972775852</v>
      </c>
      <c r="X736" s="8">
        <v>252.73413500000001</v>
      </c>
      <c r="Y736" s="8">
        <v>252.73413500000001</v>
      </c>
      <c r="AI736" s="29" t="str">
        <f t="shared" si="27"/>
        <v/>
      </c>
      <c r="AS736" s="56"/>
      <c r="AT736" s="56"/>
      <c r="AU736" s="56"/>
      <c r="AV736" s="56"/>
      <c r="AW736" s="56"/>
      <c r="AX736" s="56"/>
      <c r="BA736" s="1" t="s">
        <v>15</v>
      </c>
      <c r="BB736" s="8">
        <v>252.73413500000001</v>
      </c>
    </row>
    <row r="737" spans="1:54">
      <c r="A737" s="27" t="s">
        <v>16</v>
      </c>
      <c r="B737" s="14">
        <v>30801.59490596801</v>
      </c>
      <c r="C737" s="8">
        <v>10.871128544204392</v>
      </c>
      <c r="X737" s="8">
        <v>285.92690200000004</v>
      </c>
      <c r="Y737" s="8">
        <v>285.92690200000004</v>
      </c>
      <c r="AI737" s="29" t="str">
        <f t="shared" si="27"/>
        <v/>
      </c>
      <c r="AS737" s="56"/>
      <c r="AT737" s="56"/>
      <c r="AU737" s="56"/>
      <c r="AV737" s="56"/>
      <c r="AW737" s="56"/>
      <c r="AX737" s="56"/>
      <c r="BA737" s="1" t="s">
        <v>15</v>
      </c>
      <c r="BB737" s="8">
        <v>285.92690200000004</v>
      </c>
    </row>
    <row r="738" spans="1:54">
      <c r="A738" s="27" t="s">
        <v>16</v>
      </c>
      <c r="B738" s="14">
        <v>30805.866152609677</v>
      </c>
      <c r="C738" s="8">
        <v>10.882822829918549</v>
      </c>
      <c r="X738" s="8">
        <v>314.99884099999997</v>
      </c>
      <c r="Y738" s="8">
        <v>314.99884099999997</v>
      </c>
      <c r="AI738" s="29" t="str">
        <f t="shared" si="27"/>
        <v/>
      </c>
      <c r="AS738" s="56"/>
      <c r="AT738" s="56"/>
      <c r="AU738" s="56"/>
      <c r="AV738" s="56"/>
      <c r="AW738" s="56"/>
      <c r="AX738" s="56"/>
      <c r="BA738" s="1" t="s">
        <v>15</v>
      </c>
      <c r="BB738" s="8">
        <v>314.99884099999997</v>
      </c>
    </row>
    <row r="739" spans="1:54">
      <c r="A739" s="27" t="s">
        <v>16</v>
      </c>
      <c r="B739" s="14">
        <v>30822.951139176512</v>
      </c>
      <c r="C739" s="8">
        <v>10.92959997277563</v>
      </c>
      <c r="X739" s="8">
        <v>304.21935800000006</v>
      </c>
      <c r="Y739" s="8">
        <v>304.21935800000006</v>
      </c>
      <c r="AI739" s="29" t="str">
        <f t="shared" si="27"/>
        <v/>
      </c>
      <c r="AS739" s="56"/>
      <c r="AT739" s="56"/>
      <c r="AU739" s="56"/>
      <c r="AV739" s="56"/>
      <c r="AW739" s="56"/>
      <c r="AX739" s="56"/>
      <c r="BA739" s="1" t="s">
        <v>15</v>
      </c>
      <c r="BB739" s="8">
        <v>304.21935800000006</v>
      </c>
    </row>
    <row r="740" spans="1:54">
      <c r="A740" s="27" t="s">
        <v>16</v>
      </c>
      <c r="B740" s="14">
        <v>30848.578619026928</v>
      </c>
      <c r="C740" s="8">
        <v>10.999765687061704</v>
      </c>
      <c r="X740" s="8">
        <v>276.73041999999998</v>
      </c>
      <c r="Y740" s="8">
        <v>276.73041999999998</v>
      </c>
      <c r="AI740" s="29" t="str">
        <f t="shared" si="27"/>
        <v/>
      </c>
      <c r="AS740" s="56"/>
      <c r="AT740" s="56"/>
      <c r="AU740" s="56"/>
      <c r="AV740" s="56"/>
      <c r="AW740" s="56"/>
      <c r="AX740" s="56"/>
      <c r="BA740" s="1" t="s">
        <v>15</v>
      </c>
      <c r="BB740" s="8">
        <v>276.73041999999998</v>
      </c>
    </row>
    <row r="741" spans="1:54">
      <c r="A741" s="27" t="s">
        <v>16</v>
      </c>
      <c r="B741" s="14">
        <v>30865.663605593763</v>
      </c>
      <c r="C741" s="8">
        <v>11.046542829918785</v>
      </c>
      <c r="X741" s="8">
        <v>264.11666600000001</v>
      </c>
      <c r="Y741" s="8">
        <v>264.11666600000001</v>
      </c>
      <c r="AI741" s="29" t="str">
        <f t="shared" si="27"/>
        <v/>
      </c>
      <c r="AS741" s="56"/>
      <c r="AT741" s="56"/>
      <c r="AU741" s="56"/>
      <c r="AV741" s="56"/>
      <c r="AW741" s="56"/>
      <c r="AX741" s="56"/>
      <c r="BA741" s="1" t="s">
        <v>15</v>
      </c>
      <c r="BB741" s="8">
        <v>264.11666600000001</v>
      </c>
    </row>
    <row r="742" spans="1:54">
      <c r="A742" s="27" t="s">
        <v>16</v>
      </c>
      <c r="B742" s="14">
        <v>30878.477345518848</v>
      </c>
      <c r="C742" s="8">
        <v>11.081625687061482</v>
      </c>
      <c r="X742" s="8">
        <v>262.65930000000003</v>
      </c>
      <c r="Y742" s="8">
        <v>262.65930000000003</v>
      </c>
      <c r="AI742" s="29" t="str">
        <f t="shared" si="27"/>
        <v/>
      </c>
      <c r="AS742" s="56"/>
      <c r="AT742" s="56"/>
      <c r="AU742" s="56"/>
      <c r="AV742" s="56"/>
      <c r="AW742" s="56"/>
      <c r="AX742" s="56"/>
      <c r="BA742" s="1" t="s">
        <v>15</v>
      </c>
      <c r="BB742" s="8">
        <v>262.65930000000003</v>
      </c>
    </row>
    <row r="743" spans="1:54">
      <c r="A743" s="27" t="s">
        <v>16</v>
      </c>
      <c r="B743" s="14">
        <v>30904.104825369101</v>
      </c>
      <c r="C743" s="8">
        <v>11.151791401347108</v>
      </c>
      <c r="X743" s="8">
        <v>300.72670500000004</v>
      </c>
      <c r="Y743" s="8">
        <v>300.72670500000004</v>
      </c>
      <c r="AI743" s="29" t="str">
        <f t="shared" si="27"/>
        <v/>
      </c>
      <c r="AS743" s="56"/>
      <c r="AT743" s="56"/>
      <c r="AU743" s="56"/>
      <c r="AV743" s="56"/>
      <c r="AW743" s="56"/>
      <c r="AX743" s="56"/>
      <c r="BA743" s="1" t="s">
        <v>15</v>
      </c>
      <c r="BB743" s="8">
        <v>300.72670500000004</v>
      </c>
    </row>
    <row r="744" spans="1:54">
      <c r="A744" s="27" t="s">
        <v>16</v>
      </c>
      <c r="B744" s="14">
        <v>30908.376072010851</v>
      </c>
      <c r="C744" s="8">
        <v>11.163485687061492</v>
      </c>
      <c r="X744" s="8">
        <v>314.52142800000001</v>
      </c>
      <c r="Y744" s="8">
        <v>314.52142800000001</v>
      </c>
      <c r="AI744" s="29" t="str">
        <f t="shared" si="27"/>
        <v/>
      </c>
      <c r="AS744" s="56"/>
      <c r="AT744" s="56"/>
      <c r="AU744" s="56"/>
      <c r="AV744" s="56"/>
      <c r="AW744" s="56"/>
      <c r="AX744" s="56"/>
      <c r="BA744" s="1" t="s">
        <v>15</v>
      </c>
      <c r="BB744" s="8">
        <v>314.52142800000001</v>
      </c>
    </row>
    <row r="745" spans="1:54">
      <c r="A745" s="27" t="s">
        <v>16</v>
      </c>
      <c r="B745" s="14">
        <v>30938.274798502851</v>
      </c>
      <c r="C745" s="8">
        <v>11.245345687061491</v>
      </c>
      <c r="X745" s="8">
        <v>361.18226700000002</v>
      </c>
      <c r="Y745" s="8">
        <v>361.18226700000002</v>
      </c>
      <c r="AI745" s="29" t="str">
        <f t="shared" si="27"/>
        <v/>
      </c>
      <c r="AS745" s="56"/>
      <c r="AT745" s="56"/>
      <c r="AU745" s="56"/>
      <c r="AV745" s="56"/>
      <c r="AW745" s="56"/>
      <c r="AX745" s="56"/>
      <c r="BA745" s="1" t="s">
        <v>15</v>
      </c>
      <c r="BB745" s="8">
        <v>361.18226700000002</v>
      </c>
    </row>
    <row r="746" spans="1:54">
      <c r="A746" s="27" t="s">
        <v>16</v>
      </c>
      <c r="B746" s="14">
        <v>30946.817291786268</v>
      </c>
      <c r="C746" s="8">
        <v>11.268734258490033</v>
      </c>
      <c r="X746" s="8">
        <v>364.17238000000003</v>
      </c>
      <c r="Y746" s="8">
        <v>364.17238000000003</v>
      </c>
      <c r="AI746" s="29" t="str">
        <f t="shared" si="27"/>
        <v/>
      </c>
      <c r="AS746" s="56"/>
      <c r="AT746" s="56"/>
      <c r="AU746" s="56"/>
      <c r="AV746" s="56"/>
      <c r="AW746" s="56"/>
      <c r="AX746" s="56"/>
      <c r="BA746" s="1" t="s">
        <v>15</v>
      </c>
      <c r="BB746" s="8">
        <v>364.17238000000003</v>
      </c>
    </row>
    <row r="747" spans="1:54">
      <c r="A747" s="27" t="s">
        <v>16</v>
      </c>
      <c r="B747" s="14">
        <v>30980.987264920022</v>
      </c>
      <c r="C747" s="8">
        <v>11.362288544204427</v>
      </c>
      <c r="X747" s="8">
        <v>345.452765</v>
      </c>
      <c r="Y747" s="8">
        <v>345.452765</v>
      </c>
      <c r="AI747" s="29" t="str">
        <f t="shared" si="27"/>
        <v/>
      </c>
      <c r="AS747" s="56"/>
      <c r="AT747" s="56"/>
      <c r="AU747" s="56"/>
      <c r="AV747" s="56"/>
      <c r="AW747" s="56"/>
      <c r="AX747" s="56"/>
      <c r="BA747" s="1" t="s">
        <v>15</v>
      </c>
      <c r="BB747" s="8">
        <v>345.452765</v>
      </c>
    </row>
    <row r="748" spans="1:54">
      <c r="A748" s="27" t="s">
        <v>16</v>
      </c>
      <c r="B748" s="14">
        <v>30985.258511561689</v>
      </c>
      <c r="C748" s="8">
        <v>11.373982829918583</v>
      </c>
      <c r="X748" s="8">
        <v>342.48777899999999</v>
      </c>
      <c r="Y748" s="8">
        <v>342.48777899999999</v>
      </c>
      <c r="AI748" s="29" t="str">
        <f t="shared" si="27"/>
        <v/>
      </c>
      <c r="AS748" s="56"/>
      <c r="AT748" s="56"/>
      <c r="AU748" s="56"/>
      <c r="AV748" s="56"/>
      <c r="AW748" s="56"/>
      <c r="AX748" s="56"/>
      <c r="BA748" s="1" t="s">
        <v>15</v>
      </c>
      <c r="BB748" s="8">
        <v>342.48777899999999</v>
      </c>
    </row>
    <row r="749" spans="1:54">
      <c r="A749" s="27" t="s">
        <v>16</v>
      </c>
      <c r="B749" s="14">
        <v>31002.343498128608</v>
      </c>
      <c r="C749" s="8">
        <v>11.420759972775894</v>
      </c>
      <c r="X749" s="8">
        <v>342.53803300000004</v>
      </c>
      <c r="Y749" s="8">
        <v>342.53803300000004</v>
      </c>
      <c r="AI749" s="29" t="str">
        <f t="shared" si="27"/>
        <v/>
      </c>
      <c r="AS749" s="56"/>
      <c r="AT749" s="56"/>
      <c r="AU749" s="56"/>
      <c r="AV749" s="56"/>
      <c r="AW749" s="56"/>
      <c r="AX749" s="56"/>
      <c r="BA749" s="1" t="s">
        <v>15</v>
      </c>
      <c r="BB749" s="8">
        <v>342.53803300000004</v>
      </c>
    </row>
    <row r="750" spans="1:54">
      <c r="A750" s="27" t="s">
        <v>16</v>
      </c>
      <c r="B750" s="14">
        <v>31032.242224620528</v>
      </c>
      <c r="C750" s="8">
        <v>11.502619972775674</v>
      </c>
      <c r="X750" s="8">
        <v>273.13725899999997</v>
      </c>
      <c r="Y750" s="8">
        <v>273.13725899999997</v>
      </c>
      <c r="AI750" s="29" t="str">
        <f t="shared" si="27"/>
        <v/>
      </c>
      <c r="AS750" s="56"/>
      <c r="AT750" s="56"/>
      <c r="AU750" s="56"/>
      <c r="AV750" s="56"/>
      <c r="AW750" s="56"/>
      <c r="AX750" s="56"/>
      <c r="BA750" s="1" t="s">
        <v>15</v>
      </c>
      <c r="BB750" s="8">
        <v>273.13725899999997</v>
      </c>
    </row>
    <row r="751" spans="1:54">
      <c r="A751" s="27" t="s">
        <v>16</v>
      </c>
      <c r="B751" s="14">
        <v>31040.784717903942</v>
      </c>
      <c r="C751" s="8">
        <v>11.526008544204206</v>
      </c>
      <c r="X751" s="8">
        <v>270.54917799999998</v>
      </c>
      <c r="Y751" s="8">
        <v>270.54917799999998</v>
      </c>
      <c r="AI751" s="29" t="str">
        <f t="shared" si="27"/>
        <v/>
      </c>
      <c r="AS751" s="56"/>
      <c r="AT751" s="56"/>
      <c r="AU751" s="56"/>
      <c r="AV751" s="56"/>
      <c r="AW751" s="56"/>
      <c r="AX751" s="56"/>
      <c r="BA751" s="1" t="s">
        <v>15</v>
      </c>
      <c r="BB751" s="8">
        <v>270.54917799999998</v>
      </c>
    </row>
    <row r="752" spans="1:54">
      <c r="A752" s="27" t="s">
        <v>16</v>
      </c>
      <c r="B752" s="14">
        <v>31074.954691037779</v>
      </c>
      <c r="C752" s="8">
        <v>11.619562829918829</v>
      </c>
      <c r="X752" s="8">
        <v>247.557973</v>
      </c>
      <c r="Y752" s="8">
        <v>247.557973</v>
      </c>
      <c r="AI752" s="29" t="str">
        <f t="shared" si="27"/>
        <v/>
      </c>
      <c r="AS752" s="56"/>
      <c r="AT752" s="56"/>
      <c r="AU752" s="56"/>
      <c r="AV752" s="56"/>
      <c r="AW752" s="56"/>
      <c r="AX752" s="56"/>
      <c r="BA752" s="1" t="s">
        <v>15</v>
      </c>
      <c r="BB752" s="8">
        <v>247.557973</v>
      </c>
    </row>
    <row r="753" spans="1:54">
      <c r="A753" s="27" t="s">
        <v>16</v>
      </c>
      <c r="B753" s="14">
        <v>31092.039677604615</v>
      </c>
      <c r="C753" s="8">
        <v>11.666339972775912</v>
      </c>
      <c r="X753" s="8">
        <v>242.93460499999998</v>
      </c>
      <c r="Y753" s="8">
        <v>242.93460499999998</v>
      </c>
      <c r="AI753" s="29" t="str">
        <f t="shared" si="27"/>
        <v/>
      </c>
      <c r="AS753" s="56"/>
      <c r="AT753" s="56"/>
      <c r="AU753" s="56"/>
      <c r="AV753" s="56"/>
      <c r="AW753" s="56"/>
      <c r="AX753" s="56"/>
      <c r="BA753" s="1" t="s">
        <v>15</v>
      </c>
      <c r="BB753" s="8">
        <v>242.93460499999998</v>
      </c>
    </row>
    <row r="754" spans="1:54">
      <c r="A754" s="27" t="s">
        <v>16</v>
      </c>
      <c r="B754" s="14">
        <v>31100.582170888032</v>
      </c>
      <c r="C754" s="8">
        <v>11.689728544204453</v>
      </c>
      <c r="X754" s="8">
        <v>234.59244100000001</v>
      </c>
      <c r="Y754" s="8">
        <v>234.59244100000001</v>
      </c>
      <c r="AI754" s="29" t="str">
        <f t="shared" si="27"/>
        <v/>
      </c>
      <c r="AS754" s="56"/>
      <c r="AT754" s="56"/>
      <c r="AU754" s="56"/>
      <c r="AV754" s="56"/>
      <c r="AW754" s="56"/>
      <c r="AX754" s="56"/>
      <c r="BA754" s="1" t="s">
        <v>15</v>
      </c>
      <c r="BB754" s="8">
        <v>234.59244100000001</v>
      </c>
    </row>
    <row r="755" spans="1:54">
      <c r="A755" s="27" t="s">
        <v>16</v>
      </c>
      <c r="B755" s="14">
        <v>31113.395910813117</v>
      </c>
      <c r="C755" s="8">
        <v>11.72481140134715</v>
      </c>
      <c r="X755" s="8">
        <v>231.82847099999998</v>
      </c>
      <c r="Y755" s="8">
        <v>231.82847099999998</v>
      </c>
      <c r="AI755" s="29" t="str">
        <f t="shared" si="27"/>
        <v/>
      </c>
      <c r="AS755" s="56"/>
      <c r="AT755" s="56"/>
      <c r="AU755" s="56"/>
      <c r="AV755" s="56"/>
      <c r="AW755" s="56"/>
      <c r="AX755" s="56"/>
      <c r="BA755" s="1" t="s">
        <v>15</v>
      </c>
      <c r="BB755" s="8">
        <v>231.82847099999998</v>
      </c>
    </row>
    <row r="756" spans="1:54">
      <c r="A756" s="27" t="s">
        <v>16</v>
      </c>
      <c r="B756" s="14">
        <v>31134.752144021699</v>
      </c>
      <c r="C756" s="8">
        <v>11.783282829918608</v>
      </c>
      <c r="X756" s="8">
        <v>240.271143</v>
      </c>
      <c r="Y756" s="8">
        <v>240.271143</v>
      </c>
      <c r="AI756" s="29" t="str">
        <f t="shared" si="27"/>
        <v/>
      </c>
      <c r="AS756" s="56"/>
      <c r="AT756" s="56"/>
      <c r="AU756" s="56"/>
      <c r="AV756" s="56"/>
      <c r="AW756" s="56"/>
      <c r="AX756" s="56"/>
      <c r="BA756" s="1" t="s">
        <v>15</v>
      </c>
      <c r="BB756" s="8">
        <v>240.271143</v>
      </c>
    </row>
    <row r="757" spans="1:54">
      <c r="A757" s="27" t="s">
        <v>16</v>
      </c>
      <c r="B757" s="14">
        <v>31134.752144021699</v>
      </c>
      <c r="C757" s="8">
        <v>11.783282829918608</v>
      </c>
      <c r="X757" s="8">
        <v>279.77078700000004</v>
      </c>
      <c r="Y757" s="8">
        <v>279.77078700000004</v>
      </c>
      <c r="AI757" s="29" t="str">
        <f t="shared" si="27"/>
        <v/>
      </c>
      <c r="AS757" s="56"/>
      <c r="AT757" s="56"/>
      <c r="AU757" s="56"/>
      <c r="AV757" s="56"/>
      <c r="AW757" s="56"/>
      <c r="AX757" s="56"/>
      <c r="BA757" s="1" t="s">
        <v>15</v>
      </c>
      <c r="BB757" s="8">
        <v>279.77078700000004</v>
      </c>
    </row>
    <row r="758" spans="1:54">
      <c r="A758" s="27" t="s">
        <v>16</v>
      </c>
      <c r="B758" s="14">
        <v>31139.023390663366</v>
      </c>
      <c r="C758" s="8">
        <v>11.794977115632765</v>
      </c>
      <c r="X758" s="8">
        <v>307.71201100000002</v>
      </c>
      <c r="Y758" s="8">
        <v>307.71201100000002</v>
      </c>
      <c r="AI758" s="29" t="str">
        <f t="shared" si="27"/>
        <v/>
      </c>
      <c r="AS758" s="56"/>
      <c r="AT758" s="56"/>
      <c r="AU758" s="56"/>
      <c r="AV758" s="56"/>
      <c r="AW758" s="56"/>
      <c r="AX758" s="56"/>
      <c r="BA758" s="1" t="s">
        <v>15</v>
      </c>
      <c r="BB758" s="8">
        <v>307.71201100000002</v>
      </c>
    </row>
    <row r="759" spans="1:54">
      <c r="A759" s="27" t="s">
        <v>16</v>
      </c>
      <c r="B759" s="14">
        <v>31147.565883946783</v>
      </c>
      <c r="C759" s="8">
        <v>11.818365687061306</v>
      </c>
      <c r="X759" s="8">
        <v>359.14698000000004</v>
      </c>
      <c r="Y759" s="8">
        <v>359.14698000000004</v>
      </c>
      <c r="AI759" s="29" t="str">
        <f t="shared" si="27"/>
        <v/>
      </c>
      <c r="AS759" s="56"/>
      <c r="AT759" s="56"/>
      <c r="AU759" s="56"/>
      <c r="AV759" s="56"/>
      <c r="AW759" s="56"/>
      <c r="AX759" s="56"/>
      <c r="BA759" s="1" t="s">
        <v>15</v>
      </c>
      <c r="BB759" s="8">
        <v>359.14698000000004</v>
      </c>
    </row>
    <row r="760" spans="1:54">
      <c r="A760" s="27" t="s">
        <v>16</v>
      </c>
      <c r="B760" s="14">
        <v>31168.922117155453</v>
      </c>
      <c r="C760" s="8">
        <v>11.876837115633004</v>
      </c>
      <c r="X760" s="8">
        <v>304.06859600000001</v>
      </c>
      <c r="Y760" s="8">
        <v>304.06859600000001</v>
      </c>
      <c r="AI760" s="29" t="str">
        <f t="shared" si="27"/>
        <v/>
      </c>
      <c r="AS760" s="56"/>
      <c r="AT760" s="56"/>
      <c r="AU760" s="56"/>
      <c r="AV760" s="56"/>
      <c r="AW760" s="56"/>
      <c r="AX760" s="56"/>
      <c r="BA760" s="1" t="s">
        <v>15</v>
      </c>
      <c r="BB760" s="8">
        <v>304.06859600000001</v>
      </c>
    </row>
    <row r="761" spans="1:54">
      <c r="A761" s="27" t="s">
        <v>16</v>
      </c>
      <c r="B761" s="14">
        <v>31190.278350364038</v>
      </c>
      <c r="C761" s="8">
        <v>11.935308544204471</v>
      </c>
      <c r="X761" s="8">
        <v>297.05816300000004</v>
      </c>
      <c r="Y761" s="8">
        <v>297.05816300000004</v>
      </c>
      <c r="AI761" s="29" t="str">
        <f t="shared" si="27"/>
        <v/>
      </c>
      <c r="AS761" s="56"/>
      <c r="AT761" s="56"/>
      <c r="AU761" s="56"/>
      <c r="AV761" s="56"/>
      <c r="AW761" s="56"/>
      <c r="AX761" s="56"/>
      <c r="BA761" s="1" t="s">
        <v>15</v>
      </c>
      <c r="BB761" s="8">
        <v>297.05816300000004</v>
      </c>
    </row>
    <row r="762" spans="1:54">
      <c r="A762" s="27" t="s">
        <v>16</v>
      </c>
      <c r="B762" s="14">
        <v>31203.092090289123</v>
      </c>
      <c r="C762" s="8">
        <v>11.970391401347168</v>
      </c>
      <c r="X762" s="8">
        <v>297.63608399999998</v>
      </c>
      <c r="Y762" s="8">
        <v>297.63608399999998</v>
      </c>
      <c r="AI762" s="29" t="str">
        <f t="shared" si="27"/>
        <v/>
      </c>
      <c r="AS762" s="56"/>
      <c r="AT762" s="56"/>
      <c r="AU762" s="56"/>
      <c r="AV762" s="56"/>
      <c r="AW762" s="56"/>
      <c r="AX762" s="56"/>
      <c r="BA762" s="1" t="s">
        <v>15</v>
      </c>
      <c r="BB762" s="8">
        <v>297.63608399999998</v>
      </c>
    </row>
    <row r="763" spans="1:54">
      <c r="A763" s="27" t="s">
        <v>16</v>
      </c>
      <c r="B763" s="14">
        <v>31215.905830214291</v>
      </c>
      <c r="C763" s="8">
        <v>12.005474258490095</v>
      </c>
      <c r="X763" s="8">
        <v>288.54011000000003</v>
      </c>
      <c r="Y763" s="8">
        <v>288.54011000000003</v>
      </c>
      <c r="AI763" s="29" t="str">
        <f t="shared" si="27"/>
        <v/>
      </c>
      <c r="AS763" s="56"/>
      <c r="AT763" s="56"/>
      <c r="AU763" s="56"/>
      <c r="AV763" s="56"/>
      <c r="AW763" s="56"/>
      <c r="AX763" s="56"/>
      <c r="BA763" s="1" t="s">
        <v>15</v>
      </c>
      <c r="BB763" s="8">
        <v>288.54011000000003</v>
      </c>
    </row>
    <row r="764" spans="1:54">
      <c r="A764" s="27" t="s">
        <v>16</v>
      </c>
      <c r="B764" s="14">
        <v>31232.990816781123</v>
      </c>
      <c r="C764" s="8">
        <v>12.052251401347167</v>
      </c>
      <c r="X764" s="8">
        <v>281.32866100000001</v>
      </c>
      <c r="Y764" s="8">
        <v>281.32866100000001</v>
      </c>
      <c r="AI764" s="29" t="str">
        <f t="shared" si="27"/>
        <v/>
      </c>
      <c r="AS764" s="56"/>
      <c r="AT764" s="56"/>
      <c r="AU764" s="56"/>
      <c r="AV764" s="56"/>
      <c r="AW764" s="56"/>
      <c r="AX764" s="56"/>
      <c r="BA764" s="1" t="s">
        <v>15</v>
      </c>
      <c r="BB764" s="8">
        <v>281.32866100000001</v>
      </c>
    </row>
    <row r="765" spans="1:54">
      <c r="A765" s="27" t="s">
        <v>16</v>
      </c>
      <c r="B765" s="14">
        <v>31245.804556706291</v>
      </c>
      <c r="C765" s="8">
        <v>12.087334258490094</v>
      </c>
      <c r="X765" s="8">
        <v>268.13698599999998</v>
      </c>
      <c r="Y765" s="8">
        <v>268.13698599999998</v>
      </c>
      <c r="AI765" s="29" t="str">
        <f t="shared" si="27"/>
        <v/>
      </c>
      <c r="AS765" s="56"/>
      <c r="AT765" s="56"/>
      <c r="AU765" s="56"/>
      <c r="AV765" s="56"/>
      <c r="AW765" s="56"/>
      <c r="AX765" s="56"/>
      <c r="BA765" s="1" t="s">
        <v>15</v>
      </c>
      <c r="BB765" s="8">
        <v>268.13698599999998</v>
      </c>
    </row>
    <row r="766" spans="1:54">
      <c r="A766" s="27" t="s">
        <v>16</v>
      </c>
      <c r="B766" s="14">
        <v>31258.618296631375</v>
      </c>
      <c r="C766" s="8">
        <v>12.122417115632791</v>
      </c>
      <c r="X766" s="8">
        <v>276.37864200000001</v>
      </c>
      <c r="Y766" s="8">
        <v>276.37864200000001</v>
      </c>
      <c r="AI766" s="29" t="str">
        <f t="shared" si="27"/>
        <v/>
      </c>
      <c r="AS766" s="56"/>
      <c r="AT766" s="56"/>
      <c r="AU766" s="56"/>
      <c r="AV766" s="56"/>
      <c r="AW766" s="56"/>
      <c r="AX766" s="56"/>
      <c r="BA766" s="1" t="s">
        <v>15</v>
      </c>
      <c r="BB766" s="8">
        <v>276.37864200000001</v>
      </c>
    </row>
    <row r="767" spans="1:54">
      <c r="A767" s="27" t="s">
        <v>16</v>
      </c>
      <c r="B767" s="14">
        <v>31271.432036556627</v>
      </c>
      <c r="C767" s="8">
        <v>12.157499972775947</v>
      </c>
      <c r="X767" s="8">
        <v>272.68497300000001</v>
      </c>
      <c r="Y767" s="8">
        <v>272.68497300000001</v>
      </c>
      <c r="AI767" s="29" t="str">
        <f t="shared" si="27"/>
        <v/>
      </c>
      <c r="AS767" s="56"/>
      <c r="AT767" s="56"/>
      <c r="AU767" s="56"/>
      <c r="AV767" s="56"/>
      <c r="AW767" s="56"/>
      <c r="AX767" s="56"/>
      <c r="BA767" s="1" t="s">
        <v>15</v>
      </c>
      <c r="BB767" s="8">
        <v>272.68497300000001</v>
      </c>
    </row>
    <row r="768" spans="1:54">
      <c r="A768" s="27" t="s">
        <v>16</v>
      </c>
      <c r="B768" s="14">
        <v>31297.05951640688</v>
      </c>
      <c r="C768" s="8">
        <v>12.22766568706157</v>
      </c>
      <c r="X768" s="8">
        <v>314.84807899999998</v>
      </c>
      <c r="Y768" s="8">
        <v>314.84807899999998</v>
      </c>
      <c r="AI768" s="29" t="str">
        <f t="shared" si="27"/>
        <v/>
      </c>
      <c r="AS768" s="56"/>
      <c r="AT768" s="56"/>
      <c r="AU768" s="56"/>
      <c r="AV768" s="56"/>
      <c r="AW768" s="56"/>
      <c r="AX768" s="56"/>
      <c r="BA768" s="1" t="s">
        <v>15</v>
      </c>
      <c r="BB768" s="8">
        <v>314.84807899999998</v>
      </c>
    </row>
    <row r="769" spans="1:54">
      <c r="A769" s="27" t="s">
        <v>16</v>
      </c>
      <c r="B769" s="14">
        <v>31305.602009690298</v>
      </c>
      <c r="C769" s="8">
        <v>12.251054258490113</v>
      </c>
      <c r="X769" s="8">
        <v>322.13490899999999</v>
      </c>
      <c r="Y769" s="8">
        <v>322.13490899999999</v>
      </c>
      <c r="AI769" s="29" t="str">
        <f t="shared" si="27"/>
        <v/>
      </c>
      <c r="AS769" s="56"/>
      <c r="AT769" s="56"/>
      <c r="AU769" s="56"/>
      <c r="AV769" s="56"/>
      <c r="AW769" s="56"/>
      <c r="AX769" s="56"/>
      <c r="BA769" s="1" t="s">
        <v>15</v>
      </c>
      <c r="BB769" s="8">
        <v>322.13490899999999</v>
      </c>
    </row>
    <row r="770" spans="1:54">
      <c r="A770" s="27" t="s">
        <v>16</v>
      </c>
      <c r="B770" s="14">
        <v>31318.415749615462</v>
      </c>
      <c r="C770" s="8">
        <v>12.286137115633029</v>
      </c>
      <c r="X770" s="8">
        <v>321.60724199999999</v>
      </c>
      <c r="Y770" s="8">
        <v>321.60724199999999</v>
      </c>
      <c r="AI770" s="29" t="str">
        <f t="shared" si="27"/>
        <v/>
      </c>
      <c r="AS770" s="56"/>
      <c r="AT770" s="56"/>
      <c r="AU770" s="56"/>
      <c r="AV770" s="56"/>
      <c r="AW770" s="56"/>
      <c r="AX770" s="56"/>
      <c r="BA770" s="1" t="s">
        <v>15</v>
      </c>
      <c r="BB770" s="8">
        <v>321.60724199999999</v>
      </c>
    </row>
    <row r="771" spans="1:54">
      <c r="A771" s="27" t="s">
        <v>16</v>
      </c>
      <c r="B771" s="14">
        <v>31326.95824289888</v>
      </c>
      <c r="C771" s="8">
        <v>12.309525687061569</v>
      </c>
      <c r="X771" s="8">
        <v>340.62838099999999</v>
      </c>
      <c r="Y771" s="8">
        <v>340.62838099999999</v>
      </c>
      <c r="AI771" s="29" t="str">
        <f t="shared" ref="AI771:AI834" si="28">IF(AH771&gt;0.001,AH771/C771,"")</f>
        <v/>
      </c>
      <c r="AS771" s="56"/>
      <c r="AT771" s="56"/>
      <c r="AU771" s="56"/>
      <c r="AV771" s="56"/>
      <c r="AW771" s="56"/>
      <c r="AX771" s="56"/>
      <c r="BA771" s="1" t="s">
        <v>15</v>
      </c>
      <c r="BB771" s="8">
        <v>340.62838099999999</v>
      </c>
    </row>
    <row r="772" spans="1:54">
      <c r="A772" s="27" t="s">
        <v>16</v>
      </c>
      <c r="B772" s="14">
        <v>31344.043229465715</v>
      </c>
      <c r="C772" s="8">
        <v>12.356302829918652</v>
      </c>
      <c r="X772" s="8">
        <v>327.28594399999997</v>
      </c>
      <c r="Y772" s="8">
        <v>327.28594399999997</v>
      </c>
      <c r="AI772" s="29" t="str">
        <f t="shared" si="28"/>
        <v/>
      </c>
      <c r="AS772" s="56"/>
      <c r="AT772" s="56"/>
      <c r="AU772" s="56"/>
      <c r="AV772" s="56"/>
      <c r="AW772" s="56"/>
      <c r="AX772" s="56"/>
      <c r="BA772" s="1" t="s">
        <v>15</v>
      </c>
      <c r="BB772" s="8">
        <v>327.28594399999997</v>
      </c>
    </row>
    <row r="773" spans="1:54">
      <c r="A773" s="27" t="s">
        <v>16</v>
      </c>
      <c r="B773" s="14">
        <v>31352.585722749132</v>
      </c>
      <c r="C773" s="8">
        <v>12.379691401347195</v>
      </c>
      <c r="X773" s="8">
        <v>328.793564</v>
      </c>
      <c r="Y773" s="8">
        <v>328.793564</v>
      </c>
      <c r="AI773" s="29" t="str">
        <f t="shared" si="28"/>
        <v/>
      </c>
      <c r="AS773" s="56"/>
      <c r="AT773" s="56"/>
      <c r="AU773" s="56"/>
      <c r="AV773" s="56"/>
      <c r="AW773" s="56"/>
      <c r="AX773" s="56"/>
      <c r="BA773" s="1" t="s">
        <v>15</v>
      </c>
      <c r="BB773" s="8">
        <v>328.793564</v>
      </c>
    </row>
    <row r="774" spans="1:54">
      <c r="A774" s="27" t="s">
        <v>16</v>
      </c>
      <c r="B774" s="14">
        <v>31369.670709315968</v>
      </c>
      <c r="C774" s="8">
        <v>12.426468544204276</v>
      </c>
      <c r="X774" s="8">
        <v>321.38109900000006</v>
      </c>
      <c r="Y774" s="8">
        <v>321.38109900000006</v>
      </c>
      <c r="AI774" s="29" t="str">
        <f t="shared" si="28"/>
        <v/>
      </c>
      <c r="AS774" s="56"/>
      <c r="AT774" s="56"/>
      <c r="AU774" s="56"/>
      <c r="AV774" s="56"/>
      <c r="AW774" s="56"/>
      <c r="AX774" s="56"/>
      <c r="BA774" s="1" t="s">
        <v>15</v>
      </c>
      <c r="BB774" s="8">
        <v>321.38109900000006</v>
      </c>
    </row>
    <row r="775" spans="1:54">
      <c r="A775" s="27" t="s">
        <v>16</v>
      </c>
      <c r="B775" s="14">
        <v>31378.213202599469</v>
      </c>
      <c r="C775" s="8">
        <v>12.449857115633048</v>
      </c>
      <c r="X775" s="8">
        <v>315.82803200000001</v>
      </c>
      <c r="Y775" s="8">
        <v>315.82803200000001</v>
      </c>
      <c r="AI775" s="29" t="str">
        <f t="shared" si="28"/>
        <v/>
      </c>
      <c r="AS775" s="56"/>
      <c r="AT775" s="56"/>
      <c r="AU775" s="56"/>
      <c r="AV775" s="56"/>
      <c r="AW775" s="56"/>
      <c r="AX775" s="56"/>
      <c r="BA775" s="1" t="s">
        <v>15</v>
      </c>
      <c r="BB775" s="8">
        <v>315.82803200000001</v>
      </c>
    </row>
    <row r="776" spans="1:54">
      <c r="A776" s="27" t="s">
        <v>16</v>
      </c>
      <c r="B776" s="14">
        <v>31395.298189166304</v>
      </c>
      <c r="C776" s="8">
        <v>12.496634258490129</v>
      </c>
      <c r="X776" s="8">
        <v>316.25519099999997</v>
      </c>
      <c r="Y776" s="8">
        <v>316.25519099999997</v>
      </c>
      <c r="AI776" s="29" t="str">
        <f t="shared" si="28"/>
        <v/>
      </c>
      <c r="AS776" s="56"/>
      <c r="AT776" s="56"/>
      <c r="AU776" s="56"/>
      <c r="AV776" s="56"/>
      <c r="AW776" s="56"/>
      <c r="AX776" s="56"/>
      <c r="BA776" s="1" t="s">
        <v>15</v>
      </c>
      <c r="BB776" s="8">
        <v>316.25519099999997</v>
      </c>
    </row>
    <row r="777" spans="1:54">
      <c r="A777" s="27" t="s">
        <v>16</v>
      </c>
      <c r="B777" s="14">
        <v>31420.925669016557</v>
      </c>
      <c r="C777" s="8">
        <v>12.566799972775753</v>
      </c>
      <c r="X777" s="8">
        <v>296.93252800000005</v>
      </c>
      <c r="Y777" s="8">
        <v>296.93252800000005</v>
      </c>
      <c r="AI777" s="29" t="str">
        <f t="shared" si="28"/>
        <v/>
      </c>
      <c r="AS777" s="56"/>
      <c r="AT777" s="56"/>
      <c r="AU777" s="56"/>
      <c r="AV777" s="56"/>
      <c r="AW777" s="56"/>
      <c r="AX777" s="56"/>
      <c r="BA777" s="1" t="s">
        <v>15</v>
      </c>
      <c r="BB777" s="8">
        <v>296.93252800000005</v>
      </c>
    </row>
    <row r="778" spans="1:54">
      <c r="A778" s="27" t="s">
        <v>16</v>
      </c>
      <c r="B778" s="14">
        <v>31438.010655583388</v>
      </c>
      <c r="C778" s="8">
        <v>12.613577115632825</v>
      </c>
      <c r="X778" s="8">
        <v>296.05308300000002</v>
      </c>
      <c r="Y778" s="8">
        <v>296.05308300000002</v>
      </c>
      <c r="AI778" s="29" t="str">
        <f t="shared" si="28"/>
        <v/>
      </c>
      <c r="AS778" s="56"/>
      <c r="AT778" s="56"/>
      <c r="AU778" s="56"/>
      <c r="AV778" s="56"/>
      <c r="AW778" s="56"/>
      <c r="AX778" s="56"/>
      <c r="BA778" s="1" t="s">
        <v>15</v>
      </c>
      <c r="BB778" s="8">
        <v>296.05308300000002</v>
      </c>
    </row>
    <row r="779" spans="1:54">
      <c r="A779" s="27" t="s">
        <v>16</v>
      </c>
      <c r="B779" s="14">
        <v>31450.824395508556</v>
      </c>
      <c r="C779" s="8">
        <v>12.648659972775752</v>
      </c>
      <c r="X779" s="8">
        <v>294.24393899999995</v>
      </c>
      <c r="Y779" s="8">
        <v>294.24393899999995</v>
      </c>
      <c r="AI779" s="29" t="str">
        <f t="shared" si="28"/>
        <v/>
      </c>
      <c r="AS779" s="56"/>
      <c r="AT779" s="56"/>
      <c r="AU779" s="56"/>
      <c r="AV779" s="56"/>
      <c r="AW779" s="56"/>
      <c r="AX779" s="56"/>
      <c r="BA779" s="1" t="s">
        <v>15</v>
      </c>
      <c r="BB779" s="8">
        <v>294.24393899999995</v>
      </c>
    </row>
    <row r="780" spans="1:54">
      <c r="A780" s="27" t="s">
        <v>16</v>
      </c>
      <c r="B780" s="14">
        <v>31463.638135433725</v>
      </c>
      <c r="C780" s="8">
        <v>12.68374282991868</v>
      </c>
      <c r="X780" s="8">
        <v>292.20865200000003</v>
      </c>
      <c r="Y780" s="8">
        <v>292.20865200000003</v>
      </c>
      <c r="AI780" s="29" t="str">
        <f t="shared" si="28"/>
        <v/>
      </c>
      <c r="AS780" s="56"/>
      <c r="AT780" s="56"/>
      <c r="AU780" s="56"/>
      <c r="AV780" s="56"/>
      <c r="AW780" s="56"/>
      <c r="AX780" s="56"/>
      <c r="BA780" s="1" t="s">
        <v>15</v>
      </c>
      <c r="BB780" s="8">
        <v>292.20865200000003</v>
      </c>
    </row>
    <row r="781" spans="1:54">
      <c r="A781" s="27" t="s">
        <v>16</v>
      </c>
      <c r="B781" s="14">
        <v>31472.180628717142</v>
      </c>
      <c r="C781" s="8">
        <v>12.707131401347221</v>
      </c>
      <c r="X781" s="8">
        <v>291.30408</v>
      </c>
      <c r="Y781" s="8">
        <v>291.30408</v>
      </c>
      <c r="AI781" s="29" t="str">
        <f t="shared" si="28"/>
        <v/>
      </c>
      <c r="AS781" s="56"/>
      <c r="AT781" s="56"/>
      <c r="AU781" s="56"/>
      <c r="AV781" s="56"/>
      <c r="AW781" s="56"/>
      <c r="AX781" s="56"/>
      <c r="BA781" s="1" t="s">
        <v>15</v>
      </c>
      <c r="BB781" s="8">
        <v>291.30408</v>
      </c>
    </row>
    <row r="782" spans="1:54">
      <c r="A782" s="27" t="s">
        <v>16</v>
      </c>
      <c r="B782" s="14">
        <v>31480.72312200056</v>
      </c>
      <c r="C782" s="8">
        <v>12.730519972775761</v>
      </c>
      <c r="X782" s="8">
        <v>299.34472</v>
      </c>
      <c r="Y782" s="8">
        <v>299.34472</v>
      </c>
      <c r="AI782" s="29" t="str">
        <f t="shared" si="28"/>
        <v/>
      </c>
      <c r="AS782" s="56"/>
      <c r="AT782" s="56"/>
      <c r="AU782" s="56"/>
      <c r="AV782" s="56"/>
      <c r="AW782" s="56"/>
      <c r="AX782" s="56"/>
      <c r="BA782" s="1" t="s">
        <v>15</v>
      </c>
      <c r="BB782" s="8">
        <v>299.34472</v>
      </c>
    </row>
    <row r="783" spans="1:54">
      <c r="A783" s="27" t="s">
        <v>16</v>
      </c>
      <c r="B783" s="14">
        <v>31497.808108567478</v>
      </c>
      <c r="C783" s="8">
        <v>12.777297115633074</v>
      </c>
      <c r="X783" s="8">
        <v>291.37946099999999</v>
      </c>
      <c r="Y783" s="8">
        <v>291.37946099999999</v>
      </c>
      <c r="AI783" s="29" t="str">
        <f t="shared" si="28"/>
        <v/>
      </c>
      <c r="AS783" s="56"/>
      <c r="AT783" s="56"/>
      <c r="AU783" s="56"/>
      <c r="AV783" s="56"/>
      <c r="AW783" s="56"/>
      <c r="AX783" s="56"/>
      <c r="BA783" s="1" t="s">
        <v>15</v>
      </c>
      <c r="BB783" s="8">
        <v>291.37946099999999</v>
      </c>
    </row>
    <row r="784" spans="1:54">
      <c r="A784" s="27" t="s">
        <v>16</v>
      </c>
      <c r="B784" s="14">
        <v>31510.621848492563</v>
      </c>
      <c r="C784" s="8">
        <v>12.812379972775771</v>
      </c>
      <c r="X784" s="8">
        <v>290.85179399999998</v>
      </c>
      <c r="Y784" s="8">
        <v>290.85179399999998</v>
      </c>
      <c r="AI784" s="29" t="str">
        <f t="shared" si="28"/>
        <v/>
      </c>
      <c r="AS784" s="56"/>
      <c r="AT784" s="56"/>
      <c r="AU784" s="56"/>
      <c r="AV784" s="56"/>
      <c r="AW784" s="56"/>
      <c r="AX784" s="56"/>
      <c r="BA784" s="1" t="s">
        <v>15</v>
      </c>
      <c r="BB784" s="8">
        <v>290.85179399999998</v>
      </c>
    </row>
    <row r="785" spans="1:54">
      <c r="A785" s="27" t="s">
        <v>16</v>
      </c>
      <c r="B785" s="14">
        <v>31523.435588417728</v>
      </c>
      <c r="C785" s="8">
        <v>12.847462829918687</v>
      </c>
      <c r="X785" s="8">
        <v>282.685519</v>
      </c>
      <c r="Y785" s="8">
        <v>282.685519</v>
      </c>
      <c r="AI785" s="29" t="str">
        <f t="shared" si="28"/>
        <v/>
      </c>
      <c r="AS785" s="56"/>
      <c r="AT785" s="56"/>
      <c r="AU785" s="56"/>
      <c r="AV785" s="56"/>
      <c r="AW785" s="56"/>
      <c r="AX785" s="56"/>
      <c r="BA785" s="1" t="s">
        <v>15</v>
      </c>
      <c r="BB785" s="8">
        <v>282.685519</v>
      </c>
    </row>
    <row r="786" spans="1:54">
      <c r="A786" s="27" t="s">
        <v>16</v>
      </c>
      <c r="B786" s="14">
        <v>31531.978081701145</v>
      </c>
      <c r="C786" s="8">
        <v>12.870851401347229</v>
      </c>
      <c r="X786" s="8">
        <v>298.74167199999999</v>
      </c>
      <c r="Y786" s="8">
        <v>298.74167199999999</v>
      </c>
      <c r="AI786" s="29" t="str">
        <f t="shared" si="28"/>
        <v/>
      </c>
      <c r="AS786" s="56"/>
      <c r="AT786" s="56"/>
      <c r="AU786" s="56"/>
      <c r="AV786" s="56"/>
      <c r="AW786" s="56"/>
      <c r="AX786" s="56"/>
      <c r="BA786" s="1" t="s">
        <v>15</v>
      </c>
      <c r="BB786" s="8">
        <v>298.74167199999999</v>
      </c>
    </row>
    <row r="787" spans="1:54">
      <c r="A787" s="27" t="s">
        <v>16</v>
      </c>
      <c r="B787" s="14">
        <v>31549.06306826798</v>
      </c>
      <c r="C787" s="8">
        <v>12.917628544204311</v>
      </c>
      <c r="X787" s="8">
        <v>303.99321500000002</v>
      </c>
      <c r="Y787" s="8">
        <v>303.99321500000002</v>
      </c>
      <c r="AI787" s="29" t="str">
        <f t="shared" si="28"/>
        <v/>
      </c>
      <c r="AS787" s="56"/>
      <c r="AT787" s="56"/>
      <c r="AU787" s="56"/>
      <c r="AV787" s="56"/>
      <c r="AW787" s="56"/>
      <c r="AX787" s="56"/>
      <c r="BA787" s="1" t="s">
        <v>15</v>
      </c>
      <c r="BB787" s="8">
        <v>303.99321500000002</v>
      </c>
    </row>
    <row r="788" spans="1:54">
      <c r="A788" s="27" t="s">
        <v>16</v>
      </c>
      <c r="B788" s="14">
        <v>31578.961794759984</v>
      </c>
      <c r="C788" s="8">
        <v>12.99948854420432</v>
      </c>
      <c r="X788" s="8">
        <v>307.05870900000002</v>
      </c>
      <c r="Y788" s="8">
        <v>307.05870900000002</v>
      </c>
      <c r="AI788" s="29" t="str">
        <f t="shared" si="28"/>
        <v/>
      </c>
      <c r="AS788" s="56"/>
      <c r="AT788" s="56"/>
      <c r="AU788" s="56"/>
      <c r="AV788" s="56"/>
      <c r="AW788" s="56"/>
      <c r="AX788" s="56"/>
      <c r="BA788" s="1" t="s">
        <v>15</v>
      </c>
      <c r="BB788" s="8">
        <v>307.05870900000002</v>
      </c>
    </row>
    <row r="789" spans="1:54">
      <c r="A789" s="27" t="s">
        <v>16</v>
      </c>
      <c r="B789" s="14">
        <v>31596.046781326902</v>
      </c>
      <c r="C789" s="8">
        <v>13.046265687061632</v>
      </c>
      <c r="X789" s="8">
        <v>295.75155900000004</v>
      </c>
      <c r="Y789" s="8">
        <v>295.75155900000004</v>
      </c>
      <c r="AI789" s="29" t="str">
        <f t="shared" si="28"/>
        <v/>
      </c>
      <c r="AS789" s="56"/>
      <c r="AT789" s="56"/>
      <c r="AU789" s="56"/>
      <c r="AV789" s="56"/>
      <c r="AW789" s="56"/>
      <c r="AX789" s="56"/>
      <c r="BA789" s="1" t="s">
        <v>15</v>
      </c>
      <c r="BB789" s="8">
        <v>295.75155900000004</v>
      </c>
    </row>
    <row r="790" spans="1:54">
      <c r="A790" s="27" t="s">
        <v>16</v>
      </c>
      <c r="B790" s="5">
        <v>31604.58927461032</v>
      </c>
      <c r="C790" s="8">
        <v>13.069654258490173</v>
      </c>
      <c r="X790" s="8">
        <v>282.73577299999999</v>
      </c>
      <c r="Y790" s="8">
        <v>282.73577299999999</v>
      </c>
      <c r="AI790" s="29" t="str">
        <f t="shared" si="28"/>
        <v/>
      </c>
      <c r="AS790" s="56"/>
      <c r="AT790" s="56"/>
      <c r="AU790" s="56"/>
      <c r="AV790" s="56"/>
      <c r="AW790" s="56"/>
      <c r="AX790" s="56"/>
      <c r="BA790" s="1" t="s">
        <v>15</v>
      </c>
      <c r="BB790" s="8">
        <v>282.73577299999999</v>
      </c>
    </row>
    <row r="791" spans="1:54">
      <c r="A791" s="27" t="s">
        <v>16</v>
      </c>
      <c r="B791" s="5">
        <v>31617.403014535485</v>
      </c>
      <c r="C791" s="8">
        <v>13.104737115633091</v>
      </c>
      <c r="X791" s="8">
        <v>316.10442899999998</v>
      </c>
      <c r="Y791" s="8">
        <v>316.10442899999998</v>
      </c>
      <c r="AI791" s="29" t="str">
        <f t="shared" si="28"/>
        <v/>
      </c>
      <c r="AS791" s="56"/>
      <c r="AT791" s="56"/>
      <c r="AU791" s="56"/>
      <c r="AV791" s="56"/>
      <c r="AW791" s="56"/>
      <c r="AX791" s="56"/>
      <c r="BA791" s="1" t="s">
        <v>15</v>
      </c>
      <c r="BB791" s="8">
        <v>316.10442899999998</v>
      </c>
    </row>
    <row r="792" spans="1:54">
      <c r="A792" s="27" t="s">
        <v>16</v>
      </c>
      <c r="B792" s="5">
        <v>31634.48800110232</v>
      </c>
      <c r="C792" s="8">
        <v>13.151514258490172</v>
      </c>
      <c r="X792" s="8">
        <v>332.91439200000002</v>
      </c>
      <c r="Y792" s="8">
        <v>332.91439200000002</v>
      </c>
      <c r="AI792" s="29" t="str">
        <f t="shared" si="28"/>
        <v/>
      </c>
      <c r="AS792" s="56"/>
      <c r="AT792" s="56"/>
      <c r="AU792" s="56"/>
      <c r="AV792" s="56"/>
      <c r="AW792" s="56"/>
      <c r="AX792" s="56"/>
      <c r="BA792" s="1" t="s">
        <v>15</v>
      </c>
      <c r="BB792" s="8">
        <v>332.91439200000002</v>
      </c>
    </row>
    <row r="793" spans="1:54">
      <c r="A793" s="27" t="s">
        <v>16</v>
      </c>
      <c r="B793" s="5">
        <v>31647.301741027404</v>
      </c>
      <c r="C793" s="8">
        <v>13.186597115632869</v>
      </c>
      <c r="X793" s="8">
        <v>331.45702599999998</v>
      </c>
      <c r="Y793" s="8">
        <v>331.45702599999998</v>
      </c>
      <c r="AI793" s="29" t="str">
        <f t="shared" si="28"/>
        <v/>
      </c>
      <c r="AS793" s="56"/>
      <c r="AT793" s="56"/>
      <c r="AU793" s="56"/>
      <c r="AV793" s="56"/>
      <c r="AW793" s="56"/>
      <c r="AX793" s="56"/>
      <c r="BA793" s="1" t="s">
        <v>15</v>
      </c>
      <c r="BB793" s="8">
        <v>331.45702599999998</v>
      </c>
    </row>
    <row r="794" spans="1:54">
      <c r="A794" s="27" t="s">
        <v>16</v>
      </c>
      <c r="B794" s="5">
        <v>31664.386727594239</v>
      </c>
      <c r="C794" s="8">
        <v>13.233374258489953</v>
      </c>
      <c r="X794" s="8">
        <v>338.21618899999999</v>
      </c>
      <c r="Y794" s="8">
        <v>338.21618899999999</v>
      </c>
      <c r="AI794" s="29" t="str">
        <f t="shared" si="28"/>
        <v/>
      </c>
      <c r="AS794" s="56"/>
      <c r="AT794" s="56"/>
      <c r="AU794" s="56"/>
      <c r="AV794" s="56"/>
      <c r="AW794" s="56"/>
      <c r="AX794" s="56"/>
      <c r="BA794" s="1" t="s">
        <v>15</v>
      </c>
      <c r="BB794" s="8">
        <v>338.21618899999999</v>
      </c>
    </row>
    <row r="795" spans="1:54">
      <c r="A795" s="27" t="s">
        <v>16</v>
      </c>
      <c r="B795" s="5">
        <v>31681.471714161074</v>
      </c>
      <c r="C795" s="8">
        <v>13.280151401347036</v>
      </c>
      <c r="X795" s="8">
        <v>327.46183300000007</v>
      </c>
      <c r="Y795" s="8">
        <v>327.46183300000007</v>
      </c>
      <c r="AI795" s="29" t="str">
        <f t="shared" si="28"/>
        <v/>
      </c>
      <c r="AS795" s="56"/>
      <c r="AT795" s="56"/>
      <c r="AU795" s="56"/>
      <c r="AV795" s="56"/>
      <c r="AW795" s="56"/>
      <c r="AX795" s="56"/>
      <c r="BA795" s="1" t="s">
        <v>15</v>
      </c>
      <c r="BB795" s="8">
        <v>327.46183300000007</v>
      </c>
    </row>
    <row r="796" spans="1:54">
      <c r="A796" s="27" t="s">
        <v>16</v>
      </c>
      <c r="B796" s="5">
        <v>31690.014207444492</v>
      </c>
      <c r="C796" s="8">
        <v>13.303539972775576</v>
      </c>
      <c r="X796" s="8">
        <v>331.20575600000001</v>
      </c>
      <c r="Y796" s="8">
        <v>331.20575600000001</v>
      </c>
      <c r="AI796" s="29" t="str">
        <f t="shared" si="28"/>
        <v/>
      </c>
      <c r="AS796" s="56"/>
      <c r="AT796" s="56"/>
      <c r="AU796" s="56"/>
      <c r="AV796" s="56"/>
      <c r="AW796" s="56"/>
      <c r="AX796" s="56"/>
      <c r="BA796" s="1" t="s">
        <v>15</v>
      </c>
      <c r="BB796" s="8">
        <v>331.20575600000001</v>
      </c>
    </row>
    <row r="797" spans="1:54">
      <c r="A797" s="27" t="s">
        <v>16</v>
      </c>
      <c r="B797" s="5">
        <v>31702.827947369744</v>
      </c>
      <c r="C797" s="8">
        <v>13.338622829918732</v>
      </c>
      <c r="X797" s="8">
        <v>331.63291500000003</v>
      </c>
      <c r="Y797" s="8">
        <v>331.63291500000003</v>
      </c>
      <c r="AI797" s="29" t="str">
        <f t="shared" si="28"/>
        <v/>
      </c>
      <c r="AS797" s="56"/>
      <c r="AT797" s="56"/>
      <c r="AU797" s="56"/>
      <c r="AV797" s="56"/>
      <c r="AW797" s="56"/>
      <c r="AX797" s="56"/>
      <c r="BA797" s="1" t="s">
        <v>15</v>
      </c>
      <c r="BB797" s="8">
        <v>331.63291500000003</v>
      </c>
    </row>
    <row r="798" spans="1:54">
      <c r="A798" s="27" t="s">
        <v>16</v>
      </c>
      <c r="B798" s="5">
        <v>31715.641687294908</v>
      </c>
      <c r="C798" s="8">
        <v>13.37370568706165</v>
      </c>
      <c r="X798" s="8">
        <v>333.140535</v>
      </c>
      <c r="Y798" s="8">
        <v>333.140535</v>
      </c>
      <c r="AI798" s="29" t="str">
        <f t="shared" si="28"/>
        <v/>
      </c>
      <c r="AS798" s="56"/>
      <c r="AT798" s="56"/>
      <c r="AU798" s="56"/>
      <c r="AV798" s="56"/>
      <c r="AW798" s="56"/>
      <c r="AX798" s="56"/>
      <c r="BA798" s="1" t="s">
        <v>15</v>
      </c>
      <c r="BB798" s="8">
        <v>333.140535</v>
      </c>
    </row>
    <row r="799" spans="1:54">
      <c r="A799" s="27" t="s">
        <v>16</v>
      </c>
      <c r="B799" s="5">
        <v>31736.997920503411</v>
      </c>
      <c r="C799" s="8">
        <v>13.432177115632888</v>
      </c>
      <c r="X799" s="8">
        <v>303.39016700000002</v>
      </c>
      <c r="Y799" s="8">
        <v>303.39016700000002</v>
      </c>
      <c r="AI799" s="29" t="str">
        <f t="shared" si="28"/>
        <v/>
      </c>
      <c r="AS799" s="56"/>
      <c r="AT799" s="56"/>
      <c r="AU799" s="56"/>
      <c r="AV799" s="56"/>
      <c r="AW799" s="56"/>
      <c r="AX799" s="56"/>
      <c r="BA799" s="1" t="s">
        <v>15</v>
      </c>
      <c r="BB799" s="8">
        <v>303.39016700000002</v>
      </c>
    </row>
    <row r="800" spans="1:54">
      <c r="A800" s="27" t="s">
        <v>16</v>
      </c>
      <c r="B800" s="5">
        <v>31745.540413786828</v>
      </c>
      <c r="C800" s="8">
        <v>13.455565687061428</v>
      </c>
      <c r="X800" s="8">
        <v>344.59844700000002</v>
      </c>
      <c r="Y800" s="8">
        <v>344.59844700000002</v>
      </c>
      <c r="AI800" s="29" t="str">
        <f t="shared" si="28"/>
        <v/>
      </c>
      <c r="AS800" s="56"/>
      <c r="AT800" s="56"/>
      <c r="AU800" s="56"/>
      <c r="AV800" s="56"/>
      <c r="AW800" s="56"/>
      <c r="AX800" s="56"/>
      <c r="BA800" s="1" t="s">
        <v>15</v>
      </c>
      <c r="BB800" s="8">
        <v>344.59844700000002</v>
      </c>
    </row>
    <row r="801" spans="1:54">
      <c r="A801" s="27" t="s">
        <v>16</v>
      </c>
      <c r="B801" s="5">
        <v>31754.082907070246</v>
      </c>
      <c r="C801" s="8">
        <v>13.478954258489971</v>
      </c>
      <c r="X801" s="8">
        <v>353.74467500000003</v>
      </c>
      <c r="Y801" s="8">
        <v>353.74467500000003</v>
      </c>
      <c r="AI801" s="29" t="str">
        <f t="shared" si="28"/>
        <v/>
      </c>
      <c r="AS801" s="56"/>
      <c r="AT801" s="56"/>
      <c r="AU801" s="56"/>
      <c r="AV801" s="56"/>
      <c r="AW801" s="56"/>
      <c r="AX801" s="56"/>
      <c r="BA801" s="1" t="s">
        <v>15</v>
      </c>
      <c r="BB801" s="8">
        <v>353.74467500000003</v>
      </c>
    </row>
    <row r="802" spans="1:54">
      <c r="A802" s="27" t="s">
        <v>16</v>
      </c>
      <c r="B802" s="5">
        <v>31762.625400353663</v>
      </c>
      <c r="C802" s="8">
        <v>13.502342829918511</v>
      </c>
      <c r="X802" s="8">
        <v>350.402784</v>
      </c>
      <c r="Y802" s="8">
        <v>350.402784</v>
      </c>
      <c r="AI802" s="29" t="str">
        <f t="shared" si="28"/>
        <v/>
      </c>
      <c r="AS802" s="56"/>
      <c r="AT802" s="56"/>
      <c r="AU802" s="56"/>
      <c r="AV802" s="56"/>
      <c r="AW802" s="56"/>
      <c r="AX802" s="56"/>
      <c r="BA802" s="1" t="s">
        <v>15</v>
      </c>
      <c r="BB802" s="8">
        <v>350.402784</v>
      </c>
    </row>
    <row r="803" spans="1:54">
      <c r="A803" s="27" t="s">
        <v>16</v>
      </c>
      <c r="B803" s="5">
        <v>31771.167893637165</v>
      </c>
      <c r="C803" s="8">
        <v>13.525731401347281</v>
      </c>
      <c r="X803" s="8">
        <v>345.60352699999999</v>
      </c>
      <c r="Y803" s="8">
        <v>345.60352699999999</v>
      </c>
      <c r="AI803" s="29" t="str">
        <f t="shared" si="28"/>
        <v/>
      </c>
      <c r="AS803" s="56"/>
      <c r="AT803" s="56"/>
      <c r="AU803" s="56"/>
      <c r="AV803" s="56"/>
      <c r="AW803" s="56"/>
      <c r="AX803" s="56"/>
      <c r="BA803" s="1" t="s">
        <v>15</v>
      </c>
      <c r="BB803" s="8">
        <v>345.60352699999999</v>
      </c>
    </row>
    <row r="804" spans="1:54">
      <c r="A804" s="27" t="s">
        <v>16</v>
      </c>
      <c r="B804" s="5">
        <v>31779.710386920582</v>
      </c>
      <c r="C804" s="8">
        <v>13.549119972775824</v>
      </c>
      <c r="X804" s="8">
        <v>345.98043200000001</v>
      </c>
      <c r="Y804" s="8">
        <v>345.98043200000001</v>
      </c>
      <c r="AI804" s="29" t="str">
        <f t="shared" si="28"/>
        <v/>
      </c>
      <c r="AS804" s="56"/>
      <c r="AT804" s="56"/>
      <c r="AU804" s="56"/>
      <c r="AV804" s="56"/>
      <c r="AW804" s="56"/>
      <c r="AX804" s="56"/>
      <c r="BA804" s="1" t="s">
        <v>15</v>
      </c>
      <c r="BB804" s="8">
        <v>345.98043200000001</v>
      </c>
    </row>
    <row r="805" spans="1:54">
      <c r="A805" s="27" t="s">
        <v>16</v>
      </c>
      <c r="B805" s="5">
        <v>31783.981633562249</v>
      </c>
      <c r="C805" s="8">
        <v>13.560814258489978</v>
      </c>
      <c r="X805" s="8">
        <v>341.156048</v>
      </c>
      <c r="Y805" s="8">
        <v>341.156048</v>
      </c>
      <c r="AI805" s="29" t="str">
        <f t="shared" si="28"/>
        <v/>
      </c>
      <c r="AS805" s="56"/>
      <c r="AT805" s="56"/>
      <c r="AU805" s="56"/>
      <c r="AV805" s="56"/>
      <c r="AW805" s="56"/>
      <c r="AX805" s="56"/>
      <c r="BA805" s="1" t="s">
        <v>15</v>
      </c>
      <c r="BB805" s="8">
        <v>341.156048</v>
      </c>
    </row>
    <row r="806" spans="1:54">
      <c r="A806" s="27" t="s">
        <v>16</v>
      </c>
      <c r="B806" s="5">
        <v>31801.066620129084</v>
      </c>
      <c r="C806" s="8">
        <v>13.607591401347062</v>
      </c>
      <c r="X806" s="8">
        <v>331.884185</v>
      </c>
      <c r="Y806" s="8">
        <v>331.884185</v>
      </c>
      <c r="AI806" s="29" t="str">
        <f t="shared" si="28"/>
        <v/>
      </c>
      <c r="AS806" s="56"/>
      <c r="AT806" s="56"/>
      <c r="AU806" s="56"/>
      <c r="AV806" s="56"/>
      <c r="AW806" s="56"/>
      <c r="AX806" s="56"/>
      <c r="BA806" s="1" t="s">
        <v>15</v>
      </c>
      <c r="BB806" s="8">
        <v>331.884185</v>
      </c>
    </row>
    <row r="807" spans="1:54">
      <c r="A807" s="27" t="s">
        <v>16</v>
      </c>
      <c r="B807" s="5">
        <v>31813.880360054332</v>
      </c>
      <c r="C807" s="8">
        <v>13.642674258490208</v>
      </c>
      <c r="X807" s="8">
        <v>334.346631</v>
      </c>
      <c r="Y807" s="8">
        <v>334.346631</v>
      </c>
      <c r="AI807" s="29" t="str">
        <f t="shared" si="28"/>
        <v/>
      </c>
      <c r="AS807" s="56"/>
      <c r="AT807" s="56"/>
      <c r="AU807" s="56"/>
      <c r="AV807" s="56"/>
      <c r="AW807" s="56"/>
      <c r="AX807" s="56"/>
      <c r="BA807" s="1" t="s">
        <v>15</v>
      </c>
      <c r="BB807" s="8">
        <v>334.346631</v>
      </c>
    </row>
    <row r="808" spans="1:54">
      <c r="A808" s="27" t="s">
        <v>16</v>
      </c>
      <c r="B808" s="5">
        <v>31826.694099979417</v>
      </c>
      <c r="C808" s="8">
        <v>13.677757115632906</v>
      </c>
      <c r="X808" s="8">
        <v>338.49258600000002</v>
      </c>
      <c r="Y808" s="8">
        <v>338.49258600000002</v>
      </c>
      <c r="AI808" s="29" t="str">
        <f t="shared" si="28"/>
        <v/>
      </c>
      <c r="AS808" s="56"/>
      <c r="AT808" s="56"/>
      <c r="AU808" s="56"/>
      <c r="AV808" s="56"/>
      <c r="AW808" s="56"/>
      <c r="AX808" s="56"/>
      <c r="BA808" s="1" t="s">
        <v>15</v>
      </c>
      <c r="BB808" s="8">
        <v>338.49258600000002</v>
      </c>
    </row>
    <row r="809" spans="1:54">
      <c r="A809" s="27" t="s">
        <v>16</v>
      </c>
      <c r="B809" s="5">
        <v>31843.779086546336</v>
      </c>
      <c r="C809" s="8">
        <v>13.724534258490216</v>
      </c>
      <c r="X809" s="8">
        <v>343.19133499999998</v>
      </c>
      <c r="Y809" s="8">
        <v>343.19133499999998</v>
      </c>
      <c r="AI809" s="29" t="str">
        <f t="shared" si="28"/>
        <v/>
      </c>
      <c r="AS809" s="56"/>
      <c r="AT809" s="56"/>
      <c r="AU809" s="56"/>
      <c r="AV809" s="56"/>
      <c r="AW809" s="56"/>
      <c r="AX809" s="56"/>
      <c r="BA809" s="1" t="s">
        <v>15</v>
      </c>
      <c r="BB809" s="8">
        <v>343.19133499999998</v>
      </c>
    </row>
    <row r="810" spans="1:54">
      <c r="A810" s="27" t="s">
        <v>16</v>
      </c>
      <c r="B810" s="5">
        <v>31860.864073113171</v>
      </c>
      <c r="C810" s="8">
        <v>13.771311401347299</v>
      </c>
      <c r="X810" s="8">
        <v>334.67328199999997</v>
      </c>
      <c r="Y810" s="8">
        <v>334.67328199999997</v>
      </c>
      <c r="AI810" s="29" t="str">
        <f t="shared" si="28"/>
        <v/>
      </c>
      <c r="AS810" s="56"/>
      <c r="AT810" s="56"/>
      <c r="AU810" s="56"/>
      <c r="AV810" s="56"/>
      <c r="AW810" s="56"/>
      <c r="AX810" s="56"/>
      <c r="BA810" s="1" t="s">
        <v>15</v>
      </c>
      <c r="BB810" s="8">
        <v>334.67328199999997</v>
      </c>
    </row>
    <row r="811" spans="1:54">
      <c r="A811" s="27" t="s">
        <v>16</v>
      </c>
      <c r="B811" s="5">
        <v>31873.677813038255</v>
      </c>
      <c r="C811" s="8">
        <v>13.806394258489997</v>
      </c>
      <c r="X811" s="8">
        <v>318.31560500000001</v>
      </c>
      <c r="Y811" s="8">
        <v>318.31560500000001</v>
      </c>
      <c r="AI811" s="29" t="str">
        <f t="shared" si="28"/>
        <v/>
      </c>
      <c r="AS811" s="56"/>
      <c r="AT811" s="56"/>
      <c r="AU811" s="56"/>
      <c r="AV811" s="56"/>
      <c r="AW811" s="56"/>
      <c r="AX811" s="56"/>
      <c r="BA811" s="1" t="s">
        <v>15</v>
      </c>
      <c r="BB811" s="8">
        <v>318.31560500000001</v>
      </c>
    </row>
    <row r="812" spans="1:54">
      <c r="A812" s="27" t="s">
        <v>16</v>
      </c>
      <c r="B812" s="5">
        <v>31895.034046246841</v>
      </c>
      <c r="C812" s="8">
        <v>13.864865687061464</v>
      </c>
      <c r="X812" s="8">
        <v>301.60615000000001</v>
      </c>
      <c r="Y812" s="8">
        <v>301.60615000000001</v>
      </c>
      <c r="AI812" s="29" t="str">
        <f t="shared" si="28"/>
        <v/>
      </c>
      <c r="AS812" s="56"/>
      <c r="AT812" s="56"/>
      <c r="AU812" s="56"/>
      <c r="AV812" s="56"/>
      <c r="AW812" s="56"/>
      <c r="AX812" s="56"/>
      <c r="BA812" s="1" t="s">
        <v>15</v>
      </c>
      <c r="BB812" s="8">
        <v>301.60615000000001</v>
      </c>
    </row>
    <row r="813" spans="1:54">
      <c r="A813" s="27" t="s">
        <v>16</v>
      </c>
      <c r="B813" s="5">
        <v>31907.847786171926</v>
      </c>
      <c r="C813" s="8">
        <v>13.899948544204161</v>
      </c>
      <c r="X813" s="8">
        <v>299.59599000000003</v>
      </c>
      <c r="Y813" s="8">
        <v>299.59599000000003</v>
      </c>
      <c r="AI813" s="29" t="str">
        <f t="shared" si="28"/>
        <v/>
      </c>
      <c r="AS813" s="56"/>
      <c r="AT813" s="56"/>
      <c r="AU813" s="56"/>
      <c r="AV813" s="56"/>
      <c r="AW813" s="56"/>
      <c r="AX813" s="56"/>
      <c r="BA813" s="1" t="s">
        <v>15</v>
      </c>
      <c r="BB813" s="8">
        <v>299.59599000000003</v>
      </c>
    </row>
    <row r="814" spans="1:54">
      <c r="A814" s="27" t="s">
        <v>16</v>
      </c>
      <c r="B814" s="5">
        <v>31920.661526097174</v>
      </c>
      <c r="C814" s="8">
        <v>13.935031401347308</v>
      </c>
      <c r="X814" s="8">
        <v>307.08383600000002</v>
      </c>
      <c r="Y814" s="8">
        <v>307.08383600000002</v>
      </c>
      <c r="AI814" s="29" t="str">
        <f t="shared" si="28"/>
        <v/>
      </c>
      <c r="AS814" s="56"/>
      <c r="AT814" s="56"/>
      <c r="AU814" s="56"/>
      <c r="AV814" s="56"/>
      <c r="AW814" s="56"/>
      <c r="AX814" s="56"/>
      <c r="BA814" s="1" t="s">
        <v>15</v>
      </c>
      <c r="BB814" s="8">
        <v>307.08383600000002</v>
      </c>
    </row>
    <row r="815" spans="1:54">
      <c r="A815" s="27" t="s">
        <v>16</v>
      </c>
      <c r="B815" s="5">
        <v>31933.475266022342</v>
      </c>
      <c r="C815" s="8">
        <v>13.970114258490234</v>
      </c>
      <c r="X815" s="8">
        <v>309.722171</v>
      </c>
      <c r="Y815" s="8">
        <v>309.722171</v>
      </c>
      <c r="AI815" s="29" t="str">
        <f t="shared" si="28"/>
        <v/>
      </c>
      <c r="AS815" s="56"/>
      <c r="AT815" s="56"/>
      <c r="AU815" s="56"/>
      <c r="AV815" s="56"/>
      <c r="AW815" s="56"/>
      <c r="AX815" s="56"/>
      <c r="BA815" s="1" t="s">
        <v>15</v>
      </c>
      <c r="BB815" s="8">
        <v>309.722171</v>
      </c>
    </row>
    <row r="816" spans="1:54">
      <c r="A816" s="27" t="s">
        <v>16</v>
      </c>
      <c r="B816" s="5">
        <v>31950.560252589177</v>
      </c>
      <c r="C816" s="8">
        <v>14.016891401347317</v>
      </c>
      <c r="X816" s="8">
        <v>306.78231200000005</v>
      </c>
      <c r="Y816" s="8">
        <v>306.78231200000005</v>
      </c>
      <c r="AI816" s="29" t="str">
        <f t="shared" si="28"/>
        <v/>
      </c>
      <c r="AS816" s="56"/>
      <c r="AT816" s="56"/>
      <c r="AU816" s="56"/>
      <c r="AV816" s="56"/>
      <c r="AW816" s="56"/>
      <c r="AX816" s="56"/>
      <c r="BA816" s="1" t="s">
        <v>15</v>
      </c>
      <c r="BB816" s="8">
        <v>306.78231200000005</v>
      </c>
    </row>
    <row r="817" spans="1:54">
      <c r="A817" s="27" t="s">
        <v>16</v>
      </c>
      <c r="B817" s="5">
        <v>31967.645239156012</v>
      </c>
      <c r="C817" s="8">
        <v>14.063668544204399</v>
      </c>
      <c r="X817" s="8">
        <v>320.04936800000002</v>
      </c>
      <c r="Y817" s="8">
        <v>320.04936800000002</v>
      </c>
      <c r="AI817" s="29" t="str">
        <f t="shared" si="28"/>
        <v/>
      </c>
      <c r="AS817" s="56"/>
      <c r="AT817" s="56"/>
      <c r="AU817" s="56"/>
      <c r="AV817" s="56"/>
      <c r="AW817" s="56"/>
      <c r="AX817" s="56"/>
      <c r="BA817" s="1" t="s">
        <v>15</v>
      </c>
      <c r="BB817" s="8">
        <v>320.04936800000002</v>
      </c>
    </row>
    <row r="818" spans="1:54">
      <c r="A818" s="27" t="s">
        <v>16</v>
      </c>
      <c r="B818" s="5">
        <v>31980.458979081097</v>
      </c>
      <c r="C818" s="8">
        <v>14.098751401347096</v>
      </c>
      <c r="X818" s="8">
        <v>318.59200200000004</v>
      </c>
      <c r="Y818" s="8">
        <v>318.59200200000004</v>
      </c>
      <c r="AI818" s="29" t="str">
        <f t="shared" si="28"/>
        <v/>
      </c>
      <c r="AS818" s="56"/>
      <c r="AT818" s="56"/>
      <c r="AU818" s="56"/>
      <c r="AV818" s="56"/>
      <c r="AW818" s="56"/>
      <c r="AX818" s="56"/>
      <c r="BA818" s="1" t="s">
        <v>15</v>
      </c>
      <c r="BB818" s="8">
        <v>318.59200200000004</v>
      </c>
    </row>
    <row r="819" spans="1:54">
      <c r="A819" s="27" t="s">
        <v>16</v>
      </c>
      <c r="B819" s="5">
        <v>32001.815212289683</v>
      </c>
      <c r="C819" s="8">
        <v>14.157222829918565</v>
      </c>
      <c r="X819" s="8">
        <v>333.56769399999996</v>
      </c>
      <c r="Y819" s="8">
        <v>333.56769399999996</v>
      </c>
      <c r="AI819" s="29" t="str">
        <f t="shared" si="28"/>
        <v/>
      </c>
      <c r="AS819" s="56"/>
      <c r="AT819" s="56"/>
      <c r="AU819" s="56"/>
      <c r="AV819" s="56"/>
      <c r="AW819" s="56"/>
      <c r="AX819" s="56"/>
      <c r="BA819" s="1" t="s">
        <v>15</v>
      </c>
      <c r="BB819" s="8">
        <v>333.56769399999996</v>
      </c>
    </row>
    <row r="820" spans="1:54">
      <c r="A820" s="27" t="s">
        <v>16</v>
      </c>
      <c r="B820" s="5">
        <v>32023.171445498348</v>
      </c>
      <c r="C820" s="8">
        <v>14.215694258490251</v>
      </c>
      <c r="X820" s="8">
        <v>339.57304699999997</v>
      </c>
      <c r="Y820" s="8">
        <v>339.57304699999997</v>
      </c>
      <c r="AI820" s="29" t="str">
        <f t="shared" si="28"/>
        <v/>
      </c>
      <c r="AS820" s="56"/>
      <c r="AT820" s="56"/>
      <c r="AU820" s="56"/>
      <c r="AV820" s="56"/>
      <c r="AW820" s="56"/>
      <c r="AX820" s="56"/>
      <c r="BA820" s="1" t="s">
        <v>15</v>
      </c>
      <c r="BB820" s="8">
        <v>339.57304699999997</v>
      </c>
    </row>
    <row r="821" spans="1:54">
      <c r="A821" s="27" t="s">
        <v>16</v>
      </c>
      <c r="B821" s="5">
        <v>32048.798925348601</v>
      </c>
      <c r="C821" s="8">
        <v>14.285859972775876</v>
      </c>
      <c r="X821" s="8">
        <v>340.40223800000001</v>
      </c>
      <c r="Y821" s="8">
        <v>340.40223800000001</v>
      </c>
      <c r="AI821" s="29" t="str">
        <f t="shared" si="28"/>
        <v/>
      </c>
      <c r="AS821" s="56"/>
      <c r="AT821" s="56"/>
      <c r="AU821" s="56"/>
      <c r="AV821" s="56"/>
      <c r="AW821" s="56"/>
      <c r="AX821" s="56"/>
      <c r="BA821" s="1" t="s">
        <v>15</v>
      </c>
      <c r="BB821" s="8">
        <v>340.40223800000001</v>
      </c>
    </row>
    <row r="822" spans="1:54">
      <c r="A822" s="27" t="s">
        <v>16</v>
      </c>
      <c r="B822" s="5">
        <v>32053.070171990268</v>
      </c>
      <c r="C822" s="8">
        <v>14.297554258490031</v>
      </c>
      <c r="X822" s="8">
        <v>336.68344200000001</v>
      </c>
      <c r="Y822" s="8">
        <v>336.68344200000001</v>
      </c>
      <c r="AI822" s="29" t="str">
        <f t="shared" si="28"/>
        <v/>
      </c>
      <c r="AS822" s="56"/>
      <c r="AT822" s="56"/>
      <c r="AU822" s="56"/>
      <c r="AV822" s="56"/>
      <c r="AW822" s="56"/>
      <c r="AX822" s="56"/>
      <c r="BA822" s="1" t="s">
        <v>15</v>
      </c>
      <c r="BB822" s="8">
        <v>336.68344200000001</v>
      </c>
    </row>
    <row r="823" spans="1:54">
      <c r="A823" s="27" t="s">
        <v>16</v>
      </c>
      <c r="B823" s="5">
        <v>32061.612665273686</v>
      </c>
      <c r="C823" s="8">
        <v>14.320942829918573</v>
      </c>
      <c r="X823" s="8">
        <v>331.859058</v>
      </c>
      <c r="Y823" s="8">
        <v>331.859058</v>
      </c>
      <c r="AI823" s="29" t="str">
        <f t="shared" si="28"/>
        <v/>
      </c>
      <c r="AS823" s="56"/>
      <c r="AT823" s="56"/>
      <c r="AU823" s="56"/>
      <c r="AV823" s="56"/>
      <c r="AW823" s="56"/>
      <c r="AX823" s="56"/>
      <c r="BA823" s="1" t="s">
        <v>15</v>
      </c>
      <c r="BB823" s="8">
        <v>331.859058</v>
      </c>
    </row>
    <row r="824" spans="1:54">
      <c r="A824" s="27" t="s">
        <v>16</v>
      </c>
      <c r="B824" s="5">
        <v>32078.697651840605</v>
      </c>
      <c r="C824" s="8">
        <v>14.367719972775884</v>
      </c>
      <c r="X824" s="8">
        <v>334.321504</v>
      </c>
      <c r="Y824" s="8">
        <v>334.321504</v>
      </c>
      <c r="AI824" s="29" t="str">
        <f t="shared" si="28"/>
        <v/>
      </c>
      <c r="AS824" s="56"/>
      <c r="AT824" s="56"/>
      <c r="AU824" s="56"/>
      <c r="AV824" s="56"/>
      <c r="AW824" s="56"/>
      <c r="AX824" s="56"/>
      <c r="BA824" s="1" t="s">
        <v>15</v>
      </c>
      <c r="BB824" s="8">
        <v>334.321504</v>
      </c>
    </row>
    <row r="825" spans="1:54">
      <c r="A825" s="27" t="s">
        <v>16</v>
      </c>
      <c r="B825" s="5">
        <v>32095.78263840744</v>
      </c>
      <c r="C825" s="8">
        <v>14.414497115632967</v>
      </c>
      <c r="X825" s="8">
        <v>332.51236</v>
      </c>
      <c r="Y825" s="8">
        <v>332.51236</v>
      </c>
      <c r="AI825" s="29" t="str">
        <f t="shared" si="28"/>
        <v/>
      </c>
      <c r="AS825" s="56"/>
      <c r="AT825" s="56"/>
      <c r="AU825" s="56"/>
      <c r="AV825" s="56"/>
      <c r="AW825" s="56"/>
      <c r="AX825" s="56"/>
      <c r="BA825" s="1" t="s">
        <v>15</v>
      </c>
      <c r="BB825" s="8">
        <v>332.51236</v>
      </c>
    </row>
    <row r="826" spans="1:54">
      <c r="A826" s="27" t="s">
        <v>16</v>
      </c>
      <c r="B826" s="5">
        <v>32104.325131690857</v>
      </c>
      <c r="C826" s="8">
        <v>14.437885687061508</v>
      </c>
      <c r="X826" s="8">
        <v>342.03549299999997</v>
      </c>
      <c r="Y826" s="8">
        <v>342.03549299999997</v>
      </c>
      <c r="AI826" s="29" t="str">
        <f t="shared" si="28"/>
        <v/>
      </c>
      <c r="AS826" s="56"/>
      <c r="AT826" s="56"/>
      <c r="AU826" s="56"/>
      <c r="AV826" s="56"/>
      <c r="AW826" s="56"/>
      <c r="AX826" s="56"/>
      <c r="BA826" s="1" t="s">
        <v>15</v>
      </c>
      <c r="BB826" s="8">
        <v>342.03549299999997</v>
      </c>
    </row>
    <row r="827" spans="1:54">
      <c r="A827" s="27" t="s">
        <v>16</v>
      </c>
      <c r="B827" s="5">
        <v>32138.495104824608</v>
      </c>
      <c r="C827" s="8">
        <v>14.531439972775892</v>
      </c>
      <c r="X827" s="8">
        <v>340.65350799999999</v>
      </c>
      <c r="Y827" s="8">
        <v>340.65350799999999</v>
      </c>
      <c r="AI827" s="29" t="str">
        <f t="shared" si="28"/>
        <v/>
      </c>
      <c r="AS827" s="56"/>
      <c r="AT827" s="56"/>
      <c r="AU827" s="56"/>
      <c r="AV827" s="56"/>
      <c r="AW827" s="56"/>
      <c r="AX827" s="56"/>
      <c r="BA827" s="1" t="s">
        <v>15</v>
      </c>
      <c r="BB827" s="8">
        <v>340.65350799999999</v>
      </c>
    </row>
    <row r="828" spans="1:54">
      <c r="A828" t="s">
        <v>4</v>
      </c>
      <c r="B828" s="16">
        <v>30573.732550000001</v>
      </c>
      <c r="C828" s="17">
        <v>10.25</v>
      </c>
      <c r="T828" s="17"/>
      <c r="U828" s="17"/>
      <c r="V828" s="17"/>
      <c r="W828" s="17"/>
      <c r="AI828" s="29" t="str">
        <f t="shared" si="28"/>
        <v/>
      </c>
      <c r="AS828" s="56"/>
      <c r="AT828" s="56"/>
      <c r="AU828" s="56"/>
      <c r="AV828" s="56"/>
      <c r="AW828" s="56"/>
      <c r="AX828" s="56"/>
      <c r="BA828" s="1" t="s">
        <v>19</v>
      </c>
    </row>
    <row r="829" spans="1:54">
      <c r="A829" t="s">
        <v>4</v>
      </c>
      <c r="B829" s="16">
        <v>30665.043099999999</v>
      </c>
      <c r="C829" s="17">
        <v>10.5</v>
      </c>
      <c r="T829" s="17"/>
      <c r="U829" s="17"/>
      <c r="V829" s="17"/>
      <c r="W829" s="17"/>
      <c r="AI829" s="29" t="str">
        <f t="shared" si="28"/>
        <v/>
      </c>
      <c r="AS829" s="56"/>
      <c r="AT829" s="56"/>
      <c r="AU829" s="56"/>
      <c r="AV829" s="56"/>
      <c r="AW829" s="56"/>
      <c r="AX829" s="56"/>
      <c r="BA829" s="1" t="s">
        <v>19</v>
      </c>
    </row>
    <row r="830" spans="1:54">
      <c r="A830" t="s">
        <v>4</v>
      </c>
      <c r="B830" s="16">
        <v>30756.353650000001</v>
      </c>
      <c r="C830" s="17">
        <v>10.75</v>
      </c>
      <c r="T830" s="17"/>
      <c r="U830" s="17"/>
      <c r="V830" s="17"/>
      <c r="W830" s="17"/>
      <c r="AI830" s="29" t="str">
        <f t="shared" si="28"/>
        <v/>
      </c>
      <c r="AS830" s="56"/>
      <c r="AT830" s="56"/>
      <c r="AU830" s="56"/>
      <c r="AV830" s="56"/>
      <c r="AW830" s="56"/>
      <c r="AX830" s="56"/>
      <c r="BA830" s="1" t="s">
        <v>19</v>
      </c>
    </row>
    <row r="831" spans="1:54">
      <c r="A831" t="s">
        <v>4</v>
      </c>
      <c r="B831" s="16">
        <v>30847.664199999999</v>
      </c>
      <c r="C831" s="17">
        <v>11</v>
      </c>
      <c r="T831" s="17"/>
      <c r="U831" s="17"/>
      <c r="V831" s="17"/>
      <c r="W831" s="17"/>
      <c r="AI831" s="29" t="str">
        <f t="shared" si="28"/>
        <v/>
      </c>
      <c r="AS831" s="56"/>
      <c r="AT831" s="56"/>
      <c r="AU831" s="56"/>
      <c r="AV831" s="56"/>
      <c r="AW831" s="56"/>
      <c r="AX831" s="56"/>
      <c r="BA831" s="1" t="s">
        <v>19</v>
      </c>
    </row>
    <row r="832" spans="1:54">
      <c r="A832" t="s">
        <v>4</v>
      </c>
      <c r="B832" s="16">
        <v>30938.974750000001</v>
      </c>
      <c r="C832" s="17">
        <v>11.25</v>
      </c>
      <c r="T832" s="17"/>
      <c r="U832" s="17"/>
      <c r="V832" s="17"/>
      <c r="W832" s="17"/>
      <c r="AI832" s="29" t="str">
        <f t="shared" si="28"/>
        <v/>
      </c>
      <c r="AS832" s="56"/>
      <c r="AT832" s="56"/>
      <c r="AU832" s="56"/>
      <c r="AV832" s="56"/>
      <c r="AW832" s="56"/>
      <c r="AX832" s="56"/>
      <c r="BA832" s="1" t="s">
        <v>19</v>
      </c>
    </row>
    <row r="833" spans="1:53">
      <c r="A833" t="s">
        <v>4</v>
      </c>
      <c r="B833" s="16">
        <v>31030.2853</v>
      </c>
      <c r="C833" s="17">
        <v>11.5</v>
      </c>
      <c r="T833" s="17"/>
      <c r="U833" s="17"/>
      <c r="V833" s="17"/>
      <c r="W833" s="17"/>
      <c r="AI833" s="29" t="str">
        <f t="shared" si="28"/>
        <v/>
      </c>
      <c r="AS833" s="56"/>
      <c r="AT833" s="56"/>
      <c r="AU833" s="56"/>
      <c r="AV833" s="56"/>
      <c r="AW833" s="56"/>
      <c r="AX833" s="56"/>
      <c r="BA833" s="1" t="s">
        <v>19</v>
      </c>
    </row>
    <row r="834" spans="1:53">
      <c r="A834" t="s">
        <v>4</v>
      </c>
      <c r="B834" s="16">
        <v>31121.595850000002</v>
      </c>
      <c r="C834" s="17">
        <v>11.75</v>
      </c>
      <c r="T834" s="17"/>
      <c r="U834" s="17"/>
      <c r="V834" s="17"/>
      <c r="W834" s="17"/>
      <c r="AI834" s="29" t="str">
        <f t="shared" si="28"/>
        <v/>
      </c>
      <c r="AS834" s="56"/>
      <c r="AT834" s="56"/>
      <c r="AU834" s="56"/>
      <c r="AV834" s="56"/>
      <c r="AW834" s="56"/>
      <c r="AX834" s="56"/>
      <c r="BA834" s="1" t="s">
        <v>19</v>
      </c>
    </row>
    <row r="835" spans="1:53">
      <c r="A835" t="s">
        <v>4</v>
      </c>
      <c r="B835" s="16">
        <v>31212.9064</v>
      </c>
      <c r="C835" s="17">
        <v>12</v>
      </c>
      <c r="T835" s="17"/>
      <c r="U835" s="17"/>
      <c r="V835" s="17"/>
      <c r="W835" s="17"/>
      <c r="AI835" s="29" t="str">
        <f t="shared" ref="AI835:AI898" si="29">IF(AH835&gt;0.001,AH835/C835,"")</f>
        <v/>
      </c>
      <c r="AS835" s="56"/>
      <c r="AT835" s="56"/>
      <c r="AU835" s="56"/>
      <c r="AV835" s="56"/>
      <c r="AW835" s="56"/>
      <c r="AX835" s="56"/>
      <c r="BA835" s="1" t="s">
        <v>19</v>
      </c>
    </row>
    <row r="836" spans="1:53">
      <c r="A836" t="s">
        <v>4</v>
      </c>
      <c r="B836" s="16">
        <v>31304.216950000002</v>
      </c>
      <c r="C836" s="17">
        <v>12.25</v>
      </c>
      <c r="T836" s="17"/>
      <c r="U836" s="17"/>
      <c r="V836" s="17"/>
      <c r="W836" s="17"/>
      <c r="AI836" s="29" t="str">
        <f t="shared" si="29"/>
        <v/>
      </c>
      <c r="AS836" s="56"/>
      <c r="AT836" s="56"/>
      <c r="AU836" s="56"/>
      <c r="AV836" s="56"/>
      <c r="AW836" s="56"/>
      <c r="AX836" s="56"/>
      <c r="BA836" s="1" t="s">
        <v>19</v>
      </c>
    </row>
    <row r="837" spans="1:53">
      <c r="A837" t="s">
        <v>4</v>
      </c>
      <c r="B837" s="16">
        <v>31395.5275</v>
      </c>
      <c r="C837" s="17">
        <v>12.5</v>
      </c>
      <c r="T837" s="17"/>
      <c r="U837" s="17"/>
      <c r="V837" s="17"/>
      <c r="W837" s="17"/>
      <c r="AI837" s="29" t="str">
        <f t="shared" si="29"/>
        <v/>
      </c>
      <c r="AS837" s="56"/>
      <c r="AT837" s="56"/>
      <c r="AU837" s="56"/>
      <c r="AV837" s="56"/>
      <c r="AW837" s="56"/>
      <c r="AX837" s="56"/>
      <c r="BA837" s="1" t="s">
        <v>19</v>
      </c>
    </row>
    <row r="838" spans="1:53">
      <c r="A838" t="s">
        <v>4</v>
      </c>
      <c r="B838" s="16">
        <v>31486.838049999998</v>
      </c>
      <c r="C838" s="17">
        <v>12.75</v>
      </c>
      <c r="T838" s="17"/>
      <c r="U838" s="17"/>
      <c r="V838" s="17"/>
      <c r="W838" s="17"/>
      <c r="AI838" s="29" t="str">
        <f t="shared" si="29"/>
        <v/>
      </c>
      <c r="AS838" s="56"/>
      <c r="AT838" s="56"/>
      <c r="AU838" s="56"/>
      <c r="AV838" s="56"/>
      <c r="AW838" s="56"/>
      <c r="AX838" s="56"/>
      <c r="BA838" s="1" t="s">
        <v>19</v>
      </c>
    </row>
    <row r="839" spans="1:53">
      <c r="A839" t="s">
        <v>4</v>
      </c>
      <c r="B839" s="16">
        <v>31578.1486</v>
      </c>
      <c r="C839" s="17">
        <v>13</v>
      </c>
      <c r="T839" s="17"/>
      <c r="U839" s="17"/>
      <c r="V839" s="17"/>
      <c r="W839" s="17"/>
      <c r="AI839" s="29" t="str">
        <f t="shared" si="29"/>
        <v/>
      </c>
      <c r="AS839" s="56"/>
      <c r="AT839" s="56"/>
      <c r="AU839" s="56"/>
      <c r="AV839" s="56"/>
      <c r="AW839" s="56"/>
      <c r="AX839" s="56"/>
      <c r="BA839" s="1" t="s">
        <v>19</v>
      </c>
    </row>
    <row r="840" spans="1:53">
      <c r="A840" t="s">
        <v>4</v>
      </c>
      <c r="B840" s="16">
        <v>31669.459150000002</v>
      </c>
      <c r="C840" s="17">
        <v>13.25</v>
      </c>
      <c r="T840" s="17"/>
      <c r="U840" s="17"/>
      <c r="V840" s="17"/>
      <c r="W840" s="17"/>
      <c r="AI840" s="29" t="str">
        <f t="shared" si="29"/>
        <v/>
      </c>
      <c r="AS840" s="56"/>
      <c r="AT840" s="56"/>
      <c r="AU840" s="56"/>
      <c r="AV840" s="56"/>
      <c r="AW840" s="56"/>
      <c r="AX840" s="56"/>
      <c r="BA840" s="1" t="s">
        <v>19</v>
      </c>
    </row>
    <row r="841" spans="1:53">
      <c r="A841" t="s">
        <v>4</v>
      </c>
      <c r="B841" s="16">
        <v>31760.769700000001</v>
      </c>
      <c r="C841" s="17">
        <v>13.5</v>
      </c>
      <c r="T841" s="17"/>
      <c r="U841" s="17"/>
      <c r="V841" s="17"/>
      <c r="W841" s="17"/>
      <c r="AI841" s="29" t="str">
        <f t="shared" si="29"/>
        <v/>
      </c>
      <c r="AS841" s="56"/>
      <c r="AT841" s="56"/>
      <c r="AU841" s="56"/>
      <c r="AV841" s="56"/>
      <c r="AW841" s="56"/>
      <c r="AX841" s="56"/>
      <c r="BA841" s="1" t="s">
        <v>19</v>
      </c>
    </row>
    <row r="842" spans="1:53">
      <c r="A842" t="s">
        <v>4</v>
      </c>
      <c r="B842" s="16">
        <v>31852.080249999999</v>
      </c>
      <c r="C842" s="17">
        <v>13.75</v>
      </c>
      <c r="T842" s="17"/>
      <c r="U842" s="17"/>
      <c r="V842" s="17"/>
      <c r="W842" s="17"/>
      <c r="AI842" s="29" t="str">
        <f t="shared" si="29"/>
        <v/>
      </c>
      <c r="AS842" s="56"/>
      <c r="AT842" s="56"/>
      <c r="AU842" s="56"/>
      <c r="AV842" s="56"/>
      <c r="AW842" s="56"/>
      <c r="AX842" s="56"/>
      <c r="BA842" s="1" t="s">
        <v>19</v>
      </c>
    </row>
    <row r="843" spans="1:53">
      <c r="A843" t="s">
        <v>4</v>
      </c>
      <c r="B843" s="16">
        <v>31943.390800000001</v>
      </c>
      <c r="C843" s="17">
        <v>14</v>
      </c>
      <c r="T843" s="17"/>
      <c r="U843" s="17"/>
      <c r="V843" s="17"/>
      <c r="W843" s="17"/>
      <c r="AI843" s="29" t="str">
        <f t="shared" si="29"/>
        <v/>
      </c>
      <c r="AS843" s="56"/>
      <c r="AT843" s="56"/>
      <c r="AU843" s="56"/>
      <c r="AV843" s="56"/>
      <c r="AW843" s="56"/>
      <c r="AX843" s="56"/>
      <c r="BA843" s="1" t="s">
        <v>19</v>
      </c>
    </row>
    <row r="844" spans="1:53">
      <c r="A844" t="s">
        <v>4</v>
      </c>
      <c r="B844" s="16">
        <v>32034.701349999999</v>
      </c>
      <c r="C844" s="17">
        <v>14.25</v>
      </c>
      <c r="T844" s="17"/>
      <c r="U844" s="17"/>
      <c r="V844" s="17"/>
      <c r="W844" s="17"/>
      <c r="AI844" s="29" t="str">
        <f t="shared" si="29"/>
        <v/>
      </c>
      <c r="AS844" s="56"/>
      <c r="AT844" s="56"/>
      <c r="AU844" s="56"/>
      <c r="AV844" s="56"/>
      <c r="AW844" s="56"/>
      <c r="AX844" s="56"/>
      <c r="BA844" s="1" t="s">
        <v>19</v>
      </c>
    </row>
    <row r="845" spans="1:53">
      <c r="A845" t="s">
        <v>4</v>
      </c>
      <c r="B845" s="16">
        <v>32126.011900000001</v>
      </c>
      <c r="C845" s="17">
        <v>14.5</v>
      </c>
      <c r="T845" s="17"/>
      <c r="U845" s="17"/>
      <c r="V845" s="17"/>
      <c r="W845" s="17"/>
      <c r="AI845" s="29" t="str">
        <f t="shared" si="29"/>
        <v/>
      </c>
      <c r="AS845" s="56"/>
      <c r="AT845" s="56"/>
      <c r="AU845" s="56"/>
      <c r="AV845" s="56"/>
      <c r="AW845" s="56"/>
      <c r="AX845" s="56"/>
      <c r="BA845" s="1" t="s">
        <v>19</v>
      </c>
    </row>
    <row r="846" spans="1:53">
      <c r="A846" t="s">
        <v>4</v>
      </c>
      <c r="B846" s="16">
        <v>32217.32245</v>
      </c>
      <c r="C846" s="17">
        <v>14.75</v>
      </c>
      <c r="T846" s="17"/>
      <c r="U846" s="17"/>
      <c r="V846" s="17"/>
      <c r="W846" s="17"/>
      <c r="AI846" s="29" t="str">
        <f t="shared" si="29"/>
        <v/>
      </c>
      <c r="AS846" s="56"/>
      <c r="AT846" s="56"/>
      <c r="AU846" s="56"/>
      <c r="AV846" s="56"/>
      <c r="AW846" s="56"/>
      <c r="AX846" s="56"/>
      <c r="BA846" s="1" t="s">
        <v>19</v>
      </c>
    </row>
    <row r="847" spans="1:53">
      <c r="A847" t="s">
        <v>4</v>
      </c>
      <c r="B847" s="16">
        <v>32308.633000000002</v>
      </c>
      <c r="C847" s="17">
        <v>15</v>
      </c>
      <c r="T847" s="17"/>
      <c r="U847" s="17"/>
      <c r="V847" s="17"/>
      <c r="W847" s="17"/>
      <c r="AI847" s="29" t="str">
        <f t="shared" si="29"/>
        <v/>
      </c>
      <c r="AS847" s="56"/>
      <c r="AT847" s="56"/>
      <c r="AU847" s="56"/>
      <c r="AV847" s="56"/>
      <c r="AW847" s="56"/>
      <c r="AX847" s="56"/>
      <c r="BA847" s="1" t="s">
        <v>19</v>
      </c>
    </row>
    <row r="848" spans="1:53">
      <c r="A848" t="s">
        <v>4</v>
      </c>
      <c r="B848" s="16">
        <v>32399.94355</v>
      </c>
      <c r="C848" s="17">
        <v>15.25</v>
      </c>
      <c r="T848" s="17"/>
      <c r="U848" s="17"/>
      <c r="V848" s="17"/>
      <c r="W848" s="17"/>
      <c r="AI848" s="29" t="str">
        <f t="shared" si="29"/>
        <v/>
      </c>
      <c r="AS848" s="56"/>
      <c r="AT848" s="56"/>
      <c r="AU848" s="56"/>
      <c r="AV848" s="56"/>
      <c r="AW848" s="56"/>
      <c r="AX848" s="56"/>
      <c r="BA848" s="1" t="s">
        <v>19</v>
      </c>
    </row>
    <row r="849" spans="1:53">
      <c r="A849" t="s">
        <v>4</v>
      </c>
      <c r="B849" s="16">
        <v>32491.254099999998</v>
      </c>
      <c r="C849" s="17">
        <v>15.5</v>
      </c>
      <c r="T849" s="17"/>
      <c r="U849" s="17"/>
      <c r="V849" s="17"/>
      <c r="W849" s="17"/>
      <c r="AI849" s="29" t="str">
        <f t="shared" si="29"/>
        <v/>
      </c>
      <c r="AS849" s="56"/>
      <c r="AT849" s="56"/>
      <c r="AU849" s="56"/>
      <c r="AV849" s="56"/>
      <c r="AW849" s="56"/>
      <c r="AX849" s="56"/>
      <c r="BA849" s="1" t="s">
        <v>19</v>
      </c>
    </row>
    <row r="850" spans="1:53">
      <c r="A850" t="s">
        <v>4</v>
      </c>
      <c r="B850" s="16">
        <v>32582.56465</v>
      </c>
      <c r="C850" s="17">
        <v>15.75</v>
      </c>
      <c r="T850" s="17"/>
      <c r="U850" s="17"/>
      <c r="V850" s="17"/>
      <c r="W850" s="17"/>
      <c r="AI850" s="29" t="str">
        <f t="shared" si="29"/>
        <v/>
      </c>
      <c r="AS850" s="56"/>
      <c r="AT850" s="56"/>
      <c r="AU850" s="56"/>
      <c r="AV850" s="56"/>
      <c r="AW850" s="56"/>
      <c r="AX850" s="56"/>
      <c r="BA850" s="1" t="s">
        <v>19</v>
      </c>
    </row>
    <row r="851" spans="1:53">
      <c r="A851" t="s">
        <v>4</v>
      </c>
      <c r="B851" s="16">
        <v>32673.875200000002</v>
      </c>
      <c r="C851" s="17">
        <v>16</v>
      </c>
      <c r="T851" s="17"/>
      <c r="U851" s="17"/>
      <c r="V851" s="17"/>
      <c r="W851" s="17"/>
      <c r="AI851" s="29" t="str">
        <f t="shared" si="29"/>
        <v/>
      </c>
      <c r="AS851" s="56"/>
      <c r="AT851" s="56"/>
      <c r="AU851" s="56"/>
      <c r="AV851" s="56"/>
      <c r="AW851" s="56"/>
      <c r="AX851" s="56"/>
      <c r="BA851" s="1" t="s">
        <v>19</v>
      </c>
    </row>
    <row r="852" spans="1:53">
      <c r="A852" t="s">
        <v>4</v>
      </c>
      <c r="B852" s="16">
        <v>32765.185750000001</v>
      </c>
      <c r="C852" s="17">
        <v>16.25</v>
      </c>
      <c r="T852" s="17"/>
      <c r="U852" s="17"/>
      <c r="V852" s="17"/>
      <c r="W852" s="17"/>
      <c r="AI852" s="29" t="str">
        <f t="shared" si="29"/>
        <v/>
      </c>
      <c r="AS852" s="56"/>
      <c r="AT852" s="56"/>
      <c r="AU852" s="56"/>
      <c r="AV852" s="56"/>
      <c r="AW852" s="56"/>
      <c r="AX852" s="56"/>
      <c r="BA852" s="1" t="s">
        <v>19</v>
      </c>
    </row>
    <row r="853" spans="1:53">
      <c r="A853" t="s">
        <v>4</v>
      </c>
      <c r="B853" s="16">
        <v>32856.496299999999</v>
      </c>
      <c r="C853" s="17">
        <v>16.5</v>
      </c>
      <c r="T853" s="17"/>
      <c r="U853" s="17"/>
      <c r="V853" s="17"/>
      <c r="W853" s="17"/>
      <c r="AI853" s="29" t="str">
        <f t="shared" si="29"/>
        <v/>
      </c>
      <c r="AS853" s="56"/>
      <c r="AT853" s="56"/>
      <c r="AU853" s="56"/>
      <c r="AV853" s="56"/>
      <c r="AW853" s="56"/>
      <c r="AX853" s="56"/>
      <c r="BA853" s="1" t="s">
        <v>19</v>
      </c>
    </row>
    <row r="854" spans="1:53">
      <c r="A854" t="s">
        <v>4</v>
      </c>
      <c r="B854" s="16">
        <v>32947.806850000001</v>
      </c>
      <c r="C854" s="17">
        <v>16.75</v>
      </c>
      <c r="T854" s="17"/>
      <c r="U854" s="17"/>
      <c r="V854" s="17"/>
      <c r="W854" s="17"/>
      <c r="AI854" s="29" t="str">
        <f t="shared" si="29"/>
        <v/>
      </c>
      <c r="AS854" s="56"/>
      <c r="AT854" s="56"/>
      <c r="AU854" s="56"/>
      <c r="AV854" s="56"/>
      <c r="AW854" s="56"/>
      <c r="AX854" s="56"/>
      <c r="BA854" s="1" t="s">
        <v>19</v>
      </c>
    </row>
    <row r="855" spans="1:53">
      <c r="A855" t="s">
        <v>4</v>
      </c>
      <c r="B855" s="16">
        <v>33039.117400000003</v>
      </c>
      <c r="C855" s="17">
        <v>17</v>
      </c>
      <c r="T855" s="17"/>
      <c r="U855" s="17"/>
      <c r="V855" s="17"/>
      <c r="W855" s="17"/>
      <c r="AI855" s="29" t="str">
        <f t="shared" si="29"/>
        <v/>
      </c>
      <c r="AS855" s="56"/>
      <c r="AT855" s="56"/>
      <c r="AU855" s="56"/>
      <c r="AV855" s="56"/>
      <c r="AW855" s="56"/>
      <c r="AX855" s="56"/>
      <c r="BA855" s="1" t="s">
        <v>19</v>
      </c>
    </row>
    <row r="856" spans="1:53">
      <c r="A856" t="s">
        <v>4</v>
      </c>
      <c r="B856" s="16">
        <v>33130.427949999998</v>
      </c>
      <c r="C856" s="17">
        <v>17.25</v>
      </c>
      <c r="T856" s="17"/>
      <c r="U856" s="17"/>
      <c r="V856" s="17"/>
      <c r="W856" s="17"/>
      <c r="AI856" s="29" t="str">
        <f t="shared" si="29"/>
        <v/>
      </c>
      <c r="AS856" s="56"/>
      <c r="AT856" s="56"/>
      <c r="AU856" s="56"/>
      <c r="AV856" s="56"/>
      <c r="AW856" s="56"/>
      <c r="AX856" s="56"/>
      <c r="BA856" s="1" t="s">
        <v>19</v>
      </c>
    </row>
    <row r="857" spans="1:53">
      <c r="A857" t="s">
        <v>4</v>
      </c>
      <c r="B857" s="16">
        <v>33221.738499999999</v>
      </c>
      <c r="C857" s="17">
        <v>17.5</v>
      </c>
      <c r="T857" s="17"/>
      <c r="U857" s="17"/>
      <c r="V857" s="17"/>
      <c r="W857" s="17"/>
      <c r="AI857" s="29" t="str">
        <f t="shared" si="29"/>
        <v/>
      </c>
      <c r="AS857" s="56"/>
      <c r="AT857" s="56"/>
      <c r="AU857" s="56"/>
      <c r="AV857" s="56"/>
      <c r="AW857" s="56"/>
      <c r="AX857" s="56"/>
      <c r="BA857" s="1" t="s">
        <v>19</v>
      </c>
    </row>
    <row r="858" spans="1:53">
      <c r="A858" t="s">
        <v>4</v>
      </c>
      <c r="B858" s="16">
        <v>33313.049050000001</v>
      </c>
      <c r="C858" s="17">
        <v>17.75</v>
      </c>
      <c r="T858" s="17"/>
      <c r="U858" s="17"/>
      <c r="V858" s="17"/>
      <c r="W858" s="17"/>
      <c r="AI858" s="29" t="str">
        <f t="shared" si="29"/>
        <v/>
      </c>
      <c r="AS858" s="56"/>
      <c r="AT858" s="56"/>
      <c r="AU858" s="56"/>
      <c r="AV858" s="56"/>
      <c r="AW858" s="56"/>
      <c r="AX858" s="56"/>
      <c r="BA858" s="1" t="s">
        <v>19</v>
      </c>
    </row>
    <row r="859" spans="1:53">
      <c r="A859" t="s">
        <v>4</v>
      </c>
      <c r="B859" s="16">
        <v>33404.359600000003</v>
      </c>
      <c r="C859" s="17">
        <v>18</v>
      </c>
      <c r="T859" s="17"/>
      <c r="U859" s="17"/>
      <c r="V859" s="17"/>
      <c r="W859" s="17"/>
      <c r="AI859" s="29" t="str">
        <f t="shared" si="29"/>
        <v/>
      </c>
      <c r="AS859" s="56"/>
      <c r="AT859" s="56"/>
      <c r="AU859" s="56"/>
      <c r="AV859" s="56"/>
      <c r="AW859" s="56"/>
      <c r="AX859" s="56"/>
      <c r="BA859" s="1" t="s">
        <v>19</v>
      </c>
    </row>
    <row r="860" spans="1:53">
      <c r="A860" t="s">
        <v>4</v>
      </c>
      <c r="B860" s="16">
        <v>33495.670149999998</v>
      </c>
      <c r="C860" s="17">
        <v>18.25</v>
      </c>
      <c r="T860" s="17"/>
      <c r="U860" s="17"/>
      <c r="V860" s="17"/>
      <c r="W860" s="17"/>
      <c r="AI860" s="29" t="str">
        <f t="shared" si="29"/>
        <v/>
      </c>
      <c r="AS860" s="56"/>
      <c r="AT860" s="56"/>
      <c r="AU860" s="56"/>
      <c r="AV860" s="56"/>
      <c r="AW860" s="56"/>
      <c r="AX860" s="56"/>
      <c r="BA860" s="1" t="s">
        <v>19</v>
      </c>
    </row>
    <row r="861" spans="1:53">
      <c r="A861" t="s">
        <v>4</v>
      </c>
      <c r="B861" s="16">
        <v>33586.9807</v>
      </c>
      <c r="C861" s="17">
        <v>18.5</v>
      </c>
      <c r="T861" s="17"/>
      <c r="U861" s="17"/>
      <c r="V861" s="17"/>
      <c r="W861" s="17"/>
      <c r="AI861" s="29" t="str">
        <f t="shared" si="29"/>
        <v/>
      </c>
      <c r="AS861" s="56"/>
      <c r="AT861" s="56"/>
      <c r="AU861" s="56"/>
      <c r="AV861" s="56"/>
      <c r="AW861" s="56"/>
      <c r="AX861" s="56"/>
      <c r="BA861" s="1" t="s">
        <v>19</v>
      </c>
    </row>
    <row r="862" spans="1:53">
      <c r="A862" t="s">
        <v>4</v>
      </c>
      <c r="B862" s="16">
        <v>33678.291250000002</v>
      </c>
      <c r="C862" s="17">
        <v>18.75</v>
      </c>
      <c r="T862" s="17"/>
      <c r="U862" s="17"/>
      <c r="V862" s="17"/>
      <c r="W862" s="17"/>
      <c r="AI862" s="29" t="str">
        <f t="shared" si="29"/>
        <v/>
      </c>
      <c r="AS862" s="56"/>
      <c r="AT862" s="56"/>
      <c r="AU862" s="56"/>
      <c r="AV862" s="56"/>
      <c r="AW862" s="56"/>
      <c r="AX862" s="56"/>
      <c r="BA862" s="1" t="s">
        <v>19</v>
      </c>
    </row>
    <row r="863" spans="1:53">
      <c r="A863" t="s">
        <v>4</v>
      </c>
      <c r="B863" s="16">
        <v>33769.601800000004</v>
      </c>
      <c r="C863" s="17">
        <v>19</v>
      </c>
      <c r="T863" s="17"/>
      <c r="U863" s="17"/>
      <c r="V863" s="17"/>
      <c r="W863" s="17"/>
      <c r="AI863" s="29" t="str">
        <f t="shared" si="29"/>
        <v/>
      </c>
      <c r="AS863" s="56"/>
      <c r="AT863" s="56"/>
      <c r="AU863" s="56"/>
      <c r="AV863" s="56"/>
      <c r="AW863" s="56"/>
      <c r="AX863" s="56"/>
      <c r="BA863" s="1" t="s">
        <v>19</v>
      </c>
    </row>
    <row r="864" spans="1:53">
      <c r="A864" t="s">
        <v>4</v>
      </c>
      <c r="B864" s="16">
        <v>34134.843999999997</v>
      </c>
      <c r="C864" s="17">
        <v>20</v>
      </c>
      <c r="T864" s="17"/>
      <c r="U864" s="17"/>
      <c r="V864" s="17"/>
      <c r="W864" s="17"/>
      <c r="AI864" s="29" t="str">
        <f t="shared" si="29"/>
        <v/>
      </c>
      <c r="AS864" s="56"/>
      <c r="AT864" s="56"/>
      <c r="AU864" s="56"/>
      <c r="AV864" s="56"/>
      <c r="AW864" s="56"/>
      <c r="AX864" s="56"/>
      <c r="BA864" s="1" t="s">
        <v>19</v>
      </c>
    </row>
    <row r="865" spans="1:53">
      <c r="A865" t="s">
        <v>5</v>
      </c>
      <c r="B865" s="16">
        <v>30573.732550000001</v>
      </c>
      <c r="C865" s="17">
        <v>10.25</v>
      </c>
      <c r="T865" s="17"/>
      <c r="U865" s="17"/>
      <c r="V865" s="17"/>
      <c r="W865" s="17"/>
      <c r="AI865" s="29" t="str">
        <f t="shared" si="29"/>
        <v/>
      </c>
      <c r="AS865" s="56"/>
      <c r="AT865" s="56"/>
      <c r="AU865" s="56"/>
      <c r="AV865" s="56"/>
      <c r="AW865" s="56"/>
      <c r="AX865" s="56"/>
      <c r="BA865" s="1" t="s">
        <v>19</v>
      </c>
    </row>
    <row r="866" spans="1:53">
      <c r="A866" t="s">
        <v>5</v>
      </c>
      <c r="B866" s="16">
        <v>30665.043099999999</v>
      </c>
      <c r="C866" s="17">
        <v>10.5</v>
      </c>
      <c r="T866" s="17"/>
      <c r="U866" s="17"/>
      <c r="V866" s="17"/>
      <c r="W866" s="17"/>
      <c r="AI866" s="29" t="str">
        <f t="shared" si="29"/>
        <v/>
      </c>
      <c r="AS866" s="56"/>
      <c r="AT866" s="56"/>
      <c r="AU866" s="56"/>
      <c r="AV866" s="56"/>
      <c r="AW866" s="56"/>
      <c r="AX866" s="56"/>
      <c r="BA866" s="1" t="s">
        <v>19</v>
      </c>
    </row>
    <row r="867" spans="1:53">
      <c r="A867" t="s">
        <v>5</v>
      </c>
      <c r="B867" s="16">
        <v>30756.353650000001</v>
      </c>
      <c r="C867" s="17">
        <v>10.75</v>
      </c>
      <c r="T867" s="17"/>
      <c r="U867" s="17"/>
      <c r="V867" s="17"/>
      <c r="W867" s="17"/>
      <c r="AI867" s="29" t="str">
        <f t="shared" si="29"/>
        <v/>
      </c>
      <c r="AS867" s="56"/>
      <c r="AT867" s="56"/>
      <c r="AU867" s="56"/>
      <c r="AV867" s="56"/>
      <c r="AW867" s="56"/>
      <c r="AX867" s="56"/>
      <c r="BA867" s="1" t="s">
        <v>19</v>
      </c>
    </row>
    <row r="868" spans="1:53">
      <c r="A868" t="s">
        <v>5</v>
      </c>
      <c r="B868" s="16">
        <v>30847.664199999999</v>
      </c>
      <c r="C868" s="17">
        <v>11</v>
      </c>
      <c r="T868" s="17"/>
      <c r="U868" s="17"/>
      <c r="V868" s="17"/>
      <c r="W868" s="17"/>
      <c r="AI868" s="29" t="str">
        <f t="shared" si="29"/>
        <v/>
      </c>
      <c r="AS868" s="56"/>
      <c r="AT868" s="56"/>
      <c r="AU868" s="56"/>
      <c r="AV868" s="56"/>
      <c r="AW868" s="56"/>
      <c r="AX868" s="56"/>
      <c r="BA868" s="1" t="s">
        <v>19</v>
      </c>
    </row>
    <row r="869" spans="1:53">
      <c r="A869" t="s">
        <v>5</v>
      </c>
      <c r="B869" s="16">
        <v>30938.974750000001</v>
      </c>
      <c r="C869" s="17">
        <v>11.25</v>
      </c>
      <c r="T869" s="17"/>
      <c r="U869" s="17"/>
      <c r="V869" s="17"/>
      <c r="W869" s="17"/>
      <c r="AI869" s="29" t="str">
        <f t="shared" si="29"/>
        <v/>
      </c>
      <c r="AS869" s="56"/>
      <c r="AT869" s="56"/>
      <c r="AU869" s="56"/>
      <c r="AV869" s="56"/>
      <c r="AW869" s="56"/>
      <c r="AX869" s="56"/>
      <c r="BA869" s="1" t="s">
        <v>19</v>
      </c>
    </row>
    <row r="870" spans="1:53">
      <c r="A870" t="s">
        <v>5</v>
      </c>
      <c r="B870" s="16">
        <v>31030.2853</v>
      </c>
      <c r="C870" s="17">
        <v>11.5</v>
      </c>
      <c r="T870" s="17"/>
      <c r="U870" s="17"/>
      <c r="V870" s="17"/>
      <c r="W870" s="17"/>
      <c r="AI870" s="29" t="str">
        <f t="shared" si="29"/>
        <v/>
      </c>
      <c r="AS870" s="56"/>
      <c r="AT870" s="56"/>
      <c r="AU870" s="56"/>
      <c r="AV870" s="56"/>
      <c r="AW870" s="56"/>
      <c r="AX870" s="56"/>
      <c r="BA870" s="1" t="s">
        <v>19</v>
      </c>
    </row>
    <row r="871" spans="1:53">
      <c r="A871" t="s">
        <v>5</v>
      </c>
      <c r="B871" s="16">
        <v>31121.595850000002</v>
      </c>
      <c r="C871" s="17">
        <v>11.75</v>
      </c>
      <c r="T871" s="17"/>
      <c r="U871" s="17"/>
      <c r="V871" s="17"/>
      <c r="W871" s="17"/>
      <c r="AI871" s="29" t="str">
        <f t="shared" si="29"/>
        <v/>
      </c>
      <c r="AS871" s="56"/>
      <c r="AT871" s="56"/>
      <c r="AU871" s="56"/>
      <c r="AV871" s="56"/>
      <c r="AW871" s="56"/>
      <c r="AX871" s="56"/>
      <c r="BA871" s="1" t="s">
        <v>19</v>
      </c>
    </row>
    <row r="872" spans="1:53">
      <c r="A872" t="s">
        <v>5</v>
      </c>
      <c r="B872" s="16">
        <v>31212.9064</v>
      </c>
      <c r="C872" s="17">
        <v>12</v>
      </c>
      <c r="T872" s="17"/>
      <c r="U872" s="17"/>
      <c r="V872" s="17"/>
      <c r="W872" s="17"/>
      <c r="AI872" s="29" t="str">
        <f t="shared" si="29"/>
        <v/>
      </c>
      <c r="AS872" s="56"/>
      <c r="AT872" s="56"/>
      <c r="AU872" s="56"/>
      <c r="AV872" s="56"/>
      <c r="AW872" s="56"/>
      <c r="AX872" s="56"/>
      <c r="BA872" s="1" t="s">
        <v>19</v>
      </c>
    </row>
    <row r="873" spans="1:53">
      <c r="A873" t="s">
        <v>5</v>
      </c>
      <c r="B873" s="16">
        <v>31304.216950000002</v>
      </c>
      <c r="C873" s="17">
        <v>12.25</v>
      </c>
      <c r="T873" s="17"/>
      <c r="U873" s="17"/>
      <c r="V873" s="17"/>
      <c r="W873" s="17"/>
      <c r="AI873" s="29" t="str">
        <f t="shared" si="29"/>
        <v/>
      </c>
      <c r="AS873" s="56"/>
      <c r="AT873" s="56"/>
      <c r="AU873" s="56"/>
      <c r="AV873" s="56"/>
      <c r="AW873" s="56"/>
      <c r="AX873" s="56"/>
      <c r="BA873" s="1" t="s">
        <v>19</v>
      </c>
    </row>
    <row r="874" spans="1:53">
      <c r="A874" t="s">
        <v>5</v>
      </c>
      <c r="B874" s="16">
        <v>31395.5275</v>
      </c>
      <c r="C874" s="17">
        <v>12.5</v>
      </c>
      <c r="T874" s="17"/>
      <c r="U874" s="17"/>
      <c r="V874" s="17"/>
      <c r="W874" s="17"/>
      <c r="AI874" s="29" t="str">
        <f t="shared" si="29"/>
        <v/>
      </c>
      <c r="AS874" s="56"/>
      <c r="AT874" s="56"/>
      <c r="AU874" s="56"/>
      <c r="AV874" s="56"/>
      <c r="AW874" s="56"/>
      <c r="AX874" s="56"/>
      <c r="BA874" s="1" t="s">
        <v>19</v>
      </c>
    </row>
    <row r="875" spans="1:53">
      <c r="A875" t="s">
        <v>5</v>
      </c>
      <c r="B875" s="16">
        <v>31486.838049999998</v>
      </c>
      <c r="C875" s="17">
        <v>12.75</v>
      </c>
      <c r="T875" s="17"/>
      <c r="U875" s="17"/>
      <c r="V875" s="17"/>
      <c r="W875" s="17"/>
      <c r="AI875" s="29" t="str">
        <f t="shared" si="29"/>
        <v/>
      </c>
      <c r="AS875" s="56"/>
      <c r="AT875" s="56"/>
      <c r="AU875" s="56"/>
      <c r="AV875" s="56"/>
      <c r="AW875" s="56"/>
      <c r="AX875" s="56"/>
      <c r="BA875" s="1" t="s">
        <v>19</v>
      </c>
    </row>
    <row r="876" spans="1:53">
      <c r="A876" t="s">
        <v>5</v>
      </c>
      <c r="B876" s="16">
        <v>31578.1486</v>
      </c>
      <c r="C876" s="17">
        <v>13</v>
      </c>
      <c r="T876" s="17"/>
      <c r="U876" s="17"/>
      <c r="V876" s="17"/>
      <c r="W876" s="17"/>
      <c r="AI876" s="29" t="str">
        <f t="shared" si="29"/>
        <v/>
      </c>
      <c r="AS876" s="56"/>
      <c r="AT876" s="56"/>
      <c r="AU876" s="56"/>
      <c r="AV876" s="56"/>
      <c r="AW876" s="56"/>
      <c r="AX876" s="56"/>
      <c r="BA876" s="1" t="s">
        <v>19</v>
      </c>
    </row>
    <row r="877" spans="1:53">
      <c r="A877" t="s">
        <v>5</v>
      </c>
      <c r="B877" s="16">
        <v>31669.459150000002</v>
      </c>
      <c r="C877" s="17">
        <v>13.25</v>
      </c>
      <c r="T877" s="17"/>
      <c r="U877" s="17"/>
      <c r="V877" s="17"/>
      <c r="W877" s="17"/>
      <c r="AI877" s="29" t="str">
        <f t="shared" si="29"/>
        <v/>
      </c>
      <c r="AS877" s="56"/>
      <c r="AT877" s="56"/>
      <c r="AU877" s="56"/>
      <c r="AV877" s="56"/>
      <c r="AW877" s="56"/>
      <c r="AX877" s="56"/>
      <c r="BA877" s="1" t="s">
        <v>19</v>
      </c>
    </row>
    <row r="878" spans="1:53">
      <c r="A878" t="s">
        <v>5</v>
      </c>
      <c r="B878" s="16">
        <v>31760.769700000001</v>
      </c>
      <c r="C878" s="17">
        <v>13.5</v>
      </c>
      <c r="T878" s="17"/>
      <c r="U878" s="17"/>
      <c r="V878" s="17"/>
      <c r="W878" s="17"/>
      <c r="AI878" s="29" t="str">
        <f t="shared" si="29"/>
        <v/>
      </c>
      <c r="AS878" s="56"/>
      <c r="AT878" s="56"/>
      <c r="AU878" s="56"/>
      <c r="AV878" s="56"/>
      <c r="AW878" s="56"/>
      <c r="AX878" s="56"/>
      <c r="BA878" s="1" t="s">
        <v>19</v>
      </c>
    </row>
    <row r="879" spans="1:53">
      <c r="A879" t="s">
        <v>5</v>
      </c>
      <c r="B879" s="16">
        <v>31852.080249999999</v>
      </c>
      <c r="C879" s="17">
        <v>13.75</v>
      </c>
      <c r="T879" s="17"/>
      <c r="U879" s="17"/>
      <c r="V879" s="17"/>
      <c r="W879" s="17"/>
      <c r="AI879" s="29" t="str">
        <f t="shared" si="29"/>
        <v/>
      </c>
      <c r="AS879" s="56"/>
      <c r="AT879" s="56"/>
      <c r="AU879" s="56"/>
      <c r="AV879" s="56"/>
      <c r="AW879" s="56"/>
      <c r="AX879" s="56"/>
      <c r="BA879" s="1" t="s">
        <v>19</v>
      </c>
    </row>
    <row r="880" spans="1:53">
      <c r="A880" t="s">
        <v>5</v>
      </c>
      <c r="B880" s="16">
        <v>31943.390800000001</v>
      </c>
      <c r="C880" s="17">
        <v>14</v>
      </c>
      <c r="T880" s="17"/>
      <c r="U880" s="17"/>
      <c r="V880" s="17"/>
      <c r="W880" s="17"/>
      <c r="AI880" s="29" t="str">
        <f t="shared" si="29"/>
        <v/>
      </c>
      <c r="AS880" s="56"/>
      <c r="AT880" s="56"/>
      <c r="AU880" s="56"/>
      <c r="AV880" s="56"/>
      <c r="AW880" s="56"/>
      <c r="AX880" s="56"/>
      <c r="BA880" s="1" t="s">
        <v>19</v>
      </c>
    </row>
    <row r="881" spans="1:53">
      <c r="A881" t="s">
        <v>5</v>
      </c>
      <c r="B881" s="16">
        <v>32034.701349999999</v>
      </c>
      <c r="C881" s="17">
        <v>14.25</v>
      </c>
      <c r="T881" s="17"/>
      <c r="U881" s="17"/>
      <c r="V881" s="17"/>
      <c r="W881" s="17"/>
      <c r="AI881" s="29" t="str">
        <f t="shared" si="29"/>
        <v/>
      </c>
      <c r="AS881" s="56"/>
      <c r="AT881" s="56"/>
      <c r="AU881" s="56"/>
      <c r="AV881" s="56"/>
      <c r="AW881" s="56"/>
      <c r="AX881" s="56"/>
      <c r="BA881" s="1" t="s">
        <v>19</v>
      </c>
    </row>
    <row r="882" spans="1:53">
      <c r="A882" t="s">
        <v>5</v>
      </c>
      <c r="B882" s="16">
        <v>32126.011900000001</v>
      </c>
      <c r="C882" s="17">
        <v>14.5</v>
      </c>
      <c r="T882" s="17"/>
      <c r="U882" s="17"/>
      <c r="V882" s="17"/>
      <c r="W882" s="17"/>
      <c r="AI882" s="29" t="str">
        <f t="shared" si="29"/>
        <v/>
      </c>
      <c r="AS882" s="56"/>
      <c r="AT882" s="56"/>
      <c r="AU882" s="56"/>
      <c r="AV882" s="56"/>
      <c r="AW882" s="56"/>
      <c r="AX882" s="56"/>
      <c r="BA882" s="1" t="s">
        <v>19</v>
      </c>
    </row>
    <row r="883" spans="1:53">
      <c r="A883" t="s">
        <v>5</v>
      </c>
      <c r="B883" s="16">
        <v>32217.32245</v>
      </c>
      <c r="C883" s="17">
        <v>14.75</v>
      </c>
      <c r="T883" s="17"/>
      <c r="U883" s="17"/>
      <c r="V883" s="17"/>
      <c r="W883" s="17"/>
      <c r="AI883" s="29" t="str">
        <f t="shared" si="29"/>
        <v/>
      </c>
      <c r="AS883" s="56"/>
      <c r="AT883" s="56"/>
      <c r="AU883" s="56"/>
      <c r="AV883" s="56"/>
      <c r="AW883" s="56"/>
      <c r="AX883" s="56"/>
      <c r="BA883" s="1" t="s">
        <v>19</v>
      </c>
    </row>
    <row r="884" spans="1:53">
      <c r="A884" t="s">
        <v>5</v>
      </c>
      <c r="B884" s="16">
        <v>32308.633000000002</v>
      </c>
      <c r="C884" s="17">
        <v>15</v>
      </c>
      <c r="T884" s="17"/>
      <c r="U884" s="17"/>
      <c r="V884" s="17"/>
      <c r="W884" s="17"/>
      <c r="AI884" s="29" t="str">
        <f t="shared" si="29"/>
        <v/>
      </c>
      <c r="AS884" s="56"/>
      <c r="AT884" s="56"/>
      <c r="AU884" s="56"/>
      <c r="AV884" s="56"/>
      <c r="AW884" s="56"/>
      <c r="AX884" s="56"/>
      <c r="BA884" s="1" t="s">
        <v>19</v>
      </c>
    </row>
    <row r="885" spans="1:53">
      <c r="A885" t="s">
        <v>5</v>
      </c>
      <c r="B885" s="16">
        <v>32399.94355</v>
      </c>
      <c r="C885" s="17">
        <v>15.25</v>
      </c>
      <c r="T885" s="17"/>
      <c r="U885" s="17"/>
      <c r="V885" s="17"/>
      <c r="W885" s="17"/>
      <c r="AI885" s="29" t="str">
        <f t="shared" si="29"/>
        <v/>
      </c>
      <c r="AS885" s="56"/>
      <c r="AT885" s="56"/>
      <c r="AU885" s="56"/>
      <c r="AV885" s="56"/>
      <c r="AW885" s="56"/>
      <c r="AX885" s="56"/>
      <c r="BA885" s="1" t="s">
        <v>19</v>
      </c>
    </row>
    <row r="886" spans="1:53">
      <c r="A886" t="s">
        <v>5</v>
      </c>
      <c r="B886" s="16">
        <v>32491.254099999998</v>
      </c>
      <c r="C886" s="17">
        <v>15.5</v>
      </c>
      <c r="T886" s="17"/>
      <c r="U886" s="17"/>
      <c r="V886" s="17"/>
      <c r="W886" s="17"/>
      <c r="AI886" s="29" t="str">
        <f t="shared" si="29"/>
        <v/>
      </c>
      <c r="AS886" s="56"/>
      <c r="AT886" s="56"/>
      <c r="AU886" s="56"/>
      <c r="AV886" s="56"/>
      <c r="AW886" s="56"/>
      <c r="AX886" s="56"/>
      <c r="BA886" s="1" t="s">
        <v>19</v>
      </c>
    </row>
    <row r="887" spans="1:53">
      <c r="A887" t="s">
        <v>5</v>
      </c>
      <c r="B887" s="16">
        <v>32582.56465</v>
      </c>
      <c r="C887" s="17">
        <v>15.75</v>
      </c>
      <c r="T887" s="17"/>
      <c r="U887" s="17"/>
      <c r="V887" s="17"/>
      <c r="W887" s="17"/>
      <c r="AI887" s="29" t="str">
        <f t="shared" si="29"/>
        <v/>
      </c>
      <c r="AS887" s="56"/>
      <c r="AT887" s="56"/>
      <c r="AU887" s="56"/>
      <c r="AV887" s="56"/>
      <c r="AW887" s="56"/>
      <c r="AX887" s="56"/>
      <c r="BA887" s="1" t="s">
        <v>19</v>
      </c>
    </row>
    <row r="888" spans="1:53">
      <c r="A888" t="s">
        <v>5</v>
      </c>
      <c r="B888" s="16">
        <v>32673.875200000002</v>
      </c>
      <c r="C888" s="17">
        <v>16</v>
      </c>
      <c r="T888" s="17"/>
      <c r="U888" s="17"/>
      <c r="V888" s="17"/>
      <c r="W888" s="17"/>
      <c r="AI888" s="29" t="str">
        <f t="shared" si="29"/>
        <v/>
      </c>
      <c r="AS888" s="56"/>
      <c r="AT888" s="56"/>
      <c r="AU888" s="56"/>
      <c r="AV888" s="56"/>
      <c r="AW888" s="56"/>
      <c r="AX888" s="56"/>
      <c r="BA888" s="1" t="s">
        <v>19</v>
      </c>
    </row>
    <row r="889" spans="1:53">
      <c r="A889" t="s">
        <v>5</v>
      </c>
      <c r="B889" s="16">
        <v>32765.185750000001</v>
      </c>
      <c r="C889" s="17">
        <v>16.25</v>
      </c>
      <c r="T889" s="17"/>
      <c r="U889" s="17"/>
      <c r="V889" s="17"/>
      <c r="W889" s="17"/>
      <c r="AI889" s="29" t="str">
        <f t="shared" si="29"/>
        <v/>
      </c>
      <c r="AS889" s="56"/>
      <c r="AT889" s="56"/>
      <c r="AU889" s="56"/>
      <c r="AV889" s="56"/>
      <c r="AW889" s="56"/>
      <c r="AX889" s="56"/>
      <c r="BA889" s="1" t="s">
        <v>19</v>
      </c>
    </row>
    <row r="890" spans="1:53">
      <c r="A890" t="s">
        <v>5</v>
      </c>
      <c r="B890" s="16">
        <v>32856.496299999999</v>
      </c>
      <c r="C890" s="17">
        <v>16.5</v>
      </c>
      <c r="T890" s="17"/>
      <c r="U890" s="17"/>
      <c r="V890" s="17"/>
      <c r="W890" s="17"/>
      <c r="AI890" s="29" t="str">
        <f t="shared" si="29"/>
        <v/>
      </c>
      <c r="AS890" s="56"/>
      <c r="AT890" s="56"/>
      <c r="AU890" s="56"/>
      <c r="AV890" s="56"/>
      <c r="AW890" s="56"/>
      <c r="AX890" s="56"/>
      <c r="BA890" s="1" t="s">
        <v>19</v>
      </c>
    </row>
    <row r="891" spans="1:53">
      <c r="A891" t="s">
        <v>5</v>
      </c>
      <c r="B891" s="16">
        <v>32947.806850000001</v>
      </c>
      <c r="C891" s="17">
        <v>16.75</v>
      </c>
      <c r="T891" s="17"/>
      <c r="U891" s="17"/>
      <c r="V891" s="17"/>
      <c r="W891" s="17"/>
      <c r="AI891" s="29" t="str">
        <f t="shared" si="29"/>
        <v/>
      </c>
      <c r="AS891" s="56"/>
      <c r="AT891" s="56"/>
      <c r="AU891" s="56"/>
      <c r="AV891" s="56"/>
      <c r="AW891" s="56"/>
      <c r="AX891" s="56"/>
      <c r="BA891" s="1" t="s">
        <v>19</v>
      </c>
    </row>
    <row r="892" spans="1:53">
      <c r="A892" t="s">
        <v>5</v>
      </c>
      <c r="B892" s="16">
        <v>33039.117400000003</v>
      </c>
      <c r="C892" s="17">
        <v>17</v>
      </c>
      <c r="T892" s="17"/>
      <c r="U892" s="17"/>
      <c r="V892" s="17"/>
      <c r="W892" s="17"/>
      <c r="AI892" s="29" t="str">
        <f t="shared" si="29"/>
        <v/>
      </c>
      <c r="AS892" s="56"/>
      <c r="AT892" s="56"/>
      <c r="AU892" s="56"/>
      <c r="AV892" s="56"/>
      <c r="AW892" s="56"/>
      <c r="AX892" s="56"/>
      <c r="BA892" s="1" t="s">
        <v>19</v>
      </c>
    </row>
    <row r="893" spans="1:53">
      <c r="A893" t="s">
        <v>5</v>
      </c>
      <c r="B893" s="16">
        <v>33130.427949999998</v>
      </c>
      <c r="C893" s="17">
        <v>17.25</v>
      </c>
      <c r="T893" s="17"/>
      <c r="U893" s="17"/>
      <c r="V893" s="17"/>
      <c r="W893" s="17"/>
      <c r="AI893" s="29" t="str">
        <f t="shared" si="29"/>
        <v/>
      </c>
      <c r="AS893" s="56"/>
      <c r="AT893" s="56"/>
      <c r="AU893" s="56"/>
      <c r="AV893" s="56"/>
      <c r="AW893" s="56"/>
      <c r="AX893" s="56"/>
      <c r="BA893" s="1" t="s">
        <v>19</v>
      </c>
    </row>
    <row r="894" spans="1:53">
      <c r="A894" t="s">
        <v>5</v>
      </c>
      <c r="B894" s="16">
        <v>33221.738499999999</v>
      </c>
      <c r="C894" s="17">
        <v>17.5</v>
      </c>
      <c r="T894" s="17"/>
      <c r="U894" s="17"/>
      <c r="V894" s="17"/>
      <c r="W894" s="17"/>
      <c r="AI894" s="29" t="str">
        <f t="shared" si="29"/>
        <v/>
      </c>
      <c r="AS894" s="56"/>
      <c r="AT894" s="56"/>
      <c r="AU894" s="56"/>
      <c r="AV894" s="56"/>
      <c r="AW894" s="56"/>
      <c r="AX894" s="56"/>
      <c r="BA894" s="1" t="s">
        <v>19</v>
      </c>
    </row>
    <row r="895" spans="1:53">
      <c r="A895" t="s">
        <v>5</v>
      </c>
      <c r="B895" s="16">
        <v>33313.049050000001</v>
      </c>
      <c r="C895" s="17">
        <v>17.75</v>
      </c>
      <c r="T895" s="17"/>
      <c r="U895" s="17"/>
      <c r="V895" s="17"/>
      <c r="W895" s="17"/>
      <c r="AI895" s="29" t="str">
        <f t="shared" si="29"/>
        <v/>
      </c>
      <c r="AS895" s="56"/>
      <c r="AT895" s="56"/>
      <c r="AU895" s="56"/>
      <c r="AV895" s="56"/>
      <c r="AW895" s="56"/>
      <c r="AX895" s="56"/>
      <c r="BA895" s="1" t="s">
        <v>19</v>
      </c>
    </row>
    <row r="896" spans="1:53">
      <c r="A896" t="s">
        <v>5</v>
      </c>
      <c r="B896" s="16">
        <v>33404.359600000003</v>
      </c>
      <c r="C896" s="17">
        <v>18</v>
      </c>
      <c r="T896" s="17"/>
      <c r="U896" s="17"/>
      <c r="V896" s="17"/>
      <c r="W896" s="17"/>
      <c r="AI896" s="29" t="str">
        <f t="shared" si="29"/>
        <v/>
      </c>
      <c r="AS896" s="56"/>
      <c r="AT896" s="56"/>
      <c r="AU896" s="56"/>
      <c r="AV896" s="56"/>
      <c r="AW896" s="56"/>
      <c r="AX896" s="56"/>
      <c r="BA896" s="1" t="s">
        <v>19</v>
      </c>
    </row>
    <row r="897" spans="1:53">
      <c r="A897" t="s">
        <v>5</v>
      </c>
      <c r="B897" s="16">
        <v>33495.670149999998</v>
      </c>
      <c r="C897" s="17">
        <v>18.25</v>
      </c>
      <c r="T897" s="17"/>
      <c r="U897" s="17"/>
      <c r="V897" s="17"/>
      <c r="W897" s="17"/>
      <c r="AI897" s="29" t="str">
        <f t="shared" si="29"/>
        <v/>
      </c>
      <c r="AS897" s="56"/>
      <c r="AT897" s="56"/>
      <c r="AU897" s="56"/>
      <c r="AV897" s="56"/>
      <c r="AW897" s="56"/>
      <c r="AX897" s="56"/>
      <c r="BA897" s="1" t="s">
        <v>19</v>
      </c>
    </row>
    <row r="898" spans="1:53">
      <c r="A898" t="s">
        <v>5</v>
      </c>
      <c r="B898" s="16">
        <v>33586.9807</v>
      </c>
      <c r="C898" s="17">
        <v>18.5</v>
      </c>
      <c r="T898" s="17"/>
      <c r="U898" s="17"/>
      <c r="V898" s="17"/>
      <c r="W898" s="17"/>
      <c r="AI898" s="29" t="str">
        <f t="shared" si="29"/>
        <v/>
      </c>
      <c r="AS898" s="56"/>
      <c r="AT898" s="56"/>
      <c r="AU898" s="56"/>
      <c r="AV898" s="56"/>
      <c r="AW898" s="56"/>
      <c r="AX898" s="56"/>
      <c r="BA898" s="1" t="s">
        <v>19</v>
      </c>
    </row>
    <row r="899" spans="1:53">
      <c r="A899" t="s">
        <v>5</v>
      </c>
      <c r="B899" s="16">
        <v>33678.291250000002</v>
      </c>
      <c r="C899" s="17">
        <v>18.75</v>
      </c>
      <c r="T899" s="17"/>
      <c r="U899" s="17"/>
      <c r="V899" s="17"/>
      <c r="W899" s="17"/>
      <c r="AI899" s="29" t="str">
        <f t="shared" ref="AI899:AI962" si="30">IF(AH899&gt;0.001,AH899/C899,"")</f>
        <v/>
      </c>
      <c r="AS899" s="56"/>
      <c r="AT899" s="56"/>
      <c r="AU899" s="56"/>
      <c r="AV899" s="56"/>
      <c r="AW899" s="56"/>
      <c r="AX899" s="56"/>
      <c r="BA899" s="1" t="s">
        <v>19</v>
      </c>
    </row>
    <row r="900" spans="1:53">
      <c r="A900" t="s">
        <v>5</v>
      </c>
      <c r="B900" s="16">
        <v>33769.601800000004</v>
      </c>
      <c r="C900" s="17">
        <v>19</v>
      </c>
      <c r="T900" s="17"/>
      <c r="U900" s="17"/>
      <c r="V900" s="17"/>
      <c r="W900" s="17"/>
      <c r="AI900" s="29" t="str">
        <f t="shared" si="30"/>
        <v/>
      </c>
      <c r="AS900" s="56"/>
      <c r="AT900" s="56"/>
      <c r="AU900" s="56"/>
      <c r="AV900" s="56"/>
      <c r="AW900" s="56"/>
      <c r="AX900" s="56"/>
      <c r="BA900" s="1" t="s">
        <v>19</v>
      </c>
    </row>
    <row r="901" spans="1:53">
      <c r="A901" t="s">
        <v>5</v>
      </c>
      <c r="B901" s="16">
        <v>34134.843999999997</v>
      </c>
      <c r="C901" s="17">
        <v>20</v>
      </c>
      <c r="T901" s="17"/>
      <c r="U901" s="17"/>
      <c r="V901" s="17"/>
      <c r="W901" s="17"/>
      <c r="AI901" s="29" t="str">
        <f t="shared" si="30"/>
        <v/>
      </c>
      <c r="AS901" s="56"/>
      <c r="AT901" s="56"/>
      <c r="AU901" s="56"/>
      <c r="AV901" s="56"/>
      <c r="AW901" s="56"/>
      <c r="AX901" s="56"/>
      <c r="BA901" s="1" t="s">
        <v>19</v>
      </c>
    </row>
    <row r="902" spans="1:53">
      <c r="A902" t="s">
        <v>6</v>
      </c>
      <c r="B902" s="16">
        <v>30573.732550000001</v>
      </c>
      <c r="C902" s="17">
        <v>10.25</v>
      </c>
      <c r="T902" s="17"/>
      <c r="U902" s="17"/>
      <c r="V902" s="17"/>
      <c r="W902" s="17"/>
      <c r="AI902" s="29" t="str">
        <f t="shared" si="30"/>
        <v/>
      </c>
      <c r="AS902" s="56"/>
      <c r="AT902" s="56"/>
      <c r="AU902" s="56"/>
      <c r="AV902" s="56"/>
      <c r="AW902" s="56"/>
      <c r="AX902" s="56"/>
      <c r="BA902" s="1" t="s">
        <v>19</v>
      </c>
    </row>
    <row r="903" spans="1:53">
      <c r="A903" t="s">
        <v>6</v>
      </c>
      <c r="B903" s="16">
        <v>30665.043099999999</v>
      </c>
      <c r="C903" s="17">
        <v>10.5</v>
      </c>
      <c r="T903" s="17"/>
      <c r="U903" s="17"/>
      <c r="V903" s="17"/>
      <c r="W903" s="17"/>
      <c r="AI903" s="29" t="str">
        <f t="shared" si="30"/>
        <v/>
      </c>
      <c r="AS903" s="56"/>
      <c r="AT903" s="56"/>
      <c r="AU903" s="56"/>
      <c r="AV903" s="56"/>
      <c r="AW903" s="56"/>
      <c r="AX903" s="56"/>
      <c r="BA903" s="1" t="s">
        <v>19</v>
      </c>
    </row>
    <row r="904" spans="1:53">
      <c r="A904" t="s">
        <v>6</v>
      </c>
      <c r="B904" s="16">
        <v>30756.353650000001</v>
      </c>
      <c r="C904" s="17">
        <v>10.75</v>
      </c>
      <c r="T904" s="17"/>
      <c r="U904" s="17"/>
      <c r="V904" s="17"/>
      <c r="W904" s="17"/>
      <c r="AI904" s="29" t="str">
        <f t="shared" si="30"/>
        <v/>
      </c>
      <c r="AS904" s="56"/>
      <c r="AT904" s="56"/>
      <c r="AU904" s="56"/>
      <c r="AV904" s="56"/>
      <c r="AW904" s="56"/>
      <c r="AX904" s="56"/>
      <c r="BA904" s="1" t="s">
        <v>19</v>
      </c>
    </row>
    <row r="905" spans="1:53">
      <c r="A905" t="s">
        <v>6</v>
      </c>
      <c r="B905" s="16">
        <v>30847.664199999999</v>
      </c>
      <c r="C905" s="17">
        <v>11</v>
      </c>
      <c r="T905" s="17"/>
      <c r="U905" s="17"/>
      <c r="V905" s="17"/>
      <c r="W905" s="17"/>
      <c r="AI905" s="29" t="str">
        <f t="shared" si="30"/>
        <v/>
      </c>
      <c r="AS905" s="56"/>
      <c r="AT905" s="56"/>
      <c r="AU905" s="56"/>
      <c r="AV905" s="56"/>
      <c r="AW905" s="56"/>
      <c r="AX905" s="56"/>
      <c r="BA905" s="1" t="s">
        <v>19</v>
      </c>
    </row>
    <row r="906" spans="1:53">
      <c r="A906" t="s">
        <v>6</v>
      </c>
      <c r="B906" s="16">
        <v>30938.974750000001</v>
      </c>
      <c r="C906" s="17">
        <v>11.25</v>
      </c>
      <c r="T906" s="17"/>
      <c r="U906" s="17"/>
      <c r="V906" s="17"/>
      <c r="W906" s="17"/>
      <c r="AI906" s="29" t="str">
        <f t="shared" si="30"/>
        <v/>
      </c>
      <c r="AS906" s="56"/>
      <c r="AT906" s="56"/>
      <c r="AU906" s="56"/>
      <c r="AV906" s="56"/>
      <c r="AW906" s="56"/>
      <c r="AX906" s="56"/>
      <c r="BA906" s="1" t="s">
        <v>19</v>
      </c>
    </row>
    <row r="907" spans="1:53">
      <c r="A907" t="s">
        <v>6</v>
      </c>
      <c r="B907" s="16">
        <v>31030.2853</v>
      </c>
      <c r="C907" s="17">
        <v>11.5</v>
      </c>
      <c r="T907" s="17"/>
      <c r="U907" s="17"/>
      <c r="V907" s="17"/>
      <c r="W907" s="17"/>
      <c r="AI907" s="29" t="str">
        <f t="shared" si="30"/>
        <v/>
      </c>
      <c r="AS907" s="56"/>
      <c r="AT907" s="56"/>
      <c r="AU907" s="56"/>
      <c r="AV907" s="56"/>
      <c r="AW907" s="56"/>
      <c r="AX907" s="56"/>
      <c r="BA907" s="1" t="s">
        <v>19</v>
      </c>
    </row>
    <row r="908" spans="1:53">
      <c r="A908" t="s">
        <v>6</v>
      </c>
      <c r="B908" s="16">
        <v>31121.595850000002</v>
      </c>
      <c r="C908" s="17">
        <v>11.75</v>
      </c>
      <c r="T908" s="17"/>
      <c r="U908" s="17"/>
      <c r="V908" s="17"/>
      <c r="W908" s="17"/>
      <c r="AI908" s="29" t="str">
        <f t="shared" si="30"/>
        <v/>
      </c>
      <c r="AS908" s="56"/>
      <c r="AT908" s="56"/>
      <c r="AU908" s="56"/>
      <c r="AV908" s="56"/>
      <c r="AW908" s="56"/>
      <c r="AX908" s="56"/>
      <c r="BA908" s="1" t="s">
        <v>19</v>
      </c>
    </row>
    <row r="909" spans="1:53">
      <c r="A909" t="s">
        <v>6</v>
      </c>
      <c r="B909" s="16">
        <v>31212.9064</v>
      </c>
      <c r="C909" s="17">
        <v>12</v>
      </c>
      <c r="T909" s="17"/>
      <c r="U909" s="17"/>
      <c r="V909" s="17"/>
      <c r="W909" s="17"/>
      <c r="AI909" s="29" t="str">
        <f t="shared" si="30"/>
        <v/>
      </c>
      <c r="AS909" s="56"/>
      <c r="AT909" s="56"/>
      <c r="AU909" s="56"/>
      <c r="AV909" s="56"/>
      <c r="AW909" s="56"/>
      <c r="AX909" s="56"/>
      <c r="BA909" s="1" t="s">
        <v>19</v>
      </c>
    </row>
    <row r="910" spans="1:53">
      <c r="A910" t="s">
        <v>6</v>
      </c>
      <c r="B910" s="16">
        <v>31304.216950000002</v>
      </c>
      <c r="C910" s="17">
        <v>12.25</v>
      </c>
      <c r="T910" s="17"/>
      <c r="U910" s="17"/>
      <c r="V910" s="17"/>
      <c r="W910" s="17"/>
      <c r="AI910" s="29" t="str">
        <f t="shared" si="30"/>
        <v/>
      </c>
      <c r="AS910" s="56"/>
      <c r="AT910" s="56"/>
      <c r="AU910" s="56"/>
      <c r="AV910" s="56"/>
      <c r="AW910" s="56"/>
      <c r="AX910" s="56"/>
      <c r="BA910" s="1" t="s">
        <v>19</v>
      </c>
    </row>
    <row r="911" spans="1:53">
      <c r="A911" t="s">
        <v>6</v>
      </c>
      <c r="B911" s="16">
        <v>31395.5275</v>
      </c>
      <c r="C911" s="17">
        <v>12.5</v>
      </c>
      <c r="T911" s="17"/>
      <c r="U911" s="17"/>
      <c r="V911" s="17"/>
      <c r="W911" s="17"/>
      <c r="AI911" s="29" t="str">
        <f t="shared" si="30"/>
        <v/>
      </c>
      <c r="AS911" s="56"/>
      <c r="AT911" s="56"/>
      <c r="AU911" s="56"/>
      <c r="AV911" s="56"/>
      <c r="AW911" s="56"/>
      <c r="AX911" s="56"/>
      <c r="BA911" s="1" t="s">
        <v>19</v>
      </c>
    </row>
    <row r="912" spans="1:53">
      <c r="A912" t="s">
        <v>6</v>
      </c>
      <c r="B912" s="16">
        <v>31486.838049999998</v>
      </c>
      <c r="C912" s="17">
        <v>12.75</v>
      </c>
      <c r="T912" s="17"/>
      <c r="U912" s="17"/>
      <c r="V912" s="17"/>
      <c r="W912" s="17"/>
      <c r="AI912" s="29" t="str">
        <f t="shared" si="30"/>
        <v/>
      </c>
      <c r="AS912" s="56"/>
      <c r="AT912" s="56"/>
      <c r="AU912" s="56"/>
      <c r="AV912" s="56"/>
      <c r="AW912" s="56"/>
      <c r="AX912" s="56"/>
      <c r="BA912" s="1" t="s">
        <v>19</v>
      </c>
    </row>
    <row r="913" spans="1:53">
      <c r="A913" t="s">
        <v>6</v>
      </c>
      <c r="B913" s="16">
        <v>31578.1486</v>
      </c>
      <c r="C913" s="17">
        <v>13</v>
      </c>
      <c r="T913" s="17"/>
      <c r="U913" s="17"/>
      <c r="V913" s="17"/>
      <c r="W913" s="17"/>
      <c r="AI913" s="29" t="str">
        <f t="shared" si="30"/>
        <v/>
      </c>
      <c r="AS913" s="56"/>
      <c r="AT913" s="56"/>
      <c r="AU913" s="56"/>
      <c r="AV913" s="56"/>
      <c r="AW913" s="56"/>
      <c r="AX913" s="56"/>
      <c r="BA913" s="1" t="s">
        <v>19</v>
      </c>
    </row>
    <row r="914" spans="1:53">
      <c r="A914" t="s">
        <v>6</v>
      </c>
      <c r="B914" s="16">
        <v>31669.459150000002</v>
      </c>
      <c r="C914" s="17">
        <v>13.25</v>
      </c>
      <c r="T914" s="17"/>
      <c r="U914" s="17"/>
      <c r="V914" s="17"/>
      <c r="W914" s="17"/>
      <c r="AI914" s="29" t="str">
        <f t="shared" si="30"/>
        <v/>
      </c>
      <c r="AS914" s="56"/>
      <c r="AT914" s="56"/>
      <c r="AU914" s="56"/>
      <c r="AV914" s="56"/>
      <c r="AW914" s="56"/>
      <c r="AX914" s="56"/>
      <c r="BA914" s="1" t="s">
        <v>19</v>
      </c>
    </row>
    <row r="915" spans="1:53">
      <c r="A915" t="s">
        <v>6</v>
      </c>
      <c r="B915" s="16">
        <v>31760.769700000001</v>
      </c>
      <c r="C915" s="17">
        <v>13.5</v>
      </c>
      <c r="T915" s="17"/>
      <c r="U915" s="17"/>
      <c r="V915" s="17"/>
      <c r="W915" s="17"/>
      <c r="AI915" s="29" t="str">
        <f t="shared" si="30"/>
        <v/>
      </c>
      <c r="AS915" s="56"/>
      <c r="AT915" s="56"/>
      <c r="AU915" s="56"/>
      <c r="AV915" s="56"/>
      <c r="AW915" s="56"/>
      <c r="AX915" s="56"/>
      <c r="BA915" s="1" t="s">
        <v>19</v>
      </c>
    </row>
    <row r="916" spans="1:53">
      <c r="A916" t="s">
        <v>6</v>
      </c>
      <c r="B916" s="16">
        <v>31852.080249999999</v>
      </c>
      <c r="C916" s="17">
        <v>13.75</v>
      </c>
      <c r="T916" s="17"/>
      <c r="U916" s="17"/>
      <c r="V916" s="17"/>
      <c r="W916" s="17"/>
      <c r="AI916" s="29" t="str">
        <f t="shared" si="30"/>
        <v/>
      </c>
      <c r="AS916" s="56"/>
      <c r="AT916" s="56"/>
      <c r="AU916" s="56"/>
      <c r="AV916" s="56"/>
      <c r="AW916" s="56"/>
      <c r="AX916" s="56"/>
      <c r="BA916" s="1" t="s">
        <v>19</v>
      </c>
    </row>
    <row r="917" spans="1:53">
      <c r="A917" t="s">
        <v>6</v>
      </c>
      <c r="B917" s="16">
        <v>31943.390800000001</v>
      </c>
      <c r="C917" s="17">
        <v>14</v>
      </c>
      <c r="T917" s="17"/>
      <c r="U917" s="17"/>
      <c r="V917" s="17"/>
      <c r="W917" s="17"/>
      <c r="AI917" s="29" t="str">
        <f t="shared" si="30"/>
        <v/>
      </c>
      <c r="AS917" s="56"/>
      <c r="AT917" s="56"/>
      <c r="AU917" s="56"/>
      <c r="AV917" s="56"/>
      <c r="AW917" s="56"/>
      <c r="AX917" s="56"/>
      <c r="BA917" s="1" t="s">
        <v>19</v>
      </c>
    </row>
    <row r="918" spans="1:53">
      <c r="A918" t="s">
        <v>6</v>
      </c>
      <c r="B918" s="16">
        <v>32034.701349999999</v>
      </c>
      <c r="C918" s="17">
        <v>14.25</v>
      </c>
      <c r="T918" s="17"/>
      <c r="U918" s="17"/>
      <c r="V918" s="17"/>
      <c r="W918" s="17"/>
      <c r="AI918" s="29" t="str">
        <f t="shared" si="30"/>
        <v/>
      </c>
      <c r="AS918" s="56"/>
      <c r="AT918" s="56"/>
      <c r="AU918" s="56"/>
      <c r="AV918" s="56"/>
      <c r="AW918" s="56"/>
      <c r="AX918" s="56"/>
      <c r="BA918" s="1" t="s">
        <v>19</v>
      </c>
    </row>
    <row r="919" spans="1:53">
      <c r="A919" t="s">
        <v>6</v>
      </c>
      <c r="B919" s="16">
        <v>32126.011900000001</v>
      </c>
      <c r="C919" s="17">
        <v>14.5</v>
      </c>
      <c r="T919" s="17"/>
      <c r="U919" s="17"/>
      <c r="V919" s="17"/>
      <c r="W919" s="17"/>
      <c r="AI919" s="29" t="str">
        <f t="shared" si="30"/>
        <v/>
      </c>
      <c r="AS919" s="56"/>
      <c r="AT919" s="56"/>
      <c r="AU919" s="56"/>
      <c r="AV919" s="56"/>
      <c r="AW919" s="56"/>
      <c r="AX919" s="56"/>
      <c r="BA919" s="1" t="s">
        <v>19</v>
      </c>
    </row>
    <row r="920" spans="1:53">
      <c r="A920" t="s">
        <v>6</v>
      </c>
      <c r="B920" s="16">
        <v>32217.32245</v>
      </c>
      <c r="C920" s="17">
        <v>14.75</v>
      </c>
      <c r="T920" s="17"/>
      <c r="U920" s="17"/>
      <c r="V920" s="17"/>
      <c r="W920" s="17"/>
      <c r="AI920" s="29" t="str">
        <f t="shared" si="30"/>
        <v/>
      </c>
      <c r="AS920" s="56"/>
      <c r="AT920" s="56"/>
      <c r="AU920" s="56"/>
      <c r="AV920" s="56"/>
      <c r="AW920" s="56"/>
      <c r="AX920" s="56"/>
      <c r="BA920" s="1" t="s">
        <v>19</v>
      </c>
    </row>
    <row r="921" spans="1:53">
      <c r="A921" t="s">
        <v>6</v>
      </c>
      <c r="B921" s="16">
        <v>32308.633000000002</v>
      </c>
      <c r="C921" s="17">
        <v>15</v>
      </c>
      <c r="T921" s="17"/>
      <c r="U921" s="17"/>
      <c r="V921" s="17"/>
      <c r="W921" s="17"/>
      <c r="AI921" s="29" t="str">
        <f t="shared" si="30"/>
        <v/>
      </c>
      <c r="AS921" s="56"/>
      <c r="AT921" s="56"/>
      <c r="AU921" s="56"/>
      <c r="AV921" s="56"/>
      <c r="AW921" s="56"/>
      <c r="AX921" s="56"/>
      <c r="BA921" s="1" t="s">
        <v>19</v>
      </c>
    </row>
    <row r="922" spans="1:53">
      <c r="A922" t="s">
        <v>6</v>
      </c>
      <c r="B922" s="16">
        <v>32399.94355</v>
      </c>
      <c r="C922" s="17">
        <v>15.25</v>
      </c>
      <c r="T922" s="17"/>
      <c r="U922" s="17"/>
      <c r="V922" s="17"/>
      <c r="W922" s="17"/>
      <c r="AI922" s="29" t="str">
        <f t="shared" si="30"/>
        <v/>
      </c>
      <c r="AS922" s="56"/>
      <c r="AT922" s="56"/>
      <c r="AU922" s="56"/>
      <c r="AV922" s="56"/>
      <c r="AW922" s="56"/>
      <c r="AX922" s="56"/>
      <c r="BA922" s="1" t="s">
        <v>19</v>
      </c>
    </row>
    <row r="923" spans="1:53">
      <c r="A923" t="s">
        <v>6</v>
      </c>
      <c r="B923" s="16">
        <v>32491.254099999998</v>
      </c>
      <c r="C923" s="17">
        <v>15.5</v>
      </c>
      <c r="T923" s="17"/>
      <c r="U923" s="17"/>
      <c r="V923" s="17"/>
      <c r="W923" s="17"/>
      <c r="AI923" s="29" t="str">
        <f t="shared" si="30"/>
        <v/>
      </c>
      <c r="AS923" s="56"/>
      <c r="AT923" s="56"/>
      <c r="AU923" s="56"/>
      <c r="AV923" s="56"/>
      <c r="AW923" s="56"/>
      <c r="AX923" s="56"/>
      <c r="BA923" s="1" t="s">
        <v>19</v>
      </c>
    </row>
    <row r="924" spans="1:53">
      <c r="A924" t="s">
        <v>6</v>
      </c>
      <c r="B924" s="16">
        <v>32582.56465</v>
      </c>
      <c r="C924" s="17">
        <v>15.75</v>
      </c>
      <c r="T924" s="17"/>
      <c r="U924" s="17"/>
      <c r="V924" s="17"/>
      <c r="W924" s="17"/>
      <c r="AI924" s="29" t="str">
        <f t="shared" si="30"/>
        <v/>
      </c>
      <c r="AS924" s="56"/>
      <c r="AT924" s="56"/>
      <c r="AU924" s="56"/>
      <c r="AV924" s="56"/>
      <c r="AW924" s="56"/>
      <c r="AX924" s="56"/>
      <c r="BA924" s="1" t="s">
        <v>19</v>
      </c>
    </row>
    <row r="925" spans="1:53">
      <c r="A925" t="s">
        <v>6</v>
      </c>
      <c r="B925" s="16">
        <v>32673.875200000002</v>
      </c>
      <c r="C925" s="17">
        <v>16</v>
      </c>
      <c r="T925" s="17"/>
      <c r="U925" s="17"/>
      <c r="V925" s="17"/>
      <c r="W925" s="17"/>
      <c r="AI925" s="29" t="str">
        <f t="shared" si="30"/>
        <v/>
      </c>
      <c r="AS925" s="56"/>
      <c r="AT925" s="56"/>
      <c r="AU925" s="56"/>
      <c r="AV925" s="56"/>
      <c r="AW925" s="56"/>
      <c r="AX925" s="56"/>
      <c r="BA925" s="1" t="s">
        <v>19</v>
      </c>
    </row>
    <row r="926" spans="1:53">
      <c r="A926" t="s">
        <v>6</v>
      </c>
      <c r="B926" s="16">
        <v>32765.185750000001</v>
      </c>
      <c r="C926" s="17">
        <v>16.25</v>
      </c>
      <c r="T926" s="17"/>
      <c r="U926" s="17"/>
      <c r="V926" s="17"/>
      <c r="W926" s="17"/>
      <c r="AI926" s="29" t="str">
        <f t="shared" si="30"/>
        <v/>
      </c>
      <c r="AS926" s="56"/>
      <c r="AT926" s="56"/>
      <c r="AU926" s="56"/>
      <c r="AV926" s="56"/>
      <c r="AW926" s="56"/>
      <c r="AX926" s="56"/>
      <c r="BA926" s="1" t="s">
        <v>19</v>
      </c>
    </row>
    <row r="927" spans="1:53">
      <c r="A927" t="s">
        <v>6</v>
      </c>
      <c r="B927" s="16">
        <v>32856.496299999999</v>
      </c>
      <c r="C927" s="17">
        <v>16.5</v>
      </c>
      <c r="T927" s="17"/>
      <c r="U927" s="17"/>
      <c r="V927" s="17"/>
      <c r="W927" s="17"/>
      <c r="AI927" s="29" t="str">
        <f t="shared" si="30"/>
        <v/>
      </c>
      <c r="AS927" s="56"/>
      <c r="AT927" s="56"/>
      <c r="AU927" s="56"/>
      <c r="AV927" s="56"/>
      <c r="AW927" s="56"/>
      <c r="AX927" s="56"/>
      <c r="BA927" s="1" t="s">
        <v>19</v>
      </c>
    </row>
    <row r="928" spans="1:53">
      <c r="A928" t="s">
        <v>6</v>
      </c>
      <c r="B928" s="16">
        <v>32947.806850000001</v>
      </c>
      <c r="C928" s="17">
        <v>16.75</v>
      </c>
      <c r="T928" s="17"/>
      <c r="U928" s="17"/>
      <c r="V928" s="17"/>
      <c r="W928" s="17"/>
      <c r="AI928" s="29" t="str">
        <f t="shared" si="30"/>
        <v/>
      </c>
      <c r="AS928" s="56"/>
      <c r="AT928" s="56"/>
      <c r="AU928" s="56"/>
      <c r="AV928" s="56"/>
      <c r="AW928" s="56"/>
      <c r="AX928" s="56"/>
      <c r="BA928" s="1" t="s">
        <v>19</v>
      </c>
    </row>
    <row r="929" spans="1:53">
      <c r="A929" t="s">
        <v>6</v>
      </c>
      <c r="B929" s="16">
        <v>33039.117400000003</v>
      </c>
      <c r="C929" s="17">
        <v>17</v>
      </c>
      <c r="T929" s="17"/>
      <c r="U929" s="17"/>
      <c r="V929" s="17"/>
      <c r="W929" s="17"/>
      <c r="AI929" s="29" t="str">
        <f t="shared" si="30"/>
        <v/>
      </c>
      <c r="AS929" s="56"/>
      <c r="AT929" s="56"/>
      <c r="AU929" s="56"/>
      <c r="AV929" s="56"/>
      <c r="AW929" s="56"/>
      <c r="AX929" s="56"/>
      <c r="BA929" s="1" t="s">
        <v>19</v>
      </c>
    </row>
    <row r="930" spans="1:53">
      <c r="A930" t="s">
        <v>6</v>
      </c>
      <c r="B930" s="16">
        <v>33130.427949999998</v>
      </c>
      <c r="C930" s="17">
        <v>17.25</v>
      </c>
      <c r="T930" s="17"/>
      <c r="U930" s="17"/>
      <c r="V930" s="17"/>
      <c r="W930" s="17"/>
      <c r="AI930" s="29" t="str">
        <f t="shared" si="30"/>
        <v/>
      </c>
      <c r="AS930" s="56"/>
      <c r="AT930" s="56"/>
      <c r="AU930" s="56"/>
      <c r="AV930" s="56"/>
      <c r="AW930" s="56"/>
      <c r="AX930" s="56"/>
      <c r="BA930" s="1" t="s">
        <v>19</v>
      </c>
    </row>
    <row r="931" spans="1:53">
      <c r="A931" t="s">
        <v>6</v>
      </c>
      <c r="B931" s="16">
        <v>33221.738499999999</v>
      </c>
      <c r="C931" s="17">
        <v>17.5</v>
      </c>
      <c r="T931" s="17"/>
      <c r="U931" s="17"/>
      <c r="V931" s="17"/>
      <c r="W931" s="17"/>
      <c r="AI931" s="29" t="str">
        <f t="shared" si="30"/>
        <v/>
      </c>
      <c r="AS931" s="56"/>
      <c r="AT931" s="56"/>
      <c r="AU931" s="56"/>
      <c r="AV931" s="56"/>
      <c r="AW931" s="56"/>
      <c r="AX931" s="56"/>
      <c r="BA931" s="1" t="s">
        <v>19</v>
      </c>
    </row>
    <row r="932" spans="1:53">
      <c r="A932" t="s">
        <v>6</v>
      </c>
      <c r="B932" s="16">
        <v>33313.049050000001</v>
      </c>
      <c r="C932" s="17">
        <v>17.75</v>
      </c>
      <c r="T932" s="17"/>
      <c r="U932" s="17"/>
      <c r="V932" s="17"/>
      <c r="W932" s="17"/>
      <c r="AI932" s="29" t="str">
        <f t="shared" si="30"/>
        <v/>
      </c>
      <c r="AS932" s="56"/>
      <c r="AT932" s="56"/>
      <c r="AU932" s="56"/>
      <c r="AV932" s="56"/>
      <c r="AW932" s="56"/>
      <c r="AX932" s="56"/>
      <c r="BA932" s="1" t="s">
        <v>19</v>
      </c>
    </row>
    <row r="933" spans="1:53">
      <c r="A933" t="s">
        <v>6</v>
      </c>
      <c r="B933" s="16">
        <v>33404.359600000003</v>
      </c>
      <c r="C933" s="17">
        <v>18</v>
      </c>
      <c r="T933" s="17"/>
      <c r="U933" s="17"/>
      <c r="V933" s="17"/>
      <c r="W933" s="17"/>
      <c r="AI933" s="29" t="str">
        <f t="shared" si="30"/>
        <v/>
      </c>
      <c r="AS933" s="56"/>
      <c r="AT933" s="56"/>
      <c r="AU933" s="56"/>
      <c r="AV933" s="56"/>
      <c r="AW933" s="56"/>
      <c r="AX933" s="56"/>
      <c r="BA933" s="1" t="s">
        <v>19</v>
      </c>
    </row>
    <row r="934" spans="1:53">
      <c r="A934" t="s">
        <v>6</v>
      </c>
      <c r="B934" s="16">
        <v>33495.670149999998</v>
      </c>
      <c r="C934" s="17">
        <v>18.25</v>
      </c>
      <c r="T934" s="17"/>
      <c r="U934" s="17"/>
      <c r="V934" s="17"/>
      <c r="W934" s="17"/>
      <c r="AI934" s="29" t="str">
        <f t="shared" si="30"/>
        <v/>
      </c>
      <c r="AS934" s="56"/>
      <c r="AT934" s="56"/>
      <c r="AU934" s="56"/>
      <c r="AV934" s="56"/>
      <c r="AW934" s="56"/>
      <c r="AX934" s="56"/>
      <c r="BA934" s="1" t="s">
        <v>19</v>
      </c>
    </row>
    <row r="935" spans="1:53">
      <c r="A935" t="s">
        <v>6</v>
      </c>
      <c r="B935" s="16">
        <v>33586.9807</v>
      </c>
      <c r="C935" s="17">
        <v>18.5</v>
      </c>
      <c r="T935" s="17"/>
      <c r="U935" s="17"/>
      <c r="V935" s="17"/>
      <c r="W935" s="17"/>
      <c r="AI935" s="29" t="str">
        <f t="shared" si="30"/>
        <v/>
      </c>
      <c r="AS935" s="56"/>
      <c r="AT935" s="56"/>
      <c r="AU935" s="56"/>
      <c r="AV935" s="56"/>
      <c r="AW935" s="56"/>
      <c r="AX935" s="56"/>
      <c r="BA935" s="1" t="s">
        <v>19</v>
      </c>
    </row>
    <row r="936" spans="1:53">
      <c r="A936" t="s">
        <v>6</v>
      </c>
      <c r="B936" s="16">
        <v>33678.291250000002</v>
      </c>
      <c r="C936" s="17">
        <v>18.75</v>
      </c>
      <c r="T936" s="17"/>
      <c r="U936" s="17"/>
      <c r="V936" s="17"/>
      <c r="W936" s="17"/>
      <c r="AI936" s="29" t="str">
        <f t="shared" si="30"/>
        <v/>
      </c>
      <c r="AS936" s="56"/>
      <c r="AT936" s="56"/>
      <c r="AU936" s="56"/>
      <c r="AV936" s="56"/>
      <c r="AW936" s="56"/>
      <c r="AX936" s="56"/>
      <c r="BA936" s="1" t="s">
        <v>19</v>
      </c>
    </row>
    <row r="937" spans="1:53">
      <c r="A937" t="s">
        <v>6</v>
      </c>
      <c r="B937" s="16">
        <v>33769.601800000004</v>
      </c>
      <c r="C937" s="17">
        <v>19</v>
      </c>
      <c r="T937" s="17"/>
      <c r="U937" s="17"/>
      <c r="V937" s="17"/>
      <c r="W937" s="17"/>
      <c r="AI937" s="29" t="str">
        <f t="shared" si="30"/>
        <v/>
      </c>
      <c r="AS937" s="56"/>
      <c r="AT937" s="56"/>
      <c r="AU937" s="56"/>
      <c r="AV937" s="56"/>
      <c r="AW937" s="56"/>
      <c r="AX937" s="56"/>
      <c r="BA937" s="1" t="s">
        <v>19</v>
      </c>
    </row>
    <row r="938" spans="1:53">
      <c r="A938" t="s">
        <v>6</v>
      </c>
      <c r="B938" s="16">
        <v>34134.843999999997</v>
      </c>
      <c r="C938" s="17">
        <v>20</v>
      </c>
      <c r="T938" s="17"/>
      <c r="U938" s="17"/>
      <c r="V938" s="17"/>
      <c r="W938" s="17"/>
      <c r="AI938" s="29" t="str">
        <f t="shared" si="30"/>
        <v/>
      </c>
      <c r="AS938" s="56"/>
      <c r="AT938" s="56"/>
      <c r="AU938" s="56"/>
      <c r="AV938" s="56"/>
      <c r="AW938" s="56"/>
      <c r="AX938" s="56"/>
      <c r="BA938" s="1" t="s">
        <v>19</v>
      </c>
    </row>
    <row r="939" spans="1:53">
      <c r="A939" t="s">
        <v>16</v>
      </c>
      <c r="B939" s="16">
        <v>30573.732550000001</v>
      </c>
      <c r="C939" s="17">
        <v>10.25</v>
      </c>
      <c r="T939" s="17"/>
      <c r="U939" s="17"/>
      <c r="V939" s="17"/>
      <c r="W939" s="17"/>
      <c r="AI939" s="29" t="str">
        <f t="shared" si="30"/>
        <v/>
      </c>
      <c r="AS939" s="56"/>
      <c r="AT939" s="56"/>
      <c r="AU939" s="56"/>
      <c r="AV939" s="56"/>
      <c r="AW939" s="56"/>
      <c r="AX939" s="56"/>
      <c r="BA939" s="1" t="s">
        <v>19</v>
      </c>
    </row>
    <row r="940" spans="1:53">
      <c r="A940" t="s">
        <v>16</v>
      </c>
      <c r="B940" s="16">
        <v>30665.043099999999</v>
      </c>
      <c r="C940" s="17">
        <v>10.5</v>
      </c>
      <c r="T940" s="17"/>
      <c r="U940" s="17"/>
      <c r="V940" s="17"/>
      <c r="W940" s="17"/>
      <c r="AI940" s="29" t="str">
        <f t="shared" si="30"/>
        <v/>
      </c>
      <c r="AS940" s="56"/>
      <c r="AT940" s="56"/>
      <c r="AU940" s="56"/>
      <c r="AV940" s="56"/>
      <c r="AW940" s="56"/>
      <c r="AX940" s="56"/>
      <c r="BA940" s="1" t="s">
        <v>19</v>
      </c>
    </row>
    <row r="941" spans="1:53">
      <c r="A941" t="s">
        <v>16</v>
      </c>
      <c r="B941" s="16">
        <v>30756.353650000001</v>
      </c>
      <c r="C941" s="17">
        <v>10.75</v>
      </c>
      <c r="T941" s="17"/>
      <c r="U941" s="17"/>
      <c r="V941" s="17"/>
      <c r="W941" s="17"/>
      <c r="AI941" s="29" t="str">
        <f t="shared" si="30"/>
        <v/>
      </c>
      <c r="AS941" s="56"/>
      <c r="AT941" s="56"/>
      <c r="AU941" s="56"/>
      <c r="AV941" s="56"/>
      <c r="AW941" s="56"/>
      <c r="AX941" s="56"/>
      <c r="BA941" s="1" t="s">
        <v>19</v>
      </c>
    </row>
    <row r="942" spans="1:53">
      <c r="A942" t="s">
        <v>16</v>
      </c>
      <c r="B942" s="16">
        <v>30847.664199999999</v>
      </c>
      <c r="C942" s="17">
        <v>11</v>
      </c>
      <c r="T942" s="17"/>
      <c r="U942" s="17"/>
      <c r="V942" s="17"/>
      <c r="W942" s="17"/>
      <c r="AI942" s="29" t="str">
        <f t="shared" si="30"/>
        <v/>
      </c>
      <c r="AS942" s="56"/>
      <c r="AT942" s="56"/>
      <c r="AU942" s="56"/>
      <c r="AV942" s="56"/>
      <c r="AW942" s="56"/>
      <c r="AX942" s="56"/>
      <c r="BA942" s="1" t="s">
        <v>19</v>
      </c>
    </row>
    <row r="943" spans="1:53">
      <c r="A943" t="s">
        <v>16</v>
      </c>
      <c r="B943" s="16">
        <v>30938.974750000001</v>
      </c>
      <c r="C943" s="17">
        <v>11.25</v>
      </c>
      <c r="T943" s="17"/>
      <c r="U943" s="17"/>
      <c r="V943" s="17"/>
      <c r="W943" s="17"/>
      <c r="AI943" s="29" t="str">
        <f t="shared" si="30"/>
        <v/>
      </c>
      <c r="AS943" s="56"/>
      <c r="AT943" s="56"/>
      <c r="AU943" s="56"/>
      <c r="AV943" s="56"/>
      <c r="AW943" s="56"/>
      <c r="AX943" s="56"/>
      <c r="BA943" s="1" t="s">
        <v>19</v>
      </c>
    </row>
    <row r="944" spans="1:53">
      <c r="A944" t="s">
        <v>16</v>
      </c>
      <c r="B944" s="16">
        <v>31030.2853</v>
      </c>
      <c r="C944" s="17">
        <v>11.5</v>
      </c>
      <c r="T944" s="17"/>
      <c r="U944" s="17"/>
      <c r="V944" s="17"/>
      <c r="W944" s="17"/>
      <c r="AI944" s="29" t="str">
        <f t="shared" si="30"/>
        <v/>
      </c>
      <c r="AS944" s="56"/>
      <c r="AT944" s="56"/>
      <c r="AU944" s="56"/>
      <c r="AV944" s="56"/>
      <c r="AW944" s="56"/>
      <c r="AX944" s="56"/>
      <c r="BA944" s="1" t="s">
        <v>19</v>
      </c>
    </row>
    <row r="945" spans="1:53">
      <c r="A945" t="s">
        <v>16</v>
      </c>
      <c r="B945" s="16">
        <v>31121.595850000002</v>
      </c>
      <c r="C945" s="17">
        <v>11.75</v>
      </c>
      <c r="T945" s="17"/>
      <c r="U945" s="17"/>
      <c r="V945" s="17"/>
      <c r="W945" s="17"/>
      <c r="AI945" s="29" t="str">
        <f t="shared" si="30"/>
        <v/>
      </c>
      <c r="AS945" s="56"/>
      <c r="AT945" s="56"/>
      <c r="AU945" s="56"/>
      <c r="AV945" s="56"/>
      <c r="AW945" s="56"/>
      <c r="AX945" s="56"/>
      <c r="BA945" s="1" t="s">
        <v>19</v>
      </c>
    </row>
    <row r="946" spans="1:53">
      <c r="A946" t="s">
        <v>16</v>
      </c>
      <c r="B946" s="16">
        <v>31212.9064</v>
      </c>
      <c r="C946" s="17">
        <v>12</v>
      </c>
      <c r="T946" s="17"/>
      <c r="U946" s="17"/>
      <c r="V946" s="17"/>
      <c r="W946" s="17"/>
      <c r="AI946" s="29" t="str">
        <f t="shared" si="30"/>
        <v/>
      </c>
      <c r="AS946" s="56"/>
      <c r="AT946" s="56"/>
      <c r="AU946" s="56"/>
      <c r="AV946" s="56"/>
      <c r="AW946" s="56"/>
      <c r="AX946" s="56"/>
      <c r="BA946" s="1" t="s">
        <v>19</v>
      </c>
    </row>
    <row r="947" spans="1:53">
      <c r="A947" t="s">
        <v>16</v>
      </c>
      <c r="B947" s="16">
        <v>31304.216950000002</v>
      </c>
      <c r="C947" s="17">
        <v>12.25</v>
      </c>
      <c r="T947" s="17"/>
      <c r="U947" s="17"/>
      <c r="V947" s="17"/>
      <c r="W947" s="17"/>
      <c r="AI947" s="29" t="str">
        <f t="shared" si="30"/>
        <v/>
      </c>
      <c r="AS947" s="56"/>
      <c r="AT947" s="56"/>
      <c r="AU947" s="56"/>
      <c r="AV947" s="56"/>
      <c r="AW947" s="56"/>
      <c r="AX947" s="56"/>
      <c r="BA947" s="1" t="s">
        <v>19</v>
      </c>
    </row>
    <row r="948" spans="1:53">
      <c r="A948" t="s">
        <v>16</v>
      </c>
      <c r="B948" s="16">
        <v>31395.5275</v>
      </c>
      <c r="C948" s="17">
        <v>12.5</v>
      </c>
      <c r="T948" s="17"/>
      <c r="U948" s="17"/>
      <c r="V948" s="17"/>
      <c r="W948" s="17"/>
      <c r="AI948" s="29" t="str">
        <f t="shared" si="30"/>
        <v/>
      </c>
      <c r="AS948" s="56"/>
      <c r="AT948" s="56"/>
      <c r="AU948" s="56"/>
      <c r="AV948" s="56"/>
      <c r="AW948" s="56"/>
      <c r="AX948" s="56"/>
      <c r="BA948" s="1" t="s">
        <v>19</v>
      </c>
    </row>
    <row r="949" spans="1:53">
      <c r="A949" t="s">
        <v>16</v>
      </c>
      <c r="B949" s="16">
        <v>31486.838049999998</v>
      </c>
      <c r="C949" s="17">
        <v>12.75</v>
      </c>
      <c r="T949" s="17"/>
      <c r="U949" s="17"/>
      <c r="V949" s="17"/>
      <c r="W949" s="17"/>
      <c r="AI949" s="29" t="str">
        <f t="shared" si="30"/>
        <v/>
      </c>
      <c r="AS949" s="56"/>
      <c r="AT949" s="56"/>
      <c r="AU949" s="56"/>
      <c r="AV949" s="56"/>
      <c r="AW949" s="56"/>
      <c r="AX949" s="56"/>
      <c r="BA949" s="1" t="s">
        <v>19</v>
      </c>
    </row>
    <row r="950" spans="1:53">
      <c r="A950" t="s">
        <v>16</v>
      </c>
      <c r="B950" s="16">
        <v>31578.1486</v>
      </c>
      <c r="C950" s="17">
        <v>13</v>
      </c>
      <c r="T950" s="17"/>
      <c r="U950" s="17"/>
      <c r="V950" s="17"/>
      <c r="W950" s="17"/>
      <c r="AI950" s="29" t="str">
        <f t="shared" si="30"/>
        <v/>
      </c>
      <c r="AS950" s="56"/>
      <c r="AT950" s="56"/>
      <c r="AU950" s="56"/>
      <c r="AV950" s="56"/>
      <c r="AW950" s="56"/>
      <c r="AX950" s="56"/>
      <c r="BA950" s="1" t="s">
        <v>19</v>
      </c>
    </row>
    <row r="951" spans="1:53">
      <c r="A951" t="s">
        <v>16</v>
      </c>
      <c r="B951" s="16">
        <v>31669.459150000002</v>
      </c>
      <c r="C951" s="17">
        <v>13.25</v>
      </c>
      <c r="T951" s="17"/>
      <c r="U951" s="17"/>
      <c r="V951" s="17"/>
      <c r="W951" s="17"/>
      <c r="AI951" s="29" t="str">
        <f t="shared" si="30"/>
        <v/>
      </c>
      <c r="AS951" s="56"/>
      <c r="AT951" s="56"/>
      <c r="AU951" s="56"/>
      <c r="AV951" s="56"/>
      <c r="AW951" s="56"/>
      <c r="AX951" s="56"/>
      <c r="BA951" s="1" t="s">
        <v>19</v>
      </c>
    </row>
    <row r="952" spans="1:53">
      <c r="A952" t="s">
        <v>16</v>
      </c>
      <c r="B952" s="16">
        <v>31760.769700000001</v>
      </c>
      <c r="C952" s="17">
        <v>13.5</v>
      </c>
      <c r="T952" s="17"/>
      <c r="U952" s="17"/>
      <c r="V952" s="17"/>
      <c r="W952" s="17"/>
      <c r="AI952" s="29" t="str">
        <f t="shared" si="30"/>
        <v/>
      </c>
      <c r="AS952" s="56"/>
      <c r="AT952" s="56"/>
      <c r="AU952" s="56"/>
      <c r="AV952" s="56"/>
      <c r="AW952" s="56"/>
      <c r="AX952" s="56"/>
      <c r="BA952" s="1" t="s">
        <v>19</v>
      </c>
    </row>
    <row r="953" spans="1:53">
      <c r="A953" t="s">
        <v>16</v>
      </c>
      <c r="B953" s="16">
        <v>31852.080249999999</v>
      </c>
      <c r="C953" s="17">
        <v>13.75</v>
      </c>
      <c r="T953" s="17"/>
      <c r="U953" s="17"/>
      <c r="V953" s="17"/>
      <c r="W953" s="17"/>
      <c r="AI953" s="29" t="str">
        <f t="shared" si="30"/>
        <v/>
      </c>
      <c r="AS953" s="56"/>
      <c r="AT953" s="56"/>
      <c r="AU953" s="56"/>
      <c r="AV953" s="56"/>
      <c r="AW953" s="56"/>
      <c r="AX953" s="56"/>
      <c r="BA953" s="1" t="s">
        <v>19</v>
      </c>
    </row>
    <row r="954" spans="1:53">
      <c r="A954" t="s">
        <v>16</v>
      </c>
      <c r="B954" s="16">
        <v>31943.390800000001</v>
      </c>
      <c r="C954" s="17">
        <v>14</v>
      </c>
      <c r="T954" s="17"/>
      <c r="U954" s="17"/>
      <c r="V954" s="17"/>
      <c r="W954" s="17"/>
      <c r="AI954" s="29" t="str">
        <f t="shared" si="30"/>
        <v/>
      </c>
      <c r="AS954" s="56"/>
      <c r="AT954" s="56"/>
      <c r="AU954" s="56"/>
      <c r="AV954" s="56"/>
      <c r="AW954" s="56"/>
      <c r="AX954" s="56"/>
      <c r="BA954" s="1" t="s">
        <v>19</v>
      </c>
    </row>
    <row r="955" spans="1:53">
      <c r="A955" t="s">
        <v>16</v>
      </c>
      <c r="B955" s="16">
        <v>32034.701349999999</v>
      </c>
      <c r="C955" s="17">
        <v>14.25</v>
      </c>
      <c r="T955" s="17"/>
      <c r="U955" s="17"/>
      <c r="V955" s="17"/>
      <c r="W955" s="17"/>
      <c r="AI955" s="29" t="str">
        <f t="shared" si="30"/>
        <v/>
      </c>
      <c r="AS955" s="56"/>
      <c r="AT955" s="56"/>
      <c r="AU955" s="56"/>
      <c r="AV955" s="56"/>
      <c r="AW955" s="56"/>
      <c r="AX955" s="56"/>
      <c r="BA955" s="1" t="s">
        <v>19</v>
      </c>
    </row>
    <row r="956" spans="1:53">
      <c r="A956" t="s">
        <v>16</v>
      </c>
      <c r="B956" s="16">
        <v>32126.011900000001</v>
      </c>
      <c r="C956" s="17">
        <v>14.5</v>
      </c>
      <c r="T956" s="17"/>
      <c r="U956" s="17"/>
      <c r="V956" s="17"/>
      <c r="W956" s="17"/>
      <c r="AI956" s="29" t="str">
        <f t="shared" si="30"/>
        <v/>
      </c>
      <c r="AS956" s="56"/>
      <c r="AT956" s="56"/>
      <c r="AU956" s="56"/>
      <c r="AV956" s="56"/>
      <c r="AW956" s="56"/>
      <c r="AX956" s="56"/>
      <c r="BA956" s="1" t="s">
        <v>19</v>
      </c>
    </row>
    <row r="957" spans="1:53">
      <c r="A957" t="s">
        <v>16</v>
      </c>
      <c r="B957" s="16">
        <v>32217.32245</v>
      </c>
      <c r="C957" s="17">
        <v>14.75</v>
      </c>
      <c r="T957" s="17"/>
      <c r="U957" s="17"/>
      <c r="V957" s="17"/>
      <c r="W957" s="17"/>
      <c r="AI957" s="29" t="str">
        <f t="shared" si="30"/>
        <v/>
      </c>
      <c r="AS957" s="56"/>
      <c r="AT957" s="56"/>
      <c r="AU957" s="56"/>
      <c r="AV957" s="56"/>
      <c r="AW957" s="56"/>
      <c r="AX957" s="56"/>
      <c r="BA957" s="1" t="s">
        <v>19</v>
      </c>
    </row>
    <row r="958" spans="1:53">
      <c r="A958" t="s">
        <v>16</v>
      </c>
      <c r="B958" s="16">
        <v>32308.633000000002</v>
      </c>
      <c r="C958" s="17">
        <v>15</v>
      </c>
      <c r="T958" s="17"/>
      <c r="U958" s="17"/>
      <c r="V958" s="17"/>
      <c r="W958" s="17"/>
      <c r="AI958" s="29" t="str">
        <f t="shared" si="30"/>
        <v/>
      </c>
      <c r="AS958" s="56"/>
      <c r="AT958" s="56"/>
      <c r="AU958" s="56"/>
      <c r="AV958" s="56"/>
      <c r="AW958" s="56"/>
      <c r="AX958" s="56"/>
      <c r="BA958" s="1" t="s">
        <v>19</v>
      </c>
    </row>
    <row r="959" spans="1:53">
      <c r="A959" t="s">
        <v>16</v>
      </c>
      <c r="B959" s="16">
        <v>32399.94355</v>
      </c>
      <c r="C959" s="17">
        <v>15.25</v>
      </c>
      <c r="T959" s="17"/>
      <c r="U959" s="17"/>
      <c r="V959" s="17"/>
      <c r="W959" s="17"/>
      <c r="AI959" s="29" t="str">
        <f t="shared" si="30"/>
        <v/>
      </c>
      <c r="AS959" s="56"/>
      <c r="AT959" s="56"/>
      <c r="AU959" s="56"/>
      <c r="AV959" s="56"/>
      <c r="AW959" s="56"/>
      <c r="AX959" s="56"/>
      <c r="BA959" s="1" t="s">
        <v>19</v>
      </c>
    </row>
    <row r="960" spans="1:53">
      <c r="A960" t="s">
        <v>16</v>
      </c>
      <c r="B960" s="16">
        <v>32491.254099999998</v>
      </c>
      <c r="C960" s="17">
        <v>15.5</v>
      </c>
      <c r="T960" s="17"/>
      <c r="U960" s="17"/>
      <c r="V960" s="17"/>
      <c r="W960" s="17"/>
      <c r="AI960" s="29" t="str">
        <f t="shared" si="30"/>
        <v/>
      </c>
      <c r="AS960" s="56"/>
      <c r="AT960" s="56"/>
      <c r="AU960" s="56"/>
      <c r="AV960" s="56"/>
      <c r="AW960" s="56"/>
      <c r="AX960" s="56"/>
      <c r="BA960" s="1" t="s">
        <v>19</v>
      </c>
    </row>
    <row r="961" spans="1:53">
      <c r="A961" t="s">
        <v>16</v>
      </c>
      <c r="B961" s="16">
        <v>32582.56465</v>
      </c>
      <c r="C961" s="17">
        <v>15.75</v>
      </c>
      <c r="T961" s="17"/>
      <c r="U961" s="17"/>
      <c r="V961" s="17"/>
      <c r="W961" s="17"/>
      <c r="AI961" s="29" t="str">
        <f t="shared" si="30"/>
        <v/>
      </c>
      <c r="AS961" s="56"/>
      <c r="AT961" s="56"/>
      <c r="AU961" s="56"/>
      <c r="AV961" s="56"/>
      <c r="AW961" s="56"/>
      <c r="AX961" s="56"/>
      <c r="BA961" s="1" t="s">
        <v>19</v>
      </c>
    </row>
    <row r="962" spans="1:53">
      <c r="A962" t="s">
        <v>16</v>
      </c>
      <c r="B962" s="16">
        <v>32673.875200000002</v>
      </c>
      <c r="C962" s="17">
        <v>16</v>
      </c>
      <c r="T962" s="17"/>
      <c r="U962" s="17"/>
      <c r="V962" s="17"/>
      <c r="W962" s="17"/>
      <c r="AI962" s="29" t="str">
        <f t="shared" si="30"/>
        <v/>
      </c>
      <c r="AS962" s="56"/>
      <c r="AT962" s="56"/>
      <c r="AU962" s="56"/>
      <c r="AV962" s="56"/>
      <c r="AW962" s="56"/>
      <c r="AX962" s="56"/>
      <c r="BA962" s="1" t="s">
        <v>19</v>
      </c>
    </row>
    <row r="963" spans="1:53">
      <c r="A963" t="s">
        <v>16</v>
      </c>
      <c r="B963" s="16">
        <v>32765.185750000001</v>
      </c>
      <c r="C963" s="17">
        <v>16.25</v>
      </c>
      <c r="T963" s="17"/>
      <c r="U963" s="17"/>
      <c r="V963" s="17"/>
      <c r="W963" s="17"/>
      <c r="AI963" s="29" t="str">
        <f t="shared" ref="AI963:AI1026" si="31">IF(AH963&gt;0.001,AH963/C963,"")</f>
        <v/>
      </c>
      <c r="AS963" s="56"/>
      <c r="AT963" s="56"/>
      <c r="AU963" s="56"/>
      <c r="AV963" s="56"/>
      <c r="AW963" s="56"/>
      <c r="AX963" s="56"/>
      <c r="BA963" s="1" t="s">
        <v>19</v>
      </c>
    </row>
    <row r="964" spans="1:53">
      <c r="A964" t="s">
        <v>16</v>
      </c>
      <c r="B964" s="16">
        <v>32856.496299999999</v>
      </c>
      <c r="C964" s="17">
        <v>16.5</v>
      </c>
      <c r="T964" s="17"/>
      <c r="U964" s="17"/>
      <c r="V964" s="17"/>
      <c r="W964" s="17"/>
      <c r="AI964" s="29" t="str">
        <f t="shared" si="31"/>
        <v/>
      </c>
      <c r="AS964" s="56"/>
      <c r="AT964" s="56"/>
      <c r="AU964" s="56"/>
      <c r="AV964" s="56"/>
      <c r="AW964" s="56"/>
      <c r="AX964" s="56"/>
      <c r="BA964" s="1" t="s">
        <v>19</v>
      </c>
    </row>
    <row r="965" spans="1:53">
      <c r="A965" t="s">
        <v>16</v>
      </c>
      <c r="B965" s="16">
        <v>32947.806850000001</v>
      </c>
      <c r="C965" s="17">
        <v>16.75</v>
      </c>
      <c r="T965" s="17"/>
      <c r="U965" s="17"/>
      <c r="V965" s="17"/>
      <c r="W965" s="17"/>
      <c r="AI965" s="29" t="str">
        <f t="shared" si="31"/>
        <v/>
      </c>
      <c r="AS965" s="56"/>
      <c r="AT965" s="56"/>
      <c r="AU965" s="56"/>
      <c r="AV965" s="56"/>
      <c r="AW965" s="56"/>
      <c r="AX965" s="56"/>
      <c r="BA965" s="1" t="s">
        <v>19</v>
      </c>
    </row>
    <row r="966" spans="1:53">
      <c r="A966" t="s">
        <v>16</v>
      </c>
      <c r="B966" s="16">
        <v>33039.117400000003</v>
      </c>
      <c r="C966" s="17">
        <v>17</v>
      </c>
      <c r="T966" s="17"/>
      <c r="U966" s="17"/>
      <c r="V966" s="17"/>
      <c r="W966" s="17"/>
      <c r="AI966" s="29" t="str">
        <f t="shared" si="31"/>
        <v/>
      </c>
      <c r="AS966" s="56"/>
      <c r="AT966" s="56"/>
      <c r="AU966" s="56"/>
      <c r="AV966" s="56"/>
      <c r="AW966" s="56"/>
      <c r="AX966" s="56"/>
      <c r="BA966" s="1" t="s">
        <v>19</v>
      </c>
    </row>
    <row r="967" spans="1:53">
      <c r="A967" t="s">
        <v>16</v>
      </c>
      <c r="B967" s="16">
        <v>33130.427949999998</v>
      </c>
      <c r="C967" s="17">
        <v>17.25</v>
      </c>
      <c r="T967" s="17"/>
      <c r="U967" s="17"/>
      <c r="V967" s="17"/>
      <c r="W967" s="17"/>
      <c r="AI967" s="29" t="str">
        <f t="shared" si="31"/>
        <v/>
      </c>
      <c r="AS967" s="56"/>
      <c r="AT967" s="56"/>
      <c r="AU967" s="56"/>
      <c r="AV967" s="56"/>
      <c r="AW967" s="56"/>
      <c r="AX967" s="56"/>
      <c r="BA967" s="1" t="s">
        <v>19</v>
      </c>
    </row>
    <row r="968" spans="1:53">
      <c r="A968" t="s">
        <v>16</v>
      </c>
      <c r="B968" s="16">
        <v>33221.738499999999</v>
      </c>
      <c r="C968" s="17">
        <v>17.5</v>
      </c>
      <c r="T968" s="17"/>
      <c r="U968" s="17"/>
      <c r="V968" s="17"/>
      <c r="W968" s="17"/>
      <c r="AI968" s="29" t="str">
        <f t="shared" si="31"/>
        <v/>
      </c>
      <c r="AS968" s="56"/>
      <c r="AT968" s="56"/>
      <c r="AU968" s="56"/>
      <c r="AV968" s="56"/>
      <c r="AW968" s="56"/>
      <c r="AX968" s="56"/>
      <c r="BA968" s="1" t="s">
        <v>19</v>
      </c>
    </row>
    <row r="969" spans="1:53">
      <c r="A969" t="s">
        <v>16</v>
      </c>
      <c r="B969" s="16">
        <v>33313.049050000001</v>
      </c>
      <c r="C969" s="17">
        <v>17.75</v>
      </c>
      <c r="T969" s="17"/>
      <c r="U969" s="17"/>
      <c r="V969" s="17"/>
      <c r="W969" s="17"/>
      <c r="AI969" s="29" t="str">
        <f t="shared" si="31"/>
        <v/>
      </c>
      <c r="AS969" s="56"/>
      <c r="AT969" s="56"/>
      <c r="AU969" s="56"/>
      <c r="AV969" s="56"/>
      <c r="AW969" s="56"/>
      <c r="AX969" s="56"/>
      <c r="BA969" s="1" t="s">
        <v>19</v>
      </c>
    </row>
    <row r="970" spans="1:53">
      <c r="A970" t="s">
        <v>16</v>
      </c>
      <c r="B970" s="16">
        <v>33404.359600000003</v>
      </c>
      <c r="C970" s="17">
        <v>18</v>
      </c>
      <c r="T970" s="17"/>
      <c r="U970" s="17"/>
      <c r="V970" s="17"/>
      <c r="W970" s="17"/>
      <c r="AI970" s="29" t="str">
        <f t="shared" si="31"/>
        <v/>
      </c>
      <c r="AS970" s="56"/>
      <c r="AT970" s="56"/>
      <c r="AU970" s="56"/>
      <c r="AV970" s="56"/>
      <c r="AW970" s="56"/>
      <c r="AX970" s="56"/>
      <c r="BA970" s="1" t="s">
        <v>19</v>
      </c>
    </row>
    <row r="971" spans="1:53">
      <c r="A971" t="s">
        <v>16</v>
      </c>
      <c r="B971" s="16">
        <v>33495.670149999998</v>
      </c>
      <c r="C971" s="17">
        <v>18.25</v>
      </c>
      <c r="T971" s="17"/>
      <c r="U971" s="17"/>
      <c r="V971" s="17"/>
      <c r="W971" s="17"/>
      <c r="AI971" s="29" t="str">
        <f t="shared" si="31"/>
        <v/>
      </c>
      <c r="AS971" s="56"/>
      <c r="AT971" s="56"/>
      <c r="AU971" s="56"/>
      <c r="AV971" s="56"/>
      <c r="AW971" s="56"/>
      <c r="AX971" s="56"/>
      <c r="BA971" s="1" t="s">
        <v>19</v>
      </c>
    </row>
    <row r="972" spans="1:53">
      <c r="A972" t="s">
        <v>16</v>
      </c>
      <c r="B972" s="16">
        <v>33586.9807</v>
      </c>
      <c r="C972" s="17">
        <v>18.5</v>
      </c>
      <c r="T972" s="17"/>
      <c r="U972" s="17"/>
      <c r="V972" s="17"/>
      <c r="W972" s="17"/>
      <c r="AI972" s="29" t="str">
        <f t="shared" si="31"/>
        <v/>
      </c>
      <c r="AS972" s="56"/>
      <c r="AT972" s="56"/>
      <c r="AU972" s="56"/>
      <c r="AV972" s="56"/>
      <c r="AW972" s="56"/>
      <c r="AX972" s="56"/>
      <c r="BA972" s="1" t="s">
        <v>19</v>
      </c>
    </row>
    <row r="973" spans="1:53">
      <c r="A973" t="s">
        <v>16</v>
      </c>
      <c r="B973" s="16">
        <v>33678.291250000002</v>
      </c>
      <c r="C973" s="17">
        <v>18.75</v>
      </c>
      <c r="T973" s="17"/>
      <c r="U973" s="17"/>
      <c r="V973" s="17"/>
      <c r="W973" s="17"/>
      <c r="AI973" s="29" t="str">
        <f t="shared" si="31"/>
        <v/>
      </c>
      <c r="AS973" s="56"/>
      <c r="AT973" s="56"/>
      <c r="AU973" s="56"/>
      <c r="AV973" s="56"/>
      <c r="AW973" s="56"/>
      <c r="AX973" s="56"/>
      <c r="BA973" s="1" t="s">
        <v>19</v>
      </c>
    </row>
    <row r="974" spans="1:53">
      <c r="A974" t="s">
        <v>16</v>
      </c>
      <c r="B974" s="16">
        <v>33769.601800000004</v>
      </c>
      <c r="C974" s="17">
        <v>19</v>
      </c>
      <c r="T974" s="17"/>
      <c r="U974" s="17"/>
      <c r="V974" s="17"/>
      <c r="W974" s="17"/>
      <c r="AI974" s="29" t="str">
        <f t="shared" si="31"/>
        <v/>
      </c>
      <c r="AS974" s="56"/>
      <c r="AT974" s="56"/>
      <c r="AU974" s="56"/>
      <c r="AV974" s="56"/>
      <c r="AW974" s="56"/>
      <c r="AX974" s="56"/>
      <c r="BA974" s="1" t="s">
        <v>19</v>
      </c>
    </row>
    <row r="975" spans="1:53">
      <c r="A975" t="s">
        <v>16</v>
      </c>
      <c r="B975" s="16">
        <v>34134.843999999997</v>
      </c>
      <c r="C975" s="17">
        <v>20</v>
      </c>
      <c r="T975"/>
      <c r="U975"/>
      <c r="V975"/>
      <c r="W975"/>
      <c r="AI975" s="29" t="str">
        <f t="shared" si="31"/>
        <v/>
      </c>
      <c r="AS975" s="56"/>
      <c r="AT975" s="56"/>
      <c r="AU975" s="56"/>
      <c r="AV975" s="56"/>
      <c r="AW975" s="56"/>
      <c r="AX975" s="56"/>
      <c r="BA975" s="1" t="s">
        <v>19</v>
      </c>
    </row>
    <row r="976" spans="1:53">
      <c r="A976" t="s">
        <v>17</v>
      </c>
      <c r="B976" s="16">
        <v>30573.732550000001</v>
      </c>
      <c r="C976" s="17">
        <v>10.25</v>
      </c>
      <c r="T976" s="17"/>
      <c r="U976" s="17"/>
      <c r="V976" s="17"/>
      <c r="W976" s="17"/>
      <c r="AI976" s="29" t="str">
        <f t="shared" si="31"/>
        <v/>
      </c>
      <c r="AS976" s="56"/>
      <c r="AT976" s="56"/>
      <c r="AU976" s="56"/>
      <c r="AV976" s="56"/>
      <c r="AW976" s="56"/>
      <c r="AX976" s="56"/>
      <c r="BA976" s="1" t="s">
        <v>19</v>
      </c>
    </row>
    <row r="977" spans="1:53">
      <c r="A977" t="s">
        <v>17</v>
      </c>
      <c r="B977" s="16">
        <v>30665.043099999999</v>
      </c>
      <c r="C977" s="17">
        <v>10.5</v>
      </c>
      <c r="T977" s="17"/>
      <c r="U977" s="17"/>
      <c r="V977" s="17"/>
      <c r="W977" s="17"/>
      <c r="AI977" s="29" t="str">
        <f t="shared" si="31"/>
        <v/>
      </c>
      <c r="AS977" s="56"/>
      <c r="AT977" s="56"/>
      <c r="AU977" s="56"/>
      <c r="AV977" s="56"/>
      <c r="AW977" s="56"/>
      <c r="AX977" s="56"/>
      <c r="BA977" s="1" t="s">
        <v>19</v>
      </c>
    </row>
    <row r="978" spans="1:53">
      <c r="A978" t="s">
        <v>17</v>
      </c>
      <c r="B978" s="16">
        <v>30756.353650000001</v>
      </c>
      <c r="C978" s="17">
        <v>10.75</v>
      </c>
      <c r="T978" s="17"/>
      <c r="U978" s="17"/>
      <c r="V978" s="17"/>
      <c r="W978" s="17"/>
      <c r="AI978" s="29" t="str">
        <f t="shared" si="31"/>
        <v/>
      </c>
      <c r="AS978" s="56"/>
      <c r="AT978" s="56"/>
      <c r="AU978" s="56"/>
      <c r="AV978" s="56"/>
      <c r="AW978" s="56"/>
      <c r="AX978" s="56"/>
      <c r="BA978" s="1" t="s">
        <v>19</v>
      </c>
    </row>
    <row r="979" spans="1:53">
      <c r="A979" t="s">
        <v>17</v>
      </c>
      <c r="B979" s="16">
        <v>30847.664199999999</v>
      </c>
      <c r="C979" s="17">
        <v>11</v>
      </c>
      <c r="T979" s="17"/>
      <c r="U979" s="17"/>
      <c r="V979" s="17"/>
      <c r="W979" s="17"/>
      <c r="AI979" s="29" t="str">
        <f t="shared" si="31"/>
        <v/>
      </c>
      <c r="AS979" s="56"/>
      <c r="AT979" s="56"/>
      <c r="AU979" s="56"/>
      <c r="AV979" s="56"/>
      <c r="AW979" s="56"/>
      <c r="AX979" s="56"/>
      <c r="BA979" s="1" t="s">
        <v>19</v>
      </c>
    </row>
    <row r="980" spans="1:53">
      <c r="A980" t="s">
        <v>17</v>
      </c>
      <c r="B980" s="16">
        <v>30938.974750000001</v>
      </c>
      <c r="C980" s="17">
        <v>11.25</v>
      </c>
      <c r="T980" s="17"/>
      <c r="U980" s="17"/>
      <c r="V980" s="17"/>
      <c r="W980" s="17"/>
      <c r="AI980" s="29" t="str">
        <f t="shared" si="31"/>
        <v/>
      </c>
      <c r="AS980" s="56"/>
      <c r="AT980" s="56"/>
      <c r="AU980" s="56"/>
      <c r="AV980" s="56"/>
      <c r="AW980" s="56"/>
      <c r="AX980" s="56"/>
      <c r="BA980" s="1" t="s">
        <v>19</v>
      </c>
    </row>
    <row r="981" spans="1:53">
      <c r="A981" t="s">
        <v>17</v>
      </c>
      <c r="B981" s="16">
        <v>31030.2853</v>
      </c>
      <c r="C981" s="17">
        <v>11.5</v>
      </c>
      <c r="T981" s="17"/>
      <c r="U981" s="17"/>
      <c r="V981" s="17"/>
      <c r="W981" s="17"/>
      <c r="AI981" s="29" t="str">
        <f t="shared" si="31"/>
        <v/>
      </c>
      <c r="AS981" s="56"/>
      <c r="AT981" s="56"/>
      <c r="AU981" s="56"/>
      <c r="AV981" s="56"/>
      <c r="AW981" s="56"/>
      <c r="AX981" s="56"/>
      <c r="BA981" s="1" t="s">
        <v>19</v>
      </c>
    </row>
    <row r="982" spans="1:53">
      <c r="A982" t="s">
        <v>17</v>
      </c>
      <c r="B982" s="16">
        <v>31121.595850000002</v>
      </c>
      <c r="C982" s="17">
        <v>11.75</v>
      </c>
      <c r="T982" s="17"/>
      <c r="U982" s="17"/>
      <c r="V982" s="17"/>
      <c r="W982" s="17"/>
      <c r="AI982" s="29" t="str">
        <f t="shared" si="31"/>
        <v/>
      </c>
      <c r="AS982" s="56"/>
      <c r="AT982" s="56"/>
      <c r="AU982" s="56"/>
      <c r="AV982" s="56"/>
      <c r="AW982" s="56"/>
      <c r="AX982" s="56"/>
      <c r="BA982" s="1" t="s">
        <v>19</v>
      </c>
    </row>
    <row r="983" spans="1:53">
      <c r="A983" t="s">
        <v>17</v>
      </c>
      <c r="B983" s="16">
        <v>31212.9064</v>
      </c>
      <c r="C983" s="17">
        <v>12</v>
      </c>
      <c r="T983" s="17"/>
      <c r="U983" s="17"/>
      <c r="V983" s="17"/>
      <c r="W983" s="17"/>
      <c r="AI983" s="29" t="str">
        <f t="shared" si="31"/>
        <v/>
      </c>
      <c r="AS983" s="56"/>
      <c r="AT983" s="56"/>
      <c r="AU983" s="56"/>
      <c r="AV983" s="56"/>
      <c r="AW983" s="56"/>
      <c r="AX983" s="56"/>
      <c r="BA983" s="1" t="s">
        <v>19</v>
      </c>
    </row>
    <row r="984" spans="1:53">
      <c r="A984" t="s">
        <v>17</v>
      </c>
      <c r="B984" s="16">
        <v>31304.216950000002</v>
      </c>
      <c r="C984" s="17">
        <v>12.25</v>
      </c>
      <c r="T984" s="17"/>
      <c r="U984" s="17"/>
      <c r="V984" s="17"/>
      <c r="W984" s="17"/>
      <c r="AI984" s="29" t="str">
        <f t="shared" si="31"/>
        <v/>
      </c>
      <c r="AS984" s="56"/>
      <c r="AT984" s="56"/>
      <c r="AU984" s="56"/>
      <c r="AV984" s="56"/>
      <c r="AW984" s="56"/>
      <c r="AX984" s="56"/>
      <c r="BA984" s="1" t="s">
        <v>19</v>
      </c>
    </row>
    <row r="985" spans="1:53">
      <c r="A985" t="s">
        <v>17</v>
      </c>
      <c r="B985" s="16">
        <v>31395.5275</v>
      </c>
      <c r="C985" s="17">
        <v>12.5</v>
      </c>
      <c r="T985" s="17"/>
      <c r="U985" s="17"/>
      <c r="V985" s="17"/>
      <c r="W985" s="17"/>
      <c r="AI985" s="29" t="str">
        <f t="shared" si="31"/>
        <v/>
      </c>
      <c r="AS985" s="56"/>
      <c r="AT985" s="56"/>
      <c r="AU985" s="56"/>
      <c r="AV985" s="56"/>
      <c r="AW985" s="56"/>
      <c r="AX985" s="56"/>
      <c r="BA985" s="1" t="s">
        <v>19</v>
      </c>
    </row>
    <row r="986" spans="1:53">
      <c r="A986" t="s">
        <v>17</v>
      </c>
      <c r="B986" s="16">
        <v>31486.838049999998</v>
      </c>
      <c r="C986" s="17">
        <v>12.75</v>
      </c>
      <c r="T986" s="17"/>
      <c r="U986" s="17"/>
      <c r="V986" s="17"/>
      <c r="W986" s="17"/>
      <c r="AI986" s="29" t="str">
        <f t="shared" si="31"/>
        <v/>
      </c>
      <c r="AS986" s="56"/>
      <c r="AT986" s="56"/>
      <c r="AU986" s="56"/>
      <c r="AV986" s="56"/>
      <c r="AW986" s="56"/>
      <c r="AX986" s="56"/>
      <c r="BA986" s="1" t="s">
        <v>19</v>
      </c>
    </row>
    <row r="987" spans="1:53">
      <c r="A987" t="s">
        <v>17</v>
      </c>
      <c r="B987" s="16">
        <v>31578.1486</v>
      </c>
      <c r="C987" s="17">
        <v>13</v>
      </c>
      <c r="T987" s="17"/>
      <c r="U987" s="17"/>
      <c r="V987" s="17"/>
      <c r="W987" s="17"/>
      <c r="AI987" s="29" t="str">
        <f t="shared" si="31"/>
        <v/>
      </c>
      <c r="AS987" s="56"/>
      <c r="AT987" s="56"/>
      <c r="AU987" s="56"/>
      <c r="AV987" s="56"/>
      <c r="AW987" s="56"/>
      <c r="AX987" s="56"/>
      <c r="BA987" s="1" t="s">
        <v>19</v>
      </c>
    </row>
    <row r="988" spans="1:53">
      <c r="A988" t="s">
        <v>17</v>
      </c>
      <c r="B988" s="16">
        <v>31669.459150000002</v>
      </c>
      <c r="C988" s="17">
        <v>13.25</v>
      </c>
      <c r="T988" s="17"/>
      <c r="U988" s="17"/>
      <c r="V988" s="17"/>
      <c r="W988" s="17"/>
      <c r="AI988" s="29" t="str">
        <f t="shared" si="31"/>
        <v/>
      </c>
      <c r="AS988" s="56"/>
      <c r="AT988" s="56"/>
      <c r="AU988" s="56"/>
      <c r="AV988" s="56"/>
      <c r="AW988" s="56"/>
      <c r="AX988" s="56"/>
      <c r="BA988" s="1" t="s">
        <v>19</v>
      </c>
    </row>
    <row r="989" spans="1:53">
      <c r="A989" t="s">
        <v>17</v>
      </c>
      <c r="B989" s="16">
        <v>31760.769700000001</v>
      </c>
      <c r="C989" s="17">
        <v>13.5</v>
      </c>
      <c r="T989" s="17"/>
      <c r="U989" s="17"/>
      <c r="V989" s="17"/>
      <c r="W989" s="17"/>
      <c r="AI989" s="29" t="str">
        <f t="shared" si="31"/>
        <v/>
      </c>
      <c r="AS989" s="56"/>
      <c r="AT989" s="56"/>
      <c r="AU989" s="56"/>
      <c r="AV989" s="56"/>
      <c r="AW989" s="56"/>
      <c r="AX989" s="56"/>
      <c r="BA989" s="1" t="s">
        <v>19</v>
      </c>
    </row>
    <row r="990" spans="1:53">
      <c r="A990" t="s">
        <v>17</v>
      </c>
      <c r="B990" s="16">
        <v>31852.080249999999</v>
      </c>
      <c r="C990" s="17">
        <v>13.75</v>
      </c>
      <c r="T990" s="17"/>
      <c r="U990" s="17"/>
      <c r="V990" s="17"/>
      <c r="W990" s="17"/>
      <c r="AI990" s="29" t="str">
        <f t="shared" si="31"/>
        <v/>
      </c>
      <c r="AS990" s="56"/>
      <c r="AT990" s="56"/>
      <c r="AU990" s="56"/>
      <c r="AV990" s="56"/>
      <c r="AW990" s="56"/>
      <c r="AX990" s="56"/>
      <c r="BA990" s="1" t="s">
        <v>19</v>
      </c>
    </row>
    <row r="991" spans="1:53">
      <c r="A991" t="s">
        <v>17</v>
      </c>
      <c r="B991" s="16">
        <v>31943.390800000001</v>
      </c>
      <c r="C991" s="17">
        <v>14</v>
      </c>
      <c r="T991" s="17"/>
      <c r="U991" s="17"/>
      <c r="V991" s="17"/>
      <c r="W991" s="17"/>
      <c r="AI991" s="29" t="str">
        <f t="shared" si="31"/>
        <v/>
      </c>
      <c r="AS991" s="56"/>
      <c r="AT991" s="56"/>
      <c r="AU991" s="56"/>
      <c r="AV991" s="56"/>
      <c r="AW991" s="56"/>
      <c r="AX991" s="56"/>
      <c r="BA991" s="1" t="s">
        <v>19</v>
      </c>
    </row>
    <row r="992" spans="1:53">
      <c r="A992" t="s">
        <v>17</v>
      </c>
      <c r="B992" s="16">
        <v>32034.701349999999</v>
      </c>
      <c r="C992" s="17">
        <v>14.25</v>
      </c>
      <c r="T992" s="17"/>
      <c r="U992" s="17"/>
      <c r="V992" s="17"/>
      <c r="W992" s="17"/>
      <c r="AI992" s="29" t="str">
        <f t="shared" si="31"/>
        <v/>
      </c>
      <c r="AS992" s="56"/>
      <c r="AT992" s="56"/>
      <c r="AU992" s="56"/>
      <c r="AV992" s="56"/>
      <c r="AW992" s="56"/>
      <c r="AX992" s="56"/>
      <c r="BA992" s="1" t="s">
        <v>19</v>
      </c>
    </row>
    <row r="993" spans="1:53">
      <c r="A993" t="s">
        <v>17</v>
      </c>
      <c r="B993" s="16">
        <v>32126.011900000001</v>
      </c>
      <c r="C993" s="17">
        <v>14.5</v>
      </c>
      <c r="T993" s="17"/>
      <c r="U993" s="17"/>
      <c r="V993" s="17"/>
      <c r="W993" s="17"/>
      <c r="AI993" s="29" t="str">
        <f t="shared" si="31"/>
        <v/>
      </c>
      <c r="AS993" s="56"/>
      <c r="AT993" s="56"/>
      <c r="AU993" s="56"/>
      <c r="AV993" s="56"/>
      <c r="AW993" s="56"/>
      <c r="AX993" s="56"/>
      <c r="BA993" s="1" t="s">
        <v>19</v>
      </c>
    </row>
    <row r="994" spans="1:53">
      <c r="A994" t="s">
        <v>17</v>
      </c>
      <c r="B994" s="16">
        <v>32217.32245</v>
      </c>
      <c r="C994" s="17">
        <v>14.75</v>
      </c>
      <c r="T994" s="17"/>
      <c r="U994" s="17"/>
      <c r="V994" s="17"/>
      <c r="W994" s="17"/>
      <c r="AI994" s="29" t="str">
        <f t="shared" si="31"/>
        <v/>
      </c>
      <c r="AS994" s="56"/>
      <c r="AT994" s="56"/>
      <c r="AU994" s="56"/>
      <c r="AV994" s="56"/>
      <c r="AW994" s="56"/>
      <c r="AX994" s="56"/>
      <c r="BA994" s="1" t="s">
        <v>19</v>
      </c>
    </row>
    <row r="995" spans="1:53">
      <c r="A995" t="s">
        <v>17</v>
      </c>
      <c r="B995" s="16">
        <v>32308.633000000002</v>
      </c>
      <c r="C995" s="17">
        <v>15</v>
      </c>
      <c r="T995" s="17"/>
      <c r="U995" s="17"/>
      <c r="V995" s="17"/>
      <c r="W995" s="17"/>
      <c r="AI995" s="29" t="str">
        <f t="shared" si="31"/>
        <v/>
      </c>
      <c r="AS995" s="56"/>
      <c r="AT995" s="56"/>
      <c r="AU995" s="56"/>
      <c r="AV995" s="56"/>
      <c r="AW995" s="56"/>
      <c r="AX995" s="56"/>
      <c r="BA995" s="1" t="s">
        <v>19</v>
      </c>
    </row>
    <row r="996" spans="1:53">
      <c r="A996" t="s">
        <v>17</v>
      </c>
      <c r="B996" s="16">
        <v>32399.94355</v>
      </c>
      <c r="C996" s="17">
        <v>15.25</v>
      </c>
      <c r="T996" s="17"/>
      <c r="U996" s="17"/>
      <c r="V996" s="17"/>
      <c r="W996" s="17"/>
      <c r="AI996" s="29" t="str">
        <f t="shared" si="31"/>
        <v/>
      </c>
      <c r="AS996" s="56"/>
      <c r="AT996" s="56"/>
      <c r="AU996" s="56"/>
      <c r="AV996" s="56"/>
      <c r="AW996" s="56"/>
      <c r="AX996" s="56"/>
      <c r="BA996" s="1" t="s">
        <v>19</v>
      </c>
    </row>
    <row r="997" spans="1:53">
      <c r="A997" t="s">
        <v>17</v>
      </c>
      <c r="B997" s="16">
        <v>32491.254099999998</v>
      </c>
      <c r="C997" s="17">
        <v>15.5</v>
      </c>
      <c r="T997" s="17"/>
      <c r="U997" s="17"/>
      <c r="V997" s="17"/>
      <c r="W997" s="17"/>
      <c r="AI997" s="29" t="str">
        <f t="shared" si="31"/>
        <v/>
      </c>
      <c r="AS997" s="56"/>
      <c r="AT997" s="56"/>
      <c r="AU997" s="56"/>
      <c r="AV997" s="56"/>
      <c r="AW997" s="56"/>
      <c r="AX997" s="56"/>
      <c r="BA997" s="1" t="s">
        <v>19</v>
      </c>
    </row>
    <row r="998" spans="1:53">
      <c r="A998" t="s">
        <v>17</v>
      </c>
      <c r="B998" s="16">
        <v>32582.56465</v>
      </c>
      <c r="C998" s="17">
        <v>15.75</v>
      </c>
      <c r="T998" s="17"/>
      <c r="U998" s="17"/>
      <c r="V998" s="17"/>
      <c r="W998" s="17"/>
      <c r="AI998" s="29" t="str">
        <f t="shared" si="31"/>
        <v/>
      </c>
      <c r="AS998" s="56"/>
      <c r="AT998" s="56"/>
      <c r="AU998" s="56"/>
      <c r="AV998" s="56"/>
      <c r="AW998" s="56"/>
      <c r="AX998" s="56"/>
      <c r="BA998" s="1" t="s">
        <v>19</v>
      </c>
    </row>
    <row r="999" spans="1:53">
      <c r="A999" t="s">
        <v>17</v>
      </c>
      <c r="B999" s="16">
        <v>32673.875200000002</v>
      </c>
      <c r="C999" s="17">
        <v>16</v>
      </c>
      <c r="T999" s="17"/>
      <c r="U999" s="17"/>
      <c r="V999" s="17"/>
      <c r="W999" s="17"/>
      <c r="AI999" s="29" t="str">
        <f t="shared" si="31"/>
        <v/>
      </c>
      <c r="AS999" s="56"/>
      <c r="AT999" s="56"/>
      <c r="AU999" s="56"/>
      <c r="AV999" s="56"/>
      <c r="AW999" s="56"/>
      <c r="AX999" s="56"/>
      <c r="BA999" s="1" t="s">
        <v>19</v>
      </c>
    </row>
    <row r="1000" spans="1:53">
      <c r="A1000" t="s">
        <v>17</v>
      </c>
      <c r="B1000" s="16">
        <v>32765.185750000001</v>
      </c>
      <c r="C1000" s="17">
        <v>16.25</v>
      </c>
      <c r="T1000" s="17"/>
      <c r="U1000" s="17"/>
      <c r="V1000" s="17"/>
      <c r="W1000" s="17"/>
      <c r="AI1000" s="29" t="str">
        <f t="shared" si="31"/>
        <v/>
      </c>
      <c r="AS1000" s="56"/>
      <c r="AT1000" s="56"/>
      <c r="AU1000" s="56"/>
      <c r="AV1000" s="56"/>
      <c r="AW1000" s="56"/>
      <c r="AX1000" s="56"/>
      <c r="BA1000" s="1" t="s">
        <v>19</v>
      </c>
    </row>
    <row r="1001" spans="1:53">
      <c r="A1001" t="s">
        <v>17</v>
      </c>
      <c r="B1001" s="16">
        <v>32856.496299999999</v>
      </c>
      <c r="C1001" s="17">
        <v>16.5</v>
      </c>
      <c r="T1001" s="17"/>
      <c r="U1001" s="17"/>
      <c r="V1001" s="17"/>
      <c r="W1001" s="17"/>
      <c r="AI1001" s="29" t="str">
        <f t="shared" si="31"/>
        <v/>
      </c>
      <c r="AS1001" s="56"/>
      <c r="AT1001" s="56"/>
      <c r="AU1001" s="56"/>
      <c r="AV1001" s="56"/>
      <c r="AW1001" s="56"/>
      <c r="AX1001" s="56"/>
      <c r="BA1001" s="1" t="s">
        <v>19</v>
      </c>
    </row>
    <row r="1002" spans="1:53">
      <c r="A1002" t="s">
        <v>17</v>
      </c>
      <c r="B1002" s="16">
        <v>32947.806850000001</v>
      </c>
      <c r="C1002" s="17">
        <v>16.75</v>
      </c>
      <c r="T1002" s="17"/>
      <c r="U1002" s="17"/>
      <c r="V1002" s="17"/>
      <c r="W1002" s="17"/>
      <c r="AI1002" s="29" t="str">
        <f t="shared" si="31"/>
        <v/>
      </c>
      <c r="AS1002" s="56"/>
      <c r="AT1002" s="56"/>
      <c r="AU1002" s="56"/>
      <c r="AV1002" s="56"/>
      <c r="AW1002" s="56"/>
      <c r="AX1002" s="56"/>
      <c r="BA1002" s="1" t="s">
        <v>19</v>
      </c>
    </row>
    <row r="1003" spans="1:53">
      <c r="A1003" t="s">
        <v>17</v>
      </c>
      <c r="B1003" s="16">
        <v>33039.117400000003</v>
      </c>
      <c r="C1003" s="17">
        <v>17</v>
      </c>
      <c r="T1003" s="17"/>
      <c r="U1003" s="17"/>
      <c r="V1003" s="17"/>
      <c r="W1003" s="17"/>
      <c r="AI1003" s="29" t="str">
        <f t="shared" si="31"/>
        <v/>
      </c>
      <c r="AS1003" s="56"/>
      <c r="AT1003" s="56"/>
      <c r="AU1003" s="56"/>
      <c r="AV1003" s="56"/>
      <c r="AW1003" s="56"/>
      <c r="AX1003" s="56"/>
      <c r="BA1003" s="1" t="s">
        <v>19</v>
      </c>
    </row>
    <row r="1004" spans="1:53">
      <c r="A1004" t="s">
        <v>17</v>
      </c>
      <c r="B1004" s="16">
        <v>33130.427949999998</v>
      </c>
      <c r="C1004" s="17">
        <v>17.25</v>
      </c>
      <c r="T1004" s="17"/>
      <c r="U1004" s="17"/>
      <c r="V1004" s="17"/>
      <c r="W1004" s="17"/>
      <c r="AI1004" s="29" t="str">
        <f t="shared" si="31"/>
        <v/>
      </c>
      <c r="AS1004" s="56"/>
      <c r="AT1004" s="56"/>
      <c r="AU1004" s="56"/>
      <c r="AV1004" s="56"/>
      <c r="AW1004" s="56"/>
      <c r="AX1004" s="56"/>
      <c r="BA1004" s="1" t="s">
        <v>19</v>
      </c>
    </row>
    <row r="1005" spans="1:53">
      <c r="A1005" t="s">
        <v>17</v>
      </c>
      <c r="B1005" s="16">
        <v>33221.738499999999</v>
      </c>
      <c r="C1005" s="17">
        <v>17.5</v>
      </c>
      <c r="T1005" s="17"/>
      <c r="U1005" s="17"/>
      <c r="V1005" s="17"/>
      <c r="W1005" s="17"/>
      <c r="AI1005" s="29" t="str">
        <f t="shared" si="31"/>
        <v/>
      </c>
      <c r="AS1005" s="56"/>
      <c r="AT1005" s="56"/>
      <c r="AU1005" s="56"/>
      <c r="AV1005" s="56"/>
      <c r="AW1005" s="56"/>
      <c r="AX1005" s="56"/>
      <c r="BA1005" s="1" t="s">
        <v>19</v>
      </c>
    </row>
    <row r="1006" spans="1:53">
      <c r="A1006" t="s">
        <v>17</v>
      </c>
      <c r="B1006" s="16">
        <v>33313.049050000001</v>
      </c>
      <c r="C1006" s="17">
        <v>17.75</v>
      </c>
      <c r="T1006" s="17"/>
      <c r="U1006" s="17"/>
      <c r="V1006" s="17"/>
      <c r="W1006" s="17"/>
      <c r="AI1006" s="29" t="str">
        <f t="shared" si="31"/>
        <v/>
      </c>
      <c r="AS1006" s="56"/>
      <c r="AT1006" s="56"/>
      <c r="AU1006" s="56"/>
      <c r="AV1006" s="56"/>
      <c r="AW1006" s="56"/>
      <c r="AX1006" s="56"/>
      <c r="BA1006" s="1" t="s">
        <v>19</v>
      </c>
    </row>
    <row r="1007" spans="1:53">
      <c r="A1007" t="s">
        <v>17</v>
      </c>
      <c r="B1007" s="16">
        <v>33404.359600000003</v>
      </c>
      <c r="C1007" s="17">
        <v>18</v>
      </c>
      <c r="T1007" s="17"/>
      <c r="U1007" s="17"/>
      <c r="V1007" s="17"/>
      <c r="W1007" s="17"/>
      <c r="AI1007" s="29" t="str">
        <f t="shared" si="31"/>
        <v/>
      </c>
      <c r="AS1007" s="56"/>
      <c r="AT1007" s="56"/>
      <c r="AU1007" s="56"/>
      <c r="AV1007" s="56"/>
      <c r="AW1007" s="56"/>
      <c r="AX1007" s="56"/>
      <c r="BA1007" s="1" t="s">
        <v>19</v>
      </c>
    </row>
    <row r="1008" spans="1:53">
      <c r="A1008" t="s">
        <v>17</v>
      </c>
      <c r="B1008" s="16">
        <v>33495.670149999998</v>
      </c>
      <c r="C1008" s="17">
        <v>18.25</v>
      </c>
      <c r="T1008" s="17"/>
      <c r="U1008" s="17"/>
      <c r="V1008" s="17"/>
      <c r="W1008" s="17"/>
      <c r="AI1008" s="29" t="str">
        <f t="shared" si="31"/>
        <v/>
      </c>
      <c r="AS1008" s="56"/>
      <c r="AT1008" s="56"/>
      <c r="AU1008" s="56"/>
      <c r="AV1008" s="56"/>
      <c r="AW1008" s="56"/>
      <c r="AX1008" s="56"/>
      <c r="BA1008" s="1" t="s">
        <v>19</v>
      </c>
    </row>
    <row r="1009" spans="1:53">
      <c r="A1009" t="s">
        <v>17</v>
      </c>
      <c r="B1009" s="16">
        <v>33586.9807</v>
      </c>
      <c r="C1009" s="17">
        <v>18.5</v>
      </c>
      <c r="T1009" s="17"/>
      <c r="U1009" s="17"/>
      <c r="V1009" s="17"/>
      <c r="W1009" s="17"/>
      <c r="AI1009" s="29" t="str">
        <f t="shared" si="31"/>
        <v/>
      </c>
      <c r="AS1009" s="56"/>
      <c r="AT1009" s="56"/>
      <c r="AU1009" s="56"/>
      <c r="AV1009" s="56"/>
      <c r="AW1009" s="56"/>
      <c r="AX1009" s="56"/>
      <c r="BA1009" s="1" t="s">
        <v>19</v>
      </c>
    </row>
    <row r="1010" spans="1:53">
      <c r="A1010" t="s">
        <v>17</v>
      </c>
      <c r="B1010" s="16">
        <v>33678.291250000002</v>
      </c>
      <c r="C1010" s="17">
        <v>18.75</v>
      </c>
      <c r="T1010" s="17"/>
      <c r="U1010" s="17"/>
      <c r="V1010" s="17"/>
      <c r="W1010" s="17"/>
      <c r="AI1010" s="29" t="str">
        <f t="shared" si="31"/>
        <v/>
      </c>
      <c r="AS1010" s="56"/>
      <c r="AT1010" s="56"/>
      <c r="AU1010" s="56"/>
      <c r="AV1010" s="56"/>
      <c r="AW1010" s="56"/>
      <c r="AX1010" s="56"/>
      <c r="BA1010" s="1" t="s">
        <v>19</v>
      </c>
    </row>
    <row r="1011" spans="1:53">
      <c r="A1011" t="s">
        <v>17</v>
      </c>
      <c r="B1011" s="16">
        <v>33769.601800000004</v>
      </c>
      <c r="C1011" s="17">
        <v>19</v>
      </c>
      <c r="T1011" s="17"/>
      <c r="U1011" s="17"/>
      <c r="V1011" s="17"/>
      <c r="W1011" s="17"/>
      <c r="AI1011" s="29" t="str">
        <f t="shared" si="31"/>
        <v/>
      </c>
      <c r="AS1011" s="56"/>
      <c r="AT1011" s="56"/>
      <c r="AU1011" s="56"/>
      <c r="AV1011" s="56"/>
      <c r="AW1011" s="56"/>
      <c r="AX1011" s="56"/>
      <c r="BA1011" s="1" t="s">
        <v>19</v>
      </c>
    </row>
    <row r="1012" spans="1:53">
      <c r="A1012" t="s">
        <v>17</v>
      </c>
      <c r="B1012" s="16">
        <v>34134.843999999997</v>
      </c>
      <c r="C1012" s="17">
        <v>20</v>
      </c>
      <c r="T1012" s="17"/>
      <c r="U1012" s="17"/>
      <c r="V1012" s="17"/>
      <c r="W1012" s="17"/>
      <c r="AI1012" s="29" t="str">
        <f t="shared" si="31"/>
        <v/>
      </c>
      <c r="AS1012" s="56"/>
      <c r="AT1012" s="56"/>
      <c r="AU1012" s="56"/>
      <c r="AV1012" s="56"/>
      <c r="AW1012" s="56"/>
      <c r="AX1012" s="56"/>
      <c r="BA1012" s="1" t="s">
        <v>19</v>
      </c>
    </row>
    <row r="1013" spans="1:53">
      <c r="A1013" t="s">
        <v>18</v>
      </c>
      <c r="B1013" s="16">
        <v>30573.732550000001</v>
      </c>
      <c r="C1013" s="17">
        <v>10.25</v>
      </c>
      <c r="T1013" s="17"/>
      <c r="U1013" s="17"/>
      <c r="V1013" s="17"/>
      <c r="W1013" s="17"/>
      <c r="AI1013" s="29" t="str">
        <f t="shared" si="31"/>
        <v/>
      </c>
      <c r="AS1013" s="56"/>
      <c r="AT1013" s="56"/>
      <c r="AU1013" s="56"/>
      <c r="AV1013" s="56"/>
      <c r="AW1013" s="56"/>
      <c r="AX1013" s="56"/>
      <c r="BA1013" s="1" t="s">
        <v>19</v>
      </c>
    </row>
    <row r="1014" spans="1:53">
      <c r="A1014" t="s">
        <v>18</v>
      </c>
      <c r="B1014" s="16">
        <v>30665.043099999999</v>
      </c>
      <c r="C1014" s="17">
        <v>10.5</v>
      </c>
      <c r="T1014" s="17"/>
      <c r="U1014" s="17"/>
      <c r="V1014" s="17"/>
      <c r="W1014" s="17"/>
      <c r="AI1014" s="29" t="str">
        <f t="shared" si="31"/>
        <v/>
      </c>
      <c r="AS1014" s="56"/>
      <c r="AT1014" s="56"/>
      <c r="AU1014" s="56"/>
      <c r="AV1014" s="56"/>
      <c r="AW1014" s="56"/>
      <c r="AX1014" s="56"/>
      <c r="BA1014" s="1" t="s">
        <v>19</v>
      </c>
    </row>
    <row r="1015" spans="1:53">
      <c r="A1015" t="s">
        <v>18</v>
      </c>
      <c r="B1015" s="16">
        <v>30756.353650000001</v>
      </c>
      <c r="C1015" s="17">
        <v>10.75</v>
      </c>
      <c r="T1015" s="17"/>
      <c r="U1015" s="17"/>
      <c r="V1015" s="17"/>
      <c r="W1015" s="17"/>
      <c r="AI1015" s="29" t="str">
        <f t="shared" si="31"/>
        <v/>
      </c>
      <c r="AS1015" s="56"/>
      <c r="AT1015" s="56"/>
      <c r="AU1015" s="56"/>
      <c r="AV1015" s="56"/>
      <c r="AW1015" s="56"/>
      <c r="AX1015" s="56"/>
      <c r="BA1015" s="1" t="s">
        <v>19</v>
      </c>
    </row>
    <row r="1016" spans="1:53">
      <c r="A1016" t="s">
        <v>18</v>
      </c>
      <c r="B1016" s="16">
        <v>30847.664199999999</v>
      </c>
      <c r="C1016" s="17">
        <v>11</v>
      </c>
      <c r="T1016" s="17"/>
      <c r="U1016" s="17"/>
      <c r="V1016" s="17"/>
      <c r="W1016" s="17"/>
      <c r="AI1016" s="29" t="str">
        <f t="shared" si="31"/>
        <v/>
      </c>
      <c r="AS1016" s="56"/>
      <c r="AT1016" s="56"/>
      <c r="AU1016" s="56"/>
      <c r="AV1016" s="56"/>
      <c r="AW1016" s="56"/>
      <c r="AX1016" s="56"/>
      <c r="BA1016" s="1" t="s">
        <v>19</v>
      </c>
    </row>
    <row r="1017" spans="1:53">
      <c r="A1017" t="s">
        <v>18</v>
      </c>
      <c r="B1017" s="16">
        <v>30938.974750000001</v>
      </c>
      <c r="C1017" s="17">
        <v>11.25</v>
      </c>
      <c r="T1017" s="17"/>
      <c r="U1017" s="17"/>
      <c r="V1017" s="17"/>
      <c r="W1017" s="17"/>
      <c r="AI1017" s="29" t="str">
        <f t="shared" si="31"/>
        <v/>
      </c>
      <c r="AS1017" s="56"/>
      <c r="AT1017" s="56"/>
      <c r="AU1017" s="56"/>
      <c r="AV1017" s="56"/>
      <c r="AW1017" s="56"/>
      <c r="AX1017" s="56"/>
      <c r="BA1017" s="1" t="s">
        <v>19</v>
      </c>
    </row>
    <row r="1018" spans="1:53">
      <c r="A1018" t="s">
        <v>18</v>
      </c>
      <c r="B1018" s="16">
        <v>31030.2853</v>
      </c>
      <c r="C1018" s="17">
        <v>11.5</v>
      </c>
      <c r="T1018" s="17"/>
      <c r="U1018" s="17"/>
      <c r="V1018" s="17"/>
      <c r="W1018" s="17"/>
      <c r="AI1018" s="29" t="str">
        <f t="shared" si="31"/>
        <v/>
      </c>
      <c r="AS1018" s="56"/>
      <c r="AT1018" s="56"/>
      <c r="AU1018" s="56"/>
      <c r="AV1018" s="56"/>
      <c r="AW1018" s="56"/>
      <c r="AX1018" s="56"/>
      <c r="BA1018" s="1" t="s">
        <v>19</v>
      </c>
    </row>
    <row r="1019" spans="1:53">
      <c r="A1019" t="s">
        <v>18</v>
      </c>
      <c r="B1019" s="16">
        <v>31121.595850000002</v>
      </c>
      <c r="C1019" s="17">
        <v>11.75</v>
      </c>
      <c r="T1019" s="17"/>
      <c r="U1019" s="17"/>
      <c r="V1019" s="17"/>
      <c r="W1019" s="17"/>
      <c r="AI1019" s="29" t="str">
        <f t="shared" si="31"/>
        <v/>
      </c>
      <c r="AS1019" s="56"/>
      <c r="AT1019" s="56"/>
      <c r="AU1019" s="56"/>
      <c r="AV1019" s="56"/>
      <c r="AW1019" s="56"/>
      <c r="AX1019" s="56"/>
      <c r="BA1019" s="1" t="s">
        <v>19</v>
      </c>
    </row>
    <row r="1020" spans="1:53">
      <c r="A1020" t="s">
        <v>18</v>
      </c>
      <c r="B1020" s="16">
        <v>31212.9064</v>
      </c>
      <c r="C1020" s="17">
        <v>12</v>
      </c>
      <c r="T1020" s="17"/>
      <c r="U1020" s="17"/>
      <c r="V1020" s="17"/>
      <c r="W1020" s="17"/>
      <c r="AI1020" s="29" t="str">
        <f t="shared" si="31"/>
        <v/>
      </c>
      <c r="AS1020" s="56"/>
      <c r="AT1020" s="56"/>
      <c r="AU1020" s="56"/>
      <c r="AV1020" s="56"/>
      <c r="AW1020" s="56"/>
      <c r="AX1020" s="56"/>
      <c r="BA1020" s="1" t="s">
        <v>19</v>
      </c>
    </row>
    <row r="1021" spans="1:53">
      <c r="A1021" t="s">
        <v>18</v>
      </c>
      <c r="B1021" s="16">
        <v>31304.216950000002</v>
      </c>
      <c r="C1021" s="17">
        <v>12.25</v>
      </c>
      <c r="T1021" s="17"/>
      <c r="U1021" s="17"/>
      <c r="V1021" s="17"/>
      <c r="W1021" s="17"/>
      <c r="AI1021" s="29" t="str">
        <f t="shared" si="31"/>
        <v/>
      </c>
      <c r="AS1021" s="56"/>
      <c r="AT1021" s="56"/>
      <c r="AU1021" s="56"/>
      <c r="AV1021" s="56"/>
      <c r="AW1021" s="56"/>
      <c r="AX1021" s="56"/>
      <c r="BA1021" s="1" t="s">
        <v>19</v>
      </c>
    </row>
    <row r="1022" spans="1:53">
      <c r="A1022" t="s">
        <v>18</v>
      </c>
      <c r="B1022" s="16">
        <v>31395.5275</v>
      </c>
      <c r="C1022" s="17">
        <v>12.5</v>
      </c>
      <c r="T1022" s="17"/>
      <c r="U1022" s="17"/>
      <c r="V1022" s="17"/>
      <c r="W1022" s="17"/>
      <c r="AI1022" s="29" t="str">
        <f t="shared" si="31"/>
        <v/>
      </c>
      <c r="AS1022" s="56"/>
      <c r="AT1022" s="56"/>
      <c r="AU1022" s="56"/>
      <c r="AV1022" s="56"/>
      <c r="AW1022" s="56"/>
      <c r="AX1022" s="56"/>
      <c r="BA1022" s="1" t="s">
        <v>19</v>
      </c>
    </row>
    <row r="1023" spans="1:53">
      <c r="A1023" t="s">
        <v>18</v>
      </c>
      <c r="B1023" s="16">
        <v>31486.838049999998</v>
      </c>
      <c r="C1023" s="17">
        <v>12.75</v>
      </c>
      <c r="T1023" s="17"/>
      <c r="U1023" s="17"/>
      <c r="V1023" s="17"/>
      <c r="W1023" s="17"/>
      <c r="AI1023" s="29" t="str">
        <f t="shared" si="31"/>
        <v/>
      </c>
      <c r="AS1023" s="56"/>
      <c r="AT1023" s="56"/>
      <c r="AU1023" s="56"/>
      <c r="AV1023" s="56"/>
      <c r="AW1023" s="56"/>
      <c r="AX1023" s="56"/>
      <c r="BA1023" s="1" t="s">
        <v>19</v>
      </c>
    </row>
    <row r="1024" spans="1:53">
      <c r="A1024" t="s">
        <v>18</v>
      </c>
      <c r="B1024" s="16">
        <v>31578.1486</v>
      </c>
      <c r="C1024" s="17">
        <v>13</v>
      </c>
      <c r="T1024" s="17"/>
      <c r="U1024" s="17"/>
      <c r="V1024" s="17"/>
      <c r="W1024" s="17"/>
      <c r="AI1024" s="29" t="str">
        <f t="shared" si="31"/>
        <v/>
      </c>
      <c r="AS1024" s="56"/>
      <c r="AT1024" s="56"/>
      <c r="AU1024" s="56"/>
      <c r="AV1024" s="56"/>
      <c r="AW1024" s="56"/>
      <c r="AX1024" s="56"/>
      <c r="BA1024" s="1" t="s">
        <v>19</v>
      </c>
    </row>
    <row r="1025" spans="1:53">
      <c r="A1025" t="s">
        <v>18</v>
      </c>
      <c r="B1025" s="16">
        <v>31669.459150000002</v>
      </c>
      <c r="C1025" s="17">
        <v>13.25</v>
      </c>
      <c r="T1025" s="17"/>
      <c r="U1025" s="17"/>
      <c r="V1025" s="17"/>
      <c r="W1025" s="17"/>
      <c r="AI1025" s="29" t="str">
        <f t="shared" si="31"/>
        <v/>
      </c>
      <c r="AS1025" s="56"/>
      <c r="AT1025" s="56"/>
      <c r="AU1025" s="56"/>
      <c r="AV1025" s="56"/>
      <c r="AW1025" s="56"/>
      <c r="AX1025" s="56"/>
      <c r="BA1025" s="1" t="s">
        <v>19</v>
      </c>
    </row>
    <row r="1026" spans="1:53">
      <c r="A1026" t="s">
        <v>18</v>
      </c>
      <c r="B1026" s="16">
        <v>31760.769700000001</v>
      </c>
      <c r="C1026" s="17">
        <v>13.5</v>
      </c>
      <c r="T1026" s="17"/>
      <c r="U1026" s="17"/>
      <c r="V1026" s="17"/>
      <c r="W1026" s="17"/>
      <c r="AI1026" s="29" t="str">
        <f t="shared" si="31"/>
        <v/>
      </c>
      <c r="AS1026" s="56"/>
      <c r="AT1026" s="56"/>
      <c r="AU1026" s="56"/>
      <c r="AV1026" s="56"/>
      <c r="AW1026" s="56"/>
      <c r="AX1026" s="56"/>
      <c r="BA1026" s="1" t="s">
        <v>19</v>
      </c>
    </row>
    <row r="1027" spans="1:53">
      <c r="A1027" t="s">
        <v>18</v>
      </c>
      <c r="B1027" s="16">
        <v>31852.080249999999</v>
      </c>
      <c r="C1027" s="17">
        <v>13.75</v>
      </c>
      <c r="T1027" s="17"/>
      <c r="U1027" s="17"/>
      <c r="V1027" s="17"/>
      <c r="W1027" s="17"/>
      <c r="AI1027" s="29" t="str">
        <f t="shared" ref="AI1027:AI1090" si="32">IF(AH1027&gt;0.001,AH1027/C1027,"")</f>
        <v/>
      </c>
      <c r="AS1027" s="56"/>
      <c r="AT1027" s="56"/>
      <c r="AU1027" s="56"/>
      <c r="AV1027" s="56"/>
      <c r="AW1027" s="56"/>
      <c r="AX1027" s="56"/>
      <c r="BA1027" s="1" t="s">
        <v>19</v>
      </c>
    </row>
    <row r="1028" spans="1:53">
      <c r="A1028" t="s">
        <v>18</v>
      </c>
      <c r="B1028" s="16">
        <v>31943.390800000001</v>
      </c>
      <c r="C1028" s="17">
        <v>14</v>
      </c>
      <c r="T1028" s="17"/>
      <c r="U1028" s="17"/>
      <c r="V1028" s="17"/>
      <c r="W1028" s="17"/>
      <c r="AI1028" s="29" t="str">
        <f t="shared" si="32"/>
        <v/>
      </c>
      <c r="AS1028" s="56"/>
      <c r="AT1028" s="56"/>
      <c r="AU1028" s="56"/>
      <c r="AV1028" s="56"/>
      <c r="AW1028" s="56"/>
      <c r="AX1028" s="56"/>
      <c r="BA1028" s="1" t="s">
        <v>19</v>
      </c>
    </row>
    <row r="1029" spans="1:53">
      <c r="A1029" t="s">
        <v>18</v>
      </c>
      <c r="B1029" s="16">
        <v>32034.701349999999</v>
      </c>
      <c r="C1029" s="17">
        <v>14.25</v>
      </c>
      <c r="T1029" s="17"/>
      <c r="U1029" s="17"/>
      <c r="V1029" s="17"/>
      <c r="W1029" s="17"/>
      <c r="AI1029" s="29" t="str">
        <f t="shared" si="32"/>
        <v/>
      </c>
      <c r="AS1029" s="56"/>
      <c r="AT1029" s="56"/>
      <c r="AU1029" s="56"/>
      <c r="AV1029" s="56"/>
      <c r="AW1029" s="56"/>
      <c r="AX1029" s="56"/>
      <c r="BA1029" s="1" t="s">
        <v>19</v>
      </c>
    </row>
    <row r="1030" spans="1:53">
      <c r="A1030" t="s">
        <v>18</v>
      </c>
      <c r="B1030" s="16">
        <v>32126.011900000001</v>
      </c>
      <c r="C1030" s="17">
        <v>14.5</v>
      </c>
      <c r="T1030" s="17"/>
      <c r="U1030" s="17"/>
      <c r="V1030" s="17"/>
      <c r="W1030" s="17"/>
      <c r="AI1030" s="29" t="str">
        <f t="shared" si="32"/>
        <v/>
      </c>
      <c r="AS1030" s="56"/>
      <c r="AT1030" s="56"/>
      <c r="AU1030" s="56"/>
      <c r="AV1030" s="56"/>
      <c r="AW1030" s="56"/>
      <c r="AX1030" s="56"/>
      <c r="BA1030" s="1" t="s">
        <v>19</v>
      </c>
    </row>
    <row r="1031" spans="1:53">
      <c r="A1031" t="s">
        <v>18</v>
      </c>
      <c r="B1031" s="16">
        <v>32217.32245</v>
      </c>
      <c r="C1031" s="17">
        <v>14.75</v>
      </c>
      <c r="T1031" s="17"/>
      <c r="U1031" s="17"/>
      <c r="V1031" s="17"/>
      <c r="W1031" s="17"/>
      <c r="AI1031" s="29" t="str">
        <f t="shared" si="32"/>
        <v/>
      </c>
      <c r="AS1031" s="56"/>
      <c r="AT1031" s="56"/>
      <c r="AU1031" s="56"/>
      <c r="AV1031" s="56"/>
      <c r="AW1031" s="56"/>
      <c r="AX1031" s="56"/>
      <c r="BA1031" s="1" t="s">
        <v>19</v>
      </c>
    </row>
    <row r="1032" spans="1:53">
      <c r="A1032" t="s">
        <v>18</v>
      </c>
      <c r="B1032" s="16">
        <v>32308.633000000002</v>
      </c>
      <c r="C1032" s="17">
        <v>15</v>
      </c>
      <c r="T1032" s="17"/>
      <c r="U1032" s="17"/>
      <c r="V1032" s="17"/>
      <c r="W1032" s="17"/>
      <c r="AI1032" s="29" t="str">
        <f t="shared" si="32"/>
        <v/>
      </c>
      <c r="AS1032" s="56"/>
      <c r="AT1032" s="56"/>
      <c r="AU1032" s="56"/>
      <c r="AV1032" s="56"/>
      <c r="AW1032" s="56"/>
      <c r="AX1032" s="56"/>
      <c r="BA1032" s="1" t="s">
        <v>19</v>
      </c>
    </row>
    <row r="1033" spans="1:53">
      <c r="A1033" t="s">
        <v>18</v>
      </c>
      <c r="B1033" s="16">
        <v>32399.94355</v>
      </c>
      <c r="C1033" s="17">
        <v>15.25</v>
      </c>
      <c r="T1033" s="17"/>
      <c r="U1033" s="17"/>
      <c r="V1033" s="17"/>
      <c r="W1033" s="17"/>
      <c r="AI1033" s="29" t="str">
        <f t="shared" si="32"/>
        <v/>
      </c>
      <c r="AS1033" s="56"/>
      <c r="AT1033" s="56"/>
      <c r="AU1033" s="56"/>
      <c r="AV1033" s="56"/>
      <c r="AW1033" s="56"/>
      <c r="AX1033" s="56"/>
      <c r="BA1033" s="1" t="s">
        <v>19</v>
      </c>
    </row>
    <row r="1034" spans="1:53">
      <c r="A1034" t="s">
        <v>18</v>
      </c>
      <c r="B1034" s="16">
        <v>32491.254099999998</v>
      </c>
      <c r="C1034" s="17">
        <v>15.5</v>
      </c>
      <c r="T1034" s="17"/>
      <c r="U1034" s="17"/>
      <c r="V1034" s="17"/>
      <c r="W1034" s="17"/>
      <c r="AI1034" s="29" t="str">
        <f t="shared" si="32"/>
        <v/>
      </c>
      <c r="AS1034" s="56"/>
      <c r="AT1034" s="56"/>
      <c r="AU1034" s="56"/>
      <c r="AV1034" s="56"/>
      <c r="AW1034" s="56"/>
      <c r="AX1034" s="56"/>
      <c r="BA1034" s="1" t="s">
        <v>19</v>
      </c>
    </row>
    <row r="1035" spans="1:53">
      <c r="A1035" t="s">
        <v>18</v>
      </c>
      <c r="B1035" s="16">
        <v>32582.56465</v>
      </c>
      <c r="C1035" s="17">
        <v>15.75</v>
      </c>
      <c r="T1035" s="17"/>
      <c r="U1035" s="17"/>
      <c r="V1035" s="17"/>
      <c r="W1035" s="17"/>
      <c r="AI1035" s="29" t="str">
        <f t="shared" si="32"/>
        <v/>
      </c>
      <c r="AS1035" s="56"/>
      <c r="AT1035" s="56"/>
      <c r="AU1035" s="56"/>
      <c r="AV1035" s="56"/>
      <c r="AW1035" s="56"/>
      <c r="AX1035" s="56"/>
      <c r="BA1035" s="1" t="s">
        <v>19</v>
      </c>
    </row>
    <row r="1036" spans="1:53">
      <c r="A1036" t="s">
        <v>18</v>
      </c>
      <c r="B1036" s="16">
        <v>32673.875200000002</v>
      </c>
      <c r="C1036" s="17">
        <v>16</v>
      </c>
      <c r="T1036" s="17"/>
      <c r="U1036" s="17"/>
      <c r="V1036" s="17"/>
      <c r="W1036" s="17"/>
      <c r="AI1036" s="29" t="str">
        <f t="shared" si="32"/>
        <v/>
      </c>
      <c r="AS1036" s="56"/>
      <c r="AT1036" s="56"/>
      <c r="AU1036" s="56"/>
      <c r="AV1036" s="56"/>
      <c r="AW1036" s="56"/>
      <c r="AX1036" s="56"/>
      <c r="BA1036" s="1" t="s">
        <v>19</v>
      </c>
    </row>
    <row r="1037" spans="1:53">
      <c r="A1037" t="s">
        <v>18</v>
      </c>
      <c r="B1037" s="16">
        <v>32765.185750000001</v>
      </c>
      <c r="C1037" s="17">
        <v>16.25</v>
      </c>
      <c r="T1037" s="17"/>
      <c r="U1037" s="17"/>
      <c r="V1037" s="17"/>
      <c r="W1037" s="17"/>
      <c r="AI1037" s="29" t="str">
        <f t="shared" si="32"/>
        <v/>
      </c>
      <c r="AS1037" s="56"/>
      <c r="AT1037" s="56"/>
      <c r="AU1037" s="56"/>
      <c r="AV1037" s="56"/>
      <c r="AW1037" s="56"/>
      <c r="AX1037" s="56"/>
      <c r="BA1037" s="1" t="s">
        <v>19</v>
      </c>
    </row>
    <row r="1038" spans="1:53">
      <c r="A1038" t="s">
        <v>18</v>
      </c>
      <c r="B1038" s="16">
        <v>32856.496299999999</v>
      </c>
      <c r="C1038" s="17">
        <v>16.5</v>
      </c>
      <c r="T1038" s="17"/>
      <c r="U1038" s="17"/>
      <c r="V1038" s="17"/>
      <c r="W1038" s="17"/>
      <c r="AI1038" s="29" t="str">
        <f t="shared" si="32"/>
        <v/>
      </c>
      <c r="AS1038" s="56"/>
      <c r="AT1038" s="56"/>
      <c r="AU1038" s="56"/>
      <c r="AV1038" s="56"/>
      <c r="AW1038" s="56"/>
      <c r="AX1038" s="56"/>
      <c r="BA1038" s="1" t="s">
        <v>19</v>
      </c>
    </row>
    <row r="1039" spans="1:53">
      <c r="A1039" t="s">
        <v>18</v>
      </c>
      <c r="B1039" s="16">
        <v>32947.806850000001</v>
      </c>
      <c r="C1039" s="17">
        <v>16.75</v>
      </c>
      <c r="T1039" s="17"/>
      <c r="U1039" s="17"/>
      <c r="V1039" s="17"/>
      <c r="W1039" s="17"/>
      <c r="AI1039" s="29" t="str">
        <f t="shared" si="32"/>
        <v/>
      </c>
      <c r="AS1039" s="56"/>
      <c r="AT1039" s="56"/>
      <c r="AU1039" s="56"/>
      <c r="AV1039" s="56"/>
      <c r="AW1039" s="56"/>
      <c r="AX1039" s="56"/>
      <c r="BA1039" s="1" t="s">
        <v>19</v>
      </c>
    </row>
    <row r="1040" spans="1:53">
      <c r="A1040" t="s">
        <v>18</v>
      </c>
      <c r="B1040" s="16">
        <v>33039.117400000003</v>
      </c>
      <c r="C1040" s="17">
        <v>17</v>
      </c>
      <c r="T1040" s="17"/>
      <c r="U1040" s="17"/>
      <c r="V1040" s="17"/>
      <c r="W1040" s="17"/>
      <c r="AI1040" s="29" t="str">
        <f t="shared" si="32"/>
        <v/>
      </c>
      <c r="AS1040" s="56"/>
      <c r="AT1040" s="56"/>
      <c r="AU1040" s="56"/>
      <c r="AV1040" s="56"/>
      <c r="AW1040" s="56"/>
      <c r="AX1040" s="56"/>
      <c r="BA1040" s="1" t="s">
        <v>19</v>
      </c>
    </row>
    <row r="1041" spans="1:53">
      <c r="A1041" t="s">
        <v>18</v>
      </c>
      <c r="B1041" s="16">
        <v>33130.427949999998</v>
      </c>
      <c r="C1041" s="17">
        <v>17.25</v>
      </c>
      <c r="T1041" s="17"/>
      <c r="U1041" s="17"/>
      <c r="V1041" s="17"/>
      <c r="W1041" s="17"/>
      <c r="AI1041" s="29" t="str">
        <f t="shared" si="32"/>
        <v/>
      </c>
      <c r="AS1041" s="56"/>
      <c r="AT1041" s="56"/>
      <c r="AU1041" s="56"/>
      <c r="AV1041" s="56"/>
      <c r="AW1041" s="56"/>
      <c r="AX1041" s="56"/>
      <c r="BA1041" s="1" t="s">
        <v>19</v>
      </c>
    </row>
    <row r="1042" spans="1:53">
      <c r="A1042" t="s">
        <v>18</v>
      </c>
      <c r="B1042" s="16">
        <v>33221.738499999999</v>
      </c>
      <c r="C1042" s="17">
        <v>17.5</v>
      </c>
      <c r="T1042" s="17"/>
      <c r="U1042" s="17"/>
      <c r="V1042" s="17"/>
      <c r="W1042" s="17"/>
      <c r="AI1042" s="29" t="str">
        <f t="shared" si="32"/>
        <v/>
      </c>
      <c r="AS1042" s="56"/>
      <c r="AT1042" s="56"/>
      <c r="AU1042" s="56"/>
      <c r="AV1042" s="56"/>
      <c r="AW1042" s="56"/>
      <c r="AX1042" s="56"/>
      <c r="BA1042" s="1" t="s">
        <v>19</v>
      </c>
    </row>
    <row r="1043" spans="1:53">
      <c r="A1043" t="s">
        <v>18</v>
      </c>
      <c r="B1043" s="16">
        <v>33313.049050000001</v>
      </c>
      <c r="C1043" s="17">
        <v>17.75</v>
      </c>
      <c r="T1043" s="17"/>
      <c r="U1043" s="17"/>
      <c r="V1043" s="17"/>
      <c r="W1043" s="17"/>
      <c r="AI1043" s="29" t="str">
        <f t="shared" si="32"/>
        <v/>
      </c>
      <c r="AS1043" s="56"/>
      <c r="AT1043" s="56"/>
      <c r="AU1043" s="56"/>
      <c r="AV1043" s="56"/>
      <c r="AW1043" s="56"/>
      <c r="AX1043" s="56"/>
      <c r="BA1043" s="1" t="s">
        <v>19</v>
      </c>
    </row>
    <row r="1044" spans="1:53">
      <c r="A1044" t="s">
        <v>18</v>
      </c>
      <c r="B1044" s="16">
        <v>33404.359600000003</v>
      </c>
      <c r="C1044" s="17">
        <v>18</v>
      </c>
      <c r="T1044" s="17"/>
      <c r="U1044" s="17"/>
      <c r="V1044" s="17"/>
      <c r="W1044" s="17"/>
      <c r="AI1044" s="29" t="str">
        <f t="shared" si="32"/>
        <v/>
      </c>
      <c r="AS1044" s="56"/>
      <c r="AT1044" s="56"/>
      <c r="AU1044" s="56"/>
      <c r="AV1044" s="56"/>
      <c r="AW1044" s="56"/>
      <c r="AX1044" s="56"/>
      <c r="BA1044" s="1" t="s">
        <v>19</v>
      </c>
    </row>
    <row r="1045" spans="1:53">
      <c r="A1045" t="s">
        <v>18</v>
      </c>
      <c r="B1045" s="16">
        <v>33495.670149999998</v>
      </c>
      <c r="C1045" s="17">
        <v>18.25</v>
      </c>
      <c r="T1045" s="17"/>
      <c r="U1045" s="17"/>
      <c r="V1045" s="17"/>
      <c r="W1045" s="17"/>
      <c r="AI1045" s="29" t="str">
        <f t="shared" si="32"/>
        <v/>
      </c>
      <c r="AS1045" s="56"/>
      <c r="AT1045" s="56"/>
      <c r="AU1045" s="56"/>
      <c r="AV1045" s="56"/>
      <c r="AW1045" s="56"/>
      <c r="AX1045" s="56"/>
      <c r="BA1045" s="1" t="s">
        <v>19</v>
      </c>
    </row>
    <row r="1046" spans="1:53">
      <c r="A1046" t="s">
        <v>18</v>
      </c>
      <c r="B1046" s="16">
        <v>33586.9807</v>
      </c>
      <c r="C1046" s="17">
        <v>18.5</v>
      </c>
      <c r="T1046" s="17"/>
      <c r="U1046" s="17"/>
      <c r="V1046" s="17"/>
      <c r="W1046" s="17"/>
      <c r="AI1046" s="29" t="str">
        <f t="shared" si="32"/>
        <v/>
      </c>
      <c r="AS1046" s="56"/>
      <c r="AT1046" s="56"/>
      <c r="AU1046" s="56"/>
      <c r="AV1046" s="56"/>
      <c r="AW1046" s="56"/>
      <c r="AX1046" s="56"/>
      <c r="BA1046" s="1" t="s">
        <v>19</v>
      </c>
    </row>
    <row r="1047" spans="1:53">
      <c r="A1047" t="s">
        <v>18</v>
      </c>
      <c r="B1047" s="16">
        <v>33678.291250000002</v>
      </c>
      <c r="C1047" s="17">
        <v>18.75</v>
      </c>
      <c r="T1047" s="17"/>
      <c r="U1047" s="17"/>
      <c r="V1047" s="17"/>
      <c r="W1047" s="17"/>
      <c r="AI1047" s="29" t="str">
        <f t="shared" si="32"/>
        <v/>
      </c>
      <c r="AS1047" s="56"/>
      <c r="AT1047" s="56"/>
      <c r="AU1047" s="56"/>
      <c r="AV1047" s="56"/>
      <c r="AW1047" s="56"/>
      <c r="AX1047" s="56"/>
      <c r="BA1047" s="1" t="s">
        <v>19</v>
      </c>
    </row>
    <row r="1048" spans="1:53">
      <c r="A1048" t="s">
        <v>18</v>
      </c>
      <c r="B1048" s="16">
        <v>33769.601800000004</v>
      </c>
      <c r="C1048" s="17">
        <v>19</v>
      </c>
      <c r="T1048" s="17"/>
      <c r="U1048" s="17"/>
      <c r="V1048" s="17"/>
      <c r="W1048" s="17"/>
      <c r="AI1048" s="29" t="str">
        <f t="shared" si="32"/>
        <v/>
      </c>
      <c r="AS1048" s="56"/>
      <c r="AT1048" s="56"/>
      <c r="AU1048" s="56"/>
      <c r="AV1048" s="56"/>
      <c r="AW1048" s="56"/>
      <c r="AX1048" s="56"/>
      <c r="BA1048" s="1" t="s">
        <v>19</v>
      </c>
    </row>
    <row r="1049" spans="1:53">
      <c r="A1049" t="s">
        <v>18</v>
      </c>
      <c r="B1049" s="16">
        <v>34134.843999999997</v>
      </c>
      <c r="C1049" s="17">
        <v>20</v>
      </c>
      <c r="T1049"/>
      <c r="U1049"/>
      <c r="V1049"/>
      <c r="W1049"/>
      <c r="AI1049" s="29" t="str">
        <f t="shared" si="32"/>
        <v/>
      </c>
      <c r="AS1049" s="56"/>
      <c r="AT1049" s="56"/>
      <c r="AU1049" s="56"/>
      <c r="AV1049" s="56"/>
      <c r="AW1049" s="56"/>
      <c r="AX1049" s="56"/>
      <c r="BA1049" s="1" t="s">
        <v>19</v>
      </c>
    </row>
    <row r="1050" spans="1:53">
      <c r="A1050" t="s">
        <v>69</v>
      </c>
      <c r="B1050" s="16">
        <v>26860</v>
      </c>
      <c r="C1050" s="17">
        <v>0</v>
      </c>
      <c r="D1050" s="6">
        <v>100</v>
      </c>
      <c r="E1050" s="6">
        <v>2220</v>
      </c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29" t="str">
        <f t="shared" si="32"/>
        <v/>
      </c>
      <c r="AJ1050" s="6"/>
      <c r="AK1050" s="6"/>
      <c r="AL1050" s="6"/>
      <c r="AM1050" s="6"/>
      <c r="AN1050" s="6"/>
      <c r="AO1050" s="6"/>
      <c r="AP1050" s="6"/>
      <c r="AQ1050" s="6"/>
      <c r="AR1050" s="6"/>
      <c r="AS1050" s="63"/>
      <c r="AT1050" s="63"/>
      <c r="AU1050" s="63"/>
      <c r="AV1050" s="63"/>
      <c r="AW1050" s="63"/>
      <c r="AX1050" s="63"/>
      <c r="AY1050" s="6"/>
      <c r="AZ1050" s="6"/>
      <c r="BA1050" s="1" t="s">
        <v>20</v>
      </c>
    </row>
    <row r="1051" spans="1:53">
      <c r="A1051" t="s">
        <v>69</v>
      </c>
      <c r="B1051" s="5">
        <v>27590.484400000001</v>
      </c>
      <c r="C1051">
        <v>2</v>
      </c>
      <c r="D1051" s="6">
        <f>E1051*100/2220</f>
        <v>88.738738738738732</v>
      </c>
      <c r="E1051" s="2">
        <v>1970</v>
      </c>
      <c r="F1051" s="6">
        <f>G1051+H1051+J1051+N1051</f>
        <v>210</v>
      </c>
      <c r="G1051" s="6">
        <v>0</v>
      </c>
      <c r="H1051" s="2">
        <v>90</v>
      </c>
      <c r="I1051" s="6"/>
      <c r="J1051" s="2">
        <v>50</v>
      </c>
      <c r="K1051" s="2">
        <f>J1051+G1051</f>
        <v>50</v>
      </c>
      <c r="L1051" s="2">
        <v>20</v>
      </c>
      <c r="M1051" s="2">
        <v>50</v>
      </c>
      <c r="N1051" s="6">
        <v>70</v>
      </c>
      <c r="O1051" s="6">
        <f>N1051+J1051</f>
        <v>120</v>
      </c>
      <c r="P1051" s="6"/>
      <c r="Q1051" s="6"/>
      <c r="R1051" s="6"/>
      <c r="S1051" s="6"/>
      <c r="T1051" s="35">
        <v>0.57295779513082323</v>
      </c>
      <c r="U1051" s="2"/>
      <c r="V1051" s="2">
        <v>2.3860000000000001</v>
      </c>
      <c r="W1051" s="2"/>
      <c r="X1051" s="6"/>
      <c r="Y1051" s="6"/>
      <c r="Z1051" s="6"/>
      <c r="AA1051" s="6"/>
      <c r="AB1051" s="2">
        <v>1.6</v>
      </c>
      <c r="AC1051" s="6">
        <v>1.3452442528293005</v>
      </c>
      <c r="AD1051" s="6"/>
      <c r="AE1051" s="2">
        <v>0.28000000000000003</v>
      </c>
      <c r="AF1051" s="2"/>
      <c r="AG1051" s="2"/>
      <c r="AH1051"/>
      <c r="AI1051" s="29" t="str">
        <f t="shared" si="32"/>
        <v/>
      </c>
      <c r="AJ1051" s="2"/>
      <c r="AK1051" s="2"/>
      <c r="AL1051" s="6">
        <v>1.1777777777777778E-2</v>
      </c>
      <c r="AM1051" s="6"/>
      <c r="AN1051" s="6"/>
      <c r="AO1051" s="6"/>
      <c r="AP1051" s="6"/>
      <c r="AQ1051" s="6"/>
      <c r="AR1051" s="6">
        <v>2.3860000000000001</v>
      </c>
      <c r="AS1051" s="63"/>
      <c r="AT1051" s="63"/>
      <c r="AU1051" s="63"/>
      <c r="AV1051" s="63"/>
      <c r="AW1051" s="63"/>
      <c r="AX1051" s="63"/>
      <c r="AY1051" s="6"/>
      <c r="AZ1051" s="6"/>
      <c r="BA1051" s="1" t="s">
        <v>20</v>
      </c>
    </row>
    <row r="1052" spans="1:53">
      <c r="A1052" t="s">
        <v>69</v>
      </c>
      <c r="B1052" s="5">
        <v>27955.726600000002</v>
      </c>
      <c r="C1052">
        <v>3</v>
      </c>
      <c r="D1052" s="6">
        <f t="shared" ref="D1052:D1065" si="33">E1052*100/2220</f>
        <v>88.288288288288285</v>
      </c>
      <c r="E1052" s="2">
        <v>1960</v>
      </c>
      <c r="F1052" s="6">
        <f t="shared" ref="F1052:F1063" si="34">G1052+H1052+J1052+N1052</f>
        <v>700</v>
      </c>
      <c r="G1052" s="6">
        <v>0</v>
      </c>
      <c r="H1052" s="2">
        <v>240</v>
      </c>
      <c r="I1052" s="6"/>
      <c r="J1052" s="2">
        <v>170.00000000000003</v>
      </c>
      <c r="K1052" s="2">
        <f t="shared" ref="K1052:K1063" si="35">J1052+G1052</f>
        <v>170.00000000000003</v>
      </c>
      <c r="L1052" s="2">
        <v>40</v>
      </c>
      <c r="M1052" s="2">
        <v>250</v>
      </c>
      <c r="N1052" s="6">
        <v>290</v>
      </c>
      <c r="O1052" s="6">
        <f t="shared" ref="O1052:O1063" si="36">N1052+J1052</f>
        <v>460</v>
      </c>
      <c r="P1052" s="6"/>
      <c r="Q1052" s="6"/>
      <c r="R1052" s="6"/>
      <c r="S1052" s="6"/>
      <c r="T1052" s="35">
        <v>1.3369015219719209</v>
      </c>
      <c r="U1052" s="2"/>
      <c r="V1052" s="2">
        <v>5.777000000000001</v>
      </c>
      <c r="W1052" s="2"/>
      <c r="X1052" s="6"/>
      <c r="Y1052" s="6"/>
      <c r="Z1052" s="6"/>
      <c r="AA1052" s="6"/>
      <c r="AB1052" s="2">
        <v>2.6</v>
      </c>
      <c r="AC1052" s="6">
        <v>3.7975516930514694</v>
      </c>
      <c r="AD1052" s="6"/>
      <c r="AE1052" s="2">
        <v>2.2200000000000002</v>
      </c>
      <c r="AF1052" s="2"/>
      <c r="AG1052" s="2"/>
      <c r="AH1052"/>
      <c r="AI1052" s="29" t="str">
        <f t="shared" si="32"/>
        <v/>
      </c>
      <c r="AJ1052" s="2"/>
      <c r="AK1052" s="2"/>
      <c r="AL1052" s="6">
        <v>1.4416666666666666E-2</v>
      </c>
      <c r="AM1052" s="6"/>
      <c r="AN1052" s="6"/>
      <c r="AO1052" s="6"/>
      <c r="AP1052" s="6"/>
      <c r="AQ1052" s="6"/>
      <c r="AR1052" s="6">
        <v>5.777000000000001</v>
      </c>
      <c r="AS1052" s="63"/>
      <c r="AT1052" s="63"/>
      <c r="AU1052" s="63"/>
      <c r="AV1052" s="63"/>
      <c r="AW1052" s="63"/>
      <c r="AX1052" s="63"/>
      <c r="AY1052" s="6"/>
      <c r="AZ1052" s="6"/>
      <c r="BA1052" s="1" t="s">
        <v>20</v>
      </c>
    </row>
    <row r="1053" spans="1:53">
      <c r="A1053" t="s">
        <v>69</v>
      </c>
      <c r="B1053" s="5">
        <v>28320.968799999999</v>
      </c>
      <c r="C1053">
        <v>4</v>
      </c>
      <c r="D1053" s="6">
        <f t="shared" si="33"/>
        <v>88.288288288288285</v>
      </c>
      <c r="E1053" s="2">
        <v>1960</v>
      </c>
      <c r="F1053" s="6">
        <f t="shared" si="34"/>
        <v>2360</v>
      </c>
      <c r="G1053" s="6">
        <v>0</v>
      </c>
      <c r="H1053" s="2">
        <v>800</v>
      </c>
      <c r="I1053" s="6"/>
      <c r="J1053" s="2">
        <v>700</v>
      </c>
      <c r="K1053" s="2">
        <f t="shared" si="35"/>
        <v>700</v>
      </c>
      <c r="L1053" s="2">
        <v>130</v>
      </c>
      <c r="M1053" s="2">
        <v>730</v>
      </c>
      <c r="N1053" s="6">
        <v>860</v>
      </c>
      <c r="O1053" s="6">
        <f t="shared" si="36"/>
        <v>1560</v>
      </c>
      <c r="P1053" s="6"/>
      <c r="Q1053" s="6"/>
      <c r="R1053" s="6"/>
      <c r="S1053" s="6"/>
      <c r="T1053" s="35">
        <v>4.45633840657307</v>
      </c>
      <c r="U1053" s="2"/>
      <c r="V1053" s="2">
        <v>17.087</v>
      </c>
      <c r="W1053" s="2"/>
      <c r="X1053" s="6"/>
      <c r="Y1053" s="6"/>
      <c r="Z1053" s="6"/>
      <c r="AA1053" s="6"/>
      <c r="AB1053" s="2">
        <v>3.8</v>
      </c>
      <c r="AC1053" s="6">
        <v>6.6316491464530074</v>
      </c>
      <c r="AD1053" s="6"/>
      <c r="AE1053" s="2">
        <v>6.77</v>
      </c>
      <c r="AF1053" s="2"/>
      <c r="AG1053" s="2"/>
      <c r="AH1053"/>
      <c r="AI1053" s="29" t="str">
        <f t="shared" si="32"/>
        <v/>
      </c>
      <c r="AJ1053" s="2"/>
      <c r="AK1053" s="2"/>
      <c r="AL1053" s="6">
        <v>1.5025000000000002E-2</v>
      </c>
      <c r="AM1053" s="6"/>
      <c r="AN1053" s="6"/>
      <c r="AO1053" s="6"/>
      <c r="AP1053" s="6"/>
      <c r="AQ1053" s="6"/>
      <c r="AR1053" s="6">
        <v>17.087</v>
      </c>
      <c r="AS1053" s="63"/>
      <c r="AT1053" s="63"/>
      <c r="AU1053" s="63"/>
      <c r="AV1053" s="63"/>
      <c r="AW1053" s="63"/>
      <c r="AX1053" s="63"/>
      <c r="AY1053" s="6"/>
      <c r="AZ1053" s="6"/>
      <c r="BA1053" s="1" t="s">
        <v>20</v>
      </c>
    </row>
    <row r="1054" spans="1:53">
      <c r="A1054" t="s">
        <v>69</v>
      </c>
      <c r="B1054" s="5">
        <v>28686.210999999999</v>
      </c>
      <c r="C1054">
        <v>5</v>
      </c>
      <c r="D1054" s="6">
        <f t="shared" si="33"/>
        <v>87.837837837837839</v>
      </c>
      <c r="E1054" s="2">
        <v>1950</v>
      </c>
      <c r="F1054" s="6">
        <f t="shared" si="34"/>
        <v>4380</v>
      </c>
      <c r="G1054" s="6">
        <v>10</v>
      </c>
      <c r="H1054" s="2">
        <v>1250</v>
      </c>
      <c r="I1054" s="6"/>
      <c r="J1054" s="2">
        <v>1410</v>
      </c>
      <c r="K1054" s="2">
        <f t="shared" si="35"/>
        <v>1420</v>
      </c>
      <c r="L1054" s="2">
        <v>200</v>
      </c>
      <c r="M1054" s="2">
        <v>1510</v>
      </c>
      <c r="N1054" s="6">
        <v>1710.0000000000002</v>
      </c>
      <c r="O1054" s="6">
        <f t="shared" si="36"/>
        <v>3120</v>
      </c>
      <c r="P1054" s="6"/>
      <c r="Q1054" s="6"/>
      <c r="R1054" s="6"/>
      <c r="S1054" s="6"/>
      <c r="T1054" s="35">
        <v>6.3980287122941935</v>
      </c>
      <c r="U1054" s="2"/>
      <c r="V1054" s="2">
        <v>28.094999999999999</v>
      </c>
      <c r="W1054" s="2"/>
      <c r="X1054" s="6"/>
      <c r="Y1054" s="6"/>
      <c r="Z1054" s="6"/>
      <c r="AA1054" s="6"/>
      <c r="AB1054" s="2">
        <v>5.7</v>
      </c>
      <c r="AC1054" s="6">
        <v>10.157024044040933</v>
      </c>
      <c r="AD1054" s="6"/>
      <c r="AE1054" s="2">
        <v>15.8</v>
      </c>
      <c r="AF1054" s="2"/>
      <c r="AG1054" s="2"/>
      <c r="AH1054" s="17">
        <v>47.7</v>
      </c>
      <c r="AI1054" s="29">
        <f t="shared" si="32"/>
        <v>9.5400000000000009</v>
      </c>
      <c r="AJ1054" s="2"/>
      <c r="AK1054" s="2">
        <v>317</v>
      </c>
      <c r="AL1054" s="6">
        <v>1.5256E-2</v>
      </c>
      <c r="AM1054" s="6"/>
      <c r="AN1054" s="6"/>
      <c r="AO1054" s="6"/>
      <c r="AP1054" s="6"/>
      <c r="AQ1054" s="6"/>
      <c r="AR1054" s="6">
        <v>28.094999999999999</v>
      </c>
      <c r="AS1054" s="63"/>
      <c r="AT1054" s="63"/>
      <c r="AU1054" s="63"/>
      <c r="AV1054" s="63"/>
      <c r="AW1054" s="63"/>
      <c r="AX1054" s="63"/>
      <c r="AY1054" s="6"/>
      <c r="AZ1054" s="6"/>
      <c r="BA1054" s="1" t="s">
        <v>20</v>
      </c>
    </row>
    <row r="1055" spans="1:53">
      <c r="A1055" t="s">
        <v>69</v>
      </c>
      <c r="B1055" s="5">
        <v>29047.800778000001</v>
      </c>
      <c r="C1055">
        <v>5.99</v>
      </c>
      <c r="D1055" s="6">
        <f t="shared" si="33"/>
        <v>87.837837837837839</v>
      </c>
      <c r="E1055" s="2">
        <v>1950</v>
      </c>
      <c r="F1055" s="6">
        <f t="shared" si="34"/>
        <v>6860</v>
      </c>
      <c r="G1055" s="6">
        <v>0</v>
      </c>
      <c r="H1055" s="2">
        <v>1889.9999999999998</v>
      </c>
      <c r="I1055" s="6"/>
      <c r="J1055" s="2">
        <v>2150</v>
      </c>
      <c r="K1055" s="2">
        <f t="shared" si="35"/>
        <v>2150</v>
      </c>
      <c r="L1055" s="2">
        <v>380</v>
      </c>
      <c r="M1055" s="2">
        <v>2440</v>
      </c>
      <c r="N1055" s="6">
        <v>2820</v>
      </c>
      <c r="O1055" s="6">
        <f t="shared" si="36"/>
        <v>4970</v>
      </c>
      <c r="P1055" s="6"/>
      <c r="Q1055" s="6"/>
      <c r="R1055" s="6"/>
      <c r="S1055" s="6"/>
      <c r="T1055" s="35">
        <v>9.899437460315891</v>
      </c>
      <c r="U1055" s="2"/>
      <c r="V1055" s="2">
        <v>36.758000000000003</v>
      </c>
      <c r="W1055" s="2"/>
      <c r="X1055" s="6"/>
      <c r="Y1055" s="6"/>
      <c r="Z1055" s="6"/>
      <c r="AA1055" s="6"/>
      <c r="AB1055" s="2">
        <v>8.4</v>
      </c>
      <c r="AC1055" s="6">
        <v>12.570299347501685</v>
      </c>
      <c r="AD1055" s="6"/>
      <c r="AE1055" s="2">
        <v>24.2</v>
      </c>
      <c r="AF1055" s="2"/>
      <c r="AG1055" s="2"/>
      <c r="AH1055" s="17">
        <v>84.3</v>
      </c>
      <c r="AI1055" s="29">
        <f t="shared" si="32"/>
        <v>14.073455759599332</v>
      </c>
      <c r="AJ1055" s="2"/>
      <c r="AK1055" s="2">
        <v>289</v>
      </c>
      <c r="AL1055" s="6">
        <v>1.4523809523809526E-2</v>
      </c>
      <c r="AM1055" s="6"/>
      <c r="AN1055" s="6"/>
      <c r="AO1055" s="6"/>
      <c r="AP1055" s="6"/>
      <c r="AQ1055" s="6"/>
      <c r="AR1055" s="6">
        <v>36.758000000000003</v>
      </c>
      <c r="AS1055" s="63"/>
      <c r="AT1055" s="63"/>
      <c r="AU1055" s="63"/>
      <c r="AV1055" s="63"/>
      <c r="AW1055" s="63"/>
      <c r="AX1055" s="63"/>
      <c r="AY1055" s="6"/>
      <c r="AZ1055" s="6"/>
      <c r="BA1055" s="1" t="s">
        <v>20</v>
      </c>
    </row>
    <row r="1056" spans="1:53">
      <c r="A1056" t="s">
        <v>69</v>
      </c>
      <c r="B1056" s="5">
        <v>29051.4532</v>
      </c>
      <c r="C1056">
        <v>6</v>
      </c>
      <c r="D1056" s="6">
        <f t="shared" si="33"/>
        <v>22.297297297297298</v>
      </c>
      <c r="E1056" s="2">
        <v>495</v>
      </c>
      <c r="F1056" s="6">
        <f t="shared" si="34"/>
        <v>1810</v>
      </c>
      <c r="G1056" s="6">
        <v>0</v>
      </c>
      <c r="H1056" s="2">
        <v>360</v>
      </c>
      <c r="I1056" s="6"/>
      <c r="J1056" s="2">
        <v>459.99999999999994</v>
      </c>
      <c r="K1056" s="2">
        <f t="shared" si="35"/>
        <v>459.99999999999994</v>
      </c>
      <c r="L1056" s="2">
        <v>130</v>
      </c>
      <c r="M1056" s="2">
        <v>860</v>
      </c>
      <c r="N1056" s="6">
        <v>990</v>
      </c>
      <c r="O1056" s="6">
        <f t="shared" si="36"/>
        <v>1450</v>
      </c>
      <c r="P1056" s="6"/>
      <c r="Q1056" s="6"/>
      <c r="R1056" s="6"/>
      <c r="S1056" s="6"/>
      <c r="T1056" s="35">
        <v>2.1645072260497766</v>
      </c>
      <c r="U1056" s="2"/>
      <c r="V1056" s="2">
        <v>8.995000000000001</v>
      </c>
      <c r="W1056" s="2"/>
      <c r="X1056" s="6"/>
      <c r="Y1056" s="6"/>
      <c r="Z1056" s="6"/>
      <c r="AA1056" s="6"/>
      <c r="AB1056" s="2">
        <v>8.4</v>
      </c>
      <c r="AC1056" s="6">
        <v>14.838483756073707</v>
      </c>
      <c r="AD1056" s="6"/>
      <c r="AE1056" s="2">
        <v>8.56</v>
      </c>
      <c r="AF1056" s="2"/>
      <c r="AG1056" s="2"/>
      <c r="AH1056" s="17">
        <v>29.8</v>
      </c>
      <c r="AI1056" s="29" t="str">
        <f t="shared" ref="AI1056:AI1078" si="37">IF(AF1056&gt;0.001,AF1056/C1056,"")</f>
        <v/>
      </c>
      <c r="AJ1056" s="2"/>
      <c r="AK1056" s="2">
        <v>289</v>
      </c>
      <c r="AL1056" s="6">
        <v>1.5277777777777777E-2</v>
      </c>
      <c r="AM1056" s="6"/>
      <c r="AN1056" s="6"/>
      <c r="AO1056" s="6"/>
      <c r="AP1056" s="6"/>
      <c r="AQ1056" s="6"/>
      <c r="AR1056" s="6">
        <v>8.995000000000001</v>
      </c>
      <c r="AS1056" s="63"/>
      <c r="AT1056" s="63"/>
      <c r="AU1056" s="63"/>
      <c r="AV1056" s="63"/>
      <c r="AW1056" s="63"/>
      <c r="AX1056" s="63"/>
      <c r="AY1056" s="6"/>
      <c r="AZ1056" s="6"/>
      <c r="BA1056" s="1" t="s">
        <v>20</v>
      </c>
    </row>
    <row r="1057" spans="1:53">
      <c r="A1057" t="s">
        <v>69</v>
      </c>
      <c r="B1057" s="5">
        <v>29416.695400000001</v>
      </c>
      <c r="C1057">
        <v>7</v>
      </c>
      <c r="D1057" s="6">
        <f t="shared" si="33"/>
        <v>22.297297297297298</v>
      </c>
      <c r="E1057" s="2">
        <v>495</v>
      </c>
      <c r="F1057" s="6">
        <f t="shared" si="34"/>
        <v>3120</v>
      </c>
      <c r="G1057" s="6">
        <v>10</v>
      </c>
      <c r="H1057" s="2">
        <v>480</v>
      </c>
      <c r="I1057" s="6"/>
      <c r="J1057" s="2">
        <v>800</v>
      </c>
      <c r="K1057" s="2">
        <f t="shared" si="35"/>
        <v>810</v>
      </c>
      <c r="L1057" s="2">
        <v>200</v>
      </c>
      <c r="M1057" s="2">
        <v>1630</v>
      </c>
      <c r="N1057" s="6">
        <v>1830</v>
      </c>
      <c r="O1057" s="6">
        <f t="shared" si="36"/>
        <v>2630</v>
      </c>
      <c r="P1057" s="6"/>
      <c r="Q1057" s="6"/>
      <c r="R1057" s="6"/>
      <c r="S1057" s="6"/>
      <c r="T1057" s="35">
        <v>2.5783100780887045</v>
      </c>
      <c r="U1057" s="2"/>
      <c r="V1057" s="2">
        <v>15.559000000000001</v>
      </c>
      <c r="W1057" s="2"/>
      <c r="X1057" s="6"/>
      <c r="Y1057" s="6"/>
      <c r="Z1057" s="6"/>
      <c r="AA1057" s="6"/>
      <c r="AB1057" s="2">
        <v>9.6</v>
      </c>
      <c r="AC1057" s="6">
        <v>18.426362420514121</v>
      </c>
      <c r="AD1057" s="6"/>
      <c r="AE1057" s="2">
        <v>13.2</v>
      </c>
      <c r="AF1057" s="2"/>
      <c r="AG1057" s="2"/>
      <c r="AH1057" s="17">
        <v>55.1</v>
      </c>
      <c r="AI1057" s="29" t="str">
        <f t="shared" si="37"/>
        <v/>
      </c>
      <c r="AJ1057" s="2"/>
      <c r="AK1057" s="2">
        <v>296</v>
      </c>
      <c r="AL1057" s="6">
        <v>1.497916666666667E-2</v>
      </c>
      <c r="AM1057" s="6"/>
      <c r="AN1057" s="6"/>
      <c r="AO1057" s="6"/>
      <c r="AP1057" s="6"/>
      <c r="AQ1057" s="6"/>
      <c r="AR1057" s="6">
        <v>15.559000000000001</v>
      </c>
      <c r="AS1057" s="63"/>
      <c r="AT1057" s="63"/>
      <c r="AU1057" s="63"/>
      <c r="AV1057" s="63"/>
      <c r="AW1057" s="63"/>
      <c r="AX1057" s="63"/>
      <c r="AY1057" s="6"/>
      <c r="AZ1057" s="6"/>
      <c r="BA1057" s="1" t="s">
        <v>20</v>
      </c>
    </row>
    <row r="1058" spans="1:53">
      <c r="A1058" t="s">
        <v>69</v>
      </c>
      <c r="B1058" s="5">
        <v>29781.937600000001</v>
      </c>
      <c r="C1058">
        <v>8</v>
      </c>
      <c r="D1058" s="6">
        <f t="shared" si="33"/>
        <v>22.297297297297298</v>
      </c>
      <c r="E1058" s="2">
        <v>495</v>
      </c>
      <c r="F1058" s="6">
        <f t="shared" si="34"/>
        <v>5560</v>
      </c>
      <c r="G1058" s="6">
        <v>0</v>
      </c>
      <c r="H1058" s="2">
        <v>860</v>
      </c>
      <c r="I1058" s="6"/>
      <c r="J1058" s="2">
        <v>1480</v>
      </c>
      <c r="K1058" s="2">
        <f t="shared" si="35"/>
        <v>1480</v>
      </c>
      <c r="L1058" s="2">
        <v>340</v>
      </c>
      <c r="M1058" s="2">
        <v>2880</v>
      </c>
      <c r="N1058" s="6">
        <v>3220.0000000000005</v>
      </c>
      <c r="O1058" s="6">
        <f t="shared" si="36"/>
        <v>4700</v>
      </c>
      <c r="P1058" s="6"/>
      <c r="Q1058" s="6"/>
      <c r="R1058" s="6"/>
      <c r="S1058" s="6"/>
      <c r="T1058" s="35">
        <v>4.5836623610465859</v>
      </c>
      <c r="U1058" s="2"/>
      <c r="V1058" s="2">
        <v>23.824000000000002</v>
      </c>
      <c r="W1058" s="2"/>
      <c r="X1058" s="6"/>
      <c r="Y1058" s="6"/>
      <c r="Z1058" s="6"/>
      <c r="AA1058" s="6"/>
      <c r="AB1058" s="2">
        <v>11.3</v>
      </c>
      <c r="AC1058" s="6">
        <v>22.22302923634555</v>
      </c>
      <c r="AD1058" s="6"/>
      <c r="AE1058" s="2">
        <v>19.2</v>
      </c>
      <c r="AF1058" s="2"/>
      <c r="AG1058" s="2"/>
      <c r="AH1058" s="17">
        <v>93.9</v>
      </c>
      <c r="AI1058" s="29" t="str">
        <f t="shared" si="37"/>
        <v/>
      </c>
      <c r="AJ1058" s="2"/>
      <c r="AK1058" s="2">
        <v>307</v>
      </c>
      <c r="AL1058" s="6">
        <v>1.4918604651162794E-2</v>
      </c>
      <c r="AM1058" s="6"/>
      <c r="AN1058" s="6"/>
      <c r="AO1058" s="6"/>
      <c r="AP1058" s="6"/>
      <c r="AQ1058" s="6"/>
      <c r="AR1058" s="6">
        <v>23.824000000000002</v>
      </c>
      <c r="AS1058" s="63"/>
      <c r="AT1058" s="63"/>
      <c r="AU1058" s="63"/>
      <c r="AV1058" s="63"/>
      <c r="AW1058" s="63"/>
      <c r="AX1058" s="63"/>
      <c r="AY1058" s="6"/>
      <c r="AZ1058" s="6"/>
      <c r="BA1058" s="1" t="s">
        <v>20</v>
      </c>
    </row>
    <row r="1059" spans="1:53">
      <c r="A1059" t="s">
        <v>69</v>
      </c>
      <c r="B1059" s="5">
        <v>30147.179800000002</v>
      </c>
      <c r="C1059">
        <v>9</v>
      </c>
      <c r="D1059" s="6">
        <f t="shared" si="33"/>
        <v>22.297297297297298</v>
      </c>
      <c r="E1059" s="2">
        <v>495</v>
      </c>
      <c r="F1059" s="6">
        <f t="shared" si="34"/>
        <v>8430</v>
      </c>
      <c r="G1059" s="6">
        <v>50</v>
      </c>
      <c r="H1059" s="2">
        <v>1170</v>
      </c>
      <c r="I1059" s="6"/>
      <c r="J1059" s="2">
        <v>2150</v>
      </c>
      <c r="K1059" s="2">
        <f t="shared" si="35"/>
        <v>2200</v>
      </c>
      <c r="L1059" s="2">
        <v>500</v>
      </c>
      <c r="M1059" s="2">
        <v>4560</v>
      </c>
      <c r="N1059" s="6">
        <v>5060</v>
      </c>
      <c r="O1059" s="6">
        <f t="shared" si="36"/>
        <v>7210</v>
      </c>
      <c r="P1059" s="6"/>
      <c r="Q1059" s="6"/>
      <c r="R1059" s="6"/>
      <c r="S1059" s="6"/>
      <c r="T1059" s="35">
        <v>5.5704230082163368</v>
      </c>
      <c r="U1059" s="2"/>
      <c r="V1059" s="2">
        <v>28.786000000000001</v>
      </c>
      <c r="W1059" s="2"/>
      <c r="X1059" s="6"/>
      <c r="Y1059" s="6"/>
      <c r="Z1059" s="6"/>
      <c r="AA1059" s="6"/>
      <c r="AB1059" s="2">
        <v>13.2</v>
      </c>
      <c r="AC1059" s="6">
        <v>25.205836793512571</v>
      </c>
      <c r="AD1059" s="6"/>
      <c r="AE1059" s="2">
        <v>24.7</v>
      </c>
      <c r="AF1059" s="2"/>
      <c r="AG1059" s="2"/>
      <c r="AH1059" s="17">
        <v>132.6</v>
      </c>
      <c r="AI1059" s="29" t="str">
        <f t="shared" si="37"/>
        <v/>
      </c>
      <c r="AJ1059" s="2"/>
      <c r="AK1059" s="2">
        <v>344</v>
      </c>
      <c r="AL1059" s="6">
        <v>1.4675213675213678E-2</v>
      </c>
      <c r="AM1059" s="6"/>
      <c r="AN1059" s="6"/>
      <c r="AO1059" s="6"/>
      <c r="AP1059" s="6"/>
      <c r="AQ1059" s="6"/>
      <c r="AR1059" s="6">
        <v>28.786000000000001</v>
      </c>
      <c r="AS1059" s="63"/>
      <c r="AT1059" s="63"/>
      <c r="AU1059" s="63"/>
      <c r="AV1059" s="63"/>
      <c r="AW1059" s="63"/>
      <c r="AX1059" s="63"/>
      <c r="AY1059" s="6"/>
      <c r="AZ1059" s="6"/>
      <c r="BA1059" s="1" t="s">
        <v>20</v>
      </c>
    </row>
    <row r="1060" spans="1:53">
      <c r="A1060" t="s">
        <v>69</v>
      </c>
      <c r="B1060" s="5">
        <v>30508.769577999999</v>
      </c>
      <c r="C1060">
        <v>9.99</v>
      </c>
      <c r="D1060" s="6">
        <f t="shared" si="33"/>
        <v>22.297297297297298</v>
      </c>
      <c r="E1060" s="2">
        <v>495</v>
      </c>
      <c r="F1060" s="6">
        <f t="shared" si="34"/>
        <v>10560</v>
      </c>
      <c r="G1060" s="6">
        <v>60</v>
      </c>
      <c r="H1060" s="2">
        <v>1140</v>
      </c>
      <c r="I1060" s="6"/>
      <c r="J1060" s="2">
        <v>3270.0000000000005</v>
      </c>
      <c r="K1060" s="2">
        <f t="shared" si="35"/>
        <v>3330.0000000000005</v>
      </c>
      <c r="L1060" s="2">
        <v>610</v>
      </c>
      <c r="M1060" s="2">
        <v>5480</v>
      </c>
      <c r="N1060" s="6">
        <v>6090</v>
      </c>
      <c r="O1060" s="6">
        <f t="shared" si="36"/>
        <v>9360</v>
      </c>
      <c r="P1060" s="6"/>
      <c r="Q1060" s="6"/>
      <c r="R1060" s="6"/>
      <c r="S1060" s="6"/>
      <c r="T1060" s="35">
        <v>5.79323992854499</v>
      </c>
      <c r="U1060" s="2"/>
      <c r="V1060" s="2">
        <v>32.752000000000002</v>
      </c>
      <c r="W1060" s="2"/>
      <c r="X1060" s="6"/>
      <c r="Y1060" s="6"/>
      <c r="Z1060" s="6"/>
      <c r="AA1060" s="6"/>
      <c r="AB1060" s="2">
        <v>15.4</v>
      </c>
      <c r="AC1060" s="6">
        <v>27.871228686279956</v>
      </c>
      <c r="AD1060" s="6"/>
      <c r="AE1060" s="2">
        <v>30.2</v>
      </c>
      <c r="AF1060" s="2"/>
      <c r="AG1060" s="2"/>
      <c r="AH1060" s="17">
        <v>160.1</v>
      </c>
      <c r="AI1060" s="29" t="str">
        <f t="shared" si="37"/>
        <v/>
      </c>
      <c r="AJ1060" s="2"/>
      <c r="AK1060" s="2">
        <v>342</v>
      </c>
      <c r="AL1060" s="6">
        <v>1.482456140350877E-2</v>
      </c>
      <c r="AM1060" s="6"/>
      <c r="AN1060" s="6"/>
      <c r="AO1060" s="6"/>
      <c r="AP1060" s="6"/>
      <c r="AQ1060" s="6"/>
      <c r="AR1060" s="6">
        <v>32.752000000000002</v>
      </c>
      <c r="AS1060" s="63"/>
      <c r="AT1060" s="63"/>
      <c r="AU1060" s="63"/>
      <c r="AV1060" s="63"/>
      <c r="AW1060" s="63"/>
      <c r="AX1060" s="63"/>
      <c r="AY1060" s="6"/>
      <c r="AZ1060" s="6"/>
      <c r="BA1060" s="1" t="s">
        <v>20</v>
      </c>
    </row>
    <row r="1061" spans="1:53">
      <c r="A1061" t="s">
        <v>69</v>
      </c>
      <c r="B1061" s="5">
        <v>30512.421999999999</v>
      </c>
      <c r="C1061">
        <v>10</v>
      </c>
      <c r="D1061" s="6">
        <f t="shared" si="33"/>
        <v>7.1621621621621623</v>
      </c>
      <c r="E1061" s="2">
        <v>159</v>
      </c>
      <c r="F1061" s="6">
        <f t="shared" si="34"/>
        <v>3510</v>
      </c>
      <c r="G1061" s="6">
        <v>20</v>
      </c>
      <c r="H1061" s="2">
        <v>380</v>
      </c>
      <c r="I1061" s="6"/>
      <c r="J1061" s="2">
        <v>1090</v>
      </c>
      <c r="K1061" s="2">
        <f t="shared" si="35"/>
        <v>1110</v>
      </c>
      <c r="L1061" s="2">
        <v>200</v>
      </c>
      <c r="M1061" s="2">
        <v>1820</v>
      </c>
      <c r="N1061" s="6">
        <v>2020</v>
      </c>
      <c r="O1061" s="6">
        <f t="shared" si="36"/>
        <v>3110</v>
      </c>
      <c r="P1061" s="6"/>
      <c r="Q1061" s="6"/>
      <c r="R1061" s="6"/>
      <c r="S1061" s="6"/>
      <c r="T1061" s="35">
        <v>1.941690305721123</v>
      </c>
      <c r="U1061" s="2"/>
      <c r="V1061" s="2">
        <v>10.88</v>
      </c>
      <c r="W1061" s="2"/>
      <c r="X1061" s="6"/>
      <c r="Y1061" s="6"/>
      <c r="Z1061" s="6"/>
      <c r="AA1061" s="6"/>
      <c r="AB1061" s="2">
        <v>15.4</v>
      </c>
      <c r="AC1061" s="6">
        <v>28.298061139836122</v>
      </c>
      <c r="AD1061" s="6"/>
      <c r="AE1061" s="2">
        <v>10</v>
      </c>
      <c r="AF1061" s="2"/>
      <c r="AG1061" s="2"/>
      <c r="AH1061" s="17">
        <v>53.2</v>
      </c>
      <c r="AI1061" s="29" t="str">
        <f t="shared" si="37"/>
        <v/>
      </c>
      <c r="AJ1061" s="2"/>
      <c r="AK1061" s="2">
        <v>342</v>
      </c>
      <c r="AL1061" s="6">
        <v>1.4710526315789476E-2</v>
      </c>
      <c r="AM1061" s="6"/>
      <c r="AN1061" s="6"/>
      <c r="AO1061" s="6"/>
      <c r="AP1061" s="6"/>
      <c r="AQ1061" s="6"/>
      <c r="AR1061" s="6">
        <v>10.88</v>
      </c>
      <c r="AS1061" s="63"/>
      <c r="AT1061" s="63"/>
      <c r="AU1061" s="63"/>
      <c r="AV1061" s="63"/>
      <c r="AW1061" s="63"/>
      <c r="AX1061" s="63"/>
      <c r="AY1061" s="6"/>
      <c r="AZ1061" s="6"/>
      <c r="BA1061" s="1" t="s">
        <v>20</v>
      </c>
    </row>
    <row r="1062" spans="1:53">
      <c r="A1062" t="s">
        <v>69</v>
      </c>
      <c r="B1062" s="5">
        <v>30877.664199999999</v>
      </c>
      <c r="C1062">
        <v>11</v>
      </c>
      <c r="D1062" s="6">
        <f t="shared" si="33"/>
        <v>7.0270270270270272</v>
      </c>
      <c r="E1062" s="2">
        <v>156</v>
      </c>
      <c r="F1062" s="6">
        <f t="shared" si="34"/>
        <v>5340</v>
      </c>
      <c r="G1062" s="6">
        <v>50</v>
      </c>
      <c r="H1062" s="2">
        <v>440.00000000000006</v>
      </c>
      <c r="I1062" s="6"/>
      <c r="J1062" s="2">
        <v>1520</v>
      </c>
      <c r="K1062" s="2">
        <f t="shared" si="35"/>
        <v>1570</v>
      </c>
      <c r="L1062" s="2">
        <v>300</v>
      </c>
      <c r="M1062" s="2">
        <v>3030</v>
      </c>
      <c r="N1062" s="6">
        <v>3329.9999999999995</v>
      </c>
      <c r="O1062" s="6">
        <f t="shared" si="36"/>
        <v>4850</v>
      </c>
      <c r="P1062" s="6"/>
      <c r="Q1062" s="6"/>
      <c r="R1062" s="6"/>
      <c r="S1062" s="6"/>
      <c r="T1062" s="35">
        <v>1.9735212943395024</v>
      </c>
      <c r="U1062" s="2"/>
      <c r="V1062" s="2">
        <v>16.393000000000001</v>
      </c>
      <c r="W1062" s="2"/>
      <c r="X1062" s="6"/>
      <c r="Y1062" s="6"/>
      <c r="Z1062" s="6"/>
      <c r="AA1062" s="6"/>
      <c r="AB1062" s="2">
        <v>17.399999999999999</v>
      </c>
      <c r="AC1062" s="6">
        <v>32.573514550366255</v>
      </c>
      <c r="AD1062" s="6"/>
      <c r="AE1062" s="2">
        <v>13</v>
      </c>
      <c r="AF1062" s="2"/>
      <c r="AG1062" s="2"/>
      <c r="AH1062" s="17">
        <v>86.7</v>
      </c>
      <c r="AI1062" s="29" t="str">
        <f t="shared" si="37"/>
        <v/>
      </c>
      <c r="AJ1062" s="2"/>
      <c r="AK1062" s="2">
        <v>349</v>
      </c>
      <c r="AL1062" s="6">
        <v>1.4863636363636364E-2</v>
      </c>
      <c r="AM1062" s="6"/>
      <c r="AN1062" s="6"/>
      <c r="AO1062" s="6"/>
      <c r="AP1062" s="6"/>
      <c r="AQ1062" s="6"/>
      <c r="AR1062" s="6">
        <v>16.393000000000001</v>
      </c>
      <c r="AS1062" s="63"/>
      <c r="AT1062" s="63"/>
      <c r="AU1062" s="63"/>
      <c r="AV1062" s="63"/>
      <c r="AW1062" s="63"/>
      <c r="AX1062" s="63"/>
      <c r="AY1062" s="6"/>
      <c r="AZ1062" s="6"/>
      <c r="BA1062" s="1" t="s">
        <v>20</v>
      </c>
    </row>
    <row r="1063" spans="1:53">
      <c r="A1063" t="s">
        <v>69</v>
      </c>
      <c r="B1063" s="5">
        <v>31242.9064</v>
      </c>
      <c r="C1063">
        <v>12</v>
      </c>
      <c r="D1063" s="6">
        <f t="shared" si="33"/>
        <v>7.0270270270270272</v>
      </c>
      <c r="E1063" s="2">
        <v>156</v>
      </c>
      <c r="F1063" s="6">
        <f t="shared" si="34"/>
        <v>7200</v>
      </c>
      <c r="G1063" s="6">
        <v>80</v>
      </c>
      <c r="H1063" s="2">
        <v>700</v>
      </c>
      <c r="I1063" s="6"/>
      <c r="J1063" s="2">
        <v>1940.0000000000002</v>
      </c>
      <c r="K1063" s="2">
        <f t="shared" si="35"/>
        <v>2020.0000000000002</v>
      </c>
      <c r="L1063" s="2">
        <v>450</v>
      </c>
      <c r="M1063" s="2">
        <v>4029.9999999999995</v>
      </c>
      <c r="N1063" s="6">
        <v>4480</v>
      </c>
      <c r="O1063" s="6">
        <f t="shared" si="36"/>
        <v>6420</v>
      </c>
      <c r="P1063" s="6"/>
      <c r="Q1063" s="6"/>
      <c r="R1063" s="6"/>
      <c r="S1063" s="6"/>
      <c r="T1063" s="35">
        <v>3.3740847935481812</v>
      </c>
      <c r="U1063" s="2"/>
      <c r="V1063" s="2">
        <v>21.397000000000002</v>
      </c>
      <c r="W1063" s="2"/>
      <c r="X1063" s="6"/>
      <c r="Y1063" s="6"/>
      <c r="Z1063" s="6"/>
      <c r="AA1063" s="6"/>
      <c r="AB1063" s="2">
        <v>19.3</v>
      </c>
      <c r="AC1063" s="6">
        <v>36.585994738079251</v>
      </c>
      <c r="AD1063" s="6"/>
      <c r="AE1063" s="2">
        <v>16.399999999999999</v>
      </c>
      <c r="AF1063" s="2"/>
      <c r="AG1063" s="2"/>
      <c r="AH1063" s="17">
        <v>111.6</v>
      </c>
      <c r="AI1063" s="29" t="str">
        <f t="shared" si="37"/>
        <v/>
      </c>
      <c r="AJ1063" s="2"/>
      <c r="AK1063" s="2">
        <v>361</v>
      </c>
      <c r="AL1063" s="6">
        <v>1.4985714285714286E-2</v>
      </c>
      <c r="AM1063" s="6"/>
      <c r="AN1063" s="6"/>
      <c r="AO1063" s="6"/>
      <c r="AP1063" s="6"/>
      <c r="AQ1063" s="6"/>
      <c r="AR1063" s="6">
        <v>21.397000000000002</v>
      </c>
      <c r="AS1063" s="63"/>
      <c r="AT1063" s="63"/>
      <c r="AU1063" s="63"/>
      <c r="AV1063" s="63"/>
      <c r="AW1063" s="63"/>
      <c r="AX1063" s="63"/>
      <c r="AY1063" s="6"/>
      <c r="AZ1063" s="6"/>
      <c r="BA1063" s="1" t="s">
        <v>20</v>
      </c>
    </row>
    <row r="1064" spans="1:53">
      <c r="A1064" t="s">
        <v>69</v>
      </c>
      <c r="B1064" s="5">
        <f>B1050+(C1064*365.2422)</f>
        <v>33069.117400000003</v>
      </c>
      <c r="C1064">
        <v>17</v>
      </c>
      <c r="D1064" s="6">
        <f t="shared" si="33"/>
        <v>2.8378378378378377</v>
      </c>
      <c r="E1064" s="2">
        <v>63</v>
      </c>
      <c r="F1064" s="6"/>
      <c r="G1064" s="6"/>
      <c r="H1064" s="2"/>
      <c r="I1064" s="6"/>
      <c r="J1064" s="2"/>
      <c r="K1064" s="2"/>
      <c r="L1064" s="2"/>
      <c r="M1064" s="2"/>
      <c r="N1064" s="6"/>
      <c r="O1064" s="6"/>
      <c r="P1064" s="6"/>
      <c r="Q1064" s="6"/>
      <c r="R1064" s="6"/>
      <c r="S1064" s="6"/>
      <c r="T1064" s="35"/>
      <c r="U1064" s="2"/>
      <c r="V1064" s="2"/>
      <c r="W1064" s="2"/>
      <c r="X1064" s="6"/>
      <c r="Y1064" s="6"/>
      <c r="Z1064" s="6"/>
      <c r="AA1064" s="6"/>
      <c r="AB1064" s="2">
        <v>26.2</v>
      </c>
      <c r="AC1064" s="6"/>
      <c r="AD1064" s="6"/>
      <c r="AE1064" s="2">
        <v>14.6</v>
      </c>
      <c r="AF1064" s="2"/>
      <c r="AG1064" s="2"/>
      <c r="AH1064" s="17">
        <v>429.3</v>
      </c>
      <c r="AI1064" s="29" t="str">
        <f t="shared" si="37"/>
        <v/>
      </c>
      <c r="AJ1064" s="2"/>
      <c r="AK1064" s="2">
        <v>354</v>
      </c>
      <c r="AL1064" s="6"/>
      <c r="AM1064" s="6"/>
      <c r="AN1064" s="6"/>
      <c r="AO1064" s="6"/>
      <c r="AP1064" s="6"/>
      <c r="AQ1064" s="6"/>
      <c r="AR1064" s="6"/>
      <c r="AS1064" s="63"/>
      <c r="AT1064" s="63"/>
      <c r="AU1064" s="63"/>
      <c r="AV1064" s="63"/>
      <c r="AW1064" s="63"/>
      <c r="AX1064" s="63"/>
      <c r="AY1064" s="6"/>
      <c r="AZ1064" s="6"/>
      <c r="BA1064" s="1" t="s">
        <v>89</v>
      </c>
    </row>
    <row r="1065" spans="1:53">
      <c r="A1065" t="s">
        <v>69</v>
      </c>
      <c r="B1065" s="5">
        <f>B1051+(C1065*365.2422)</f>
        <v>35625.8128</v>
      </c>
      <c r="C1065">
        <v>22</v>
      </c>
      <c r="D1065" s="6">
        <f t="shared" si="33"/>
        <v>2.7927927927927927</v>
      </c>
      <c r="E1065" s="2">
        <v>62</v>
      </c>
      <c r="F1065" s="6"/>
      <c r="G1065" s="6"/>
      <c r="H1065" s="2"/>
      <c r="I1065" s="6"/>
      <c r="J1065" s="2"/>
      <c r="K1065" s="2"/>
      <c r="L1065" s="2"/>
      <c r="M1065" s="2"/>
      <c r="N1065" s="6"/>
      <c r="O1065" s="6"/>
      <c r="P1065" s="6"/>
      <c r="Q1065" s="6"/>
      <c r="R1065" s="6"/>
      <c r="S1065" s="6"/>
      <c r="T1065" s="35"/>
      <c r="U1065" s="2"/>
      <c r="V1065" s="2"/>
      <c r="W1065" s="2"/>
      <c r="X1065" s="6"/>
      <c r="Y1065" s="6"/>
      <c r="Z1065" s="6"/>
      <c r="AA1065" s="6"/>
      <c r="AB1065" s="2">
        <v>32</v>
      </c>
      <c r="AC1065" s="6"/>
      <c r="AD1065" s="6"/>
      <c r="AE1065" s="2">
        <v>22.1</v>
      </c>
      <c r="AF1065" s="2"/>
      <c r="AG1065" s="2"/>
      <c r="AH1065" s="17">
        <v>237.8</v>
      </c>
      <c r="AI1065" s="29" t="str">
        <f t="shared" si="37"/>
        <v/>
      </c>
      <c r="AJ1065" s="2"/>
      <c r="AK1065" s="2">
        <v>363</v>
      </c>
      <c r="AL1065" s="6"/>
      <c r="AM1065" s="6"/>
      <c r="AN1065" s="6"/>
      <c r="AO1065" s="6"/>
      <c r="AP1065" s="6"/>
      <c r="AQ1065" s="6"/>
      <c r="AR1065" s="6"/>
      <c r="AS1065" s="63"/>
      <c r="AT1065" s="63"/>
      <c r="AU1065" s="63"/>
      <c r="AV1065" s="63"/>
      <c r="AW1065" s="63"/>
      <c r="AX1065" s="63"/>
      <c r="AY1065" s="6"/>
      <c r="AZ1065" s="6"/>
      <c r="BA1065" s="1" t="s">
        <v>89</v>
      </c>
    </row>
    <row r="1066" spans="1:53">
      <c r="A1066" t="s">
        <v>69</v>
      </c>
      <c r="B1066" s="5">
        <f>B1052+(C1066*365.2422)</f>
        <v>36356.297200000001</v>
      </c>
      <c r="C1066">
        <v>23</v>
      </c>
      <c r="D1066" s="6">
        <f t="shared" ref="D1066" si="38">E1066*100/2220</f>
        <v>2.7927927927927927</v>
      </c>
      <c r="E1066" s="2">
        <v>62</v>
      </c>
      <c r="F1066" s="6"/>
      <c r="G1066" s="6"/>
      <c r="H1066" s="2"/>
      <c r="I1066" s="6"/>
      <c r="J1066" s="2"/>
      <c r="K1066" s="2"/>
      <c r="L1066" s="2"/>
      <c r="M1066" s="2"/>
      <c r="N1066" s="6"/>
      <c r="O1066" s="6"/>
      <c r="P1066" s="6"/>
      <c r="Q1066" s="6"/>
      <c r="R1066" s="6"/>
      <c r="S1066" s="6"/>
      <c r="T1066" s="35"/>
      <c r="U1066" s="2"/>
      <c r="V1066" s="2"/>
      <c r="W1066" s="2"/>
      <c r="X1066" s="6"/>
      <c r="Y1066" s="6"/>
      <c r="Z1066" s="6"/>
      <c r="AA1066" s="6"/>
      <c r="AB1066" s="2">
        <v>32</v>
      </c>
      <c r="AC1066" s="6"/>
      <c r="AD1066" s="6"/>
      <c r="AE1066" s="2">
        <v>23.5</v>
      </c>
      <c r="AF1066" s="2"/>
      <c r="AG1066" s="2"/>
      <c r="AH1066" s="17">
        <v>253.4</v>
      </c>
      <c r="AI1066" s="29" t="str">
        <f t="shared" si="37"/>
        <v/>
      </c>
      <c r="AJ1066" s="2"/>
      <c r="AK1066" s="2">
        <v>380</v>
      </c>
      <c r="AL1066" s="6"/>
      <c r="AM1066" s="6"/>
      <c r="AN1066" s="6"/>
      <c r="AO1066" s="6"/>
      <c r="AP1066" s="6"/>
      <c r="AQ1066" s="6"/>
      <c r="AR1066" s="6"/>
      <c r="AS1066" s="63"/>
      <c r="AT1066" s="63"/>
      <c r="AU1066" s="63"/>
      <c r="AV1066" s="63"/>
      <c r="AW1066" s="63"/>
      <c r="AX1066" s="63"/>
      <c r="AY1066" s="6"/>
      <c r="AZ1066" s="6"/>
      <c r="BA1066" s="1" t="s">
        <v>89</v>
      </c>
    </row>
    <row r="1067" spans="1:53">
      <c r="A1067" t="s">
        <v>70</v>
      </c>
      <c r="B1067" s="16">
        <v>26860</v>
      </c>
      <c r="C1067" s="17">
        <v>0</v>
      </c>
      <c r="D1067" s="6">
        <v>100</v>
      </c>
      <c r="E1067" s="6">
        <v>2220</v>
      </c>
      <c r="F1067" s="6"/>
      <c r="H1067" s="6"/>
      <c r="I1067" s="6"/>
      <c r="J1067" s="2"/>
      <c r="K1067" s="6"/>
      <c r="L1067" s="6"/>
      <c r="M1067" s="6"/>
      <c r="N1067" s="6"/>
      <c r="O1067" s="6"/>
      <c r="P1067" s="6"/>
      <c r="Q1067" s="6"/>
      <c r="R1067" s="6"/>
      <c r="S1067" s="6"/>
      <c r="U1067" s="2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29" t="str">
        <f t="shared" si="37"/>
        <v/>
      </c>
      <c r="AJ1067" s="6"/>
      <c r="AK1067" s="6"/>
      <c r="AL1067" s="6"/>
      <c r="AM1067" s="6"/>
      <c r="AN1067" s="6"/>
      <c r="AO1067" s="6"/>
      <c r="AP1067" s="6"/>
      <c r="AQ1067" s="6"/>
      <c r="AR1067" s="6"/>
      <c r="AS1067" s="63"/>
      <c r="AT1067" s="63"/>
      <c r="AU1067" s="63"/>
      <c r="AV1067" s="63"/>
      <c r="AW1067" s="63"/>
      <c r="AX1067" s="63"/>
      <c r="AY1067" s="6"/>
      <c r="AZ1067" s="6"/>
      <c r="BA1067" s="1" t="s">
        <v>20</v>
      </c>
    </row>
    <row r="1068" spans="1:53">
      <c r="A1068" t="s">
        <v>70</v>
      </c>
      <c r="B1068" s="5">
        <v>27590.484400000001</v>
      </c>
      <c r="C1068">
        <v>2</v>
      </c>
      <c r="D1068" s="6">
        <f t="shared" ref="D1068:D1079" si="39">E1068*100/2220</f>
        <v>88.963963963963963</v>
      </c>
      <c r="E1068" s="2">
        <v>1975</v>
      </c>
      <c r="F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2"/>
      <c r="V1068" s="6"/>
      <c r="W1068" s="6"/>
      <c r="X1068" s="6"/>
      <c r="Y1068" s="6"/>
      <c r="Z1068" s="6"/>
      <c r="AA1068" s="6"/>
      <c r="AB1068" s="2">
        <v>1.8</v>
      </c>
      <c r="AC1068" s="6">
        <v>1.9169426521686781</v>
      </c>
      <c r="AD1068" s="6"/>
      <c r="AE1068" s="2">
        <v>0.56999999999999995</v>
      </c>
      <c r="AF1068" s="6"/>
      <c r="AG1068" s="6"/>
      <c r="AH1068" s="6"/>
      <c r="AI1068" s="29" t="str">
        <f t="shared" si="37"/>
        <v/>
      </c>
      <c r="AJ1068" s="6"/>
      <c r="AK1068" s="6"/>
      <c r="AL1068" s="6"/>
      <c r="AM1068" s="6"/>
      <c r="AN1068" s="6"/>
      <c r="AO1068" s="6"/>
      <c r="AP1068" s="6"/>
      <c r="AQ1068" s="6"/>
      <c r="AR1068" s="6"/>
      <c r="AS1068" s="63"/>
      <c r="AT1068" s="63"/>
      <c r="AU1068" s="63"/>
      <c r="AV1068" s="63"/>
      <c r="AW1068" s="63"/>
      <c r="AX1068" s="63"/>
      <c r="AY1068" s="6"/>
      <c r="AZ1068" s="6"/>
      <c r="BA1068" s="1" t="s">
        <v>20</v>
      </c>
    </row>
    <row r="1069" spans="1:53">
      <c r="A1069" t="s">
        <v>70</v>
      </c>
      <c r="B1069" s="5">
        <v>27955.726600000002</v>
      </c>
      <c r="C1069">
        <v>3</v>
      </c>
      <c r="D1069" s="6">
        <f t="shared" si="39"/>
        <v>87.162162162162161</v>
      </c>
      <c r="E1069" s="2">
        <v>1935</v>
      </c>
      <c r="F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2"/>
      <c r="V1069" s="6"/>
      <c r="W1069" s="6"/>
      <c r="X1069" s="6"/>
      <c r="Y1069" s="6"/>
      <c r="Z1069" s="6"/>
      <c r="AA1069" s="6"/>
      <c r="AB1069" s="2">
        <v>2.9</v>
      </c>
      <c r="AC1069" s="6">
        <v>4.7714767002648442</v>
      </c>
      <c r="AD1069" s="6"/>
      <c r="AE1069" s="2">
        <v>3.46</v>
      </c>
      <c r="AF1069" s="6"/>
      <c r="AG1069" s="6"/>
      <c r="AH1069" s="6"/>
      <c r="AI1069" s="29" t="str">
        <f t="shared" si="37"/>
        <v/>
      </c>
      <c r="AJ1069" s="6"/>
      <c r="AK1069" s="6"/>
      <c r="AL1069" s="6"/>
      <c r="AM1069" s="6"/>
      <c r="AN1069" s="6"/>
      <c r="AO1069" s="6"/>
      <c r="AP1069" s="6"/>
      <c r="AQ1069" s="6"/>
      <c r="AR1069" s="6"/>
      <c r="AS1069" s="63"/>
      <c r="AT1069" s="63"/>
      <c r="AU1069" s="63"/>
      <c r="AV1069" s="63"/>
      <c r="AW1069" s="63"/>
      <c r="AX1069" s="63"/>
      <c r="AY1069" s="6"/>
      <c r="AZ1069" s="6"/>
      <c r="BA1069" s="1" t="s">
        <v>20</v>
      </c>
    </row>
    <row r="1070" spans="1:53">
      <c r="A1070" t="s">
        <v>70</v>
      </c>
      <c r="B1070" s="5">
        <v>28320.968799999999</v>
      </c>
      <c r="C1070">
        <v>4</v>
      </c>
      <c r="D1070" s="6">
        <f t="shared" si="39"/>
        <v>86.936936936936931</v>
      </c>
      <c r="E1070" s="2">
        <v>1930</v>
      </c>
      <c r="F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2"/>
      <c r="V1070" s="6"/>
      <c r="W1070" s="6"/>
      <c r="X1070" s="6"/>
      <c r="Y1070" s="6"/>
      <c r="Z1070" s="6"/>
      <c r="AA1070" s="6"/>
      <c r="AB1070" s="2">
        <v>4.3</v>
      </c>
      <c r="AC1070" s="6">
        <v>8.0488221679828911</v>
      </c>
      <c r="AD1070" s="6"/>
      <c r="AE1070" s="2">
        <v>9.82</v>
      </c>
      <c r="AF1070" s="6"/>
      <c r="AG1070" s="6"/>
      <c r="AH1070" s="6"/>
      <c r="AI1070" s="29" t="str">
        <f t="shared" si="37"/>
        <v/>
      </c>
      <c r="AJ1070" s="6"/>
      <c r="AK1070" s="6"/>
      <c r="AL1070" s="6"/>
      <c r="AM1070" s="6"/>
      <c r="AN1070" s="6"/>
      <c r="AO1070" s="6"/>
      <c r="AP1070" s="6"/>
      <c r="AQ1070" s="6"/>
      <c r="AR1070" s="6"/>
      <c r="AS1070" s="63"/>
      <c r="AT1070" s="63"/>
      <c r="AU1070" s="63"/>
      <c r="AV1070" s="63"/>
      <c r="AW1070" s="63"/>
      <c r="AX1070" s="63"/>
      <c r="AY1070" s="6"/>
      <c r="AZ1070" s="6"/>
      <c r="BA1070" s="1" t="s">
        <v>20</v>
      </c>
    </row>
    <row r="1071" spans="1:53">
      <c r="A1071" t="s">
        <v>70</v>
      </c>
      <c r="B1071" s="5">
        <v>28686.210999999999</v>
      </c>
      <c r="C1071">
        <v>5</v>
      </c>
      <c r="D1071" s="6">
        <f t="shared" si="39"/>
        <v>86.936936936936931</v>
      </c>
      <c r="E1071" s="2">
        <v>1930</v>
      </c>
      <c r="F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2"/>
      <c r="V1071" s="6"/>
      <c r="W1071" s="6"/>
      <c r="X1071" s="6"/>
      <c r="Y1071" s="6"/>
      <c r="Z1071" s="6"/>
      <c r="AA1071" s="6"/>
      <c r="AB1071" s="2">
        <v>6.3</v>
      </c>
      <c r="AC1071" s="6">
        <v>11.543892476660128</v>
      </c>
      <c r="AD1071" s="6"/>
      <c r="AE1071" s="2">
        <v>20.2</v>
      </c>
      <c r="AG1071" s="2"/>
      <c r="AH1071" s="2">
        <v>69.5</v>
      </c>
      <c r="AI1071" s="29" t="str">
        <f t="shared" si="37"/>
        <v/>
      </c>
      <c r="AJ1071" s="2"/>
      <c r="AK1071" s="6"/>
      <c r="AL1071" s="6"/>
      <c r="AM1071" s="6"/>
      <c r="AN1071" s="6"/>
      <c r="AO1071" s="6"/>
      <c r="AP1071" s="6"/>
      <c r="AQ1071" s="6"/>
      <c r="AR1071" s="6"/>
      <c r="AS1071" s="63"/>
      <c r="AT1071" s="63"/>
      <c r="AU1071" s="63"/>
      <c r="AV1071" s="63"/>
      <c r="AW1071" s="63"/>
      <c r="AX1071" s="63"/>
      <c r="AY1071" s="6"/>
      <c r="AZ1071" s="6"/>
      <c r="BA1071" s="1" t="s">
        <v>20</v>
      </c>
    </row>
    <row r="1072" spans="1:53">
      <c r="A1072" t="s">
        <v>70</v>
      </c>
      <c r="B1072" s="5">
        <v>29051.4532</v>
      </c>
      <c r="C1072">
        <v>6</v>
      </c>
      <c r="D1072" s="6">
        <f t="shared" si="39"/>
        <v>86.036036036036037</v>
      </c>
      <c r="E1072" s="2">
        <v>1910</v>
      </c>
      <c r="F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2"/>
      <c r="V1072" s="6"/>
      <c r="W1072" s="6"/>
      <c r="X1072" s="6"/>
      <c r="Y1072" s="6"/>
      <c r="Z1072" s="6"/>
      <c r="AA1072" s="6"/>
      <c r="AB1072" s="2">
        <v>8.3000000000000007</v>
      </c>
      <c r="AC1072" s="6">
        <v>13.975661374215719</v>
      </c>
      <c r="AD1072" s="6"/>
      <c r="AE1072" s="2">
        <v>29.3</v>
      </c>
      <c r="AG1072" s="2"/>
      <c r="AH1072" s="2">
        <v>119.6</v>
      </c>
      <c r="AI1072" s="29" t="str">
        <f t="shared" si="37"/>
        <v/>
      </c>
      <c r="AJ1072" s="2"/>
      <c r="AK1072" s="6"/>
      <c r="AL1072" s="6"/>
      <c r="AM1072" s="6"/>
      <c r="AN1072" s="6"/>
      <c r="AO1072" s="6"/>
      <c r="AP1072" s="6"/>
      <c r="AQ1072" s="6"/>
      <c r="AR1072" s="6"/>
      <c r="AS1072" s="63"/>
      <c r="AT1072" s="63"/>
      <c r="AU1072" s="63"/>
      <c r="AV1072" s="63"/>
      <c r="AW1072" s="63"/>
      <c r="AX1072" s="63"/>
      <c r="AY1072" s="6"/>
      <c r="AZ1072" s="6"/>
      <c r="BA1072" s="1" t="s">
        <v>20</v>
      </c>
    </row>
    <row r="1073" spans="1:53">
      <c r="A1073" t="s">
        <v>70</v>
      </c>
      <c r="B1073" s="5">
        <v>29416.695400000001</v>
      </c>
      <c r="C1073">
        <v>7</v>
      </c>
      <c r="D1073" s="6">
        <f t="shared" si="39"/>
        <v>85.810810810810807</v>
      </c>
      <c r="E1073" s="2">
        <v>1905</v>
      </c>
      <c r="F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2"/>
      <c r="V1073" s="6"/>
      <c r="W1073" s="6"/>
      <c r="X1073" s="6"/>
      <c r="Y1073" s="6"/>
      <c r="Z1073" s="6"/>
      <c r="AA1073" s="6"/>
      <c r="AB1073" s="2">
        <v>9.6</v>
      </c>
      <c r="AC1073" s="6">
        <v>15.915759123580655</v>
      </c>
      <c r="AD1073" s="6"/>
      <c r="AE1073" s="2">
        <v>37.9</v>
      </c>
      <c r="AG1073" s="2"/>
      <c r="AH1073" s="2">
        <v>172.5</v>
      </c>
      <c r="AI1073" s="29" t="str">
        <f t="shared" si="37"/>
        <v/>
      </c>
      <c r="AJ1073" s="2"/>
      <c r="AK1073" s="6"/>
      <c r="AL1073" s="6"/>
      <c r="AM1073" s="6"/>
      <c r="AN1073" s="6"/>
      <c r="AO1073" s="6"/>
      <c r="AP1073" s="6"/>
      <c r="AQ1073" s="6"/>
      <c r="AR1073" s="6"/>
      <c r="AS1073" s="63"/>
      <c r="AT1073" s="63"/>
      <c r="AU1073" s="63"/>
      <c r="AV1073" s="63"/>
      <c r="AW1073" s="63"/>
      <c r="AX1073" s="63"/>
      <c r="AY1073" s="6"/>
      <c r="AZ1073" s="6"/>
      <c r="BA1073" s="1" t="s">
        <v>20</v>
      </c>
    </row>
    <row r="1074" spans="1:53">
      <c r="A1074" t="s">
        <v>70</v>
      </c>
      <c r="B1074" s="5">
        <v>29781.937600000001</v>
      </c>
      <c r="C1074">
        <v>8</v>
      </c>
      <c r="D1074" s="6">
        <f t="shared" si="39"/>
        <v>84.459459459459453</v>
      </c>
      <c r="E1074" s="2">
        <v>1875</v>
      </c>
      <c r="F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2"/>
      <c r="V1074" s="6"/>
      <c r="W1074" s="6"/>
      <c r="X1074" s="6"/>
      <c r="Y1074" s="6"/>
      <c r="Z1074" s="6"/>
      <c r="AA1074" s="6"/>
      <c r="AB1074" s="2">
        <v>10.9</v>
      </c>
      <c r="AC1074" s="6">
        <v>17.048119903280465</v>
      </c>
      <c r="AD1074" s="6"/>
      <c r="AE1074" s="2">
        <v>42.8</v>
      </c>
      <c r="AG1074" s="2"/>
      <c r="AH1074" s="2">
        <v>217.3</v>
      </c>
      <c r="AI1074" s="29" t="str">
        <f t="shared" si="37"/>
        <v/>
      </c>
      <c r="AJ1074" s="2"/>
      <c r="AK1074" s="6"/>
      <c r="AL1074" s="6"/>
      <c r="AM1074" s="6"/>
      <c r="AN1074" s="6"/>
      <c r="AO1074" s="6"/>
      <c r="AP1074" s="6"/>
      <c r="AQ1074" s="6"/>
      <c r="AR1074" s="6"/>
      <c r="AS1074" s="63"/>
      <c r="AT1074" s="63"/>
      <c r="AU1074" s="63"/>
      <c r="AV1074" s="63"/>
      <c r="AW1074" s="63"/>
      <c r="AX1074" s="63"/>
      <c r="AY1074" s="6"/>
      <c r="AZ1074" s="6"/>
      <c r="BA1074" s="1" t="s">
        <v>20</v>
      </c>
    </row>
    <row r="1075" spans="1:53">
      <c r="A1075" t="s">
        <v>70</v>
      </c>
      <c r="B1075" s="5">
        <v>30147.179800000002</v>
      </c>
      <c r="C1075">
        <v>9</v>
      </c>
      <c r="D1075" s="6">
        <f t="shared" si="39"/>
        <v>78.828828828828833</v>
      </c>
      <c r="E1075" s="2">
        <v>1750</v>
      </c>
      <c r="F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2"/>
      <c r="V1075" s="6"/>
      <c r="W1075" s="6"/>
      <c r="X1075" s="6"/>
      <c r="Y1075" s="6"/>
      <c r="Z1075" s="6"/>
      <c r="AA1075" s="6"/>
      <c r="AB1075" s="2">
        <v>12.4</v>
      </c>
      <c r="AC1075" s="6">
        <v>18.353830384971328</v>
      </c>
      <c r="AD1075" s="6"/>
      <c r="AE1075" s="2">
        <v>46.3</v>
      </c>
      <c r="AG1075" s="2"/>
      <c r="AH1075" s="2">
        <v>259.89999999999998</v>
      </c>
      <c r="AI1075" s="29" t="str">
        <f t="shared" si="37"/>
        <v/>
      </c>
      <c r="AJ1075" s="2"/>
      <c r="AK1075" s="6"/>
      <c r="AL1075" s="6"/>
      <c r="AM1075" s="6"/>
      <c r="AN1075" s="6"/>
      <c r="AO1075" s="6"/>
      <c r="AP1075" s="6"/>
      <c r="AQ1075" s="6"/>
      <c r="AR1075" s="6"/>
      <c r="AS1075" s="63"/>
      <c r="AT1075" s="63"/>
      <c r="AU1075" s="63"/>
      <c r="AV1075" s="63"/>
      <c r="AW1075" s="63"/>
      <c r="AX1075" s="63"/>
      <c r="AY1075" s="6"/>
      <c r="AZ1075" s="6"/>
      <c r="BA1075" s="1" t="s">
        <v>20</v>
      </c>
    </row>
    <row r="1076" spans="1:53">
      <c r="A1076" t="s">
        <v>70</v>
      </c>
      <c r="B1076" s="5">
        <v>30512.421999999999</v>
      </c>
      <c r="C1076">
        <v>10</v>
      </c>
      <c r="D1076" s="6">
        <f t="shared" si="39"/>
        <v>74.099099099099092</v>
      </c>
      <c r="E1076" s="2">
        <v>1645</v>
      </c>
      <c r="F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2"/>
      <c r="V1076" s="6"/>
      <c r="W1076" s="6"/>
      <c r="X1076" s="6"/>
      <c r="Y1076" s="6"/>
      <c r="Z1076" s="6"/>
      <c r="AA1076" s="6"/>
      <c r="AB1076" s="2">
        <v>13.9</v>
      </c>
      <c r="AC1076" s="6">
        <v>19.984677413450651</v>
      </c>
      <c r="AD1076" s="6"/>
      <c r="AE1076" s="2">
        <v>51.6</v>
      </c>
      <c r="AG1076" s="2"/>
      <c r="AH1076" s="2">
        <v>318.8</v>
      </c>
      <c r="AI1076" s="29" t="str">
        <f t="shared" si="37"/>
        <v/>
      </c>
      <c r="AJ1076" s="2"/>
      <c r="AK1076" s="6"/>
      <c r="AL1076" s="6"/>
      <c r="AM1076" s="6"/>
      <c r="AN1076" s="6"/>
      <c r="AO1076" s="6"/>
      <c r="AP1076" s="6"/>
      <c r="AQ1076" s="6"/>
      <c r="AR1076" s="6"/>
      <c r="AS1076" s="63"/>
      <c r="AT1076" s="63"/>
      <c r="AU1076" s="63"/>
      <c r="AV1076" s="63"/>
      <c r="AW1076" s="63"/>
      <c r="AX1076" s="63"/>
      <c r="AY1076" s="6"/>
      <c r="AZ1076" s="6"/>
      <c r="BA1076" s="1" t="s">
        <v>20</v>
      </c>
    </row>
    <row r="1077" spans="1:53">
      <c r="A1077" t="s">
        <v>70</v>
      </c>
      <c r="B1077" s="5">
        <v>30877.664199999999</v>
      </c>
      <c r="C1077">
        <v>11</v>
      </c>
      <c r="D1077" s="6">
        <f t="shared" si="39"/>
        <v>72.522522522522522</v>
      </c>
      <c r="E1077" s="2">
        <v>1610</v>
      </c>
      <c r="F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2"/>
      <c r="V1077" s="6"/>
      <c r="W1077" s="6"/>
      <c r="X1077" s="6"/>
      <c r="Y1077" s="6"/>
      <c r="Z1077" s="6"/>
      <c r="AA1077" s="6"/>
      <c r="AB1077" s="2">
        <v>15.3</v>
      </c>
      <c r="AC1077" s="6">
        <v>20.987944268713981</v>
      </c>
      <c r="AD1077" s="6"/>
      <c r="AE1077" s="2">
        <v>55.7</v>
      </c>
      <c r="AG1077" s="2"/>
      <c r="AH1077" s="2">
        <v>365.2</v>
      </c>
      <c r="AI1077" s="29" t="str">
        <f t="shared" si="37"/>
        <v/>
      </c>
      <c r="AJ1077" s="2"/>
      <c r="AK1077" s="6"/>
      <c r="AL1077" s="6"/>
      <c r="AM1077" s="6"/>
      <c r="AN1077" s="6"/>
      <c r="AO1077" s="6"/>
      <c r="AP1077" s="6"/>
      <c r="AQ1077" s="6"/>
      <c r="AR1077" s="6"/>
      <c r="AS1077" s="63"/>
      <c r="AT1077" s="63"/>
      <c r="AU1077" s="63"/>
      <c r="AV1077" s="63"/>
      <c r="AW1077" s="63"/>
      <c r="AX1077" s="63"/>
      <c r="AY1077" s="6"/>
      <c r="AZ1077" s="6"/>
      <c r="BA1077" s="1" t="s">
        <v>20</v>
      </c>
    </row>
    <row r="1078" spans="1:53">
      <c r="A1078" t="s">
        <v>70</v>
      </c>
      <c r="B1078" s="5">
        <v>31242.9064</v>
      </c>
      <c r="C1078">
        <v>12</v>
      </c>
      <c r="D1078" s="6">
        <f t="shared" si="39"/>
        <v>69.819819819819813</v>
      </c>
      <c r="E1078" s="2">
        <v>1550</v>
      </c>
      <c r="F1078" s="6">
        <f t="shared" ref="F1078" si="40">G1078+H1078+J1078+N1078</f>
        <v>23020</v>
      </c>
      <c r="G1078" s="6">
        <v>110.00000000000001</v>
      </c>
      <c r="H1078" s="2">
        <v>1350</v>
      </c>
      <c r="I1078" s="6"/>
      <c r="J1078" s="2">
        <v>5290</v>
      </c>
      <c r="K1078" s="2">
        <f t="shared" ref="K1078" si="41">J1078+G1078</f>
        <v>5400</v>
      </c>
      <c r="L1078" s="2">
        <v>1500</v>
      </c>
      <c r="M1078" s="2">
        <v>14769.999999999998</v>
      </c>
      <c r="N1078" s="6">
        <v>16269.999999999998</v>
      </c>
      <c r="O1078" s="6">
        <f t="shared" ref="O1078" si="42">N1078+J1078</f>
        <v>21560</v>
      </c>
      <c r="P1078" s="6"/>
      <c r="Q1078" s="6"/>
      <c r="R1078" s="6"/>
      <c r="S1078" s="6"/>
      <c r="T1078" s="35">
        <v>6.6208456326228466</v>
      </c>
      <c r="U1078" s="2"/>
      <c r="V1078" s="6">
        <v>56.06</v>
      </c>
      <c r="W1078" s="6"/>
      <c r="X1078" s="6"/>
      <c r="Y1078" s="6"/>
      <c r="Z1078" s="6"/>
      <c r="AA1078" s="6"/>
      <c r="AB1078" s="2">
        <v>17.8</v>
      </c>
      <c r="AC1078" s="6">
        <v>22.014833209354752</v>
      </c>
      <c r="AD1078" s="6"/>
      <c r="AE1078" s="2">
        <v>59</v>
      </c>
      <c r="AG1078" s="2"/>
      <c r="AH1078" s="2">
        <v>427.4</v>
      </c>
      <c r="AI1078" s="29" t="str">
        <f t="shared" si="37"/>
        <v/>
      </c>
      <c r="AJ1078" s="2"/>
      <c r="AK1078" s="6"/>
      <c r="AL1078" s="6">
        <v>1.4392592592592592E-2</v>
      </c>
      <c r="AM1078" s="6"/>
      <c r="AN1078" s="6"/>
      <c r="AO1078" s="6"/>
      <c r="AP1078" s="6"/>
      <c r="AQ1078" s="6"/>
      <c r="AR1078" s="6">
        <v>56.06</v>
      </c>
      <c r="AS1078" s="63"/>
      <c r="AT1078" s="63"/>
      <c r="AU1078" s="63"/>
      <c r="AV1078" s="63"/>
      <c r="AW1078" s="63"/>
      <c r="AX1078" s="63"/>
      <c r="AY1078" s="6"/>
      <c r="AZ1078" s="6"/>
      <c r="BA1078" s="1" t="s">
        <v>20</v>
      </c>
    </row>
    <row r="1079" spans="1:53">
      <c r="A1079" t="s">
        <v>70</v>
      </c>
      <c r="B1079" s="5">
        <f>B1067+(C1079*365.2422)</f>
        <v>33069.117400000003</v>
      </c>
      <c r="C1079">
        <v>17</v>
      </c>
      <c r="D1079" s="6">
        <f t="shared" si="39"/>
        <v>51.576576576576578</v>
      </c>
      <c r="E1079" s="2">
        <v>1145</v>
      </c>
      <c r="F1079" s="6"/>
      <c r="G1079" s="6"/>
      <c r="H1079" s="2"/>
      <c r="I1079" s="6"/>
      <c r="J1079" s="2"/>
      <c r="K1079" s="2"/>
      <c r="L1079" s="2"/>
      <c r="M1079" s="2"/>
      <c r="N1079" s="6"/>
      <c r="O1079" s="6"/>
      <c r="P1079" s="6"/>
      <c r="Q1079" s="6"/>
      <c r="R1079" s="6"/>
      <c r="S1079" s="6"/>
      <c r="T1079" s="35"/>
      <c r="U1079" s="2"/>
      <c r="V1079" s="6"/>
      <c r="W1079" s="6"/>
      <c r="X1079" s="6"/>
      <c r="Y1079" s="6"/>
      <c r="Z1079" s="6"/>
      <c r="AA1079" s="6"/>
      <c r="AB1079" s="2">
        <v>25.4</v>
      </c>
      <c r="AC1079" s="6"/>
      <c r="AD1079" s="6"/>
      <c r="AE1079" s="2">
        <v>65.7</v>
      </c>
      <c r="AG1079" s="2"/>
      <c r="AH1079" s="2"/>
      <c r="AI1079" s="29" t="str">
        <f t="shared" si="32"/>
        <v/>
      </c>
      <c r="AJ1079" s="2"/>
      <c r="AK1079" s="6"/>
      <c r="AL1079" s="6"/>
      <c r="AM1079" s="6"/>
      <c r="AN1079" s="6"/>
      <c r="AO1079" s="6"/>
      <c r="AP1079" s="6"/>
      <c r="AQ1079" s="6"/>
      <c r="AR1079" s="6"/>
      <c r="AS1079" s="63"/>
      <c r="AT1079" s="63"/>
      <c r="AU1079" s="63"/>
      <c r="AV1079" s="63"/>
      <c r="AW1079" s="63"/>
      <c r="AX1079" s="63"/>
      <c r="AY1079" s="6"/>
      <c r="AZ1079" s="6"/>
      <c r="BA1079" s="1" t="s">
        <v>89</v>
      </c>
    </row>
    <row r="1080" spans="1:53">
      <c r="A1080" s="3" t="s">
        <v>26</v>
      </c>
      <c r="B1080" s="5">
        <v>31093</v>
      </c>
      <c r="C1080" s="3">
        <v>0</v>
      </c>
      <c r="E1080" s="3">
        <v>1667</v>
      </c>
      <c r="G1080" s="6"/>
      <c r="AI1080" s="29" t="str">
        <f t="shared" si="32"/>
        <v/>
      </c>
      <c r="AS1080" s="56"/>
      <c r="AT1080" s="56"/>
      <c r="AU1080" s="56"/>
      <c r="AV1080" s="56"/>
      <c r="AW1080" s="56"/>
      <c r="AX1080" s="56"/>
      <c r="BA1080" s="1" t="s">
        <v>30</v>
      </c>
    </row>
    <row r="1081" spans="1:53">
      <c r="A1081" s="3" t="s">
        <v>26</v>
      </c>
      <c r="B1081" s="5">
        <v>33649.695399999997</v>
      </c>
      <c r="C1081" s="3">
        <v>7</v>
      </c>
      <c r="D1081" s="20">
        <f t="shared" ref="D1081:D1123" si="43">E1081/E$1080*100</f>
        <v>69.835632873425325</v>
      </c>
      <c r="E1081" s="3">
        <v>1164.1600000000001</v>
      </c>
      <c r="G1081" s="6"/>
      <c r="M1081" s="1">
        <v>288</v>
      </c>
      <c r="AB1081" s="3">
        <v>3.29</v>
      </c>
      <c r="AC1081" s="3">
        <v>5.1233559160381619</v>
      </c>
      <c r="AE1081" s="3">
        <v>2.4</v>
      </c>
      <c r="AI1081" s="29" t="str">
        <f t="shared" si="32"/>
        <v/>
      </c>
      <c r="AL1081" s="3">
        <v>9.8999999999999991E-3</v>
      </c>
      <c r="AS1081" s="56"/>
      <c r="AT1081" s="56"/>
      <c r="AU1081" s="56"/>
      <c r="AV1081" s="56"/>
      <c r="AW1081" s="56"/>
      <c r="AX1081" s="56"/>
      <c r="BA1081" s="1" t="s">
        <v>30</v>
      </c>
    </row>
    <row r="1082" spans="1:53">
      <c r="A1082" s="3" t="s">
        <v>26</v>
      </c>
      <c r="B1082" s="5">
        <v>34014.937599999997</v>
      </c>
      <c r="C1082" s="3">
        <v>8</v>
      </c>
      <c r="D1082" s="20">
        <f t="shared" si="43"/>
        <v>69.835032993401327</v>
      </c>
      <c r="E1082" s="3">
        <v>1164.1500000000001</v>
      </c>
      <c r="G1082" s="6"/>
      <c r="M1082" s="3">
        <v>429</v>
      </c>
      <c r="U1082" s="3">
        <v>0.77</v>
      </c>
      <c r="AB1082" s="3">
        <v>4.24</v>
      </c>
      <c r="AC1082" s="3">
        <v>6.7775919253828478</v>
      </c>
      <c r="AE1082" s="3">
        <v>4.2</v>
      </c>
      <c r="AI1082" s="29" t="str">
        <f t="shared" si="32"/>
        <v/>
      </c>
      <c r="AL1082" s="3">
        <v>9.8999999999999991E-3</v>
      </c>
      <c r="AS1082" s="56"/>
      <c r="AT1082" s="56"/>
      <c r="AU1082" s="56"/>
      <c r="AV1082" s="56"/>
      <c r="AW1082" s="56"/>
      <c r="AX1082" s="56"/>
      <c r="BA1082" s="1" t="s">
        <v>30</v>
      </c>
    </row>
    <row r="1083" spans="1:53">
      <c r="A1083" s="3" t="s">
        <v>26</v>
      </c>
      <c r="B1083" s="5">
        <v>34380.179799999998</v>
      </c>
      <c r="C1083" s="3">
        <v>9</v>
      </c>
      <c r="D1083" s="20">
        <f t="shared" si="43"/>
        <v>69.733053389322137</v>
      </c>
      <c r="E1083" s="3">
        <v>1162.45</v>
      </c>
      <c r="G1083" s="6"/>
      <c r="M1083" s="3">
        <v>630</v>
      </c>
      <c r="U1083" s="3">
        <v>1.03</v>
      </c>
      <c r="AB1083" s="3">
        <v>4.8</v>
      </c>
      <c r="AC1083" s="3">
        <v>8.1739696214759991</v>
      </c>
      <c r="AE1083" s="3">
        <v>6.1</v>
      </c>
      <c r="AI1083" s="29" t="str">
        <f t="shared" si="32"/>
        <v/>
      </c>
      <c r="AL1083" s="3">
        <v>9.0000000000000011E-3</v>
      </c>
      <c r="AS1083" s="56"/>
      <c r="AT1083" s="56"/>
      <c r="AU1083" s="56"/>
      <c r="AV1083" s="56"/>
      <c r="AW1083" s="56"/>
      <c r="AX1083" s="56"/>
      <c r="BA1083" s="1" t="s">
        <v>30</v>
      </c>
    </row>
    <row r="1084" spans="1:53">
      <c r="A1084" s="3" t="s">
        <v>26</v>
      </c>
      <c r="B1084" s="5">
        <v>34745.421999999999</v>
      </c>
      <c r="C1084" s="3">
        <v>10</v>
      </c>
      <c r="D1084" s="20">
        <f t="shared" si="43"/>
        <v>69.028794241151772</v>
      </c>
      <c r="E1084" s="3">
        <v>1150.71</v>
      </c>
      <c r="G1084" s="6"/>
      <c r="M1084" s="3">
        <v>877.99999999999989</v>
      </c>
      <c r="U1084" s="3">
        <v>1.23</v>
      </c>
      <c r="AB1084" s="3">
        <v>5.49</v>
      </c>
      <c r="AC1084" s="3">
        <v>9.5253123394032322</v>
      </c>
      <c r="AE1084" s="3">
        <v>8.1999999999999993</v>
      </c>
      <c r="AI1084" s="29" t="str">
        <f t="shared" si="32"/>
        <v/>
      </c>
      <c r="AK1084" s="3">
        <v>490</v>
      </c>
      <c r="AL1084" s="3">
        <v>9.4999999999999998E-3</v>
      </c>
      <c r="AS1084" s="56"/>
      <c r="AT1084" s="56"/>
      <c r="AU1084" s="56"/>
      <c r="AV1084" s="56"/>
      <c r="AW1084" s="56"/>
      <c r="AX1084" s="56"/>
      <c r="BA1084" s="1" t="s">
        <v>30</v>
      </c>
    </row>
    <row r="1085" spans="1:53">
      <c r="A1085" s="3" t="s">
        <v>26</v>
      </c>
      <c r="B1085" s="5">
        <v>35110.664199999999</v>
      </c>
      <c r="C1085" s="3">
        <v>11</v>
      </c>
      <c r="D1085" s="20">
        <f t="shared" si="43"/>
        <v>69.028194361127788</v>
      </c>
      <c r="E1085" s="3">
        <v>1150.7</v>
      </c>
      <c r="G1085" s="6"/>
      <c r="M1085" s="3">
        <v>1112</v>
      </c>
      <c r="U1085" s="3">
        <v>1.2</v>
      </c>
      <c r="AB1085" s="3">
        <v>6.08</v>
      </c>
      <c r="AC1085" s="3">
        <v>10.571457619803676</v>
      </c>
      <c r="AE1085" s="3">
        <v>10.1</v>
      </c>
      <c r="AI1085" s="29" t="str">
        <f t="shared" si="32"/>
        <v/>
      </c>
      <c r="AK1085" s="3">
        <v>500</v>
      </c>
      <c r="AL1085" s="3">
        <v>9.300000000000001E-3</v>
      </c>
      <c r="AS1085" s="56"/>
      <c r="AT1085" s="56"/>
      <c r="AU1085" s="56"/>
      <c r="AV1085" s="56"/>
      <c r="AW1085" s="56"/>
      <c r="AX1085" s="56"/>
      <c r="BA1085" s="1" t="s">
        <v>30</v>
      </c>
    </row>
    <row r="1086" spans="1:53">
      <c r="A1086" s="3" t="s">
        <v>26</v>
      </c>
      <c r="B1086" s="5">
        <v>35475.9064</v>
      </c>
      <c r="C1086" s="3">
        <v>12</v>
      </c>
      <c r="D1086" s="20">
        <f t="shared" si="43"/>
        <v>68.314937012597483</v>
      </c>
      <c r="E1086" s="3">
        <v>1138.81</v>
      </c>
      <c r="G1086" s="6"/>
      <c r="M1086" s="3">
        <v>1374</v>
      </c>
      <c r="U1086" s="3">
        <v>1.36</v>
      </c>
      <c r="AB1086" s="3">
        <v>6.66</v>
      </c>
      <c r="AC1086" s="3">
        <v>11.437274317321233</v>
      </c>
      <c r="AE1086" s="3">
        <v>11.7</v>
      </c>
      <c r="AI1086" s="29" t="str">
        <f t="shared" si="32"/>
        <v/>
      </c>
      <c r="AK1086" s="3">
        <v>530</v>
      </c>
      <c r="AL1086" s="3">
        <v>9.8999999999999991E-3</v>
      </c>
      <c r="AS1086" s="56"/>
      <c r="AT1086" s="56"/>
      <c r="AU1086" s="56"/>
      <c r="AV1086" s="56"/>
      <c r="AW1086" s="56"/>
      <c r="AX1086" s="56"/>
      <c r="BA1086" s="1" t="s">
        <v>30</v>
      </c>
    </row>
    <row r="1087" spans="1:53">
      <c r="A1087" s="3" t="s">
        <v>26</v>
      </c>
      <c r="B1087" s="5">
        <v>35841.1486</v>
      </c>
      <c r="C1087" s="3">
        <v>13</v>
      </c>
      <c r="D1087" s="20">
        <f t="shared" si="43"/>
        <v>68.314937012597483</v>
      </c>
      <c r="E1087" s="3">
        <v>1138.81</v>
      </c>
      <c r="G1087" s="6"/>
      <c r="M1087" s="3">
        <v>1709</v>
      </c>
      <c r="U1087" s="3">
        <v>1.45</v>
      </c>
      <c r="AB1087" s="3">
        <v>7.41</v>
      </c>
      <c r="AC1087" s="3">
        <v>12.194259342486982</v>
      </c>
      <c r="AE1087" s="3">
        <v>13.3</v>
      </c>
      <c r="AI1087" s="29" t="str">
        <f t="shared" si="32"/>
        <v/>
      </c>
      <c r="AL1087" s="3">
        <v>1.0500000000000001E-2</v>
      </c>
      <c r="AS1087" s="56"/>
      <c r="AT1087" s="56"/>
      <c r="AU1087" s="56"/>
      <c r="AV1087" s="56"/>
      <c r="AW1087" s="56"/>
      <c r="AX1087" s="56"/>
      <c r="BA1087" s="1" t="s">
        <v>30</v>
      </c>
    </row>
    <row r="1088" spans="1:53">
      <c r="A1088" s="3" t="s">
        <v>26</v>
      </c>
      <c r="B1088" s="5">
        <v>36206.390800000001</v>
      </c>
      <c r="C1088" s="3">
        <v>14</v>
      </c>
      <c r="D1088" s="20">
        <f t="shared" si="43"/>
        <v>67.971805638872212</v>
      </c>
      <c r="E1088" s="3">
        <v>1133.0899999999999</v>
      </c>
      <c r="G1088" s="6"/>
      <c r="M1088" s="3">
        <v>1923</v>
      </c>
      <c r="U1088" s="3">
        <v>1.51</v>
      </c>
      <c r="AB1088" s="3">
        <v>7.65</v>
      </c>
      <c r="AC1088" s="3">
        <v>12.939460631381412</v>
      </c>
      <c r="AE1088" s="3">
        <v>14.9</v>
      </c>
      <c r="AI1088" s="29" t="str">
        <f t="shared" si="32"/>
        <v/>
      </c>
      <c r="AL1088" s="3">
        <v>1.03E-2</v>
      </c>
      <c r="AS1088" s="56"/>
      <c r="AT1088" s="56"/>
      <c r="AU1088" s="56"/>
      <c r="AV1088" s="56"/>
      <c r="AW1088" s="56"/>
      <c r="AX1088" s="56"/>
      <c r="BA1088" s="1" t="s">
        <v>30</v>
      </c>
    </row>
    <row r="1089" spans="1:53">
      <c r="A1089" s="3" t="s">
        <v>26</v>
      </c>
      <c r="B1089" s="5">
        <v>36571.633000000002</v>
      </c>
      <c r="C1089" s="3">
        <v>15</v>
      </c>
      <c r="D1089" s="20">
        <f t="shared" si="43"/>
        <v>67.684463107378519</v>
      </c>
      <c r="E1089" s="3">
        <v>1128.3</v>
      </c>
      <c r="G1089" s="6"/>
      <c r="M1089" s="3">
        <v>2191</v>
      </c>
      <c r="U1089" s="3">
        <v>1.76</v>
      </c>
      <c r="AB1089" s="3">
        <v>8.0399999999999991</v>
      </c>
      <c r="AC1089" s="3">
        <v>13.520739826361568</v>
      </c>
      <c r="AE1089" s="3">
        <v>16.2</v>
      </c>
      <c r="AI1089" s="29" t="str">
        <f t="shared" si="32"/>
        <v/>
      </c>
      <c r="AL1089" s="3">
        <v>1.03E-2</v>
      </c>
      <c r="AS1089" s="56"/>
      <c r="AT1089" s="56"/>
      <c r="AU1089" s="56"/>
      <c r="AV1089" s="56"/>
      <c r="AW1089" s="56"/>
      <c r="AX1089" s="56"/>
      <c r="BA1089" s="1" t="s">
        <v>30</v>
      </c>
    </row>
    <row r="1090" spans="1:53">
      <c r="A1090" s="3" t="s">
        <v>26</v>
      </c>
      <c r="B1090" s="5">
        <v>36936.875200000002</v>
      </c>
      <c r="C1090" s="3">
        <v>16</v>
      </c>
      <c r="D1090" s="20">
        <f t="shared" si="43"/>
        <v>67.684463107378519</v>
      </c>
      <c r="E1090" s="3">
        <v>1128.3</v>
      </c>
      <c r="G1090" s="6"/>
      <c r="M1090" s="3">
        <v>2600</v>
      </c>
      <c r="U1090" s="3">
        <v>1.8</v>
      </c>
      <c r="AB1090" s="3">
        <v>8.74</v>
      </c>
      <c r="AC1090" s="3">
        <v>14.13284454191294</v>
      </c>
      <c r="AE1090" s="3">
        <v>17.7</v>
      </c>
      <c r="AI1090" s="29" t="str">
        <f t="shared" si="32"/>
        <v/>
      </c>
      <c r="AL1090" s="3">
        <v>1.0500000000000001E-2</v>
      </c>
      <c r="AS1090" s="56"/>
      <c r="AT1090" s="56"/>
      <c r="AU1090" s="56"/>
      <c r="AV1090" s="56"/>
      <c r="AW1090" s="56"/>
      <c r="AX1090" s="56"/>
      <c r="BA1090" s="1" t="s">
        <v>30</v>
      </c>
    </row>
    <row r="1091" spans="1:53">
      <c r="A1091" s="3" t="s">
        <v>27</v>
      </c>
      <c r="B1091" s="5">
        <v>31062</v>
      </c>
      <c r="C1091" s="3">
        <v>0</v>
      </c>
      <c r="D1091" s="20">
        <f t="shared" si="43"/>
        <v>100</v>
      </c>
      <c r="E1091" s="3">
        <v>1667</v>
      </c>
      <c r="AI1091" s="29" t="str">
        <f t="shared" ref="AI1091:AI1154" si="44">IF(AH1091&gt;0.001,AH1091/C1091,"")</f>
        <v/>
      </c>
      <c r="AS1091" s="56"/>
      <c r="AT1091" s="56"/>
      <c r="AU1091" s="56"/>
      <c r="AV1091" s="56"/>
      <c r="AW1091" s="56"/>
      <c r="AX1091" s="56"/>
      <c r="BA1091" s="1" t="s">
        <v>30</v>
      </c>
    </row>
    <row r="1092" spans="1:53">
      <c r="A1092" s="3" t="s">
        <v>27</v>
      </c>
      <c r="B1092" s="5">
        <v>33649.695399999997</v>
      </c>
      <c r="C1092" s="3">
        <v>7</v>
      </c>
      <c r="D1092" s="20">
        <f t="shared" si="43"/>
        <v>71.279544091181762</v>
      </c>
      <c r="E1092" s="3">
        <v>1188.23</v>
      </c>
      <c r="M1092" s="3">
        <v>288</v>
      </c>
      <c r="AB1092" s="3">
        <v>3.3</v>
      </c>
      <c r="AC1092" s="3">
        <v>4.7436717962235146</v>
      </c>
      <c r="AE1092" s="3">
        <v>2.1</v>
      </c>
      <c r="AI1092" s="29" t="str">
        <f t="shared" si="44"/>
        <v/>
      </c>
      <c r="AL1092" s="3">
        <v>9.8999999999999991E-3</v>
      </c>
      <c r="AS1092" s="56"/>
      <c r="AT1092" s="56"/>
      <c r="AU1092" s="56"/>
      <c r="AV1092" s="56"/>
      <c r="AW1092" s="56"/>
      <c r="AX1092" s="56"/>
      <c r="BA1092" s="1" t="s">
        <v>30</v>
      </c>
    </row>
    <row r="1093" spans="1:53">
      <c r="A1093" s="3" t="s">
        <v>27</v>
      </c>
      <c r="B1093" s="5">
        <v>34014.937599999997</v>
      </c>
      <c r="C1093" s="3">
        <v>8</v>
      </c>
      <c r="D1093" s="20">
        <f t="shared" si="43"/>
        <v>71.288542291541702</v>
      </c>
      <c r="E1093" s="3">
        <v>1188.3800000000001</v>
      </c>
      <c r="M1093" s="3">
        <v>429</v>
      </c>
      <c r="U1093" s="3">
        <v>0.66</v>
      </c>
      <c r="AB1093" s="3">
        <v>4.0999999999999996</v>
      </c>
      <c r="AC1093" s="3">
        <v>6.4641269817194864</v>
      </c>
      <c r="AE1093" s="3">
        <v>3.9</v>
      </c>
      <c r="AI1093" s="29" t="str">
        <f t="shared" si="44"/>
        <v/>
      </c>
      <c r="AL1093" s="3">
        <v>1.0700000000000001E-2</v>
      </c>
      <c r="AS1093" s="56"/>
      <c r="AT1093" s="56"/>
      <c r="AU1093" s="56"/>
      <c r="AV1093" s="56"/>
      <c r="AW1093" s="56"/>
      <c r="AX1093" s="56"/>
      <c r="BA1093" s="1" t="s">
        <v>30</v>
      </c>
    </row>
    <row r="1094" spans="1:53">
      <c r="A1094" s="3" t="s">
        <v>27</v>
      </c>
      <c r="B1094" s="5">
        <v>34380.179799999998</v>
      </c>
      <c r="C1094" s="3">
        <v>9</v>
      </c>
      <c r="D1094" s="20">
        <f t="shared" si="43"/>
        <v>71.28794241151769</v>
      </c>
      <c r="E1094" s="3">
        <v>1188.3699999999999</v>
      </c>
      <c r="M1094" s="3">
        <v>630</v>
      </c>
      <c r="U1094" s="3">
        <v>1.02</v>
      </c>
      <c r="AB1094" s="3">
        <v>4.91</v>
      </c>
      <c r="AC1094" s="3">
        <v>8.084335350528276</v>
      </c>
      <c r="AE1094" s="3">
        <v>6.1</v>
      </c>
      <c r="AI1094" s="29" t="str">
        <f t="shared" si="44"/>
        <v/>
      </c>
      <c r="AL1094" s="3">
        <v>8.8000000000000005E-3</v>
      </c>
      <c r="AS1094" s="56"/>
      <c r="AT1094" s="56"/>
      <c r="AU1094" s="56"/>
      <c r="AV1094" s="56"/>
      <c r="AW1094" s="56"/>
      <c r="AX1094" s="56"/>
      <c r="BA1094" s="1" t="s">
        <v>30</v>
      </c>
    </row>
    <row r="1095" spans="1:53">
      <c r="A1095" s="3" t="s">
        <v>27</v>
      </c>
      <c r="B1095" s="5">
        <v>34745.421999999999</v>
      </c>
      <c r="C1095" s="3">
        <v>10</v>
      </c>
      <c r="D1095" s="20">
        <f t="shared" si="43"/>
        <v>70.658068386322725</v>
      </c>
      <c r="E1095" s="3">
        <v>1177.8699999999999</v>
      </c>
      <c r="M1095" s="3">
        <v>918</v>
      </c>
      <c r="U1095" s="3">
        <v>1.3</v>
      </c>
      <c r="AB1095" s="3">
        <v>5.64</v>
      </c>
      <c r="AC1095" s="3">
        <v>9.5855276727358945</v>
      </c>
      <c r="AE1095" s="3">
        <v>8.5</v>
      </c>
      <c r="AI1095" s="29" t="str">
        <f t="shared" si="44"/>
        <v/>
      </c>
      <c r="AK1095" s="3">
        <v>500</v>
      </c>
      <c r="AL1095" s="3">
        <v>9.7000000000000003E-3</v>
      </c>
      <c r="AS1095" s="56"/>
      <c r="AT1095" s="56"/>
      <c r="AU1095" s="56"/>
      <c r="AV1095" s="56"/>
      <c r="AW1095" s="56"/>
      <c r="AX1095" s="56"/>
      <c r="BA1095" s="1" t="s">
        <v>30</v>
      </c>
    </row>
    <row r="1096" spans="1:53">
      <c r="A1096" s="3" t="s">
        <v>27</v>
      </c>
      <c r="B1096" s="5">
        <v>35110.664199999999</v>
      </c>
      <c r="C1096" s="3">
        <v>11</v>
      </c>
      <c r="D1096" s="20">
        <f t="shared" si="43"/>
        <v>70.481703659268149</v>
      </c>
      <c r="E1096" s="3">
        <v>1174.93</v>
      </c>
      <c r="M1096" s="3">
        <v>1253</v>
      </c>
      <c r="U1096" s="3">
        <v>1.38</v>
      </c>
      <c r="AB1096" s="3">
        <v>6.52</v>
      </c>
      <c r="AC1096" s="3">
        <v>10.918062820467128</v>
      </c>
      <c r="AE1096" s="3">
        <v>11</v>
      </c>
      <c r="AI1096" s="29" t="str">
        <f t="shared" si="44"/>
        <v/>
      </c>
      <c r="AK1096" s="3">
        <v>490</v>
      </c>
      <c r="AL1096" s="3">
        <v>1.0500000000000001E-2</v>
      </c>
      <c r="AS1096" s="56"/>
      <c r="AT1096" s="56"/>
      <c r="AU1096" s="56"/>
      <c r="AV1096" s="56"/>
      <c r="AW1096" s="56"/>
      <c r="AX1096" s="56"/>
      <c r="BA1096" s="1" t="s">
        <v>30</v>
      </c>
    </row>
    <row r="1097" spans="1:53">
      <c r="A1097" s="3" t="s">
        <v>27</v>
      </c>
      <c r="B1097" s="5">
        <v>35475.9064</v>
      </c>
      <c r="C1097" s="3">
        <v>12</v>
      </c>
      <c r="D1097" s="20">
        <f t="shared" si="43"/>
        <v>69.490701859628075</v>
      </c>
      <c r="E1097" s="3">
        <v>1158.4100000000001</v>
      </c>
      <c r="M1097" s="3">
        <v>1588</v>
      </c>
      <c r="U1097" s="3">
        <v>1.56</v>
      </c>
      <c r="AB1097" s="3">
        <v>7.17</v>
      </c>
      <c r="AC1097" s="3">
        <v>11.907454999867648</v>
      </c>
      <c r="AE1097" s="3">
        <v>12.9</v>
      </c>
      <c r="AI1097" s="29" t="str">
        <f t="shared" si="44"/>
        <v/>
      </c>
      <c r="AK1097" s="3">
        <v>540</v>
      </c>
      <c r="AL1097" s="3">
        <v>1.06E-2</v>
      </c>
      <c r="AS1097" s="56"/>
      <c r="AT1097" s="56"/>
      <c r="AU1097" s="56"/>
      <c r="AV1097" s="56"/>
      <c r="AW1097" s="56"/>
      <c r="AX1097" s="56"/>
      <c r="BA1097" s="1" t="s">
        <v>30</v>
      </c>
    </row>
    <row r="1098" spans="1:53">
      <c r="A1098" s="3" t="s">
        <v>27</v>
      </c>
      <c r="B1098" s="5">
        <v>35841.1486</v>
      </c>
      <c r="C1098" s="3">
        <v>13</v>
      </c>
      <c r="D1098" s="20">
        <f t="shared" si="43"/>
        <v>69.323335332933411</v>
      </c>
      <c r="E1098" s="3">
        <v>1155.6199999999999</v>
      </c>
      <c r="M1098" s="3">
        <v>2003</v>
      </c>
      <c r="U1098" s="3">
        <v>1.6</v>
      </c>
      <c r="AB1098" s="3">
        <v>7.81</v>
      </c>
      <c r="AC1098" s="3">
        <v>12.898410414997988</v>
      </c>
      <c r="AE1098" s="3">
        <v>15.1</v>
      </c>
      <c r="AI1098" s="29" t="str">
        <f t="shared" si="44"/>
        <v/>
      </c>
      <c r="AL1098" s="3">
        <v>1.06E-2</v>
      </c>
      <c r="AS1098" s="56"/>
      <c r="AT1098" s="56"/>
      <c r="AU1098" s="56"/>
      <c r="AV1098" s="56"/>
      <c r="AW1098" s="56"/>
      <c r="AX1098" s="56"/>
      <c r="BA1098" s="1" t="s">
        <v>30</v>
      </c>
    </row>
    <row r="1099" spans="1:53">
      <c r="A1099" s="3" t="s">
        <v>27</v>
      </c>
      <c r="B1099" s="5">
        <v>36206.390800000001</v>
      </c>
      <c r="C1099" s="3">
        <v>14</v>
      </c>
      <c r="D1099" s="20">
        <f t="shared" si="43"/>
        <v>68.795440911817636</v>
      </c>
      <c r="E1099" s="3">
        <v>1146.82</v>
      </c>
      <c r="M1099" s="3">
        <v>2372</v>
      </c>
      <c r="U1099" s="3">
        <v>1.73</v>
      </c>
      <c r="AB1099" s="3">
        <v>8.34</v>
      </c>
      <c r="AC1099" s="3">
        <v>13.697804576129045</v>
      </c>
      <c r="AE1099" s="3">
        <v>16.899999999999999</v>
      </c>
      <c r="AI1099" s="29" t="str">
        <f t="shared" si="44"/>
        <v/>
      </c>
      <c r="AL1099" s="3">
        <v>1.06E-2</v>
      </c>
      <c r="AS1099" s="56"/>
      <c r="AT1099" s="56"/>
      <c r="AU1099" s="56"/>
      <c r="AV1099" s="56"/>
      <c r="AW1099" s="56"/>
      <c r="AX1099" s="56"/>
      <c r="BA1099" s="1" t="s">
        <v>30</v>
      </c>
    </row>
    <row r="1100" spans="1:53">
      <c r="A1100" s="3" t="s">
        <v>27</v>
      </c>
      <c r="B1100" s="5">
        <v>36571.633000000002</v>
      </c>
      <c r="C1100" s="3">
        <v>15</v>
      </c>
      <c r="D1100" s="20">
        <f t="shared" si="43"/>
        <v>68.461307738452319</v>
      </c>
      <c r="E1100" s="3">
        <v>1141.25</v>
      </c>
      <c r="M1100" s="3">
        <v>2827</v>
      </c>
      <c r="U1100" s="3">
        <v>1.95</v>
      </c>
      <c r="AB1100" s="3">
        <v>8.98</v>
      </c>
      <c r="AC1100" s="3">
        <v>14.520974058039677</v>
      </c>
      <c r="AE1100" s="3">
        <v>18.899999999999999</v>
      </c>
      <c r="AI1100" s="29" t="str">
        <f t="shared" si="44"/>
        <v/>
      </c>
      <c r="AL1100" s="3">
        <v>1.03E-2</v>
      </c>
      <c r="AS1100" s="56"/>
      <c r="AT1100" s="56"/>
      <c r="AU1100" s="56"/>
      <c r="AV1100" s="56"/>
      <c r="AW1100" s="56"/>
      <c r="AX1100" s="56"/>
      <c r="BA1100" s="1" t="s">
        <v>30</v>
      </c>
    </row>
    <row r="1101" spans="1:53">
      <c r="A1101" s="3" t="s">
        <v>27</v>
      </c>
      <c r="B1101" s="5">
        <v>36936.875200000002</v>
      </c>
      <c r="C1101" s="3">
        <v>16</v>
      </c>
      <c r="D1101" s="20">
        <f t="shared" si="43"/>
        <v>68.164967006598673</v>
      </c>
      <c r="E1101" s="3">
        <v>1136.31</v>
      </c>
      <c r="M1101" s="3">
        <v>3350</v>
      </c>
      <c r="U1101" s="3">
        <v>2</v>
      </c>
      <c r="AB1101" s="3">
        <v>9.6300000000000008</v>
      </c>
      <c r="AC1101" s="3">
        <v>15.339686211068912</v>
      </c>
      <c r="AE1101" s="3">
        <v>21</v>
      </c>
      <c r="AI1101" s="29" t="str">
        <f t="shared" si="44"/>
        <v/>
      </c>
      <c r="AL1101" s="3">
        <v>1.1000000000000001E-2</v>
      </c>
      <c r="AS1101" s="56"/>
      <c r="AT1101" s="56"/>
      <c r="AU1101" s="56"/>
      <c r="AV1101" s="56"/>
      <c r="AW1101" s="56"/>
      <c r="AX1101" s="56"/>
      <c r="BA1101" s="1" t="s">
        <v>30</v>
      </c>
    </row>
    <row r="1102" spans="1:53">
      <c r="A1102" s="3" t="s">
        <v>28</v>
      </c>
      <c r="B1102" s="5">
        <v>31062</v>
      </c>
      <c r="C1102" s="3">
        <v>0</v>
      </c>
      <c r="D1102" s="20">
        <f t="shared" si="43"/>
        <v>100</v>
      </c>
      <c r="E1102" s="3">
        <v>1667</v>
      </c>
      <c r="AI1102" s="29" t="str">
        <f t="shared" si="44"/>
        <v/>
      </c>
      <c r="AS1102" s="56"/>
      <c r="AT1102" s="56"/>
      <c r="AU1102" s="56"/>
      <c r="AV1102" s="56"/>
      <c r="AW1102" s="56"/>
      <c r="AX1102" s="56"/>
      <c r="BA1102" s="1" t="s">
        <v>30</v>
      </c>
    </row>
    <row r="1103" spans="1:53">
      <c r="A1103" s="3" t="s">
        <v>28</v>
      </c>
      <c r="B1103" s="5">
        <v>33649.695399999997</v>
      </c>
      <c r="C1103" s="3">
        <v>7</v>
      </c>
      <c r="D1103" s="20">
        <f t="shared" si="43"/>
        <v>71.862627474505103</v>
      </c>
      <c r="E1103" s="3">
        <v>1197.95</v>
      </c>
      <c r="M1103" s="3">
        <v>288</v>
      </c>
      <c r="AB1103" s="3">
        <v>3.35</v>
      </c>
      <c r="AC1103" s="3">
        <v>4.835565130629587</v>
      </c>
      <c r="AE1103" s="3">
        <v>2.2000000000000002</v>
      </c>
      <c r="AI1103" s="29" t="str">
        <f t="shared" si="44"/>
        <v/>
      </c>
      <c r="AL1103" s="3">
        <v>9.5999999999999992E-3</v>
      </c>
      <c r="AS1103" s="56"/>
      <c r="AT1103" s="56"/>
      <c r="AU1103" s="56"/>
      <c r="AV1103" s="56"/>
      <c r="AW1103" s="56"/>
      <c r="AX1103" s="56"/>
      <c r="BA1103" s="1" t="s">
        <v>30</v>
      </c>
    </row>
    <row r="1104" spans="1:53">
      <c r="A1104" s="3" t="s">
        <v>28</v>
      </c>
      <c r="B1104" s="5">
        <v>34014.937599999997</v>
      </c>
      <c r="C1104" s="3">
        <v>8</v>
      </c>
      <c r="D1104" s="20">
        <f t="shared" si="43"/>
        <v>71.686262747450513</v>
      </c>
      <c r="E1104" s="3">
        <v>1195.01</v>
      </c>
      <c r="M1104" s="3">
        <v>509</v>
      </c>
      <c r="U1104" s="3">
        <v>1.04</v>
      </c>
      <c r="AB1104" s="3">
        <v>4.22</v>
      </c>
      <c r="AC1104" s="3">
        <v>7.3714777841542167</v>
      </c>
      <c r="AE1104" s="3">
        <v>5.0999999999999996</v>
      </c>
      <c r="AI1104" s="29" t="str">
        <f t="shared" si="44"/>
        <v/>
      </c>
      <c r="AL1104" s="3">
        <v>1.3100000000000001E-2</v>
      </c>
      <c r="AS1104" s="56"/>
      <c r="AT1104" s="56"/>
      <c r="AU1104" s="56"/>
      <c r="AV1104" s="56"/>
      <c r="AW1104" s="56"/>
      <c r="AX1104" s="56"/>
      <c r="BA1104" s="1" t="s">
        <v>30</v>
      </c>
    </row>
    <row r="1105" spans="1:53">
      <c r="A1105" s="3" t="s">
        <v>28</v>
      </c>
      <c r="B1105" s="5">
        <v>34380.179799999998</v>
      </c>
      <c r="C1105" s="3">
        <v>9</v>
      </c>
      <c r="D1105" s="20">
        <f t="shared" si="43"/>
        <v>71.685662867426515</v>
      </c>
      <c r="E1105" s="3">
        <v>1195</v>
      </c>
      <c r="M1105" s="3">
        <v>877.99999999999989</v>
      </c>
      <c r="U1105" s="3">
        <v>1.54</v>
      </c>
      <c r="AB1105" s="3">
        <v>5.09</v>
      </c>
      <c r="AC1105" s="3">
        <v>9.6278854918160608</v>
      </c>
      <c r="AE1105" s="3">
        <v>8.6999999999999993</v>
      </c>
      <c r="AI1105" s="29" t="str">
        <f t="shared" si="44"/>
        <v/>
      </c>
      <c r="AL1105" s="3">
        <v>1.18E-2</v>
      </c>
      <c r="AS1105" s="56"/>
      <c r="AT1105" s="56"/>
      <c r="AU1105" s="56"/>
      <c r="AV1105" s="56"/>
      <c r="AW1105" s="56"/>
      <c r="AX1105" s="56"/>
      <c r="BA1105" s="1" t="s">
        <v>30</v>
      </c>
    </row>
    <row r="1106" spans="1:53">
      <c r="A1106" s="3" t="s">
        <v>28</v>
      </c>
      <c r="B1106" s="5">
        <v>34745.421999999999</v>
      </c>
      <c r="C1106" s="3">
        <v>10</v>
      </c>
      <c r="D1106" s="20">
        <f t="shared" si="43"/>
        <v>70.999400119976002</v>
      </c>
      <c r="E1106" s="3">
        <v>1183.56</v>
      </c>
      <c r="M1106" s="3">
        <v>1441</v>
      </c>
      <c r="U1106" s="3">
        <v>2.2799999999999998</v>
      </c>
      <c r="AB1106" s="3">
        <v>6.21</v>
      </c>
      <c r="AC1106" s="3">
        <v>11.871230864830931</v>
      </c>
      <c r="AE1106" s="3">
        <v>13.1</v>
      </c>
      <c r="AI1106" s="29" t="str">
        <f t="shared" si="44"/>
        <v/>
      </c>
      <c r="AK1106" s="3">
        <v>450</v>
      </c>
      <c r="AL1106" s="3">
        <v>1.3100000000000001E-2</v>
      </c>
      <c r="AS1106" s="56"/>
      <c r="AT1106" s="56"/>
      <c r="AU1106" s="56"/>
      <c r="AV1106" s="56"/>
      <c r="AW1106" s="56"/>
      <c r="AX1106" s="56"/>
      <c r="BA1106" s="1" t="s">
        <v>30</v>
      </c>
    </row>
    <row r="1107" spans="1:53">
      <c r="A1107" s="3" t="s">
        <v>28</v>
      </c>
      <c r="B1107" s="5">
        <v>35110.664199999999</v>
      </c>
      <c r="C1107" s="3">
        <v>11</v>
      </c>
      <c r="D1107" s="20">
        <f t="shared" si="43"/>
        <v>70.998800239952004</v>
      </c>
      <c r="E1107" s="3">
        <v>1183.55</v>
      </c>
      <c r="M1107" s="3">
        <v>2178</v>
      </c>
      <c r="U1107" s="3">
        <v>2.39</v>
      </c>
      <c r="AB1107" s="3">
        <v>7.53</v>
      </c>
      <c r="AC1107" s="3">
        <v>13.563132143772439</v>
      </c>
      <c r="AE1107" s="3">
        <v>17.100000000000001</v>
      </c>
      <c r="AI1107" s="29" t="str">
        <f t="shared" si="44"/>
        <v/>
      </c>
      <c r="AK1107" s="3">
        <v>460</v>
      </c>
      <c r="AL1107" s="3">
        <v>1.24E-2</v>
      </c>
      <c r="AS1107" s="56"/>
      <c r="AT1107" s="56"/>
      <c r="AU1107" s="56"/>
      <c r="AV1107" s="56"/>
      <c r="AW1107" s="56"/>
      <c r="AX1107" s="56"/>
      <c r="BA1107" s="1" t="s">
        <v>30</v>
      </c>
    </row>
    <row r="1108" spans="1:53">
      <c r="A1108" s="3" t="s">
        <v>28</v>
      </c>
      <c r="B1108" s="5">
        <v>35475.9064</v>
      </c>
      <c r="C1108" s="3">
        <v>12</v>
      </c>
      <c r="D1108" s="20">
        <f t="shared" si="43"/>
        <v>70.368326334733055</v>
      </c>
      <c r="E1108" s="3">
        <v>1173.04</v>
      </c>
      <c r="M1108" s="3">
        <v>2861</v>
      </c>
      <c r="U1108" s="3">
        <v>2.67</v>
      </c>
      <c r="AB1108" s="3">
        <v>8.44</v>
      </c>
      <c r="AC1108" s="3">
        <v>14.843860043212462</v>
      </c>
      <c r="AE1108" s="3">
        <v>20.3</v>
      </c>
      <c r="AI1108" s="29" t="str">
        <f t="shared" si="44"/>
        <v/>
      </c>
      <c r="AK1108" s="3">
        <v>490</v>
      </c>
      <c r="AL1108" s="3">
        <v>1.4499999999999999E-2</v>
      </c>
      <c r="AS1108" s="56"/>
      <c r="AT1108" s="56"/>
      <c r="AU1108" s="56"/>
      <c r="AV1108" s="56"/>
      <c r="AW1108" s="56"/>
      <c r="AX1108" s="56"/>
      <c r="BA1108" s="1" t="s">
        <v>30</v>
      </c>
    </row>
    <row r="1109" spans="1:53">
      <c r="A1109" s="3" t="s">
        <v>28</v>
      </c>
      <c r="B1109" s="5">
        <v>35841.1486</v>
      </c>
      <c r="C1109" s="3">
        <v>13</v>
      </c>
      <c r="D1109" s="20">
        <f t="shared" si="43"/>
        <v>70.006598680263949</v>
      </c>
      <c r="E1109" s="3">
        <v>1167.01</v>
      </c>
      <c r="M1109" s="3">
        <v>3665</v>
      </c>
      <c r="U1109" s="3">
        <v>2.94</v>
      </c>
      <c r="AB1109" s="3">
        <v>9.5500000000000007</v>
      </c>
      <c r="AC1109" s="3">
        <v>16.012232412425888</v>
      </c>
      <c r="AE1109" s="3">
        <v>23.5</v>
      </c>
      <c r="AI1109" s="29" t="str">
        <f t="shared" si="44"/>
        <v/>
      </c>
      <c r="AL1109" s="3">
        <v>1.54E-2</v>
      </c>
      <c r="AS1109" s="56"/>
      <c r="AT1109" s="56"/>
      <c r="AU1109" s="56"/>
      <c r="AV1109" s="56"/>
      <c r="AW1109" s="56"/>
      <c r="AX1109" s="56"/>
      <c r="BA1109" s="1" t="s">
        <v>30</v>
      </c>
    </row>
    <row r="1110" spans="1:53">
      <c r="A1110" s="3" t="s">
        <v>28</v>
      </c>
      <c r="B1110" s="5">
        <v>36206.390800000001</v>
      </c>
      <c r="C1110" s="3">
        <v>14</v>
      </c>
      <c r="D1110" s="20">
        <f t="shared" si="43"/>
        <v>69.82963407318536</v>
      </c>
      <c r="E1110" s="3">
        <v>1164.06</v>
      </c>
      <c r="M1110" s="3">
        <v>4415</v>
      </c>
      <c r="U1110" s="3">
        <v>2.65</v>
      </c>
      <c r="AB1110" s="3">
        <v>10.050000000000001</v>
      </c>
      <c r="AC1110" s="3">
        <v>17.089257367685736</v>
      </c>
      <c r="AE1110" s="3">
        <v>26.7</v>
      </c>
      <c r="AI1110" s="29" t="str">
        <f t="shared" si="44"/>
        <v/>
      </c>
      <c r="AL1110" s="3">
        <v>1.44E-2</v>
      </c>
      <c r="AS1110" s="56"/>
      <c r="AT1110" s="56"/>
      <c r="AU1110" s="56"/>
      <c r="AV1110" s="56"/>
      <c r="AW1110" s="56"/>
      <c r="AX1110" s="56"/>
      <c r="BA1110" s="1" t="s">
        <v>30</v>
      </c>
    </row>
    <row r="1111" spans="1:53">
      <c r="A1111" s="3" t="s">
        <v>28</v>
      </c>
      <c r="B1111" s="5">
        <v>36571.633000000002</v>
      </c>
      <c r="C1111" s="3">
        <v>15</v>
      </c>
      <c r="D1111" s="20">
        <f t="shared" si="43"/>
        <v>69.356928614277152</v>
      </c>
      <c r="E1111" s="3">
        <v>1156.18</v>
      </c>
      <c r="M1111" s="3">
        <v>5126</v>
      </c>
      <c r="U1111" s="3">
        <v>2.75</v>
      </c>
      <c r="AB1111" s="3">
        <v>10.73</v>
      </c>
      <c r="AC1111" s="3">
        <v>17.932215204526123</v>
      </c>
      <c r="AE1111" s="3">
        <v>29.2</v>
      </c>
      <c r="AI1111" s="29" t="str">
        <f t="shared" si="44"/>
        <v/>
      </c>
      <c r="AL1111" s="3">
        <v>1.47E-2</v>
      </c>
      <c r="AS1111" s="56"/>
      <c r="AT1111" s="56"/>
      <c r="AU1111" s="56"/>
      <c r="AV1111" s="56"/>
      <c r="AW1111" s="56"/>
      <c r="AX1111" s="56"/>
      <c r="BA1111" s="1" t="s">
        <v>30</v>
      </c>
    </row>
    <row r="1112" spans="1:53">
      <c r="A1112" s="3" t="s">
        <v>28</v>
      </c>
      <c r="B1112" s="5">
        <v>36936.875200000002</v>
      </c>
      <c r="C1112" s="3">
        <v>16</v>
      </c>
      <c r="D1112" s="20">
        <f t="shared" si="43"/>
        <v>68.68086382723456</v>
      </c>
      <c r="E1112" s="3">
        <v>1144.9100000000001</v>
      </c>
      <c r="M1112" s="3">
        <v>5910</v>
      </c>
      <c r="U1112" s="3">
        <v>2.89</v>
      </c>
      <c r="AB1112" s="3">
        <v>11.38</v>
      </c>
      <c r="AC1112" s="3">
        <v>18.775832381930311</v>
      </c>
      <c r="AE1112" s="3">
        <v>31.7</v>
      </c>
      <c r="AI1112" s="29" t="str">
        <f t="shared" si="44"/>
        <v/>
      </c>
      <c r="AL1112" s="3">
        <v>1.6200000000000003E-2</v>
      </c>
      <c r="AS1112" s="56"/>
      <c r="AT1112" s="56"/>
      <c r="AU1112" s="56"/>
      <c r="AV1112" s="56"/>
      <c r="AW1112" s="56"/>
      <c r="AX1112" s="56"/>
      <c r="BA1112" s="1" t="s">
        <v>30</v>
      </c>
    </row>
    <row r="1113" spans="1:53">
      <c r="A1113" s="3" t="s">
        <v>29</v>
      </c>
      <c r="B1113" s="5">
        <v>31093</v>
      </c>
      <c r="C1113" s="3">
        <v>0</v>
      </c>
      <c r="D1113" s="20">
        <f t="shared" si="43"/>
        <v>100</v>
      </c>
      <c r="E1113" s="3">
        <v>1667</v>
      </c>
      <c r="AI1113" s="29" t="str">
        <f t="shared" si="44"/>
        <v/>
      </c>
      <c r="AS1113" s="56"/>
      <c r="AT1113" s="56"/>
      <c r="AU1113" s="56"/>
      <c r="AV1113" s="56"/>
      <c r="AW1113" s="56"/>
      <c r="AX1113" s="56"/>
      <c r="BA1113" s="1" t="s">
        <v>30</v>
      </c>
    </row>
    <row r="1114" spans="1:53">
      <c r="A1114" s="3" t="s">
        <v>29</v>
      </c>
      <c r="B1114" s="5">
        <v>33649.695399999997</v>
      </c>
      <c r="C1114" s="3">
        <v>7</v>
      </c>
      <c r="D1114" s="20">
        <f t="shared" si="43"/>
        <v>69.150569886022794</v>
      </c>
      <c r="E1114" s="3">
        <v>1152.74</v>
      </c>
      <c r="M1114" s="3">
        <v>288</v>
      </c>
      <c r="AB1114" s="3">
        <v>3.35</v>
      </c>
      <c r="AC1114" s="3">
        <v>4.8161411698309768</v>
      </c>
      <c r="AE1114" s="3">
        <v>2.1</v>
      </c>
      <c r="AI1114" s="29" t="str">
        <f t="shared" si="44"/>
        <v/>
      </c>
      <c r="AL1114" s="3">
        <v>9.7000000000000003E-3</v>
      </c>
      <c r="AS1114" s="56"/>
      <c r="AT1114" s="56"/>
      <c r="AU1114" s="56"/>
      <c r="AV1114" s="56"/>
      <c r="AW1114" s="56"/>
      <c r="AX1114" s="56"/>
      <c r="BA1114" s="1" t="s">
        <v>30</v>
      </c>
    </row>
    <row r="1115" spans="1:53">
      <c r="A1115" s="3" t="s">
        <v>29</v>
      </c>
      <c r="B1115" s="5">
        <v>34014.937599999997</v>
      </c>
      <c r="C1115" s="3">
        <v>8</v>
      </c>
      <c r="D1115" s="20">
        <f t="shared" si="43"/>
        <v>68.983203359328144</v>
      </c>
      <c r="E1115" s="3">
        <v>1149.95</v>
      </c>
      <c r="M1115" s="3">
        <v>523</v>
      </c>
      <c r="U1115" s="3">
        <v>0.96</v>
      </c>
      <c r="AB1115" s="3">
        <v>4.22</v>
      </c>
      <c r="AC1115" s="3">
        <v>7.3656962281166747</v>
      </c>
      <c r="AE1115" s="3">
        <v>4.9000000000000004</v>
      </c>
      <c r="AI1115" s="29" t="str">
        <f t="shared" si="44"/>
        <v/>
      </c>
      <c r="AL1115" s="3">
        <v>1.29E-2</v>
      </c>
      <c r="AS1115" s="56"/>
      <c r="AT1115" s="56"/>
      <c r="AU1115" s="56"/>
      <c r="AV1115" s="56"/>
      <c r="AW1115" s="56"/>
      <c r="AX1115" s="56"/>
      <c r="BA1115" s="1" t="s">
        <v>30</v>
      </c>
    </row>
    <row r="1116" spans="1:53">
      <c r="A1116" s="3" t="s">
        <v>29</v>
      </c>
      <c r="B1116" s="5">
        <v>34380.179799999998</v>
      </c>
      <c r="C1116" s="3">
        <v>9</v>
      </c>
      <c r="D1116" s="20">
        <f t="shared" si="43"/>
        <v>68.806238752249556</v>
      </c>
      <c r="E1116" s="3">
        <v>1147</v>
      </c>
      <c r="M1116" s="3">
        <v>998</v>
      </c>
      <c r="U1116" s="3">
        <v>1.73</v>
      </c>
      <c r="AB1116" s="3">
        <v>5.44</v>
      </c>
      <c r="AC1116" s="3">
        <v>10.160498312671372</v>
      </c>
      <c r="AE1116" s="3">
        <v>9.3000000000000007</v>
      </c>
      <c r="AI1116" s="29" t="str">
        <f t="shared" si="44"/>
        <v/>
      </c>
      <c r="AL1116" s="3">
        <v>1.11E-2</v>
      </c>
      <c r="AS1116" s="56"/>
      <c r="AT1116" s="56"/>
      <c r="AU1116" s="56"/>
      <c r="AV1116" s="56"/>
      <c r="AW1116" s="56"/>
      <c r="AX1116" s="56"/>
      <c r="BA1116" s="1" t="s">
        <v>30</v>
      </c>
    </row>
    <row r="1117" spans="1:53">
      <c r="A1117" s="3" t="s">
        <v>29</v>
      </c>
      <c r="B1117" s="5">
        <v>34745.421999999999</v>
      </c>
      <c r="C1117" s="3">
        <v>10</v>
      </c>
      <c r="D1117" s="20">
        <f t="shared" si="43"/>
        <v>68.119976004799028</v>
      </c>
      <c r="E1117" s="3">
        <v>1135.56</v>
      </c>
      <c r="M1117" s="3">
        <v>1595</v>
      </c>
      <c r="U1117" s="3">
        <v>2.2200000000000002</v>
      </c>
      <c r="AB1117" s="3">
        <v>6.54</v>
      </c>
      <c r="AC1117" s="3">
        <v>12.484110377289152</v>
      </c>
      <c r="AE1117" s="3">
        <v>13.9</v>
      </c>
      <c r="AI1117" s="29" t="str">
        <f t="shared" si="44"/>
        <v/>
      </c>
      <c r="AK1117" s="3">
        <v>450</v>
      </c>
      <c r="AL1117" s="3">
        <v>1.3000000000000001E-2</v>
      </c>
      <c r="AS1117" s="56"/>
      <c r="AT1117" s="56"/>
      <c r="AU1117" s="56"/>
      <c r="AV1117" s="56"/>
      <c r="AW1117" s="56"/>
      <c r="AX1117" s="56"/>
      <c r="BA1117" s="1" t="s">
        <v>30</v>
      </c>
    </row>
    <row r="1118" spans="1:53">
      <c r="A1118" s="3" t="s">
        <v>29</v>
      </c>
      <c r="B1118" s="5">
        <v>35110.664199999999</v>
      </c>
      <c r="C1118" s="3">
        <v>11</v>
      </c>
      <c r="D1118" s="20">
        <f t="shared" si="43"/>
        <v>67.823035392921412</v>
      </c>
      <c r="E1118" s="3">
        <v>1130.6099999999999</v>
      </c>
      <c r="M1118" s="3">
        <v>2452</v>
      </c>
      <c r="U1118" s="3">
        <v>2.81</v>
      </c>
      <c r="AB1118" s="3">
        <v>7.95</v>
      </c>
      <c r="AC1118" s="3">
        <v>14.355700078473483</v>
      </c>
      <c r="AE1118" s="3">
        <v>18.3</v>
      </c>
      <c r="AI1118" s="29" t="str">
        <f t="shared" si="44"/>
        <v/>
      </c>
      <c r="AK1118" s="3">
        <v>460</v>
      </c>
      <c r="AL1118" s="3">
        <v>1.1299999999999999E-2</v>
      </c>
      <c r="AS1118" s="56"/>
      <c r="AT1118" s="56"/>
      <c r="AU1118" s="56"/>
      <c r="AV1118" s="56"/>
      <c r="AW1118" s="56"/>
      <c r="AX1118" s="56"/>
      <c r="BA1118" s="1" t="s">
        <v>30</v>
      </c>
    </row>
    <row r="1119" spans="1:53">
      <c r="A1119" s="3" t="s">
        <v>29</v>
      </c>
      <c r="B1119" s="5">
        <v>35475.9064</v>
      </c>
      <c r="C1119" s="3">
        <v>12</v>
      </c>
      <c r="D1119" s="20">
        <f t="shared" si="43"/>
        <v>67.127774445110973</v>
      </c>
      <c r="E1119" s="3">
        <v>1119.02</v>
      </c>
      <c r="M1119" s="3">
        <v>3196</v>
      </c>
      <c r="U1119" s="3">
        <v>3.06</v>
      </c>
      <c r="AB1119" s="3">
        <v>8.93</v>
      </c>
      <c r="AC1119" s="3">
        <v>15.713255973046913</v>
      </c>
      <c r="AE1119" s="3">
        <v>21.7</v>
      </c>
      <c r="AI1119" s="29" t="str">
        <f t="shared" si="44"/>
        <v/>
      </c>
      <c r="AK1119" s="3">
        <v>510</v>
      </c>
      <c r="AL1119" s="3">
        <v>1.3999999999999999E-2</v>
      </c>
      <c r="AS1119" s="56"/>
      <c r="AT1119" s="56"/>
      <c r="AU1119" s="56"/>
      <c r="AV1119" s="56"/>
      <c r="AW1119" s="56"/>
      <c r="AX1119" s="56"/>
      <c r="BA1119" s="1" t="s">
        <v>30</v>
      </c>
    </row>
    <row r="1120" spans="1:53">
      <c r="A1120" s="3" t="s">
        <v>29</v>
      </c>
      <c r="B1120" s="5">
        <v>35841.1486</v>
      </c>
      <c r="C1120" s="3">
        <v>13</v>
      </c>
      <c r="D1120" s="20">
        <f t="shared" si="43"/>
        <v>67.127174565086975</v>
      </c>
      <c r="E1120" s="3">
        <v>1119.01</v>
      </c>
      <c r="M1120" s="3">
        <v>4127</v>
      </c>
      <c r="U1120" s="3">
        <v>3.23</v>
      </c>
      <c r="AB1120" s="3">
        <v>9.9700000000000006</v>
      </c>
      <c r="AC1120" s="3">
        <v>17.03367470323257</v>
      </c>
      <c r="AE1120" s="3">
        <v>25.5</v>
      </c>
      <c r="AI1120" s="29" t="str">
        <f t="shared" si="44"/>
        <v/>
      </c>
      <c r="AL1120" s="3">
        <v>1.38E-2</v>
      </c>
      <c r="AS1120" s="56"/>
      <c r="AT1120" s="56"/>
      <c r="AU1120" s="56"/>
      <c r="AV1120" s="56"/>
      <c r="AW1120" s="56"/>
      <c r="AX1120" s="56"/>
      <c r="BA1120" s="1" t="s">
        <v>30</v>
      </c>
    </row>
    <row r="1121" spans="1:53">
      <c r="A1121" s="3" t="s">
        <v>29</v>
      </c>
      <c r="B1121" s="5">
        <v>36206.390800000001</v>
      </c>
      <c r="C1121" s="3">
        <v>14</v>
      </c>
      <c r="D1121" s="20">
        <f t="shared" si="43"/>
        <v>66.43191361727655</v>
      </c>
      <c r="E1121" s="3">
        <v>1107.42</v>
      </c>
      <c r="M1121" s="3">
        <v>5099</v>
      </c>
      <c r="U1121" s="3">
        <v>3.12</v>
      </c>
      <c r="AB1121" s="3">
        <v>10.89</v>
      </c>
      <c r="AC1121" s="3">
        <v>18.165192720617878</v>
      </c>
      <c r="AE1121" s="3">
        <v>28.7</v>
      </c>
      <c r="AI1121" s="29" t="str">
        <f t="shared" si="44"/>
        <v/>
      </c>
      <c r="AL1121" s="3">
        <v>1.32E-2</v>
      </c>
      <c r="AS1121" s="56"/>
      <c r="AT1121" s="56"/>
      <c r="AU1121" s="56"/>
      <c r="AV1121" s="56"/>
      <c r="AW1121" s="56"/>
      <c r="AX1121" s="56"/>
      <c r="BA1121" s="1" t="s">
        <v>30</v>
      </c>
    </row>
    <row r="1122" spans="1:53">
      <c r="A1122" s="3" t="s">
        <v>29</v>
      </c>
      <c r="B1122" s="5">
        <v>36571.633000000002</v>
      </c>
      <c r="C1122" s="3">
        <v>15</v>
      </c>
      <c r="D1122" s="20">
        <f t="shared" si="43"/>
        <v>66.421715656868628</v>
      </c>
      <c r="E1122" s="3">
        <v>1107.25</v>
      </c>
      <c r="M1122" s="3">
        <v>6137</v>
      </c>
      <c r="U1122" s="3">
        <v>3.4</v>
      </c>
      <c r="AB1122" s="3">
        <v>11.82</v>
      </c>
      <c r="AC1122" s="3">
        <v>19.152600053694226</v>
      </c>
      <c r="AE1122" s="3">
        <v>31.9</v>
      </c>
      <c r="AI1122" s="29" t="str">
        <f t="shared" si="44"/>
        <v/>
      </c>
      <c r="AL1122" s="3">
        <v>1.3600000000000001E-2</v>
      </c>
      <c r="AS1122" s="56"/>
      <c r="AT1122" s="56"/>
      <c r="AU1122" s="56"/>
      <c r="AV1122" s="56"/>
      <c r="AW1122" s="56"/>
      <c r="AX1122" s="56"/>
      <c r="BA1122" s="1" t="s">
        <v>30</v>
      </c>
    </row>
    <row r="1123" spans="1:53">
      <c r="A1123" s="3" t="s">
        <v>29</v>
      </c>
      <c r="B1123" s="5">
        <v>36936.875200000002</v>
      </c>
      <c r="C1123" s="3">
        <v>16</v>
      </c>
      <c r="D1123" s="20">
        <f t="shared" si="43"/>
        <v>66.254949010197961</v>
      </c>
      <c r="E1123" s="3">
        <v>1104.47</v>
      </c>
      <c r="M1123" s="3">
        <v>7116</v>
      </c>
      <c r="U1123" s="3">
        <v>3.33</v>
      </c>
      <c r="AB1123" s="3">
        <v>12.62</v>
      </c>
      <c r="AC1123" s="3">
        <v>19.971759616638671</v>
      </c>
      <c r="AE1123" s="3">
        <v>34.6</v>
      </c>
      <c r="AI1123" s="29" t="str">
        <f t="shared" si="44"/>
        <v/>
      </c>
      <c r="AL1123" s="3">
        <v>1.47E-2</v>
      </c>
      <c r="AS1123" s="56"/>
      <c r="AT1123" s="56"/>
      <c r="AU1123" s="56"/>
      <c r="AV1123" s="56"/>
      <c r="AW1123" s="56"/>
      <c r="AX1123" s="56"/>
      <c r="BA1123" s="1" t="s">
        <v>30</v>
      </c>
    </row>
    <row r="1124" spans="1:53">
      <c r="A1124" s="3" t="s">
        <v>26</v>
      </c>
      <c r="B1124" s="5">
        <v>34014.937604166669</v>
      </c>
      <c r="C1124" s="3">
        <v>8</v>
      </c>
      <c r="D1124" s="20"/>
      <c r="F1124" s="3">
        <v>940</v>
      </c>
      <c r="H1124" s="3">
        <v>188</v>
      </c>
      <c r="J1124" s="3">
        <v>225.60000000000002</v>
      </c>
      <c r="L1124" s="3">
        <v>75.2</v>
      </c>
      <c r="M1124" s="3">
        <v>460.59999999999997</v>
      </c>
      <c r="N1124" s="3">
        <v>535.79999999999995</v>
      </c>
      <c r="P1124" s="3">
        <v>233.60000000000002</v>
      </c>
      <c r="Q1124" s="3">
        <v>86.4</v>
      </c>
      <c r="R1124" s="3">
        <v>320</v>
      </c>
      <c r="AI1124" s="29" t="str">
        <f t="shared" si="44"/>
        <v/>
      </c>
      <c r="AS1124" s="56"/>
      <c r="AT1124" s="56"/>
      <c r="AU1124" s="56"/>
      <c r="AV1124" s="56"/>
      <c r="AW1124" s="56"/>
      <c r="AX1124" s="56"/>
      <c r="BA1124" s="1" t="s">
        <v>30</v>
      </c>
    </row>
    <row r="1125" spans="1:53">
      <c r="A1125" s="3" t="s">
        <v>27</v>
      </c>
      <c r="B1125" s="5">
        <v>34014.937604166669</v>
      </c>
      <c r="C1125" s="3">
        <v>8</v>
      </c>
      <c r="D1125" s="20"/>
      <c r="F1125" s="3">
        <v>910</v>
      </c>
      <c r="H1125" s="3">
        <v>209.3</v>
      </c>
      <c r="J1125" s="3">
        <v>191.1</v>
      </c>
      <c r="L1125" s="3">
        <v>63.7</v>
      </c>
      <c r="M1125" s="3">
        <v>436.79999999999995</v>
      </c>
      <c r="N1125" s="3">
        <v>500.49999999999994</v>
      </c>
      <c r="P1125" s="3">
        <v>183.60000000000002</v>
      </c>
      <c r="Q1125" s="3">
        <v>89.100000000000009</v>
      </c>
      <c r="R1125" s="3">
        <v>270</v>
      </c>
      <c r="AI1125" s="29" t="str">
        <f t="shared" si="44"/>
        <v/>
      </c>
      <c r="AS1125" s="56"/>
      <c r="AT1125" s="56"/>
      <c r="AU1125" s="56"/>
      <c r="AV1125" s="56"/>
      <c r="AW1125" s="56"/>
      <c r="AX1125" s="56"/>
      <c r="BA1125" s="1" t="s">
        <v>30</v>
      </c>
    </row>
    <row r="1126" spans="1:53">
      <c r="A1126" s="3" t="s">
        <v>28</v>
      </c>
      <c r="B1126" s="5">
        <v>34014.937604166669</v>
      </c>
      <c r="C1126" s="3">
        <v>8</v>
      </c>
      <c r="D1126" s="20"/>
      <c r="F1126" s="3">
        <v>1360</v>
      </c>
      <c r="H1126" s="3">
        <v>394.4</v>
      </c>
      <c r="J1126" s="3">
        <v>353.59999999999997</v>
      </c>
      <c r="L1126" s="3">
        <v>68</v>
      </c>
      <c r="M1126" s="3">
        <v>544</v>
      </c>
      <c r="N1126" s="3">
        <v>612</v>
      </c>
      <c r="P1126" s="3">
        <v>343.1</v>
      </c>
      <c r="Q1126" s="3">
        <v>126.9</v>
      </c>
      <c r="R1126" s="3">
        <v>470</v>
      </c>
      <c r="AI1126" s="29" t="str">
        <f t="shared" si="44"/>
        <v/>
      </c>
      <c r="AS1126" s="56"/>
      <c r="AT1126" s="56"/>
      <c r="AU1126" s="56"/>
      <c r="AV1126" s="56"/>
      <c r="AW1126" s="56"/>
      <c r="AX1126" s="56"/>
      <c r="BA1126" s="1" t="s">
        <v>30</v>
      </c>
    </row>
    <row r="1127" spans="1:53">
      <c r="A1127" s="3" t="s">
        <v>29</v>
      </c>
      <c r="B1127" s="5">
        <v>34014.937604166669</v>
      </c>
      <c r="C1127" s="3">
        <v>8</v>
      </c>
      <c r="D1127" s="20"/>
      <c r="F1127" s="3">
        <v>1380</v>
      </c>
      <c r="H1127" s="3">
        <v>441.6</v>
      </c>
      <c r="J1127" s="3">
        <v>345</v>
      </c>
      <c r="L1127" s="3">
        <v>69</v>
      </c>
      <c r="M1127" s="3">
        <v>524.4</v>
      </c>
      <c r="N1127" s="3">
        <v>593.4</v>
      </c>
      <c r="P1127" s="3">
        <v>269.5</v>
      </c>
      <c r="Q1127" s="3">
        <v>80.5</v>
      </c>
      <c r="R1127" s="3">
        <v>350</v>
      </c>
      <c r="AI1127" s="29" t="str">
        <f t="shared" si="44"/>
        <v/>
      </c>
      <c r="AS1127" s="56"/>
      <c r="AT1127" s="56"/>
      <c r="AU1127" s="56"/>
      <c r="AV1127" s="56"/>
      <c r="AW1127" s="56"/>
      <c r="AX1127" s="56"/>
      <c r="BA1127" s="1" t="s">
        <v>30</v>
      </c>
    </row>
    <row r="1128" spans="1:53">
      <c r="A1128" s="3" t="s">
        <v>26</v>
      </c>
      <c r="B1128" s="5">
        <v>35017.937604166669</v>
      </c>
      <c r="C1128" s="3">
        <v>10.746122995006242</v>
      </c>
      <c r="D1128" s="20"/>
      <c r="F1128" s="3">
        <v>2090</v>
      </c>
      <c r="H1128" s="3">
        <v>300</v>
      </c>
      <c r="J1128" s="3">
        <v>490.00000000000006</v>
      </c>
      <c r="L1128" s="3">
        <v>182.45614035087721</v>
      </c>
      <c r="M1128" s="3">
        <v>1117.5438596491229</v>
      </c>
      <c r="N1128" s="3">
        <v>1300</v>
      </c>
      <c r="P1128" s="3">
        <v>530</v>
      </c>
      <c r="Q1128" s="3">
        <v>80</v>
      </c>
      <c r="R1128" s="3">
        <v>610</v>
      </c>
      <c r="AI1128" s="29" t="str">
        <f t="shared" si="44"/>
        <v/>
      </c>
      <c r="AS1128" s="56"/>
      <c r="AT1128" s="56"/>
      <c r="AU1128" s="56"/>
      <c r="AV1128" s="56"/>
      <c r="AW1128" s="56"/>
      <c r="AX1128" s="56"/>
      <c r="BA1128" s="1" t="s">
        <v>30</v>
      </c>
    </row>
    <row r="1129" spans="1:53">
      <c r="A1129" s="3" t="s">
        <v>27</v>
      </c>
      <c r="B1129" s="5">
        <v>35017.937604166669</v>
      </c>
      <c r="C1129" s="3">
        <v>10.746122995006242</v>
      </c>
      <c r="D1129" s="20"/>
      <c r="F1129" s="3">
        <v>2390</v>
      </c>
      <c r="H1129" s="3">
        <v>350</v>
      </c>
      <c r="J1129" s="3">
        <v>550</v>
      </c>
      <c r="L1129" s="3">
        <v>189.63636363636363</v>
      </c>
      <c r="M1129" s="3">
        <v>1300.3636363636365</v>
      </c>
      <c r="N1129" s="3">
        <v>1490</v>
      </c>
      <c r="P1129" s="3">
        <v>580</v>
      </c>
      <c r="Q1129" s="3">
        <v>120</v>
      </c>
      <c r="R1129" s="3">
        <v>700</v>
      </c>
      <c r="AI1129" s="29" t="str">
        <f t="shared" si="44"/>
        <v/>
      </c>
      <c r="AS1129" s="56"/>
      <c r="AT1129" s="56"/>
      <c r="AU1129" s="56"/>
      <c r="AV1129" s="56"/>
      <c r="AW1129" s="56"/>
      <c r="AX1129" s="56"/>
      <c r="BA1129" s="1" t="s">
        <v>30</v>
      </c>
    </row>
    <row r="1130" spans="1:53">
      <c r="A1130" s="3" t="s">
        <v>28</v>
      </c>
      <c r="B1130" s="5">
        <v>35017.937604166669</v>
      </c>
      <c r="C1130" s="3">
        <v>10.746122995006242</v>
      </c>
      <c r="D1130" s="20"/>
      <c r="F1130" s="3">
        <v>3890</v>
      </c>
      <c r="H1130" s="3">
        <v>570</v>
      </c>
      <c r="J1130" s="3">
        <v>980.00000000000011</v>
      </c>
      <c r="L1130" s="3">
        <v>260</v>
      </c>
      <c r="M1130" s="3">
        <v>2080</v>
      </c>
      <c r="N1130" s="3">
        <v>2340</v>
      </c>
      <c r="P1130" s="3">
        <v>1170</v>
      </c>
      <c r="Q1130" s="3">
        <v>70</v>
      </c>
      <c r="R1130" s="3">
        <v>1239.9999999999998</v>
      </c>
      <c r="AI1130" s="29" t="str">
        <f t="shared" si="44"/>
        <v/>
      </c>
      <c r="AS1130" s="56"/>
      <c r="AT1130" s="56"/>
      <c r="AU1130" s="56"/>
      <c r="AV1130" s="56"/>
      <c r="AW1130" s="56"/>
      <c r="AX1130" s="56"/>
      <c r="BA1130" s="1" t="s">
        <v>30</v>
      </c>
    </row>
    <row r="1131" spans="1:53">
      <c r="A1131" s="3" t="s">
        <v>29</v>
      </c>
      <c r="B1131" s="5">
        <v>35017.937604166669</v>
      </c>
      <c r="C1131" s="3">
        <v>10.746122995006242</v>
      </c>
      <c r="D1131" s="20"/>
      <c r="F1131" s="3">
        <v>4440</v>
      </c>
      <c r="H1131" s="3">
        <v>690</v>
      </c>
      <c r="J1131" s="3">
        <v>1110</v>
      </c>
      <c r="L1131" s="3">
        <v>306.97674418604652</v>
      </c>
      <c r="M1131" s="3">
        <v>2333.0232558139533</v>
      </c>
      <c r="N1131" s="3">
        <v>2640</v>
      </c>
      <c r="P1131" s="3">
        <v>1260</v>
      </c>
      <c r="Q1131" s="3">
        <v>90</v>
      </c>
      <c r="R1131" s="3">
        <v>1350</v>
      </c>
      <c r="AI1131" s="29" t="str">
        <f t="shared" si="44"/>
        <v/>
      </c>
      <c r="AS1131" s="56"/>
      <c r="AT1131" s="56"/>
      <c r="AU1131" s="56"/>
      <c r="AV1131" s="56"/>
      <c r="AW1131" s="56"/>
      <c r="AX1131" s="56"/>
      <c r="BA1131" s="1" t="s">
        <v>30</v>
      </c>
    </row>
    <row r="1132" spans="1:53">
      <c r="A1132" s="3" t="s">
        <v>26</v>
      </c>
      <c r="B1132" s="5">
        <v>36936.875196759262</v>
      </c>
      <c r="C1132" s="3">
        <v>16</v>
      </c>
      <c r="D1132" s="20"/>
      <c r="F1132" s="3">
        <v>4470</v>
      </c>
      <c r="H1132" s="3">
        <v>223.5</v>
      </c>
      <c r="J1132" s="3">
        <v>1206.9000000000001</v>
      </c>
      <c r="L1132" s="3">
        <v>402.29999999999995</v>
      </c>
      <c r="M1132" s="3">
        <v>2592.6000000000004</v>
      </c>
      <c r="N1132" s="3">
        <v>2994.9000000000005</v>
      </c>
      <c r="P1132" s="3">
        <v>998.99999999999989</v>
      </c>
      <c r="Q1132" s="3">
        <v>111.00000000000001</v>
      </c>
      <c r="R1132" s="3">
        <v>1110</v>
      </c>
      <c r="AI1132" s="29" t="str">
        <f t="shared" si="44"/>
        <v/>
      </c>
      <c r="AS1132" s="56"/>
      <c r="AT1132" s="56"/>
      <c r="AU1132" s="56"/>
      <c r="AV1132" s="56"/>
      <c r="AW1132" s="56"/>
      <c r="AX1132" s="56"/>
      <c r="BA1132" s="1" t="s">
        <v>30</v>
      </c>
    </row>
    <row r="1133" spans="1:53">
      <c r="A1133" s="3" t="s">
        <v>27</v>
      </c>
      <c r="B1133" s="5">
        <v>36936.875196759262</v>
      </c>
      <c r="C1133" s="3">
        <v>16</v>
      </c>
      <c r="D1133" s="20"/>
      <c r="F1133" s="3">
        <v>5510</v>
      </c>
      <c r="H1133" s="3">
        <v>330.6</v>
      </c>
      <c r="J1133" s="3">
        <v>1322.4</v>
      </c>
      <c r="L1133" s="3">
        <v>495.90000000000003</v>
      </c>
      <c r="M1133" s="3">
        <v>3361.1</v>
      </c>
      <c r="N1133" s="3">
        <v>3857</v>
      </c>
      <c r="P1133" s="3">
        <v>1125</v>
      </c>
      <c r="Q1133" s="3">
        <v>125</v>
      </c>
      <c r="R1133" s="3">
        <v>1250</v>
      </c>
      <c r="AI1133" s="29" t="str">
        <f t="shared" si="44"/>
        <v/>
      </c>
      <c r="AS1133" s="56"/>
      <c r="AT1133" s="56"/>
      <c r="AU1133" s="56"/>
      <c r="AV1133" s="56"/>
      <c r="AW1133" s="56"/>
      <c r="AX1133" s="56"/>
      <c r="BA1133" s="1" t="s">
        <v>30</v>
      </c>
    </row>
    <row r="1134" spans="1:53">
      <c r="A1134" s="3" t="s">
        <v>28</v>
      </c>
      <c r="B1134" s="5">
        <v>36936.875196759262</v>
      </c>
      <c r="C1134" s="3">
        <v>16</v>
      </c>
      <c r="D1134" s="20"/>
      <c r="F1134" s="3">
        <v>9330</v>
      </c>
      <c r="H1134" s="3">
        <v>373.2</v>
      </c>
      <c r="J1134" s="3">
        <v>2239.1999999999998</v>
      </c>
      <c r="L1134" s="3">
        <v>746.4</v>
      </c>
      <c r="M1134" s="3">
        <v>5877.9</v>
      </c>
      <c r="N1134" s="3">
        <v>6624.2999999999993</v>
      </c>
      <c r="P1134" s="3">
        <v>2492.9</v>
      </c>
      <c r="Q1134" s="3">
        <v>77.099999999999994</v>
      </c>
      <c r="R1134" s="3">
        <v>2570</v>
      </c>
      <c r="AI1134" s="29" t="str">
        <f t="shared" si="44"/>
        <v/>
      </c>
      <c r="AS1134" s="56"/>
      <c r="AT1134" s="56"/>
      <c r="AU1134" s="56"/>
      <c r="AV1134" s="56"/>
      <c r="AW1134" s="56"/>
      <c r="AX1134" s="56"/>
      <c r="BA1134" s="1" t="s">
        <v>30</v>
      </c>
    </row>
    <row r="1135" spans="1:53">
      <c r="A1135" s="3" t="s">
        <v>29</v>
      </c>
      <c r="B1135" s="5">
        <v>36936.875196759262</v>
      </c>
      <c r="C1135" s="3">
        <v>16</v>
      </c>
      <c r="D1135" s="20"/>
      <c r="F1135" s="3">
        <v>10740</v>
      </c>
      <c r="H1135" s="3">
        <v>537</v>
      </c>
      <c r="J1135" s="3">
        <v>2148</v>
      </c>
      <c r="L1135" s="3">
        <v>966.6</v>
      </c>
      <c r="M1135" s="3">
        <v>7088.4</v>
      </c>
      <c r="N1135" s="3">
        <v>8055</v>
      </c>
      <c r="P1135" s="3">
        <v>2745.6</v>
      </c>
      <c r="Q1135" s="3">
        <v>114.4</v>
      </c>
      <c r="R1135" s="3">
        <v>2860</v>
      </c>
      <c r="AI1135" s="29" t="str">
        <f t="shared" si="44"/>
        <v/>
      </c>
      <c r="AS1135" s="56"/>
      <c r="AT1135" s="56"/>
      <c r="AU1135" s="56"/>
      <c r="AV1135" s="56"/>
      <c r="AW1135" s="56"/>
      <c r="AX1135" s="56"/>
      <c r="BA1135" s="1" t="s">
        <v>30</v>
      </c>
    </row>
    <row r="1136" spans="1:53">
      <c r="A1136" s="3" t="s">
        <v>100</v>
      </c>
      <c r="B1136" s="5">
        <v>35581.421999999999</v>
      </c>
      <c r="C1136" s="3">
        <v>10</v>
      </c>
      <c r="AH1136" s="3">
        <v>132</v>
      </c>
      <c r="AI1136" s="29">
        <f t="shared" si="44"/>
        <v>13.2</v>
      </c>
      <c r="AJ1136" s="3">
        <v>13.2</v>
      </c>
      <c r="AS1136" s="56"/>
      <c r="AT1136" s="56"/>
      <c r="AU1136" s="56"/>
      <c r="AV1136" s="56"/>
      <c r="AW1136" s="56"/>
      <c r="AX1136" s="56"/>
      <c r="BA1136" s="1" t="s">
        <v>31</v>
      </c>
    </row>
    <row r="1137" spans="1:53">
      <c r="A1137" s="3" t="s">
        <v>101</v>
      </c>
      <c r="B1137" s="5">
        <v>35581.421999999999</v>
      </c>
      <c r="C1137" s="3">
        <v>10</v>
      </c>
      <c r="AH1137" s="3">
        <v>171</v>
      </c>
      <c r="AI1137" s="29">
        <f t="shared" si="44"/>
        <v>17.100000000000001</v>
      </c>
      <c r="AJ1137" s="3">
        <v>17.100000000000001</v>
      </c>
      <c r="AS1137" s="56"/>
      <c r="AT1137" s="56"/>
      <c r="AU1137" s="56"/>
      <c r="AV1137" s="56"/>
      <c r="AW1137" s="56"/>
      <c r="AX1137" s="56"/>
      <c r="BA1137" s="1" t="s">
        <v>31</v>
      </c>
    </row>
    <row r="1138" spans="1:53">
      <c r="A1138" s="3" t="s">
        <v>102</v>
      </c>
      <c r="B1138" s="5">
        <v>35581.421999999999</v>
      </c>
      <c r="C1138" s="3">
        <v>10</v>
      </c>
      <c r="AH1138" s="3">
        <v>200</v>
      </c>
      <c r="AI1138" s="29">
        <f t="shared" si="44"/>
        <v>20</v>
      </c>
      <c r="AJ1138" s="3">
        <v>20</v>
      </c>
      <c r="AS1138" s="56"/>
      <c r="AT1138" s="56"/>
      <c r="AU1138" s="56"/>
      <c r="AV1138" s="56"/>
      <c r="AW1138" s="56"/>
      <c r="AX1138" s="56"/>
      <c r="BA1138" s="1" t="s">
        <v>31</v>
      </c>
    </row>
    <row r="1139" spans="1:53">
      <c r="A1139" s="3" t="s">
        <v>103</v>
      </c>
      <c r="B1139" s="5">
        <v>35581.421999999999</v>
      </c>
      <c r="C1139" s="3">
        <v>10</v>
      </c>
      <c r="AH1139" s="3">
        <v>189</v>
      </c>
      <c r="AI1139" s="29">
        <f t="shared" si="44"/>
        <v>18.899999999999999</v>
      </c>
      <c r="AJ1139" s="3">
        <v>18.899999999999999</v>
      </c>
      <c r="AS1139" s="56"/>
      <c r="AT1139" s="56"/>
      <c r="AU1139" s="56"/>
      <c r="AV1139" s="56"/>
      <c r="AW1139" s="56"/>
      <c r="AX1139" s="56"/>
      <c r="BA1139" s="1" t="s">
        <v>31</v>
      </c>
    </row>
    <row r="1140" spans="1:53">
      <c r="A1140" s="3" t="s">
        <v>104</v>
      </c>
      <c r="B1140" s="5">
        <v>35534.421999999999</v>
      </c>
      <c r="C1140" s="3">
        <v>10</v>
      </c>
      <c r="AH1140" s="3">
        <v>113</v>
      </c>
      <c r="AI1140" s="29">
        <f t="shared" si="44"/>
        <v>11.3</v>
      </c>
      <c r="AJ1140" s="3">
        <v>11.3</v>
      </c>
      <c r="AS1140" s="56"/>
      <c r="AT1140" s="56"/>
      <c r="AU1140" s="56"/>
      <c r="AV1140" s="56"/>
      <c r="AW1140" s="56"/>
      <c r="AX1140" s="56"/>
      <c r="BA1140" s="1" t="s">
        <v>31</v>
      </c>
    </row>
    <row r="1141" spans="1:53">
      <c r="A1141" s="3" t="s">
        <v>105</v>
      </c>
      <c r="B1141" s="5">
        <v>35534.421999999999</v>
      </c>
      <c r="C1141" s="3">
        <v>10</v>
      </c>
      <c r="AH1141" s="3">
        <v>188</v>
      </c>
      <c r="AI1141" s="29">
        <f t="shared" si="44"/>
        <v>18.8</v>
      </c>
      <c r="AJ1141" s="3">
        <v>18.8</v>
      </c>
      <c r="AS1141" s="56"/>
      <c r="AT1141" s="56"/>
      <c r="AU1141" s="56"/>
      <c r="AV1141" s="56"/>
      <c r="AW1141" s="56"/>
      <c r="AX1141" s="56"/>
      <c r="BA1141" s="1" t="s">
        <v>31</v>
      </c>
    </row>
    <row r="1142" spans="1:53">
      <c r="A1142" s="3" t="s">
        <v>106</v>
      </c>
      <c r="B1142" s="5">
        <v>35534.421999999999</v>
      </c>
      <c r="C1142" s="3">
        <v>10</v>
      </c>
      <c r="AH1142" s="3">
        <v>169</v>
      </c>
      <c r="AI1142" s="29">
        <f t="shared" si="44"/>
        <v>16.899999999999999</v>
      </c>
      <c r="AJ1142" s="3">
        <v>16.899999999999999</v>
      </c>
      <c r="AS1142" s="56"/>
      <c r="AT1142" s="56"/>
      <c r="AU1142" s="56"/>
      <c r="AV1142" s="56"/>
      <c r="AW1142" s="56"/>
      <c r="AX1142" s="56"/>
      <c r="BA1142" s="1" t="s">
        <v>31</v>
      </c>
    </row>
    <row r="1143" spans="1:53">
      <c r="A1143" s="3" t="s">
        <v>107</v>
      </c>
      <c r="B1143" s="5">
        <v>35534.421999999999</v>
      </c>
      <c r="C1143" s="3">
        <v>10</v>
      </c>
      <c r="AH1143" s="3">
        <v>163</v>
      </c>
      <c r="AI1143" s="29">
        <f t="shared" si="44"/>
        <v>16.3</v>
      </c>
      <c r="AJ1143" s="3">
        <v>16.3</v>
      </c>
      <c r="AS1143" s="56"/>
      <c r="AT1143" s="56"/>
      <c r="AU1143" s="56"/>
      <c r="AV1143" s="56"/>
      <c r="AW1143" s="56"/>
      <c r="AX1143" s="56"/>
      <c r="BA1143" s="1" t="s">
        <v>31</v>
      </c>
    </row>
    <row r="1144" spans="1:53">
      <c r="A1144" s="3" t="s">
        <v>108</v>
      </c>
      <c r="B1144" s="5">
        <v>35550.421999999999</v>
      </c>
      <c r="C1144" s="3">
        <v>10</v>
      </c>
      <c r="AH1144" s="3">
        <v>106</v>
      </c>
      <c r="AI1144" s="29">
        <f t="shared" si="44"/>
        <v>10.6</v>
      </c>
      <c r="AJ1144" s="3">
        <v>10.6</v>
      </c>
      <c r="AS1144" s="56"/>
      <c r="AT1144" s="56"/>
      <c r="AU1144" s="56"/>
      <c r="AV1144" s="56"/>
      <c r="AW1144" s="56"/>
      <c r="AX1144" s="56"/>
      <c r="BA1144" s="1" t="s">
        <v>31</v>
      </c>
    </row>
    <row r="1145" spans="1:53">
      <c r="A1145" s="3" t="s">
        <v>109</v>
      </c>
      <c r="B1145" s="5">
        <v>35550.421999999999</v>
      </c>
      <c r="C1145" s="3">
        <v>10</v>
      </c>
      <c r="AH1145" s="3">
        <v>142</v>
      </c>
      <c r="AI1145" s="29">
        <f t="shared" si="44"/>
        <v>14.2</v>
      </c>
      <c r="AJ1145" s="3">
        <v>14.2</v>
      </c>
      <c r="AS1145" s="56"/>
      <c r="AT1145" s="56"/>
      <c r="AU1145" s="56"/>
      <c r="AV1145" s="56"/>
      <c r="AW1145" s="56"/>
      <c r="AX1145" s="56"/>
      <c r="BA1145" s="1" t="s">
        <v>31</v>
      </c>
    </row>
    <row r="1146" spans="1:53">
      <c r="A1146" s="3" t="s">
        <v>110</v>
      </c>
      <c r="B1146" s="5">
        <v>35550.421999999999</v>
      </c>
      <c r="C1146" s="3">
        <v>10</v>
      </c>
      <c r="AH1146" s="3">
        <v>146</v>
      </c>
      <c r="AI1146" s="29">
        <f t="shared" si="44"/>
        <v>14.6</v>
      </c>
      <c r="AJ1146" s="3">
        <v>14.6</v>
      </c>
      <c r="AS1146" s="56"/>
      <c r="AT1146" s="56"/>
      <c r="AU1146" s="56"/>
      <c r="AV1146" s="56"/>
      <c r="AW1146" s="56"/>
      <c r="AX1146" s="56"/>
      <c r="BA1146" s="1" t="s">
        <v>31</v>
      </c>
    </row>
    <row r="1147" spans="1:53">
      <c r="A1147" s="3" t="s">
        <v>111</v>
      </c>
      <c r="B1147" s="5">
        <v>35550.421999999999</v>
      </c>
      <c r="C1147" s="3">
        <v>10</v>
      </c>
      <c r="AH1147" s="3">
        <v>135</v>
      </c>
      <c r="AI1147" s="29">
        <f t="shared" si="44"/>
        <v>13.5</v>
      </c>
      <c r="AJ1147" s="3">
        <v>13.5</v>
      </c>
      <c r="AS1147" s="56"/>
      <c r="AT1147" s="56"/>
      <c r="AU1147" s="56"/>
      <c r="AV1147" s="56"/>
      <c r="AW1147" s="56"/>
      <c r="AX1147" s="56"/>
      <c r="BA1147" s="1" t="s">
        <v>31</v>
      </c>
    </row>
    <row r="1148" spans="1:53">
      <c r="A1148" s="3" t="s">
        <v>100</v>
      </c>
      <c r="B1148" s="5">
        <v>37407.633000000002</v>
      </c>
      <c r="C1148" s="3">
        <v>15</v>
      </c>
      <c r="D1148" s="20">
        <v>91.311647635224702</v>
      </c>
      <c r="E1148" s="20">
        <v>845.45454545454538</v>
      </c>
      <c r="AB1148" s="3">
        <v>19.399999999999999</v>
      </c>
      <c r="AG1148" s="3">
        <v>1.1499999999999999</v>
      </c>
      <c r="AH1148" s="3">
        <v>279</v>
      </c>
      <c r="AI1148" s="29">
        <f t="shared" si="44"/>
        <v>18.600000000000001</v>
      </c>
      <c r="AJ1148" s="3">
        <v>18.600000000000001</v>
      </c>
      <c r="AS1148" s="56"/>
      <c r="AT1148" s="56"/>
      <c r="AU1148" s="56"/>
      <c r="AV1148" s="56"/>
      <c r="AW1148" s="56"/>
      <c r="AX1148" s="56"/>
      <c r="BA1148" s="1" t="s">
        <v>31</v>
      </c>
    </row>
    <row r="1149" spans="1:53">
      <c r="A1149" s="3" t="s">
        <v>101</v>
      </c>
      <c r="B1149" s="5">
        <v>37407.633000000002</v>
      </c>
      <c r="C1149" s="3">
        <v>15</v>
      </c>
      <c r="D1149" s="20">
        <v>83.390090024561502</v>
      </c>
      <c r="E1149" s="20">
        <v>772.10884353741494</v>
      </c>
      <c r="AB1149" s="3">
        <v>22</v>
      </c>
      <c r="AG1149" s="3">
        <v>1.94</v>
      </c>
      <c r="AH1149" s="3">
        <v>340.5</v>
      </c>
      <c r="AI1149" s="29">
        <f t="shared" si="44"/>
        <v>22.7</v>
      </c>
      <c r="AJ1149" s="3">
        <v>22.7</v>
      </c>
      <c r="AS1149" s="56"/>
      <c r="AT1149" s="56"/>
      <c r="AU1149" s="56"/>
      <c r="AV1149" s="56"/>
      <c r="AW1149" s="56"/>
      <c r="AX1149" s="56"/>
      <c r="BA1149" s="1" t="s">
        <v>31</v>
      </c>
    </row>
    <row r="1150" spans="1:53">
      <c r="A1150" s="3" t="s">
        <v>102</v>
      </c>
      <c r="B1150" s="5">
        <v>37407.633000000002</v>
      </c>
      <c r="C1150" s="3">
        <v>15</v>
      </c>
      <c r="D1150" s="20">
        <v>89.454678644045515</v>
      </c>
      <c r="E1150" s="20">
        <v>828.26086956521738</v>
      </c>
      <c r="AB1150" s="3">
        <v>21.4</v>
      </c>
      <c r="AG1150" s="3">
        <v>1.46</v>
      </c>
      <c r="AH1150" s="3">
        <v>381</v>
      </c>
      <c r="AI1150" s="29">
        <f t="shared" si="44"/>
        <v>25.4</v>
      </c>
      <c r="AJ1150" s="3">
        <v>25.4</v>
      </c>
      <c r="AS1150" s="56"/>
      <c r="AT1150" s="56"/>
      <c r="AU1150" s="56"/>
      <c r="AV1150" s="56"/>
      <c r="AW1150" s="56"/>
      <c r="AX1150" s="56"/>
      <c r="BA1150" s="1" t="s">
        <v>31</v>
      </c>
    </row>
    <row r="1151" spans="1:53">
      <c r="A1151" s="3" t="s">
        <v>103</v>
      </c>
      <c r="B1151" s="5">
        <v>37407.633000000002</v>
      </c>
      <c r="C1151" s="3">
        <v>15</v>
      </c>
      <c r="D1151" s="20">
        <v>97.513521745515348</v>
      </c>
      <c r="E1151" s="20">
        <v>902.87769784172667</v>
      </c>
      <c r="AB1151" s="3">
        <v>21</v>
      </c>
      <c r="AG1151" s="3">
        <v>1.4300000000000002</v>
      </c>
      <c r="AH1151" s="3">
        <v>376.5</v>
      </c>
      <c r="AI1151" s="29">
        <f t="shared" si="44"/>
        <v>25.1</v>
      </c>
      <c r="AJ1151" s="3">
        <v>25.1</v>
      </c>
      <c r="AS1151" s="56"/>
      <c r="AT1151" s="56"/>
      <c r="AU1151" s="56"/>
      <c r="AV1151" s="56"/>
      <c r="AW1151" s="56"/>
      <c r="AX1151" s="56"/>
      <c r="BA1151" s="1" t="s">
        <v>31</v>
      </c>
    </row>
    <row r="1152" spans="1:53">
      <c r="A1152" s="3" t="s">
        <v>104</v>
      </c>
      <c r="B1152" s="5">
        <v>37360.633000000002</v>
      </c>
      <c r="C1152" s="3">
        <v>15</v>
      </c>
      <c r="D1152" s="20">
        <v>97.902021832150865</v>
      </c>
      <c r="E1152" s="20">
        <v>906.47482014388481</v>
      </c>
      <c r="AB1152" s="3">
        <v>18.600000000000001</v>
      </c>
      <c r="AG1152" s="3">
        <v>1.5699999999999998</v>
      </c>
      <c r="AH1152" s="3">
        <v>252</v>
      </c>
      <c r="AI1152" s="29">
        <f t="shared" si="44"/>
        <v>16.8</v>
      </c>
      <c r="AJ1152" s="3">
        <v>16.8</v>
      </c>
      <c r="AS1152" s="56"/>
      <c r="AT1152" s="56"/>
      <c r="AU1152" s="56"/>
      <c r="AV1152" s="56"/>
      <c r="AW1152" s="56"/>
      <c r="AX1152" s="56"/>
      <c r="BA1152" s="1" t="s">
        <v>31</v>
      </c>
    </row>
    <row r="1153" spans="1:53">
      <c r="A1153" s="3" t="s">
        <v>105</v>
      </c>
      <c r="B1153" s="5">
        <v>37360.633000000002</v>
      </c>
      <c r="C1153" s="3">
        <v>15</v>
      </c>
      <c r="D1153" s="20">
        <v>87.693759773099728</v>
      </c>
      <c r="E1153" s="20">
        <v>811.95652173913038</v>
      </c>
      <c r="AB1153" s="3">
        <v>22</v>
      </c>
      <c r="AG1153" s="3">
        <v>2.1</v>
      </c>
      <c r="AH1153" s="3">
        <v>373.5</v>
      </c>
      <c r="AI1153" s="29">
        <f t="shared" si="44"/>
        <v>24.9</v>
      </c>
      <c r="AJ1153" s="3">
        <v>24.9</v>
      </c>
      <c r="AS1153" s="56"/>
      <c r="AT1153" s="56"/>
      <c r="AU1153" s="56"/>
      <c r="AV1153" s="56"/>
      <c r="AW1153" s="56"/>
      <c r="AX1153" s="56"/>
      <c r="BA1153" s="1" t="s">
        <v>31</v>
      </c>
    </row>
    <row r="1154" spans="1:53">
      <c r="A1154" s="3" t="s">
        <v>106</v>
      </c>
      <c r="B1154" s="5">
        <v>37360.633000000002</v>
      </c>
      <c r="C1154" s="3">
        <v>15</v>
      </c>
      <c r="D1154" s="20">
        <v>85.675475836400352</v>
      </c>
      <c r="E1154" s="20">
        <v>793.26923076923083</v>
      </c>
      <c r="AB1154" s="3">
        <v>20.5</v>
      </c>
      <c r="AG1154" s="3">
        <v>1.9</v>
      </c>
      <c r="AH1154" s="3">
        <v>330</v>
      </c>
      <c r="AI1154" s="29">
        <f t="shared" si="44"/>
        <v>22</v>
      </c>
      <c r="AJ1154" s="3">
        <v>22</v>
      </c>
      <c r="AS1154" s="56"/>
      <c r="AT1154" s="56"/>
      <c r="AU1154" s="56"/>
      <c r="AV1154" s="56"/>
      <c r="AW1154" s="56"/>
      <c r="AX1154" s="56"/>
      <c r="BA1154" s="1" t="s">
        <v>31</v>
      </c>
    </row>
    <row r="1155" spans="1:53">
      <c r="A1155" s="3" t="s">
        <v>107</v>
      </c>
      <c r="B1155" s="5">
        <v>37360.633000000002</v>
      </c>
      <c r="C1155" s="3">
        <v>15</v>
      </c>
      <c r="D1155" s="20">
        <v>88.841197230941816</v>
      </c>
      <c r="E1155" s="20">
        <v>822.58064516129025</v>
      </c>
      <c r="AB1155" s="3">
        <v>21.3</v>
      </c>
      <c r="AG1155" s="3">
        <v>1.78</v>
      </c>
      <c r="AH1155" s="3">
        <v>331.5</v>
      </c>
      <c r="AI1155" s="29">
        <f t="shared" ref="AI1155:AI1160" si="45">IF(AH1155&gt;0.001,AH1155/C1155,"")</f>
        <v>22.1</v>
      </c>
      <c r="AJ1155" s="3">
        <v>22.1</v>
      </c>
      <c r="AS1155" s="56"/>
      <c r="AT1155" s="56"/>
      <c r="AU1155" s="56"/>
      <c r="AV1155" s="56"/>
      <c r="AW1155" s="56"/>
      <c r="AX1155" s="56"/>
      <c r="BA1155" s="1" t="s">
        <v>31</v>
      </c>
    </row>
    <row r="1156" spans="1:53">
      <c r="A1156" s="3" t="s">
        <v>108</v>
      </c>
      <c r="B1156" s="5">
        <v>37376.633000000002</v>
      </c>
      <c r="C1156" s="3">
        <v>15</v>
      </c>
      <c r="D1156" s="20">
        <v>86.854142942618353</v>
      </c>
      <c r="E1156" s="20">
        <v>804.18250950570336</v>
      </c>
      <c r="AB1156" s="3">
        <v>18.100000000000001</v>
      </c>
      <c r="AG1156" s="3">
        <v>1.56</v>
      </c>
      <c r="AH1156" s="3">
        <v>211.5</v>
      </c>
      <c r="AI1156" s="29">
        <f t="shared" si="45"/>
        <v>14.1</v>
      </c>
      <c r="AJ1156" s="3">
        <v>14.1</v>
      </c>
      <c r="AS1156" s="56"/>
      <c r="AT1156" s="56"/>
      <c r="AU1156" s="56"/>
      <c r="AV1156" s="56"/>
      <c r="AW1156" s="56"/>
      <c r="AX1156" s="56"/>
      <c r="BA1156" s="1" t="s">
        <v>31</v>
      </c>
    </row>
    <row r="1157" spans="1:53">
      <c r="A1157" s="3" t="s">
        <v>109</v>
      </c>
      <c r="B1157" s="5">
        <v>37376.633000000002</v>
      </c>
      <c r="C1157" s="3">
        <v>15</v>
      </c>
      <c r="D1157" s="20">
        <v>86.402419267739504</v>
      </c>
      <c r="E1157" s="20">
        <v>800</v>
      </c>
      <c r="AB1157" s="3">
        <v>19.7</v>
      </c>
      <c r="AG1157" s="3">
        <v>1.8199999999999998</v>
      </c>
      <c r="AH1157" s="3">
        <v>288</v>
      </c>
      <c r="AI1157" s="29">
        <f t="shared" si="45"/>
        <v>19.2</v>
      </c>
      <c r="AJ1157" s="3">
        <v>19.2</v>
      </c>
      <c r="AS1157" s="56"/>
      <c r="AT1157" s="56"/>
      <c r="AU1157" s="56"/>
      <c r="AV1157" s="56"/>
      <c r="AW1157" s="56"/>
      <c r="AX1157" s="56"/>
      <c r="BA1157" s="1" t="s">
        <v>31</v>
      </c>
    </row>
    <row r="1158" spans="1:53">
      <c r="A1158" s="3" t="s">
        <v>110</v>
      </c>
      <c r="B1158" s="5">
        <v>37376.633000000002</v>
      </c>
      <c r="C1158" s="3">
        <v>15</v>
      </c>
      <c r="D1158" s="20">
        <v>74.466632742978433</v>
      </c>
      <c r="E1158" s="20">
        <v>689.48655256723725</v>
      </c>
      <c r="AB1158" s="3">
        <v>19.7</v>
      </c>
      <c r="AG1158" s="3">
        <v>1.6199999999999999</v>
      </c>
      <c r="AH1158" s="3">
        <v>282</v>
      </c>
      <c r="AI1158" s="29">
        <f t="shared" si="45"/>
        <v>18.8</v>
      </c>
      <c r="AJ1158" s="3">
        <v>18.8</v>
      </c>
      <c r="AS1158" s="56"/>
      <c r="AT1158" s="56"/>
      <c r="AU1158" s="56"/>
      <c r="AV1158" s="56"/>
      <c r="AW1158" s="56"/>
      <c r="AX1158" s="56"/>
      <c r="BA1158" s="1" t="s">
        <v>31</v>
      </c>
    </row>
    <row r="1159" spans="1:53">
      <c r="A1159" s="3" t="s">
        <v>111</v>
      </c>
      <c r="B1159" s="5">
        <v>37376.633000000002</v>
      </c>
      <c r="C1159" s="3">
        <v>15</v>
      </c>
      <c r="D1159" s="20">
        <v>90.743047134433695</v>
      </c>
      <c r="E1159" s="20">
        <v>840.18987341772151</v>
      </c>
      <c r="AB1159" s="3">
        <v>19.399999999999999</v>
      </c>
      <c r="AG1159" s="3">
        <v>1.64</v>
      </c>
      <c r="AH1159" s="3">
        <v>265.5</v>
      </c>
      <c r="AI1159" s="29">
        <f t="shared" si="45"/>
        <v>17.7</v>
      </c>
      <c r="AJ1159" s="3">
        <v>17.7</v>
      </c>
      <c r="AS1159" s="56"/>
      <c r="AT1159" s="56"/>
      <c r="AU1159" s="56"/>
      <c r="AV1159" s="56"/>
      <c r="AW1159" s="56"/>
      <c r="AX1159" s="56"/>
      <c r="BA1159" s="1" t="s">
        <v>31</v>
      </c>
    </row>
    <row r="1160" spans="1:53">
      <c r="A1160" s="1" t="s">
        <v>32</v>
      </c>
      <c r="B1160" s="5">
        <v>36022.211000000003</v>
      </c>
      <c r="C1160" s="3">
        <v>0</v>
      </c>
      <c r="D1160" s="20">
        <v>100</v>
      </c>
      <c r="E1160" s="3">
        <v>1667</v>
      </c>
      <c r="AI1160" s="29" t="str">
        <f t="shared" si="45"/>
        <v/>
      </c>
      <c r="AS1160" s="56"/>
      <c r="AT1160" s="56"/>
      <c r="AU1160" s="56"/>
      <c r="AV1160" s="56"/>
      <c r="AW1160" s="56"/>
      <c r="AX1160" s="56"/>
    </row>
    <row r="1161" spans="1:53">
      <c r="A1161" s="1" t="s">
        <v>32</v>
      </c>
      <c r="B1161" s="5">
        <v>36752.695400000004</v>
      </c>
      <c r="C1161" s="3">
        <v>2</v>
      </c>
      <c r="D1161" s="20">
        <v>83.563287342531495</v>
      </c>
      <c r="E1161" s="3">
        <v>1393</v>
      </c>
      <c r="N1161" s="3">
        <v>760</v>
      </c>
      <c r="AB1161" s="3">
        <v>3.3</v>
      </c>
      <c r="AC1161" s="3">
        <v>3.8</v>
      </c>
      <c r="AF1161" s="3">
        <v>2</v>
      </c>
      <c r="AI1161" s="29">
        <f t="shared" ref="AI1161:AI1170" si="46">IF(AF1161&gt;0.001,AF1161/C1161,"")</f>
        <v>1</v>
      </c>
      <c r="AS1161" s="56"/>
      <c r="AT1161" s="56"/>
      <c r="AU1161" s="56"/>
      <c r="AV1161" s="56"/>
      <c r="AW1161" s="56"/>
      <c r="AX1161" s="56"/>
    </row>
    <row r="1162" spans="1:53">
      <c r="A1162" s="1" t="s">
        <v>32</v>
      </c>
      <c r="B1162" s="5">
        <v>37117.937600000005</v>
      </c>
      <c r="C1162" s="3">
        <v>3</v>
      </c>
      <c r="D1162" s="20">
        <v>81.763647270545889</v>
      </c>
      <c r="E1162" s="3">
        <v>1363</v>
      </c>
      <c r="N1162" s="3">
        <v>6460</v>
      </c>
      <c r="AB1162" s="3">
        <v>5.5</v>
      </c>
      <c r="AC1162" s="3">
        <v>9.1999999999999993</v>
      </c>
      <c r="AF1162" s="3">
        <v>17</v>
      </c>
      <c r="AI1162" s="29">
        <f t="shared" si="46"/>
        <v>5.666666666666667</v>
      </c>
      <c r="AS1162" s="56"/>
      <c r="AT1162" s="56"/>
      <c r="AU1162" s="56"/>
      <c r="AV1162" s="56"/>
      <c r="AW1162" s="56"/>
      <c r="AX1162" s="56"/>
    </row>
    <row r="1163" spans="1:53">
      <c r="A1163" s="1" t="s">
        <v>32</v>
      </c>
      <c r="B1163" s="5">
        <v>37483.179800000005</v>
      </c>
      <c r="C1163" s="3">
        <v>4</v>
      </c>
      <c r="D1163" s="20">
        <v>79.964007198560282</v>
      </c>
      <c r="E1163" s="3">
        <v>1333</v>
      </c>
      <c r="N1163" s="3">
        <v>15200</v>
      </c>
      <c r="AB1163" s="3">
        <v>6.6</v>
      </c>
      <c r="AC1163" s="3">
        <v>13.2</v>
      </c>
      <c r="AF1163" s="3">
        <v>40</v>
      </c>
      <c r="AI1163" s="29">
        <f t="shared" si="46"/>
        <v>10</v>
      </c>
      <c r="AS1163" s="56"/>
      <c r="AT1163" s="56"/>
      <c r="AU1163" s="56"/>
      <c r="AV1163" s="56"/>
      <c r="AW1163" s="56"/>
      <c r="AX1163" s="56"/>
    </row>
    <row r="1164" spans="1:53">
      <c r="A1164" s="1" t="s">
        <v>32</v>
      </c>
      <c r="B1164" s="5">
        <v>37848.422000000006</v>
      </c>
      <c r="C1164" s="3">
        <v>5</v>
      </c>
      <c r="D1164" s="20">
        <v>73.785242951409714</v>
      </c>
      <c r="E1164" s="3">
        <v>1230</v>
      </c>
      <c r="N1164" s="3">
        <v>30400</v>
      </c>
      <c r="AB1164" s="3">
        <v>9.6</v>
      </c>
      <c r="AC1164" s="3">
        <v>16.100000000000001</v>
      </c>
      <c r="AF1164" s="3">
        <v>80</v>
      </c>
      <c r="AI1164" s="29">
        <f t="shared" si="46"/>
        <v>16</v>
      </c>
      <c r="AS1164" s="56"/>
      <c r="AT1164" s="56"/>
      <c r="AU1164" s="56"/>
      <c r="AV1164" s="56"/>
      <c r="AW1164" s="56"/>
      <c r="AX1164" s="56"/>
    </row>
    <row r="1165" spans="1:53">
      <c r="A1165" s="1" t="s">
        <v>32</v>
      </c>
      <c r="B1165" s="5">
        <v>38578.9064</v>
      </c>
      <c r="C1165" s="3">
        <v>7</v>
      </c>
      <c r="D1165" s="20">
        <v>70.185962807438514</v>
      </c>
      <c r="E1165" s="3">
        <v>1170</v>
      </c>
      <c r="N1165" s="3">
        <v>59660</v>
      </c>
      <c r="AB1165" s="3">
        <v>13.1</v>
      </c>
      <c r="AC1165" s="3">
        <v>19.8</v>
      </c>
      <c r="AF1165" s="3">
        <v>157</v>
      </c>
      <c r="AI1165" s="29">
        <f t="shared" si="46"/>
        <v>22.428571428571427</v>
      </c>
      <c r="AS1165" s="56"/>
      <c r="AT1165" s="56"/>
      <c r="AU1165" s="56"/>
      <c r="AV1165" s="56"/>
      <c r="AW1165" s="56"/>
      <c r="AX1165" s="56"/>
    </row>
    <row r="1166" spans="1:53">
      <c r="A1166" s="1" t="s">
        <v>32</v>
      </c>
      <c r="B1166" s="5">
        <v>38944.1486</v>
      </c>
      <c r="C1166" s="3">
        <v>8</v>
      </c>
      <c r="D1166" s="20">
        <v>63.107378524295143</v>
      </c>
      <c r="E1166" s="3">
        <v>1052</v>
      </c>
      <c r="N1166" s="3">
        <v>73720</v>
      </c>
      <c r="AB1166" s="3">
        <v>15.2</v>
      </c>
      <c r="AC1166" s="3">
        <v>21.5</v>
      </c>
      <c r="AF1166" s="3">
        <v>194</v>
      </c>
      <c r="AI1166" s="29">
        <f t="shared" si="46"/>
        <v>24.25</v>
      </c>
      <c r="AS1166" s="56"/>
      <c r="AT1166" s="56"/>
      <c r="AU1166" s="56"/>
      <c r="AV1166" s="56"/>
      <c r="AW1166" s="56"/>
      <c r="AX1166" s="56"/>
    </row>
    <row r="1167" spans="1:53">
      <c r="A1167" s="1" t="s">
        <v>32</v>
      </c>
      <c r="B1167" s="5">
        <v>39309.390800000001</v>
      </c>
      <c r="C1167" s="3">
        <v>9</v>
      </c>
      <c r="D1167" s="20">
        <v>63.107378524295143</v>
      </c>
      <c r="E1167" s="3">
        <v>1052</v>
      </c>
      <c r="N1167" s="3">
        <v>82840</v>
      </c>
      <c r="AB1167" s="3">
        <v>15.8</v>
      </c>
      <c r="AC1167" s="3">
        <v>22.4</v>
      </c>
      <c r="AF1167" s="3">
        <v>218</v>
      </c>
      <c r="AI1167" s="29">
        <f t="shared" si="46"/>
        <v>24.222222222222221</v>
      </c>
      <c r="AS1167" s="56"/>
      <c r="AT1167" s="56"/>
      <c r="AU1167" s="56"/>
      <c r="AV1167" s="56"/>
      <c r="AW1167" s="56"/>
      <c r="AX1167" s="56"/>
    </row>
    <row r="1168" spans="1:53">
      <c r="A1168" s="1" t="s">
        <v>32</v>
      </c>
      <c r="B1168" s="5">
        <v>39674.633000000002</v>
      </c>
      <c r="C1168" s="3">
        <v>10</v>
      </c>
      <c r="D1168" s="20">
        <v>58.668266346730661</v>
      </c>
      <c r="E1168" s="3">
        <v>978</v>
      </c>
      <c r="N1168" s="3">
        <v>94240</v>
      </c>
      <c r="AB1168" s="3">
        <v>16.399999999999999</v>
      </c>
      <c r="AC1168" s="3">
        <v>23.4</v>
      </c>
      <c r="AF1168" s="3">
        <v>248</v>
      </c>
      <c r="AI1168" s="29">
        <f t="shared" si="46"/>
        <v>24.8</v>
      </c>
      <c r="AS1168" s="56"/>
      <c r="AT1168" s="56"/>
      <c r="AU1168" s="56"/>
      <c r="AV1168" s="56"/>
      <c r="AW1168" s="56"/>
      <c r="AX1168" s="56"/>
    </row>
    <row r="1169" spans="1:81">
      <c r="A1169" s="3" t="s">
        <v>50</v>
      </c>
      <c r="B1169" s="5">
        <v>22812</v>
      </c>
      <c r="C1169" s="3">
        <v>0</v>
      </c>
      <c r="D1169" s="20">
        <v>100</v>
      </c>
      <c r="E1169" s="3">
        <v>1496</v>
      </c>
      <c r="AI1169" s="29" t="str">
        <f t="shared" si="46"/>
        <v/>
      </c>
      <c r="AS1169" s="56"/>
      <c r="AT1169" s="56"/>
      <c r="AU1169" s="56"/>
      <c r="AV1169" s="56"/>
      <c r="AW1169" s="56"/>
      <c r="AX1169" s="56"/>
      <c r="BA1169" s="1" t="s">
        <v>117</v>
      </c>
    </row>
    <row r="1170" spans="1:81">
      <c r="A1170" s="3" t="s">
        <v>50</v>
      </c>
      <c r="B1170" s="5">
        <v>29021.117399999999</v>
      </c>
      <c r="C1170" s="3">
        <v>17</v>
      </c>
      <c r="D1170" s="20">
        <f>E1170/E$1169*100</f>
        <v>41.778074866310163</v>
      </c>
      <c r="E1170" s="3">
        <v>625</v>
      </c>
      <c r="AF1170" s="3">
        <v>110.6</v>
      </c>
      <c r="AI1170" s="29">
        <f t="shared" si="46"/>
        <v>6.5058823529411764</v>
      </c>
      <c r="AL1170" s="3">
        <v>9.0000000000000011E-3</v>
      </c>
      <c r="AS1170" s="56"/>
      <c r="AT1170" s="56"/>
      <c r="AU1170" s="56"/>
      <c r="AV1170" s="56"/>
      <c r="AW1170" s="56"/>
      <c r="AX1170" s="56"/>
      <c r="BA1170" s="1" t="s">
        <v>117</v>
      </c>
    </row>
    <row r="1171" spans="1:81">
      <c r="A1171" s="3" t="s">
        <v>50</v>
      </c>
      <c r="B1171" s="5">
        <v>29386.3596</v>
      </c>
      <c r="C1171" s="3">
        <v>18</v>
      </c>
      <c r="D1171" s="20">
        <f t="shared" ref="D1171:D1206" si="47">E1171/E$1169*100</f>
        <v>41.778074866310163</v>
      </c>
      <c r="E1171" s="3">
        <v>625</v>
      </c>
      <c r="AF1171" s="3">
        <v>119.16</v>
      </c>
      <c r="AI1171" s="3">
        <v>6.62</v>
      </c>
      <c r="AL1171" s="3">
        <v>7.4999999999999997E-3</v>
      </c>
      <c r="AS1171" s="56"/>
      <c r="AT1171" s="56"/>
      <c r="AU1171" s="56"/>
      <c r="AV1171" s="56"/>
      <c r="AW1171" s="56"/>
      <c r="AX1171" s="56"/>
      <c r="BA1171" s="1" t="s">
        <v>117</v>
      </c>
    </row>
    <row r="1172" spans="1:81">
      <c r="A1172" s="3" t="s">
        <v>50</v>
      </c>
      <c r="B1172" s="5">
        <v>29751.6018</v>
      </c>
      <c r="C1172" s="3">
        <v>19</v>
      </c>
      <c r="D1172" s="20">
        <f t="shared" si="47"/>
        <v>41.778074866310163</v>
      </c>
      <c r="E1172" s="3">
        <v>625</v>
      </c>
      <c r="AF1172" s="3">
        <v>127.61</v>
      </c>
      <c r="AI1172" s="3">
        <v>6.7163157894736845</v>
      </c>
      <c r="AL1172" s="3">
        <v>7.3000000000000001E-3</v>
      </c>
      <c r="AS1172" s="56"/>
      <c r="AT1172" s="56"/>
      <c r="AU1172" s="56"/>
      <c r="AV1172" s="56"/>
      <c r="AW1172" s="56"/>
      <c r="AX1172" s="56"/>
      <c r="BA1172" s="1" t="s">
        <v>117</v>
      </c>
    </row>
    <row r="1173" spans="1:81">
      <c r="A1173" s="3" t="s">
        <v>50</v>
      </c>
      <c r="B1173" s="5">
        <v>30116.844000000001</v>
      </c>
      <c r="C1173" s="3">
        <v>20</v>
      </c>
      <c r="D1173" s="20">
        <f t="shared" si="47"/>
        <v>41.778074866310163</v>
      </c>
      <c r="E1173" s="3">
        <v>625</v>
      </c>
      <c r="AF1173" s="3">
        <v>136.59</v>
      </c>
      <c r="AI1173" s="3">
        <v>6.8295000000000003</v>
      </c>
      <c r="AL1173" s="3">
        <v>7.4000000000000003E-3</v>
      </c>
      <c r="AS1173" s="56"/>
      <c r="AT1173" s="56"/>
      <c r="AU1173" s="56"/>
      <c r="AV1173" s="56"/>
      <c r="AW1173" s="56"/>
      <c r="AX1173" s="56"/>
      <c r="BA1173" s="1" t="s">
        <v>117</v>
      </c>
    </row>
    <row r="1174" spans="1:81">
      <c r="A1174" s="3" t="s">
        <v>50</v>
      </c>
      <c r="B1174" s="5">
        <v>30482.086200000002</v>
      </c>
      <c r="C1174" s="3">
        <v>21</v>
      </c>
      <c r="D1174" s="20">
        <f t="shared" si="47"/>
        <v>41.778074866310163</v>
      </c>
      <c r="E1174" s="3">
        <v>625</v>
      </c>
      <c r="AF1174" s="3">
        <v>147.47</v>
      </c>
      <c r="AI1174" s="3">
        <v>7.0223809523809519</v>
      </c>
      <c r="AL1174" s="3">
        <v>6.8000000000000005E-3</v>
      </c>
      <c r="AS1174" s="56"/>
      <c r="AT1174" s="56"/>
      <c r="AU1174" s="56"/>
      <c r="AV1174" s="56"/>
      <c r="AW1174" s="56"/>
      <c r="AX1174" s="56"/>
      <c r="BA1174" s="1" t="s">
        <v>117</v>
      </c>
    </row>
    <row r="1175" spans="1:81">
      <c r="A1175" s="3" t="s">
        <v>50</v>
      </c>
      <c r="B1175" s="5">
        <v>30847.328399999999</v>
      </c>
      <c r="C1175" s="3">
        <v>22</v>
      </c>
      <c r="D1175" s="20">
        <f t="shared" si="47"/>
        <v>41.778074866310163</v>
      </c>
      <c r="E1175" s="3">
        <v>625</v>
      </c>
      <c r="AF1175" s="3">
        <v>156.59</v>
      </c>
      <c r="AI1175" s="3">
        <v>7.1177272727272731</v>
      </c>
      <c r="AL1175" s="3">
        <v>6.8999999999999999E-3</v>
      </c>
      <c r="AS1175" s="56"/>
      <c r="AT1175" s="56"/>
      <c r="AU1175" s="56"/>
      <c r="AV1175" s="56"/>
      <c r="AW1175" s="56"/>
      <c r="AX1175" s="56"/>
      <c r="BA1175" s="1" t="s">
        <v>117</v>
      </c>
    </row>
    <row r="1176" spans="1:81">
      <c r="A1176" s="3" t="s">
        <v>50</v>
      </c>
      <c r="B1176" s="5">
        <v>31212.570599999999</v>
      </c>
      <c r="C1176" s="3">
        <v>23</v>
      </c>
      <c r="D1176" s="20">
        <f t="shared" si="47"/>
        <v>41.778074866310163</v>
      </c>
      <c r="E1176" s="3">
        <v>625</v>
      </c>
      <c r="AF1176" s="3">
        <v>165.34</v>
      </c>
      <c r="AI1176" s="3">
        <v>7.1886956521739132</v>
      </c>
      <c r="AL1176" s="3">
        <v>7.4000000000000003E-3</v>
      </c>
      <c r="AS1176" s="56"/>
      <c r="AT1176" s="56"/>
      <c r="AU1176" s="56"/>
      <c r="AV1176" s="56"/>
      <c r="AW1176" s="56"/>
      <c r="AX1176" s="56"/>
      <c r="BA1176" s="1" t="s">
        <v>117</v>
      </c>
    </row>
    <row r="1177" spans="1:81">
      <c r="A1177" s="3" t="s">
        <v>50</v>
      </c>
      <c r="B1177" s="5">
        <v>31577.8128</v>
      </c>
      <c r="C1177" s="3">
        <v>24</v>
      </c>
      <c r="D1177" s="20">
        <f t="shared" si="47"/>
        <v>41.778074866310163</v>
      </c>
      <c r="E1177" s="3">
        <v>625</v>
      </c>
      <c r="AF1177" s="3">
        <v>175.29</v>
      </c>
      <c r="AI1177" s="3">
        <v>7.30375</v>
      </c>
      <c r="AL1177" s="3">
        <v>8.199999999999999E-3</v>
      </c>
      <c r="AS1177" s="56"/>
      <c r="AT1177" s="56"/>
      <c r="AU1177" s="56"/>
      <c r="AV1177" s="56"/>
      <c r="AW1177" s="56"/>
      <c r="AX1177" s="56"/>
      <c r="BA1177" s="1" t="s">
        <v>117</v>
      </c>
    </row>
    <row r="1178" spans="1:81">
      <c r="A1178" s="3" t="s">
        <v>50</v>
      </c>
      <c r="B1178" s="5">
        <v>31943.055</v>
      </c>
      <c r="C1178" s="3">
        <v>25</v>
      </c>
      <c r="D1178" s="20">
        <f t="shared" si="47"/>
        <v>41.778074866310163</v>
      </c>
      <c r="E1178" s="3">
        <v>625</v>
      </c>
      <c r="F1178" s="3">
        <v>12982</v>
      </c>
      <c r="G1178" s="3">
        <v>631</v>
      </c>
      <c r="H1178" s="3">
        <v>545</v>
      </c>
      <c r="J1178" s="3">
        <v>1205</v>
      </c>
      <c r="K1178" s="3">
        <f>G1178+J1178</f>
        <v>1836</v>
      </c>
      <c r="L1178" s="3">
        <v>1518</v>
      </c>
      <c r="M1178" s="3">
        <v>9084</v>
      </c>
      <c r="N1178" s="3">
        <v>10602</v>
      </c>
      <c r="O1178" s="3">
        <f>N1178+J1178</f>
        <v>11807</v>
      </c>
      <c r="V1178" s="3">
        <v>12.965</v>
      </c>
      <c r="W1178" s="3">
        <v>1457</v>
      </c>
      <c r="AF1178" s="3">
        <v>184.82999999999998</v>
      </c>
      <c r="AI1178" s="3">
        <v>7.3931999999999993</v>
      </c>
      <c r="AL1178" s="41">
        <v>6.6022099447513817E-3</v>
      </c>
      <c r="AM1178" s="3">
        <v>1.9838187702265375E-3</v>
      </c>
      <c r="AN1178" s="3">
        <v>1.9838187702265375E-3</v>
      </c>
      <c r="AO1178" s="3">
        <v>5.3125873474331496E-4</v>
      </c>
      <c r="AR1178" s="3">
        <v>12.965</v>
      </c>
      <c r="AS1178" s="56"/>
      <c r="AT1178" s="56"/>
      <c r="AU1178" s="56"/>
      <c r="AV1178" s="56"/>
      <c r="AW1178" s="56"/>
      <c r="AX1178" s="56"/>
      <c r="BA1178" s="1" t="s">
        <v>117</v>
      </c>
      <c r="BO1178" s="3">
        <v>58771</v>
      </c>
      <c r="BP1178" s="3">
        <v>79071</v>
      </c>
      <c r="BQ1178" s="3">
        <v>74362</v>
      </c>
      <c r="BR1178" s="3">
        <v>50.610000000000007</v>
      </c>
      <c r="BS1178" s="3">
        <v>45.195</v>
      </c>
      <c r="BT1178" s="3">
        <v>41.097000000000008</v>
      </c>
      <c r="BU1178" s="3">
        <v>2.4199999999999999E-2</v>
      </c>
      <c r="BV1178" s="3">
        <v>1.09E-2</v>
      </c>
      <c r="BW1178" s="3">
        <v>9.0000000000000011E-3</v>
      </c>
      <c r="BX1178" s="3">
        <v>8.9999999999999998E-4</v>
      </c>
      <c r="BY1178" s="3">
        <v>5.9999999999999995E-4</v>
      </c>
      <c r="BZ1178" s="3">
        <v>5.9999999999999995E-4</v>
      </c>
      <c r="CA1178" s="3">
        <v>26.888888888888889</v>
      </c>
      <c r="CB1178" s="3">
        <v>18.166666666666668</v>
      </c>
      <c r="CC1178" s="3">
        <v>15.000000000000002</v>
      </c>
    </row>
    <row r="1179" spans="1:81" ht="15">
      <c r="A1179" s="3" t="s">
        <v>50</v>
      </c>
      <c r="B1179" s="5">
        <v>32308.297200000001</v>
      </c>
      <c r="C1179" s="3">
        <v>26</v>
      </c>
      <c r="D1179" s="20">
        <f t="shared" si="47"/>
        <v>41.778074866310163</v>
      </c>
      <c r="E1179" s="3">
        <v>625</v>
      </c>
      <c r="K1179" s="36"/>
      <c r="AF1179" s="3">
        <v>193.64</v>
      </c>
      <c r="AI1179" s="3">
        <v>7.4476923076923072</v>
      </c>
      <c r="AS1179" s="56"/>
      <c r="AT1179" s="56"/>
      <c r="AU1179" s="56"/>
      <c r="AV1179" s="56"/>
      <c r="AW1179" s="56"/>
      <c r="AX1179" s="56"/>
      <c r="BA1179" s="1" t="s">
        <v>117</v>
      </c>
    </row>
    <row r="1180" spans="1:81" ht="15">
      <c r="A1180" s="3" t="s">
        <v>50</v>
      </c>
      <c r="B1180" s="5">
        <v>32673.539400000001</v>
      </c>
      <c r="C1180" s="3">
        <v>27</v>
      </c>
      <c r="D1180" s="20">
        <f t="shared" si="47"/>
        <v>41.778074866310163</v>
      </c>
      <c r="E1180" s="3">
        <v>625</v>
      </c>
      <c r="K1180" s="36"/>
      <c r="AF1180" s="3">
        <v>201.92</v>
      </c>
      <c r="AI1180" s="3">
        <v>7.4785185185185181</v>
      </c>
      <c r="AL1180" s="3">
        <v>7.0999999999999995E-3</v>
      </c>
      <c r="AS1180" s="56"/>
      <c r="AT1180" s="56"/>
      <c r="AU1180" s="56"/>
      <c r="AV1180" s="56"/>
      <c r="AW1180" s="56"/>
      <c r="AX1180" s="56"/>
      <c r="BA1180" s="1" t="s">
        <v>117</v>
      </c>
    </row>
    <row r="1181" spans="1:81">
      <c r="A1181" s="3" t="s">
        <v>50</v>
      </c>
      <c r="B1181" s="5">
        <v>33038.781600000002</v>
      </c>
      <c r="C1181" s="3">
        <v>28</v>
      </c>
      <c r="D1181" s="20">
        <f t="shared" si="47"/>
        <v>41.778074866310163</v>
      </c>
      <c r="E1181" s="3">
        <v>625</v>
      </c>
      <c r="V1181"/>
      <c r="AF1181" s="3">
        <v>205.76</v>
      </c>
      <c r="AI1181" s="3">
        <v>7.3485714285714279</v>
      </c>
      <c r="AL1181" s="3">
        <v>7.7000000000000002E-3</v>
      </c>
      <c r="AS1181" s="56"/>
      <c r="AT1181" s="56"/>
      <c r="AU1181" s="56"/>
      <c r="AV1181" s="56"/>
      <c r="AW1181" s="56"/>
      <c r="AX1181" s="56"/>
      <c r="BA1181" s="1" t="s">
        <v>117</v>
      </c>
    </row>
    <row r="1182" spans="1:81">
      <c r="A1182" s="3" t="s">
        <v>50</v>
      </c>
      <c r="B1182" s="5">
        <v>33404.023800000003</v>
      </c>
      <c r="C1182" s="3">
        <v>29</v>
      </c>
      <c r="D1182" s="20">
        <f t="shared" si="47"/>
        <v>41.778074866310163</v>
      </c>
      <c r="E1182" s="3">
        <v>625</v>
      </c>
      <c r="F1182" s="3">
        <v>13777</v>
      </c>
      <c r="H1182" s="3">
        <v>423.00000000000006</v>
      </c>
      <c r="K1182" s="3">
        <v>2209</v>
      </c>
      <c r="L1182" s="3">
        <v>2420</v>
      </c>
      <c r="M1182" s="3">
        <v>8725</v>
      </c>
      <c r="N1182" s="3">
        <v>11145</v>
      </c>
      <c r="V1182">
        <v>11.751000000000001</v>
      </c>
      <c r="W1182" s="3">
        <v>3927.0000000000005</v>
      </c>
      <c r="AF1182" s="3">
        <v>215.7</v>
      </c>
      <c r="AI1182" s="3">
        <v>7.440496723007934</v>
      </c>
      <c r="AL1182" s="3">
        <v>7.1999999999999998E-3</v>
      </c>
      <c r="AM1182" s="41">
        <v>1.4114984155726574E-3</v>
      </c>
      <c r="AN1182" s="41">
        <v>1.4114984155726574E-3</v>
      </c>
      <c r="AO1182" s="3">
        <v>5.5065051592642449E-4</v>
      </c>
      <c r="AR1182" s="3">
        <v>11.751000000000001</v>
      </c>
      <c r="AS1182" s="56"/>
      <c r="AT1182" s="56"/>
      <c r="AU1182" s="56"/>
      <c r="AV1182" s="56"/>
      <c r="AW1182" s="56"/>
      <c r="AX1182" s="56"/>
      <c r="BA1182" s="1" t="s">
        <v>117</v>
      </c>
      <c r="BU1182" s="3">
        <v>2.2799999999999997E-2</v>
      </c>
      <c r="BV1182" s="3">
        <v>8.1000000000000013E-3</v>
      </c>
      <c r="BW1182" s="3">
        <v>7.0999999999999995E-3</v>
      </c>
      <c r="BX1182" s="3">
        <v>8.0000000000000004E-4</v>
      </c>
      <c r="BY1182" s="3">
        <v>5.0000000000000001E-4</v>
      </c>
      <c r="BZ1182" s="3">
        <v>5.0000000000000001E-4</v>
      </c>
      <c r="CA1182" s="3">
        <v>28.499999999999996</v>
      </c>
      <c r="CB1182" s="3">
        <v>16.2</v>
      </c>
      <c r="CC1182" s="3">
        <v>14.2</v>
      </c>
    </row>
    <row r="1183" spans="1:81">
      <c r="A1183" s="3" t="s">
        <v>50</v>
      </c>
      <c r="B1183" s="5">
        <v>33769.266000000003</v>
      </c>
      <c r="C1183" s="3">
        <v>30</v>
      </c>
      <c r="D1183" s="20">
        <f t="shared" si="47"/>
        <v>41.778074866310163</v>
      </c>
      <c r="E1183" s="3">
        <v>625</v>
      </c>
      <c r="AF1183" s="3">
        <v>227.14999999999998</v>
      </c>
      <c r="AI1183" s="3">
        <v>7.5741913971323767</v>
      </c>
      <c r="AL1183" s="3">
        <v>6.0000000000000001E-3</v>
      </c>
      <c r="AS1183" s="56"/>
      <c r="AT1183" s="56"/>
      <c r="AU1183" s="56"/>
      <c r="AV1183" s="56"/>
      <c r="AW1183" s="56"/>
      <c r="AX1183" s="56"/>
      <c r="BA1183" s="1" t="s">
        <v>117</v>
      </c>
    </row>
    <row r="1184" spans="1:81">
      <c r="A1184" s="3" t="s">
        <v>50</v>
      </c>
      <c r="B1184" s="5">
        <v>34134.508199999997</v>
      </c>
      <c r="C1184" s="3">
        <v>31</v>
      </c>
      <c r="D1184" s="20">
        <f t="shared" si="47"/>
        <v>41.778074866310163</v>
      </c>
      <c r="E1184" s="3">
        <v>625</v>
      </c>
      <c r="AF1184" s="3">
        <v>233.27999999999997</v>
      </c>
      <c r="AI1184" s="3">
        <v>7.52516129032258</v>
      </c>
      <c r="AL1184" s="3">
        <v>8.199999999999999E-3</v>
      </c>
      <c r="AS1184" s="56"/>
      <c r="AT1184" s="56"/>
      <c r="AU1184" s="56"/>
      <c r="AV1184" s="56"/>
      <c r="AW1184" s="56"/>
      <c r="AX1184" s="56"/>
      <c r="BA1184" s="1" t="s">
        <v>117</v>
      </c>
    </row>
    <row r="1185" spans="1:81">
      <c r="A1185" s="3" t="s">
        <v>50</v>
      </c>
      <c r="B1185" s="5">
        <v>34499.750400000004</v>
      </c>
      <c r="C1185" s="3">
        <v>32</v>
      </c>
      <c r="D1185" s="20">
        <f t="shared" si="47"/>
        <v>41.778074866310163</v>
      </c>
      <c r="E1185" s="3">
        <v>625</v>
      </c>
      <c r="AF1185" s="3">
        <v>240.28999999999996</v>
      </c>
      <c r="AI1185" s="3">
        <v>7.5090624999999989</v>
      </c>
      <c r="AL1185" s="3">
        <v>7.0999999999999995E-3</v>
      </c>
      <c r="AS1185" s="56"/>
      <c r="AT1185" s="56"/>
      <c r="AU1185" s="56"/>
      <c r="AV1185" s="56"/>
      <c r="AW1185" s="56"/>
      <c r="AX1185" s="56"/>
      <c r="BA1185" s="1" t="s">
        <v>117</v>
      </c>
    </row>
    <row r="1186" spans="1:81">
      <c r="A1186" s="3" t="s">
        <v>50</v>
      </c>
      <c r="B1186" s="5">
        <v>34864.992599999998</v>
      </c>
      <c r="C1186" s="3">
        <v>33</v>
      </c>
      <c r="D1186" s="20">
        <f t="shared" si="47"/>
        <v>41.778074866310163</v>
      </c>
      <c r="E1186" s="3">
        <v>625</v>
      </c>
      <c r="AF1186" s="3">
        <v>245.75999999999996</v>
      </c>
      <c r="AI1186" s="3">
        <v>7.4472727272727264</v>
      </c>
      <c r="AL1186" s="3">
        <v>5.7999999999999996E-3</v>
      </c>
      <c r="AS1186" s="56"/>
      <c r="AT1186" s="56"/>
      <c r="AU1186" s="56"/>
      <c r="AV1186" s="56"/>
      <c r="AW1186" s="56"/>
      <c r="AX1186" s="56"/>
      <c r="BA1186" s="1" t="s">
        <v>117</v>
      </c>
    </row>
    <row r="1187" spans="1:81">
      <c r="A1187" s="3" t="s">
        <v>50</v>
      </c>
      <c r="B1187" s="5">
        <v>35230.234799999998</v>
      </c>
      <c r="C1187" s="3">
        <v>34</v>
      </c>
      <c r="D1187" s="20">
        <f t="shared" si="47"/>
        <v>41.778074866310163</v>
      </c>
      <c r="E1187" s="3">
        <v>625</v>
      </c>
      <c r="F1187" s="3">
        <v>17651</v>
      </c>
      <c r="H1187" s="3">
        <v>528</v>
      </c>
      <c r="K1187" s="3">
        <v>3285</v>
      </c>
      <c r="L1187" s="3">
        <v>2894</v>
      </c>
      <c r="M1187" s="3">
        <v>10944</v>
      </c>
      <c r="N1187" s="3">
        <v>13838</v>
      </c>
      <c r="V1187">
        <v>15.704000000000001</v>
      </c>
      <c r="W1187" s="3">
        <v>3336.9999999999995</v>
      </c>
      <c r="AF1187" s="3">
        <v>256.16999999999996</v>
      </c>
      <c r="AI1187" s="3">
        <v>7.5344117647058813</v>
      </c>
      <c r="AL1187" s="3">
        <v>6.0000000000000001E-3</v>
      </c>
      <c r="AM1187" s="41">
        <v>1.7984779299847794E-3</v>
      </c>
      <c r="AN1187" s="41">
        <v>1.7984779299847794E-3</v>
      </c>
      <c r="AO1187" s="3">
        <v>4.7499638676109265E-4</v>
      </c>
      <c r="AR1187" s="3">
        <v>15.704000000000001</v>
      </c>
      <c r="AS1187" s="56"/>
      <c r="AT1187" s="56"/>
      <c r="AU1187" s="56"/>
      <c r="AV1187" s="56"/>
      <c r="AW1187" s="56"/>
      <c r="AX1187" s="56"/>
      <c r="BA1187" s="1" t="s">
        <v>117</v>
      </c>
      <c r="BU1187" s="3">
        <v>0.02</v>
      </c>
      <c r="BV1187" s="3">
        <v>1.0800000000000001E-2</v>
      </c>
      <c r="BW1187" s="3">
        <v>9.0000000000000011E-3</v>
      </c>
      <c r="BX1187" s="3">
        <v>7.000000000000001E-4</v>
      </c>
      <c r="BY1187" s="3">
        <v>5.0000000000000001E-4</v>
      </c>
      <c r="BZ1187" s="3">
        <v>5.0000000000000001E-4</v>
      </c>
      <c r="CA1187" s="3">
        <v>28.571428571428569</v>
      </c>
      <c r="CB1187" s="3">
        <v>21.6</v>
      </c>
      <c r="CC1187" s="3">
        <v>18</v>
      </c>
    </row>
    <row r="1188" spans="1:81">
      <c r="A1188" s="1" t="s">
        <v>71</v>
      </c>
      <c r="B1188" s="5">
        <v>22812</v>
      </c>
      <c r="C1188" s="3">
        <v>0</v>
      </c>
      <c r="D1188" s="20">
        <v>100</v>
      </c>
      <c r="E1188" s="3">
        <v>1496</v>
      </c>
      <c r="V1188"/>
      <c r="AS1188" s="56"/>
      <c r="AT1188" s="56"/>
      <c r="AU1188" s="56"/>
      <c r="AV1188" s="56"/>
      <c r="AW1188" s="56"/>
      <c r="AX1188" s="56"/>
      <c r="BA1188" s="1" t="s">
        <v>117</v>
      </c>
    </row>
    <row r="1189" spans="1:81">
      <c r="A1189" s="3" t="s">
        <v>71</v>
      </c>
      <c r="B1189" s="5">
        <v>29021.117399999999</v>
      </c>
      <c r="C1189" s="3">
        <v>17</v>
      </c>
      <c r="D1189" s="20">
        <f t="shared" si="47"/>
        <v>41.778074866310163</v>
      </c>
      <c r="E1189" s="3">
        <v>625</v>
      </c>
      <c r="AF1189" s="3">
        <v>110.3</v>
      </c>
      <c r="AI1189" s="3">
        <v>6.4882352941176471</v>
      </c>
      <c r="AL1189" s="3">
        <v>1.01E-2</v>
      </c>
      <c r="AS1189" s="56"/>
      <c r="AT1189" s="56"/>
      <c r="AU1189" s="56"/>
      <c r="AV1189" s="56"/>
      <c r="AW1189" s="56"/>
      <c r="AX1189" s="56"/>
      <c r="BA1189" s="1" t="s">
        <v>117</v>
      </c>
    </row>
    <row r="1190" spans="1:81">
      <c r="A1190" s="3" t="s">
        <v>71</v>
      </c>
      <c r="B1190" s="5">
        <v>29386.3596</v>
      </c>
      <c r="C1190" s="3">
        <v>18</v>
      </c>
      <c r="D1190" s="20">
        <f t="shared" si="47"/>
        <v>41.778074866310163</v>
      </c>
      <c r="E1190" s="3">
        <v>625</v>
      </c>
      <c r="AF1190" s="3">
        <v>121.94</v>
      </c>
      <c r="AI1190" s="3">
        <v>6.7744444444444447</v>
      </c>
      <c r="AL1190" s="3">
        <v>9.3999999999999986E-3</v>
      </c>
      <c r="AS1190" s="56"/>
      <c r="AT1190" s="56"/>
      <c r="AU1190" s="56"/>
      <c r="AV1190" s="56"/>
      <c r="AW1190" s="56"/>
      <c r="AX1190" s="56"/>
      <c r="BA1190" s="1" t="s">
        <v>117</v>
      </c>
    </row>
    <row r="1191" spans="1:81">
      <c r="A1191" s="3" t="s">
        <v>71</v>
      </c>
      <c r="B1191" s="5">
        <v>29751.6018</v>
      </c>
      <c r="C1191" s="3">
        <v>19</v>
      </c>
      <c r="D1191" s="20">
        <f t="shared" si="47"/>
        <v>41.778074866310163</v>
      </c>
      <c r="E1191" s="3">
        <v>625</v>
      </c>
      <c r="AF1191" s="3">
        <v>135.66</v>
      </c>
      <c r="AI1191" s="3">
        <v>7.14</v>
      </c>
      <c r="AL1191" s="3">
        <v>0.01</v>
      </c>
      <c r="AS1191" s="56"/>
      <c r="AT1191" s="56"/>
      <c r="AU1191" s="56"/>
      <c r="AV1191" s="56"/>
      <c r="AW1191" s="56"/>
      <c r="AX1191" s="56"/>
      <c r="BA1191" s="1" t="s">
        <v>117</v>
      </c>
    </row>
    <row r="1192" spans="1:81">
      <c r="A1192" s="3" t="s">
        <v>71</v>
      </c>
      <c r="B1192" s="5">
        <v>30116.844000000001</v>
      </c>
      <c r="C1192" s="3">
        <v>20</v>
      </c>
      <c r="D1192" s="20">
        <f t="shared" si="47"/>
        <v>41.778074866310163</v>
      </c>
      <c r="E1192" s="3">
        <v>625</v>
      </c>
      <c r="AF1192" s="3">
        <v>152.26999999999998</v>
      </c>
      <c r="AI1192" s="3">
        <v>7.6134999999999993</v>
      </c>
      <c r="AL1192" s="3">
        <v>9.7999999999999997E-3</v>
      </c>
      <c r="AS1192" s="56"/>
      <c r="AT1192" s="56"/>
      <c r="AU1192" s="56"/>
      <c r="AV1192" s="56"/>
      <c r="AW1192" s="56"/>
      <c r="AX1192" s="56"/>
      <c r="BA1192" s="1" t="s">
        <v>117</v>
      </c>
    </row>
    <row r="1193" spans="1:81">
      <c r="A1193" s="3" t="s">
        <v>71</v>
      </c>
      <c r="B1193" s="5">
        <v>30482.086200000002</v>
      </c>
      <c r="C1193" s="3">
        <v>21</v>
      </c>
      <c r="D1193" s="20">
        <f t="shared" si="47"/>
        <v>41.778074866310163</v>
      </c>
      <c r="E1193" s="3">
        <v>625</v>
      </c>
      <c r="AF1193" s="3">
        <v>174.11999999999998</v>
      </c>
      <c r="AI1193" s="3">
        <v>8.29142857142857</v>
      </c>
      <c r="AL1193" s="3">
        <v>1.0500000000000001E-2</v>
      </c>
      <c r="AS1193" s="56"/>
      <c r="AT1193" s="56"/>
      <c r="AU1193" s="56"/>
      <c r="AV1193" s="56"/>
      <c r="AW1193" s="56"/>
      <c r="AX1193" s="56"/>
      <c r="BA1193" s="1" t="s">
        <v>117</v>
      </c>
    </row>
    <row r="1194" spans="1:81">
      <c r="A1194" s="3" t="s">
        <v>71</v>
      </c>
      <c r="B1194" s="5">
        <v>30847.328399999999</v>
      </c>
      <c r="C1194" s="3">
        <v>22</v>
      </c>
      <c r="D1194" s="20">
        <f t="shared" si="47"/>
        <v>41.778074866310163</v>
      </c>
      <c r="E1194" s="3">
        <v>625</v>
      </c>
      <c r="AF1194" s="3">
        <v>192.77999999999997</v>
      </c>
      <c r="AI1194" s="3">
        <v>8.7627272727272718</v>
      </c>
      <c r="AL1194" s="3">
        <v>1.1000000000000001E-2</v>
      </c>
      <c r="AS1194" s="56"/>
      <c r="AT1194" s="56"/>
      <c r="AU1194" s="56"/>
      <c r="AV1194" s="56"/>
      <c r="AW1194" s="56"/>
      <c r="AX1194" s="56"/>
      <c r="BA1194" s="1" t="s">
        <v>117</v>
      </c>
    </row>
    <row r="1195" spans="1:81">
      <c r="A1195" s="3" t="s">
        <v>71</v>
      </c>
      <c r="B1195" s="5">
        <v>31212.570599999999</v>
      </c>
      <c r="C1195" s="3">
        <v>23</v>
      </c>
      <c r="D1195" s="20">
        <f t="shared" si="47"/>
        <v>41.778074866310163</v>
      </c>
      <c r="E1195" s="3">
        <v>625</v>
      </c>
      <c r="AF1195" s="3">
        <v>219.14</v>
      </c>
      <c r="AI1195" s="3">
        <v>9.5278260869565212</v>
      </c>
      <c r="AL1195" s="3">
        <v>9.300000000000001E-3</v>
      </c>
      <c r="AS1195" s="56"/>
      <c r="AT1195" s="56"/>
      <c r="AU1195" s="56"/>
      <c r="AV1195" s="56"/>
      <c r="AW1195" s="56"/>
      <c r="AX1195" s="56"/>
      <c r="BA1195" s="1" t="s">
        <v>117</v>
      </c>
    </row>
    <row r="1196" spans="1:81">
      <c r="A1196" s="3" t="s">
        <v>71</v>
      </c>
      <c r="B1196" s="5">
        <v>31577.8128</v>
      </c>
      <c r="C1196" s="3">
        <v>24</v>
      </c>
      <c r="D1196" s="20">
        <f t="shared" si="47"/>
        <v>41.778074866310163</v>
      </c>
      <c r="E1196" s="3">
        <v>625</v>
      </c>
      <c r="AF1196" s="3">
        <v>252.42999999999998</v>
      </c>
      <c r="AI1196" s="3">
        <v>10.517916666666666</v>
      </c>
      <c r="AL1196" s="3">
        <v>1.11E-2</v>
      </c>
      <c r="AS1196" s="56"/>
      <c r="AT1196" s="56"/>
      <c r="AU1196" s="56"/>
      <c r="AV1196" s="56"/>
      <c r="AW1196" s="56"/>
      <c r="AX1196" s="56"/>
      <c r="BA1196" s="1" t="s">
        <v>117</v>
      </c>
    </row>
    <row r="1197" spans="1:81" ht="15">
      <c r="A1197" s="3" t="s">
        <v>71</v>
      </c>
      <c r="B1197" s="5">
        <v>31943.055</v>
      </c>
      <c r="C1197" s="3">
        <v>25</v>
      </c>
      <c r="D1197" s="20">
        <f t="shared" si="47"/>
        <v>41.778074866310163</v>
      </c>
      <c r="E1197" s="3">
        <v>625</v>
      </c>
      <c r="F1197" s="3">
        <v>18719</v>
      </c>
      <c r="G1197" s="3">
        <v>667</v>
      </c>
      <c r="H1197" s="3">
        <v>1057</v>
      </c>
      <c r="J1197" s="3">
        <v>1805</v>
      </c>
      <c r="K1197" s="3">
        <f>G1197+J1197</f>
        <v>2472</v>
      </c>
      <c r="L1197" s="3">
        <v>2456</v>
      </c>
      <c r="M1197" s="3">
        <v>12734</v>
      </c>
      <c r="N1197" s="3">
        <v>15190</v>
      </c>
      <c r="O1197" s="3">
        <f>N1197+J1197</f>
        <v>16995</v>
      </c>
      <c r="V1197" s="3">
        <v>26.013000000000005</v>
      </c>
      <c r="W1197" s="3">
        <v>1257</v>
      </c>
      <c r="AF1197" s="3">
        <v>283.27999999999997</v>
      </c>
      <c r="AI1197" s="3">
        <v>11.331199999999999</v>
      </c>
      <c r="AL1197" s="42">
        <v>8.355450236966825E-3</v>
      </c>
      <c r="AM1197" s="3">
        <v>2.1467631684760759E-3</v>
      </c>
      <c r="AN1197" s="3">
        <v>2.1467631684760759E-3</v>
      </c>
      <c r="AO1197" s="3">
        <v>7.7277466440766338E-4</v>
      </c>
      <c r="AR1197" s="3">
        <v>26.013000000000005</v>
      </c>
      <c r="AS1197" s="56"/>
      <c r="AT1197" s="56"/>
      <c r="AU1197" s="56"/>
      <c r="AV1197" s="56"/>
      <c r="AW1197" s="56"/>
      <c r="AX1197" s="56"/>
      <c r="BA1197" s="1" t="s">
        <v>117</v>
      </c>
      <c r="BO1197" s="3">
        <v>59608.000000000007</v>
      </c>
      <c r="BP1197" s="3">
        <v>71183</v>
      </c>
      <c r="BQ1197" s="3">
        <v>57699</v>
      </c>
      <c r="BR1197" s="3">
        <v>89.13600000000001</v>
      </c>
      <c r="BS1197" s="3">
        <v>43.127000000000002</v>
      </c>
      <c r="BT1197" s="3">
        <v>33.067</v>
      </c>
      <c r="BU1197" s="3">
        <v>2.58E-2</v>
      </c>
      <c r="BV1197" s="3">
        <v>1.3500000000000002E-2</v>
      </c>
      <c r="BW1197" s="3">
        <v>1.15E-2</v>
      </c>
      <c r="BX1197" s="3">
        <v>1.5E-3</v>
      </c>
      <c r="BY1197" s="3">
        <v>5.9999999999999995E-4</v>
      </c>
      <c r="BZ1197" s="3">
        <v>5.9999999999999995E-4</v>
      </c>
      <c r="CA1197" s="3">
        <v>17.200000000000003</v>
      </c>
      <c r="CB1197" s="3">
        <v>22.500000000000004</v>
      </c>
      <c r="CC1197" s="3">
        <v>19.166666666666664</v>
      </c>
    </row>
    <row r="1198" spans="1:81">
      <c r="A1198" s="3" t="s">
        <v>71</v>
      </c>
      <c r="B1198" s="5">
        <v>32308.297200000001</v>
      </c>
      <c r="C1198" s="3">
        <v>26</v>
      </c>
      <c r="D1198" s="20">
        <f t="shared" si="47"/>
        <v>41.778074866310163</v>
      </c>
      <c r="E1198" s="3">
        <v>625</v>
      </c>
      <c r="AF1198" s="3">
        <v>310.58999999999997</v>
      </c>
      <c r="AI1198" s="3">
        <v>11.94576923076923</v>
      </c>
      <c r="AS1198" s="56"/>
      <c r="AT1198" s="56"/>
      <c r="AU1198" s="56"/>
      <c r="AV1198" s="56"/>
      <c r="AW1198" s="56"/>
      <c r="AX1198" s="56"/>
      <c r="BA1198" s="1" t="s">
        <v>117</v>
      </c>
    </row>
    <row r="1199" spans="1:81">
      <c r="A1199" s="3" t="s">
        <v>71</v>
      </c>
      <c r="B1199" s="5">
        <v>32673.539400000001</v>
      </c>
      <c r="C1199" s="3">
        <v>27</v>
      </c>
      <c r="D1199" s="20">
        <f t="shared" si="47"/>
        <v>41.778074866310163</v>
      </c>
      <c r="E1199" s="3">
        <v>625</v>
      </c>
      <c r="AF1199" s="3">
        <v>344</v>
      </c>
      <c r="AI1199" s="3">
        <v>12.74074074074074</v>
      </c>
      <c r="AL1199" s="3">
        <v>1.09E-2</v>
      </c>
      <c r="AS1199" s="56"/>
      <c r="AT1199" s="56"/>
      <c r="AU1199" s="56"/>
      <c r="AV1199" s="56"/>
      <c r="AW1199" s="56"/>
      <c r="AX1199" s="56"/>
      <c r="BA1199" s="1" t="s">
        <v>117</v>
      </c>
    </row>
    <row r="1200" spans="1:81">
      <c r="A1200" s="3" t="s">
        <v>71</v>
      </c>
      <c r="B1200" s="5">
        <v>33038.781600000002</v>
      </c>
      <c r="C1200" s="3">
        <v>28</v>
      </c>
      <c r="D1200" s="20">
        <f t="shared" si="47"/>
        <v>41.778074866310163</v>
      </c>
      <c r="E1200" s="3">
        <v>625</v>
      </c>
      <c r="AF1200" s="3">
        <v>374.32</v>
      </c>
      <c r="AI1200" s="3">
        <v>13.368571428571428</v>
      </c>
      <c r="AL1200" s="3">
        <v>1.1399999999999999E-2</v>
      </c>
      <c r="AS1200" s="56"/>
      <c r="AT1200" s="56"/>
      <c r="AU1200" s="56"/>
      <c r="AV1200" s="56"/>
      <c r="AW1200" s="56"/>
      <c r="AX1200" s="56"/>
      <c r="BA1200" s="1" t="s">
        <v>117</v>
      </c>
    </row>
    <row r="1201" spans="1:81">
      <c r="A1201" s="3" t="s">
        <v>71</v>
      </c>
      <c r="B1201" s="5">
        <v>33404.023800000003</v>
      </c>
      <c r="C1201" s="3">
        <v>29</v>
      </c>
      <c r="D1201" s="20">
        <f t="shared" si="47"/>
        <v>41.778074866310163</v>
      </c>
      <c r="E1201" s="3">
        <v>625</v>
      </c>
      <c r="F1201" s="3">
        <v>25530</v>
      </c>
      <c r="H1201" s="3">
        <v>1050</v>
      </c>
      <c r="K1201" s="3">
        <v>3394</v>
      </c>
      <c r="L1201" s="3">
        <v>2863</v>
      </c>
      <c r="M1201" s="3">
        <v>18223</v>
      </c>
      <c r="N1201" s="3">
        <v>21086</v>
      </c>
      <c r="V1201" s="3">
        <v>35.235999999999997</v>
      </c>
      <c r="W1201" s="3">
        <v>4821</v>
      </c>
      <c r="AF1201" s="3">
        <v>407.74</v>
      </c>
      <c r="AI1201" s="3">
        <v>14.06</v>
      </c>
      <c r="AL1201" s="3">
        <v>9.3999999999999986E-3</v>
      </c>
      <c r="AM1201" s="3">
        <v>2.6965232763700646E-3</v>
      </c>
      <c r="AN1201" s="3">
        <v>2.6965232763700646E-3</v>
      </c>
      <c r="AO1201" s="3">
        <v>7.416769420468557E-4</v>
      </c>
      <c r="AR1201" s="3">
        <v>35.235999999999997</v>
      </c>
      <c r="AS1201" s="56"/>
      <c r="AT1201" s="56"/>
      <c r="AU1201" s="56"/>
      <c r="AV1201" s="56"/>
      <c r="AW1201" s="56"/>
      <c r="AX1201" s="56"/>
      <c r="BA1201" s="1" t="s">
        <v>117</v>
      </c>
      <c r="BU1201" s="3">
        <v>3.4799999999999998E-2</v>
      </c>
      <c r="BV1201" s="3">
        <v>8.1000000000000013E-3</v>
      </c>
      <c r="BW1201" s="3">
        <v>7.0999999999999995E-3</v>
      </c>
      <c r="BX1201" s="3">
        <v>1.4000000000000002E-3</v>
      </c>
      <c r="BY1201" s="3">
        <v>5.0000000000000001E-4</v>
      </c>
      <c r="BZ1201" s="3">
        <v>2.9999999999999997E-4</v>
      </c>
      <c r="CA1201" s="3">
        <v>24.857142857142854</v>
      </c>
      <c r="CB1201" s="3">
        <v>16.2</v>
      </c>
      <c r="CC1201" s="3">
        <v>23.666666666666668</v>
      </c>
    </row>
    <row r="1202" spans="1:81">
      <c r="A1202" s="3" t="s">
        <v>71</v>
      </c>
      <c r="B1202" s="5">
        <v>33769.266000000003</v>
      </c>
      <c r="C1202" s="3">
        <v>30</v>
      </c>
      <c r="D1202" s="20">
        <f t="shared" si="47"/>
        <v>41.778074866310163</v>
      </c>
      <c r="E1202" s="3">
        <v>625</v>
      </c>
      <c r="AF1202" s="3">
        <v>438.73</v>
      </c>
      <c r="AI1202" s="3">
        <v>14.624333333333334</v>
      </c>
      <c r="AL1202" s="3">
        <v>9.8999999999999991E-3</v>
      </c>
      <c r="AS1202" s="56"/>
      <c r="AT1202" s="56"/>
      <c r="AU1202" s="56"/>
      <c r="AV1202" s="56"/>
      <c r="AW1202" s="56"/>
      <c r="AX1202" s="56"/>
      <c r="BA1202" s="1" t="s">
        <v>117</v>
      </c>
    </row>
    <row r="1203" spans="1:81">
      <c r="A1203" s="3" t="s">
        <v>71</v>
      </c>
      <c r="B1203" s="5">
        <v>34134.508199999997</v>
      </c>
      <c r="C1203" s="3">
        <v>31</v>
      </c>
      <c r="D1203" s="20">
        <f t="shared" si="47"/>
        <v>41.778074866310163</v>
      </c>
      <c r="E1203" s="3">
        <v>625</v>
      </c>
      <c r="AF1203" s="3">
        <v>468.61</v>
      </c>
      <c r="AI1203" s="3">
        <v>15.116451612903226</v>
      </c>
      <c r="AL1203" s="3">
        <v>8.5000000000000006E-3</v>
      </c>
      <c r="AS1203" s="56"/>
      <c r="AT1203" s="56"/>
      <c r="AU1203" s="56"/>
      <c r="AV1203" s="56"/>
      <c r="AW1203" s="56"/>
      <c r="AX1203" s="56"/>
      <c r="BA1203" s="1" t="s">
        <v>117</v>
      </c>
    </row>
    <row r="1204" spans="1:81">
      <c r="A1204" s="3" t="s">
        <v>71</v>
      </c>
      <c r="B1204" s="5">
        <v>34499.750400000004</v>
      </c>
      <c r="C1204" s="3">
        <v>32</v>
      </c>
      <c r="D1204" s="20">
        <f t="shared" si="47"/>
        <v>41.778074866310163</v>
      </c>
      <c r="E1204" s="3">
        <v>625</v>
      </c>
      <c r="AF1204" s="3">
        <v>495.43</v>
      </c>
      <c r="AI1204" s="3">
        <v>15.4821875</v>
      </c>
      <c r="AL1204" s="3">
        <v>8.1000000000000013E-3</v>
      </c>
      <c r="AS1204" s="56"/>
      <c r="AT1204" s="56"/>
      <c r="AU1204" s="56"/>
      <c r="AV1204" s="56"/>
      <c r="AW1204" s="56"/>
      <c r="AX1204" s="56"/>
      <c r="BA1204" s="1" t="s">
        <v>117</v>
      </c>
    </row>
    <row r="1205" spans="1:81">
      <c r="A1205" s="3" t="s">
        <v>71</v>
      </c>
      <c r="B1205" s="5">
        <v>34864.992599999998</v>
      </c>
      <c r="C1205" s="3">
        <v>33</v>
      </c>
      <c r="D1205" s="20">
        <f t="shared" si="47"/>
        <v>41.778074866310163</v>
      </c>
      <c r="E1205" s="3">
        <v>625</v>
      </c>
      <c r="AF1205" s="3">
        <v>512.85</v>
      </c>
      <c r="AI1205" s="3">
        <v>15.540909090909091</v>
      </c>
      <c r="AL1205" s="3">
        <v>6.0999999999999995E-3</v>
      </c>
      <c r="AS1205" s="56"/>
      <c r="AT1205" s="56"/>
      <c r="AU1205" s="56"/>
      <c r="AV1205" s="56"/>
      <c r="AW1205" s="56"/>
      <c r="AX1205" s="56"/>
      <c r="BA1205" s="1" t="s">
        <v>117</v>
      </c>
    </row>
    <row r="1206" spans="1:81">
      <c r="A1206" s="3" t="s">
        <v>71</v>
      </c>
      <c r="B1206" s="5">
        <v>35230.234799999998</v>
      </c>
      <c r="C1206" s="3">
        <v>34</v>
      </c>
      <c r="D1206" s="20">
        <f t="shared" si="47"/>
        <v>41.778074866310163</v>
      </c>
      <c r="E1206" s="3">
        <v>625</v>
      </c>
      <c r="F1206" s="3">
        <v>34106</v>
      </c>
      <c r="H1206" s="3">
        <v>1071</v>
      </c>
      <c r="K1206" s="3">
        <v>4645</v>
      </c>
      <c r="L1206" s="3">
        <v>4635</v>
      </c>
      <c r="M1206" s="3">
        <v>23755</v>
      </c>
      <c r="N1206" s="3">
        <v>28390</v>
      </c>
      <c r="V1206" s="3">
        <v>30.543000000000003</v>
      </c>
      <c r="W1206" s="3">
        <v>4924</v>
      </c>
      <c r="AF1206" s="3">
        <v>528.84</v>
      </c>
      <c r="AI1206" s="3">
        <f>AF1206/C1206</f>
        <v>15.554117647058824</v>
      </c>
      <c r="AL1206" s="3">
        <v>6.9999999999999993E-3</v>
      </c>
      <c r="AM1206" s="3">
        <v>2.1926803013993541E-3</v>
      </c>
      <c r="AN1206" s="3">
        <v>2.1926803013993541E-3</v>
      </c>
      <c r="AO1206" s="3">
        <v>4.6956674885523068E-4</v>
      </c>
      <c r="AR1206" s="3">
        <v>30.543000000000003</v>
      </c>
      <c r="AS1206" s="56"/>
      <c r="AT1206" s="56"/>
      <c r="AU1206" s="56"/>
      <c r="AV1206" s="56"/>
      <c r="AW1206" s="56"/>
      <c r="AX1206" s="56"/>
      <c r="BA1206" s="1" t="s">
        <v>117</v>
      </c>
      <c r="BU1206" s="3">
        <v>2.9500000000000002E-2</v>
      </c>
      <c r="BV1206" s="3">
        <v>1.0700000000000001E-2</v>
      </c>
      <c r="BW1206" s="3">
        <v>9.1000000000000004E-3</v>
      </c>
      <c r="BX1206" s="3">
        <v>1.2999999999999999E-3</v>
      </c>
      <c r="BY1206" s="3">
        <v>5.9999999999999995E-4</v>
      </c>
      <c r="BZ1206" s="3">
        <v>5.0000000000000001E-4</v>
      </c>
      <c r="CA1206" s="3">
        <v>22.692307692307693</v>
      </c>
      <c r="CB1206" s="3">
        <v>17.833333333333336</v>
      </c>
      <c r="CC1206" s="3">
        <v>18.2</v>
      </c>
    </row>
    <row r="1207" spans="1:81" s="20" customFormat="1">
      <c r="A1207" s="3" t="s">
        <v>72</v>
      </c>
      <c r="B1207" s="5">
        <v>30331</v>
      </c>
      <c r="C1207" s="3">
        <v>0</v>
      </c>
      <c r="D1207" s="3">
        <v>100</v>
      </c>
      <c r="E1207" s="20">
        <v>1851.85</v>
      </c>
      <c r="AS1207" s="66"/>
      <c r="AT1207" s="66"/>
      <c r="AU1207" s="66"/>
      <c r="AV1207" s="66"/>
      <c r="AW1207" s="66"/>
      <c r="AX1207" s="66"/>
      <c r="BA1207" s="19" t="s">
        <v>118</v>
      </c>
    </row>
    <row r="1208" spans="1:81" s="20" customFormat="1">
      <c r="A1208" s="3" t="s">
        <v>72</v>
      </c>
      <c r="B1208" s="5">
        <v>31792</v>
      </c>
      <c r="C1208" s="20">
        <v>4.0000854227687812</v>
      </c>
      <c r="D1208" s="3">
        <v>77.767208332208341</v>
      </c>
      <c r="E1208" s="20">
        <v>1440.1320475</v>
      </c>
      <c r="F1208" s="20">
        <v>166.7019998442276</v>
      </c>
      <c r="H1208" s="20">
        <v>112.74537970676542</v>
      </c>
      <c r="J1208" s="20">
        <v>21.761142962356551</v>
      </c>
      <c r="N1208" s="20">
        <v>32.19547717510563</v>
      </c>
      <c r="AC1208" s="20">
        <v>1.9501867255516743</v>
      </c>
      <c r="AE1208" s="20">
        <v>0.43017543228998234</v>
      </c>
      <c r="AF1208" s="20">
        <v>0.67692307692307685</v>
      </c>
      <c r="AI1208" s="29">
        <f t="shared" ref="AI1208:AI1271" si="48">IF(AF1208&gt;0.001,AF1208/C1208,"")</f>
        <v>0.16922715526773022</v>
      </c>
      <c r="AS1208" s="66"/>
      <c r="AT1208" s="66"/>
      <c r="AU1208" s="66"/>
      <c r="AV1208" s="66"/>
      <c r="AW1208" s="66"/>
      <c r="AX1208" s="66"/>
      <c r="BA1208" s="19" t="s">
        <v>118</v>
      </c>
    </row>
    <row r="1209" spans="1:81" s="20" customFormat="1">
      <c r="A1209" s="3" t="s">
        <v>72</v>
      </c>
      <c r="B1209" s="5">
        <v>32157.242200000001</v>
      </c>
      <c r="C1209" s="20">
        <v>5.000085422768783</v>
      </c>
      <c r="D1209" s="3">
        <v>77.767208332208341</v>
      </c>
      <c r="E1209" s="20">
        <v>1440.1320475</v>
      </c>
      <c r="F1209" s="20">
        <v>325.93599396375362</v>
      </c>
      <c r="H1209" s="20">
        <v>147.9026026255828</v>
      </c>
      <c r="J1209" s="20">
        <v>53.714923212495918</v>
      </c>
      <c r="N1209" s="20">
        <v>124.31846812567485</v>
      </c>
      <c r="AC1209" s="20">
        <v>3.230488381655241</v>
      </c>
      <c r="AE1209" s="20">
        <v>1.1804010272184902</v>
      </c>
      <c r="AI1209" s="29" t="str">
        <f t="shared" si="48"/>
        <v/>
      </c>
      <c r="AS1209" s="66"/>
      <c r="AT1209" s="66"/>
      <c r="AU1209" s="66"/>
      <c r="AV1209" s="66"/>
      <c r="AW1209" s="66"/>
      <c r="AX1209" s="66"/>
      <c r="BA1209" s="19" t="s">
        <v>118</v>
      </c>
    </row>
    <row r="1210" spans="1:81" s="20" customFormat="1">
      <c r="A1210" s="3" t="s">
        <v>72</v>
      </c>
      <c r="B1210" s="5">
        <v>32522.484400000001</v>
      </c>
      <c r="C1210" s="20">
        <v>6.0000854227687848</v>
      </c>
      <c r="D1210" s="3">
        <v>77.072927072927072</v>
      </c>
      <c r="E1210" s="20">
        <v>1427.2750000000001</v>
      </c>
      <c r="F1210" s="20">
        <v>649.99852354022107</v>
      </c>
      <c r="H1210" s="20">
        <v>188.38296885673418</v>
      </c>
      <c r="J1210" s="20">
        <v>110.04468420111527</v>
      </c>
      <c r="N1210" s="20">
        <v>351.57087048237162</v>
      </c>
      <c r="AC1210" s="20">
        <v>4.7795165479101689</v>
      </c>
      <c r="AE1210" s="20">
        <v>2.5607459522564411</v>
      </c>
      <c r="AF1210" s="20">
        <v>6.2573426573426572</v>
      </c>
      <c r="AI1210" s="29">
        <f t="shared" si="48"/>
        <v>1.0428755953369675</v>
      </c>
      <c r="AS1210" s="66"/>
      <c r="AT1210" s="66"/>
      <c r="AU1210" s="66"/>
      <c r="AV1210" s="66"/>
      <c r="AW1210" s="66"/>
      <c r="AX1210" s="66"/>
      <c r="BA1210" s="19" t="s">
        <v>118</v>
      </c>
    </row>
    <row r="1211" spans="1:81" s="20" customFormat="1">
      <c r="A1211" s="3" t="s">
        <v>72</v>
      </c>
      <c r="B1211" s="5">
        <v>32887.726600000002</v>
      </c>
      <c r="C1211" s="20">
        <v>7.0000854227687865</v>
      </c>
      <c r="D1211" s="3">
        <v>77.072927072927072</v>
      </c>
      <c r="E1211" s="20">
        <v>1427.2750000000001</v>
      </c>
      <c r="F1211" s="20">
        <v>1160.1845792901352</v>
      </c>
      <c r="H1211" s="20">
        <v>230.50094107556532</v>
      </c>
      <c r="J1211" s="20">
        <v>187.2461096158942</v>
      </c>
      <c r="N1211" s="20">
        <v>742.4375285986755</v>
      </c>
      <c r="AC1211" s="20">
        <v>6.3192298187461668</v>
      </c>
      <c r="AE1211" s="20">
        <v>4.4763790654386408</v>
      </c>
      <c r="AI1211" s="29" t="str">
        <f t="shared" si="48"/>
        <v/>
      </c>
      <c r="AS1211" s="66"/>
      <c r="AT1211" s="66"/>
      <c r="AU1211" s="66"/>
      <c r="AV1211" s="66"/>
      <c r="AW1211" s="66"/>
      <c r="AX1211" s="66"/>
      <c r="BA1211" s="19" t="s">
        <v>118</v>
      </c>
    </row>
    <row r="1212" spans="1:81" s="20" customFormat="1">
      <c r="A1212" s="3" t="s">
        <v>72</v>
      </c>
      <c r="B1212" s="5">
        <v>33618.211000000003</v>
      </c>
      <c r="C1212" s="20">
        <v>9.0000854227687892</v>
      </c>
      <c r="D1212" s="3">
        <v>75.68415624915626</v>
      </c>
      <c r="E1212" s="20">
        <v>1401.5570475</v>
      </c>
      <c r="F1212" s="20">
        <v>2197.7501378951115</v>
      </c>
      <c r="H1212" s="20">
        <v>279.1833681513869</v>
      </c>
      <c r="J1212" s="20">
        <v>320.35647596778114</v>
      </c>
      <c r="N1212" s="20">
        <v>1598.2102937759432</v>
      </c>
      <c r="AC1212" s="20">
        <v>8.4723749081914619</v>
      </c>
      <c r="AE1212" s="20">
        <v>7.9015448061830256</v>
      </c>
      <c r="AF1212" s="20">
        <v>27.827972027972027</v>
      </c>
      <c r="AI1212" s="29">
        <f t="shared" si="48"/>
        <v>3.0919675448381492</v>
      </c>
      <c r="AS1212" s="66"/>
      <c r="AT1212" s="66"/>
      <c r="AU1212" s="66"/>
      <c r="AV1212" s="66"/>
      <c r="AW1212" s="66"/>
      <c r="AX1212" s="66"/>
      <c r="BA1212" s="19" t="s">
        <v>118</v>
      </c>
    </row>
    <row r="1213" spans="1:81" s="20" customFormat="1">
      <c r="A1213" s="3" t="s">
        <v>72</v>
      </c>
      <c r="B1213" s="5">
        <v>33983.453200000004</v>
      </c>
      <c r="C1213" s="20">
        <v>10.000085422768791</v>
      </c>
      <c r="D1213" s="3">
        <v>75.68415624915626</v>
      </c>
      <c r="E1213" s="20">
        <v>1401.5570475</v>
      </c>
      <c r="F1213" s="20">
        <v>2938.5136903232574</v>
      </c>
      <c r="H1213" s="20">
        <v>309.90422222129575</v>
      </c>
      <c r="J1213" s="20">
        <v>408.40130995582092</v>
      </c>
      <c r="N1213" s="20">
        <v>2220.2081581461407</v>
      </c>
      <c r="AC1213" s="20">
        <v>9.5793649569387682</v>
      </c>
      <c r="AE1213" s="20">
        <v>10.101249896264184</v>
      </c>
      <c r="AF1213" s="20">
        <v>38.250349650349648</v>
      </c>
      <c r="AI1213" s="29">
        <f t="shared" si="48"/>
        <v>3.8250022908063337</v>
      </c>
      <c r="AS1213" s="66"/>
      <c r="AT1213" s="66"/>
      <c r="AU1213" s="66"/>
      <c r="AV1213" s="66"/>
      <c r="AW1213" s="66"/>
      <c r="AX1213" s="66"/>
      <c r="BA1213" s="19" t="s">
        <v>118</v>
      </c>
    </row>
    <row r="1214" spans="1:81" s="20" customFormat="1">
      <c r="A1214" s="3" t="s">
        <v>72</v>
      </c>
      <c r="B1214" s="5">
        <v>34348.695400000004</v>
      </c>
      <c r="C1214" s="20">
        <v>11.000085422768793</v>
      </c>
      <c r="D1214" s="3">
        <v>77.072927072927072</v>
      </c>
      <c r="E1214" s="20">
        <v>1427.2750000000001</v>
      </c>
      <c r="F1214" s="20">
        <v>3501.616391440275</v>
      </c>
      <c r="H1214" s="20">
        <v>329.16414044503546</v>
      </c>
      <c r="J1214" s="20">
        <v>469.87754205106637</v>
      </c>
      <c r="N1214" s="20">
        <v>2702.5747089441729</v>
      </c>
      <c r="AC1214" s="20">
        <v>10.239624135402295</v>
      </c>
      <c r="AE1214" s="20">
        <v>11.753483078789225</v>
      </c>
      <c r="AF1214" s="20">
        <v>46.579020979020981</v>
      </c>
      <c r="AI1214" s="29">
        <f t="shared" si="48"/>
        <v>4.2344235693486771</v>
      </c>
      <c r="AS1214" s="66"/>
      <c r="AT1214" s="66"/>
      <c r="AU1214" s="66"/>
      <c r="AV1214" s="66"/>
      <c r="AW1214" s="66"/>
      <c r="AX1214" s="66"/>
      <c r="BA1214" s="19" t="s">
        <v>118</v>
      </c>
    </row>
    <row r="1215" spans="1:81" s="20" customFormat="1">
      <c r="A1215" s="3" t="s">
        <v>72</v>
      </c>
      <c r="B1215" s="5">
        <v>35079.179800000005</v>
      </c>
      <c r="C1215" s="20">
        <v>13.000085422768796</v>
      </c>
      <c r="D1215" s="3">
        <v>74.989874989874991</v>
      </c>
      <c r="E1215" s="20">
        <v>1388.7</v>
      </c>
      <c r="F1215" s="20">
        <v>4787.160905592199</v>
      </c>
      <c r="H1215" s="20">
        <v>360.21668014865361</v>
      </c>
      <c r="J1215" s="20">
        <v>601.92554301178814</v>
      </c>
      <c r="N1215" s="20">
        <v>3825.018682431757</v>
      </c>
      <c r="AC1215" s="20">
        <v>11.77837360251894</v>
      </c>
      <c r="AE1215" s="20">
        <v>15.13108196787932</v>
      </c>
      <c r="AF1215" s="20">
        <v>65.127272727272725</v>
      </c>
      <c r="AI1215" s="29">
        <f t="shared" si="48"/>
        <v>5.0097572907641501</v>
      </c>
      <c r="AS1215" s="66"/>
      <c r="AT1215" s="66"/>
      <c r="AU1215" s="66"/>
      <c r="AV1215" s="66"/>
      <c r="AW1215" s="66"/>
      <c r="AX1215" s="66"/>
      <c r="BA1215" s="19" t="s">
        <v>118</v>
      </c>
    </row>
    <row r="1216" spans="1:81" s="20" customFormat="1">
      <c r="A1216" s="3" t="s">
        <v>72</v>
      </c>
      <c r="B1216" s="5">
        <v>35444.422000000006</v>
      </c>
      <c r="C1216" s="20">
        <v>14.000085422768798</v>
      </c>
      <c r="D1216" s="3">
        <v>74.295593730593737</v>
      </c>
      <c r="E1216" s="20">
        <v>1375.8429524999999</v>
      </c>
      <c r="F1216" s="20">
        <v>5236.0663049317527</v>
      </c>
      <c r="H1216" s="20">
        <v>365.87887009067668</v>
      </c>
      <c r="J1216" s="20">
        <v>642.16340264832706</v>
      </c>
      <c r="N1216" s="20">
        <v>4228.0240321927486</v>
      </c>
      <c r="AC1216" s="20">
        <v>12.270051836260292</v>
      </c>
      <c r="AE1216" s="20">
        <v>16.268688939312305</v>
      </c>
      <c r="AF1216" s="20">
        <v>70.700699300699299</v>
      </c>
      <c r="AI1216" s="29">
        <f t="shared" si="48"/>
        <v>5.0500191367201541</v>
      </c>
      <c r="AS1216" s="66"/>
      <c r="AT1216" s="66"/>
      <c r="AU1216" s="66"/>
      <c r="AV1216" s="66"/>
      <c r="AW1216" s="66"/>
      <c r="AX1216" s="66"/>
      <c r="BA1216" s="19" t="s">
        <v>118</v>
      </c>
    </row>
    <row r="1217" spans="1:53" s="20" customFormat="1">
      <c r="A1217" s="3" t="s">
        <v>72</v>
      </c>
      <c r="B1217" s="5">
        <v>35809.664200000007</v>
      </c>
      <c r="C1217" s="20">
        <v>15.000085422768798</v>
      </c>
      <c r="D1217" s="3">
        <v>75.68415624915626</v>
      </c>
      <c r="E1217" s="20">
        <v>1401.5570475</v>
      </c>
      <c r="F1217" s="20">
        <v>5667.4184159496835</v>
      </c>
      <c r="H1217" s="20">
        <v>374.56375918261449</v>
      </c>
      <c r="J1217" s="20">
        <v>680.37325821797299</v>
      </c>
      <c r="N1217" s="20">
        <v>4612.4813985490964</v>
      </c>
      <c r="AC1217" s="20">
        <v>12.588159457717961</v>
      </c>
      <c r="AE1217" s="20">
        <v>17.443199490616795</v>
      </c>
      <c r="AF1217" s="20">
        <v>75.386713286713288</v>
      </c>
      <c r="AI1217" s="29">
        <f t="shared" si="48"/>
        <v>5.0257522648693023</v>
      </c>
      <c r="AS1217" s="66"/>
      <c r="AT1217" s="66"/>
      <c r="AU1217" s="66"/>
      <c r="AV1217" s="66"/>
      <c r="AW1217" s="66"/>
      <c r="AX1217" s="66"/>
      <c r="BA1217" s="19" t="s">
        <v>118</v>
      </c>
    </row>
    <row r="1218" spans="1:53" s="20" customFormat="1">
      <c r="A1218" s="3" t="s">
        <v>72</v>
      </c>
      <c r="B1218" s="5">
        <v>36174.906400000007</v>
      </c>
      <c r="C1218" s="20">
        <v>16.000085422768802</v>
      </c>
      <c r="D1218" s="3">
        <v>74.295593730593737</v>
      </c>
      <c r="E1218" s="20">
        <v>1375.8429524999999</v>
      </c>
      <c r="F1218" s="20">
        <v>6274.7866034708122</v>
      </c>
      <c r="H1218" s="20">
        <v>384.47597132831481</v>
      </c>
      <c r="J1218" s="20">
        <v>736.25173056374649</v>
      </c>
      <c r="N1218" s="20">
        <v>5154.0589015787509</v>
      </c>
      <c r="AC1218" s="20">
        <v>13.212297623709555</v>
      </c>
      <c r="AE1218" s="20">
        <v>18.863247230234098</v>
      </c>
      <c r="AF1218" s="20">
        <v>84.896503496503485</v>
      </c>
      <c r="AI1218" s="29">
        <f t="shared" si="48"/>
        <v>5.3060031401889987</v>
      </c>
      <c r="AS1218" s="66"/>
      <c r="AT1218" s="66"/>
      <c r="AU1218" s="66"/>
      <c r="AV1218" s="66"/>
      <c r="AW1218" s="66"/>
      <c r="AX1218" s="66"/>
      <c r="BA1218" s="19" t="s">
        <v>118</v>
      </c>
    </row>
    <row r="1219" spans="1:53" s="20" customFormat="1">
      <c r="A1219" s="3" t="s">
        <v>72</v>
      </c>
      <c r="B1219" s="5">
        <v>36905.390800000008</v>
      </c>
      <c r="C1219" s="20">
        <v>18.000085422768805</v>
      </c>
      <c r="D1219" s="3">
        <v>74.295593730593737</v>
      </c>
      <c r="E1219" s="20">
        <v>1375.8429524999999</v>
      </c>
      <c r="F1219" s="20">
        <v>6917.0272944791586</v>
      </c>
      <c r="H1219" s="20">
        <v>387.23751710654648</v>
      </c>
      <c r="J1219" s="20">
        <v>783.1964514902362</v>
      </c>
      <c r="N1219" s="20">
        <v>5746.5933258823752</v>
      </c>
      <c r="AC1219" s="20">
        <v>13.760491066677757</v>
      </c>
      <c r="AE1219" s="20">
        <v>20.461036304610374</v>
      </c>
      <c r="AF1219" s="20">
        <v>101.10069930069929</v>
      </c>
      <c r="AI1219" s="29">
        <f t="shared" si="48"/>
        <v>5.6166788615799694</v>
      </c>
      <c r="AS1219" s="66"/>
      <c r="AT1219" s="66"/>
      <c r="AU1219" s="66"/>
      <c r="AV1219" s="66"/>
      <c r="AW1219" s="66"/>
      <c r="AX1219" s="66"/>
      <c r="BA1219" s="19" t="s">
        <v>118</v>
      </c>
    </row>
    <row r="1220" spans="1:53" s="20" customFormat="1">
      <c r="A1220" s="3" t="s">
        <v>72</v>
      </c>
      <c r="B1220" s="5">
        <v>38366.359600000011</v>
      </c>
      <c r="C1220" s="20">
        <v>22.000085422768809</v>
      </c>
      <c r="D1220" s="3">
        <v>72.90682290682291</v>
      </c>
      <c r="E1220" s="20">
        <v>1350.125</v>
      </c>
      <c r="F1220" s="20">
        <v>8961.0609147280957</v>
      </c>
      <c r="H1220" s="20">
        <v>416.05487400684569</v>
      </c>
      <c r="J1220" s="20">
        <v>953.25288120738969</v>
      </c>
      <c r="N1220" s="20">
        <v>7591.7531595138598</v>
      </c>
      <c r="AC1220" s="20">
        <v>15.377028897193838</v>
      </c>
      <c r="AE1220" s="20">
        <v>25.073198391759014</v>
      </c>
      <c r="AF1220" s="20">
        <v>143.07972027972028</v>
      </c>
      <c r="AI1220" s="29">
        <f t="shared" si="48"/>
        <v>6.5035983965608191</v>
      </c>
      <c r="AS1220" s="66"/>
      <c r="AT1220" s="66"/>
      <c r="AU1220" s="66"/>
      <c r="AV1220" s="66"/>
      <c r="AW1220" s="66"/>
      <c r="AX1220" s="66"/>
      <c r="BA1220" s="19" t="s">
        <v>118</v>
      </c>
    </row>
    <row r="1221" spans="1:53" s="20" customFormat="1">
      <c r="A1221" s="3" t="s">
        <v>72</v>
      </c>
      <c r="B1221" s="5">
        <v>39462.086200000012</v>
      </c>
      <c r="C1221" s="20">
        <v>25.000085422768816</v>
      </c>
      <c r="D1221" s="3">
        <v>70.823770823770829</v>
      </c>
      <c r="E1221" s="20">
        <v>1311.55</v>
      </c>
      <c r="F1221" s="20">
        <v>9523.9973945820893</v>
      </c>
      <c r="H1221" s="20">
        <v>405.1815451926239</v>
      </c>
      <c r="J1221" s="20">
        <v>976.75664654677223</v>
      </c>
      <c r="N1221" s="20">
        <v>8142.0592028426936</v>
      </c>
      <c r="AC1221" s="20">
        <v>15.956189784087831</v>
      </c>
      <c r="AE1221" s="20">
        <v>26.22612549999117</v>
      </c>
      <c r="AF1221" s="20">
        <v>179.52797202797203</v>
      </c>
      <c r="AI1221" s="29">
        <f t="shared" si="48"/>
        <v>7.1810943439604014</v>
      </c>
      <c r="AS1221" s="66"/>
      <c r="AT1221" s="66"/>
      <c r="AU1221" s="66"/>
      <c r="AV1221" s="66"/>
      <c r="AW1221" s="66"/>
      <c r="AX1221" s="66"/>
      <c r="BA1221" s="19" t="s">
        <v>118</v>
      </c>
    </row>
    <row r="1222" spans="1:53" s="20" customFormat="1">
      <c r="A1222" s="3" t="s">
        <v>73</v>
      </c>
      <c r="B1222" s="5">
        <v>30331</v>
      </c>
      <c r="C1222" s="20">
        <v>0</v>
      </c>
      <c r="D1222" s="3">
        <v>100</v>
      </c>
      <c r="E1222" s="20">
        <v>1851.85</v>
      </c>
      <c r="AI1222" s="29" t="str">
        <f t="shared" si="48"/>
        <v/>
      </c>
      <c r="AS1222" s="66"/>
      <c r="AT1222" s="66"/>
      <c r="AU1222" s="66"/>
      <c r="AV1222" s="66"/>
      <c r="AW1222" s="66"/>
      <c r="AX1222" s="66"/>
      <c r="BA1222" s="19" t="s">
        <v>118</v>
      </c>
    </row>
    <row r="1223" spans="1:53" s="20" customFormat="1">
      <c r="A1223" s="3" t="s">
        <v>73</v>
      </c>
      <c r="B1223" s="5">
        <v>31792</v>
      </c>
      <c r="C1223" s="20">
        <v>4.0000854227687812</v>
      </c>
      <c r="D1223" s="3">
        <v>77.767208332208341</v>
      </c>
      <c r="E1223" s="20">
        <v>1440.1320475</v>
      </c>
      <c r="F1223" s="20">
        <v>1556.5697001784056</v>
      </c>
      <c r="H1223" s="20">
        <v>339.40125348412369</v>
      </c>
      <c r="J1223" s="20">
        <v>273.94707109716461</v>
      </c>
      <c r="N1223" s="20">
        <v>943.22137559711734</v>
      </c>
      <c r="AC1223" s="20">
        <v>6.8872169742077656</v>
      </c>
      <c r="AE1223" s="20">
        <v>5.365136085181538</v>
      </c>
      <c r="AF1223" s="20">
        <v>13.033146853146851</v>
      </c>
      <c r="AI1223" s="29">
        <f t="shared" si="48"/>
        <v>3.2582171318045408</v>
      </c>
      <c r="AS1223" s="66"/>
      <c r="AT1223" s="66"/>
      <c r="AU1223" s="66"/>
      <c r="AV1223" s="66"/>
      <c r="AW1223" s="66"/>
      <c r="AX1223" s="66"/>
      <c r="BA1223" s="19" t="s">
        <v>118</v>
      </c>
    </row>
    <row r="1224" spans="1:53" s="20" customFormat="1">
      <c r="A1224" s="3" t="s">
        <v>73</v>
      </c>
      <c r="B1224" s="5">
        <v>32157.242200000001</v>
      </c>
      <c r="C1224" s="20">
        <v>5.000085422768783</v>
      </c>
      <c r="D1224" s="3">
        <v>77.767208332208341</v>
      </c>
      <c r="E1224" s="20">
        <v>1440.1320475</v>
      </c>
      <c r="F1224" s="20">
        <v>2776.0965589066714</v>
      </c>
      <c r="H1224" s="20">
        <v>414.8270132811611</v>
      </c>
      <c r="J1224" s="20">
        <v>454.28783810333255</v>
      </c>
      <c r="N1224" s="20">
        <v>1906.9817075221777</v>
      </c>
      <c r="AC1224" s="20">
        <v>8.9589700862819797</v>
      </c>
      <c r="AE1224" s="20">
        <v>9.0784014786635172</v>
      </c>
      <c r="AI1224" s="29" t="str">
        <f t="shared" si="48"/>
        <v/>
      </c>
      <c r="AS1224" s="66"/>
      <c r="AT1224" s="66"/>
      <c r="AU1224" s="66"/>
      <c r="AV1224" s="66"/>
      <c r="AW1224" s="66"/>
      <c r="AX1224" s="66"/>
      <c r="BA1224" s="19" t="s">
        <v>118</v>
      </c>
    </row>
    <row r="1225" spans="1:53" s="20" customFormat="1">
      <c r="A1225" s="3" t="s">
        <v>73</v>
      </c>
      <c r="B1225" s="5">
        <v>32522.484400000001</v>
      </c>
      <c r="C1225" s="20">
        <v>6.0000854227687848</v>
      </c>
      <c r="D1225" s="3">
        <v>77.072927072927072</v>
      </c>
      <c r="E1225" s="20">
        <v>1427.2750000000001</v>
      </c>
      <c r="F1225" s="20">
        <v>4046.0499494508817</v>
      </c>
      <c r="H1225" s="20">
        <v>469.14274411571159</v>
      </c>
      <c r="J1225" s="20">
        <v>622.03439245998231</v>
      </c>
      <c r="N1225" s="20">
        <v>2954.8728128751877</v>
      </c>
      <c r="AC1225" s="20">
        <v>10.586787770834141</v>
      </c>
      <c r="AE1225" s="20">
        <v>12.563972287797831</v>
      </c>
      <c r="AF1225" s="20">
        <v>43.774125874125872</v>
      </c>
      <c r="AI1225" s="29">
        <f t="shared" si="48"/>
        <v>7.2955837775266161</v>
      </c>
      <c r="AS1225" s="66"/>
      <c r="AT1225" s="66"/>
      <c r="AU1225" s="66"/>
      <c r="AV1225" s="66"/>
      <c r="AW1225" s="66"/>
      <c r="AX1225" s="66"/>
      <c r="BA1225" s="19" t="s">
        <v>118</v>
      </c>
    </row>
    <row r="1226" spans="1:53" s="20" customFormat="1">
      <c r="A1226" s="3" t="s">
        <v>73</v>
      </c>
      <c r="B1226" s="5">
        <v>32887.726600000002</v>
      </c>
      <c r="C1226" s="20">
        <v>7.0000854227687865</v>
      </c>
      <c r="D1226" s="3">
        <v>77.072927072927072</v>
      </c>
      <c r="E1226" s="20">
        <v>1427.2750000000001</v>
      </c>
      <c r="F1226" s="20">
        <v>5345.1703045793111</v>
      </c>
      <c r="H1226" s="20">
        <v>515.42400161734145</v>
      </c>
      <c r="J1226" s="20">
        <v>781.28548495190546</v>
      </c>
      <c r="N1226" s="20">
        <v>4048.4608180100645</v>
      </c>
      <c r="AC1226" s="20">
        <v>11.908336190958067</v>
      </c>
      <c r="AE1226" s="20">
        <v>15.89647127668481</v>
      </c>
      <c r="AI1226" s="29" t="str">
        <f t="shared" si="48"/>
        <v/>
      </c>
      <c r="AS1226" s="66"/>
      <c r="AT1226" s="66"/>
      <c r="AU1226" s="66"/>
      <c r="AV1226" s="66"/>
      <c r="AW1226" s="66"/>
      <c r="AX1226" s="66"/>
      <c r="BA1226" s="19" t="s">
        <v>118</v>
      </c>
    </row>
    <row r="1227" spans="1:53" s="20" customFormat="1">
      <c r="A1227" s="3" t="s">
        <v>73</v>
      </c>
      <c r="B1227" s="5">
        <v>33618.211000000003</v>
      </c>
      <c r="C1227" s="20">
        <v>9.0000854227687892</v>
      </c>
      <c r="D1227" s="3">
        <v>77.072927072927072</v>
      </c>
      <c r="E1227" s="20">
        <v>1427.2750000000001</v>
      </c>
      <c r="F1227" s="20">
        <v>7825.0368606041884</v>
      </c>
      <c r="H1227" s="20">
        <v>584.23055983500535</v>
      </c>
      <c r="J1227" s="20">
        <v>1059.7248314103413</v>
      </c>
      <c r="N1227" s="20">
        <v>6181.0814693588418</v>
      </c>
      <c r="AC1227" s="20">
        <v>13.947769117732118</v>
      </c>
      <c r="AE1227" s="20">
        <v>21.807609167741369</v>
      </c>
      <c r="AF1227" s="20">
        <v>101.14545454545454</v>
      </c>
      <c r="AI1227" s="29">
        <f t="shared" si="48"/>
        <v>11.238277171189129</v>
      </c>
      <c r="AS1227" s="66"/>
      <c r="AT1227" s="66"/>
      <c r="AU1227" s="66"/>
      <c r="AV1227" s="66"/>
      <c r="AW1227" s="66"/>
      <c r="AX1227" s="66"/>
      <c r="BA1227" s="19" t="s">
        <v>118</v>
      </c>
    </row>
    <row r="1228" spans="1:53" s="20" customFormat="1">
      <c r="A1228" s="3" t="s">
        <v>73</v>
      </c>
      <c r="B1228" s="5">
        <v>33983.453200000004</v>
      </c>
      <c r="C1228" s="20">
        <v>10.000085422768791</v>
      </c>
      <c r="D1228" s="3">
        <v>77.072927072927072</v>
      </c>
      <c r="E1228" s="20">
        <v>1427.2750000000001</v>
      </c>
      <c r="F1228" s="20">
        <v>9399.480166154608</v>
      </c>
      <c r="H1228" s="20">
        <v>629.3249960382451</v>
      </c>
      <c r="J1228" s="20">
        <v>1234.5820228481323</v>
      </c>
      <c r="N1228" s="20">
        <v>7535.573147268231</v>
      </c>
      <c r="AC1228" s="20">
        <v>15.019366086012218</v>
      </c>
      <c r="AE1228" s="20">
        <v>25.287259293392896</v>
      </c>
      <c r="AF1228" s="20">
        <v>123.17132867132865</v>
      </c>
      <c r="AI1228" s="29">
        <f t="shared" si="48"/>
        <v>12.317027651672337</v>
      </c>
      <c r="AS1228" s="66"/>
      <c r="AT1228" s="66"/>
      <c r="AU1228" s="66"/>
      <c r="AV1228" s="66"/>
      <c r="AW1228" s="66"/>
      <c r="AX1228" s="66"/>
      <c r="BA1228" s="19" t="s">
        <v>118</v>
      </c>
    </row>
    <row r="1229" spans="1:53" s="20" customFormat="1">
      <c r="A1229" s="3" t="s">
        <v>73</v>
      </c>
      <c r="B1229" s="5">
        <v>34348.695400000004</v>
      </c>
      <c r="C1229" s="20">
        <v>11.000085422768793</v>
      </c>
      <c r="D1229" s="3">
        <v>77.072927072927072</v>
      </c>
      <c r="E1229" s="20">
        <v>1427.2750000000001</v>
      </c>
      <c r="F1229" s="20">
        <v>10527.27492188774</v>
      </c>
      <c r="H1229" s="20">
        <v>651.60258737072968</v>
      </c>
      <c r="J1229" s="20">
        <v>1347.5839281443991</v>
      </c>
      <c r="N1229" s="20">
        <v>8528.0884063726116</v>
      </c>
      <c r="AC1229" s="20">
        <v>15.729895374031754</v>
      </c>
      <c r="AE1229" s="20">
        <v>27.736408417350344</v>
      </c>
      <c r="AF1229" s="20">
        <v>139.41538461538462</v>
      </c>
      <c r="AI1229" s="29">
        <f t="shared" si="48"/>
        <v>12.674027451351634</v>
      </c>
      <c r="AS1229" s="66"/>
      <c r="AT1229" s="66"/>
      <c r="AU1229" s="66"/>
      <c r="AV1229" s="66"/>
      <c r="AW1229" s="66"/>
      <c r="AX1229" s="66"/>
      <c r="BA1229" s="19" t="s">
        <v>118</v>
      </c>
    </row>
    <row r="1230" spans="1:53" s="20" customFormat="1">
      <c r="A1230" s="3" t="s">
        <v>73</v>
      </c>
      <c r="B1230" s="5">
        <v>35079.179800000005</v>
      </c>
      <c r="C1230" s="20">
        <v>13.000085422768796</v>
      </c>
      <c r="D1230" s="3">
        <v>76.378645813645818</v>
      </c>
      <c r="E1230" s="20">
        <v>1414.4179525</v>
      </c>
      <c r="F1230" s="20">
        <v>12952.142434792931</v>
      </c>
      <c r="H1230" s="20">
        <v>698.84344755954521</v>
      </c>
      <c r="J1230" s="20">
        <v>1588.2865502737766</v>
      </c>
      <c r="N1230" s="20">
        <v>10665.012436959609</v>
      </c>
      <c r="AC1230" s="20">
        <v>17.158200693260646</v>
      </c>
      <c r="AE1230" s="20">
        <v>32.704848639995078</v>
      </c>
      <c r="AF1230" s="20">
        <v>174.11748251748253</v>
      </c>
      <c r="AI1230" s="29">
        <f t="shared" si="48"/>
        <v>13.393564492470732</v>
      </c>
      <c r="AS1230" s="66"/>
      <c r="AT1230" s="66"/>
      <c r="AU1230" s="66"/>
      <c r="AV1230" s="66"/>
      <c r="AW1230" s="66"/>
      <c r="AX1230" s="66"/>
      <c r="BA1230" s="19" t="s">
        <v>118</v>
      </c>
    </row>
    <row r="1231" spans="1:53" s="20" customFormat="1">
      <c r="A1231" s="3" t="s">
        <v>73</v>
      </c>
      <c r="B1231" s="5">
        <v>35444.422000000006</v>
      </c>
      <c r="C1231" s="20">
        <v>14.000085422768798</v>
      </c>
      <c r="D1231" s="3">
        <v>76.378645813645818</v>
      </c>
      <c r="E1231" s="20">
        <v>1414.4179525</v>
      </c>
      <c r="F1231" s="20">
        <v>13502.875258027239</v>
      </c>
      <c r="H1231" s="20">
        <v>696.70836675960936</v>
      </c>
      <c r="J1231" s="20">
        <v>1624.6005126230486</v>
      </c>
      <c r="N1231" s="20">
        <v>11181.566378644582</v>
      </c>
      <c r="AC1231" s="20">
        <v>17.464069960694079</v>
      </c>
      <c r="AE1231" s="20">
        <v>33.88126226813332</v>
      </c>
      <c r="AF1231" s="20">
        <v>195.93706293706293</v>
      </c>
      <c r="AI1231" s="29">
        <f t="shared" si="48"/>
        <v>13.995419100686632</v>
      </c>
      <c r="AS1231" s="66"/>
      <c r="AT1231" s="66"/>
      <c r="AU1231" s="66"/>
      <c r="AV1231" s="66"/>
      <c r="AW1231" s="66"/>
      <c r="AX1231" s="66"/>
      <c r="BA1231" s="19" t="s">
        <v>118</v>
      </c>
    </row>
    <row r="1232" spans="1:53" s="20" customFormat="1">
      <c r="A1232" s="3" t="s">
        <v>73</v>
      </c>
      <c r="B1232" s="5">
        <v>35809.664200000007</v>
      </c>
      <c r="C1232" s="20">
        <v>15.000085422768798</v>
      </c>
      <c r="D1232" s="3">
        <v>75.68415624915626</v>
      </c>
      <c r="E1232" s="20">
        <v>1401.5570475</v>
      </c>
      <c r="F1232" s="20">
        <v>14035.566722551504</v>
      </c>
      <c r="H1232" s="20">
        <v>693.29262645195547</v>
      </c>
      <c r="J1232" s="20">
        <v>1659.4273005368759</v>
      </c>
      <c r="N1232" s="20">
        <v>11682.846795562673</v>
      </c>
      <c r="AC1232" s="20">
        <v>17.813225329003668</v>
      </c>
      <c r="AE1232" s="20">
        <v>34.92905206836474</v>
      </c>
      <c r="AF1232" s="20">
        <v>194.05734265734264</v>
      </c>
      <c r="AI1232" s="29">
        <f t="shared" si="48"/>
        <v>12.937082502395675</v>
      </c>
      <c r="AS1232" s="66"/>
      <c r="AT1232" s="66"/>
      <c r="AU1232" s="66"/>
      <c r="AV1232" s="66"/>
      <c r="AW1232" s="66"/>
      <c r="AX1232" s="66"/>
      <c r="BA1232" s="19" t="s">
        <v>118</v>
      </c>
    </row>
    <row r="1233" spans="1:53" s="20" customFormat="1">
      <c r="A1233" s="3" t="s">
        <v>73</v>
      </c>
      <c r="B1233" s="5">
        <v>36174.906400000007</v>
      </c>
      <c r="C1233" s="20">
        <v>16.000085422768802</v>
      </c>
      <c r="D1233" s="3">
        <v>75.68415624915626</v>
      </c>
      <c r="E1233" s="20">
        <v>1401.5570475</v>
      </c>
      <c r="F1233" s="20">
        <v>14961.288582595032</v>
      </c>
      <c r="H1233" s="20">
        <v>706.55032231530993</v>
      </c>
      <c r="J1233" s="20">
        <v>1741.3259744680661</v>
      </c>
      <c r="N1233" s="20">
        <v>12513.412285811657</v>
      </c>
      <c r="AC1233" s="20">
        <v>18.276171521790044</v>
      </c>
      <c r="AE1233" s="20">
        <v>36.768179478992067</v>
      </c>
      <c r="AF1233" s="20">
        <v>218.51538461538459</v>
      </c>
      <c r="AI1233" s="29">
        <f t="shared" si="48"/>
        <v>13.657138624049338</v>
      </c>
      <c r="AS1233" s="66"/>
      <c r="AT1233" s="66"/>
      <c r="AU1233" s="66"/>
      <c r="AV1233" s="66"/>
      <c r="AW1233" s="66"/>
      <c r="AX1233" s="66"/>
      <c r="BA1233" s="19" t="s">
        <v>118</v>
      </c>
    </row>
    <row r="1234" spans="1:53" s="20" customFormat="1">
      <c r="A1234" s="3" t="s">
        <v>73</v>
      </c>
      <c r="B1234" s="5">
        <v>36905.390800000008</v>
      </c>
      <c r="C1234" s="20">
        <v>18.000085422768805</v>
      </c>
      <c r="D1234" s="3">
        <v>73.601104166104179</v>
      </c>
      <c r="E1234" s="20">
        <v>1362.9820475000001</v>
      </c>
      <c r="F1234" s="20">
        <v>15255.322894389094</v>
      </c>
      <c r="H1234" s="20">
        <v>675.08983338659993</v>
      </c>
      <c r="J1234" s="20">
        <v>1722.3915604987506</v>
      </c>
      <c r="N1234" s="20">
        <v>12857.841500503742</v>
      </c>
      <c r="AC1234" s="20">
        <v>18.655999471369</v>
      </c>
      <c r="AE1234" s="20">
        <v>37.257874376642953</v>
      </c>
      <c r="AF1234" s="20">
        <v>235.18041958041957</v>
      </c>
      <c r="AI1234" s="29">
        <f t="shared" si="48"/>
        <v>13.065516860432972</v>
      </c>
      <c r="AS1234" s="66"/>
      <c r="AT1234" s="66"/>
      <c r="AU1234" s="66"/>
      <c r="AV1234" s="66"/>
      <c r="AW1234" s="66"/>
      <c r="AX1234" s="66"/>
      <c r="BA1234" s="19" t="s">
        <v>118</v>
      </c>
    </row>
    <row r="1235" spans="1:53" s="20" customFormat="1">
      <c r="A1235" s="3" t="s">
        <v>73</v>
      </c>
      <c r="B1235" s="5">
        <v>38366.359600000011</v>
      </c>
      <c r="C1235" s="20">
        <v>22.000085422768809</v>
      </c>
      <c r="D1235" s="3">
        <v>66.657666657666667</v>
      </c>
      <c r="E1235" s="20">
        <v>1234.4000000000001</v>
      </c>
      <c r="F1235" s="20">
        <v>16297.177814212386</v>
      </c>
      <c r="H1235" s="20">
        <v>635.3909718323514</v>
      </c>
      <c r="J1235" s="20">
        <v>1754.229338094809</v>
      </c>
      <c r="N1235" s="20">
        <v>13907.557504285225</v>
      </c>
      <c r="AC1235" s="20">
        <v>19.935519179371862</v>
      </c>
      <c r="AE1235" s="20">
        <v>38.530257450826291</v>
      </c>
      <c r="AF1235" s="20">
        <v>256.84895104895105</v>
      </c>
      <c r="AI1235" s="29">
        <f t="shared" si="48"/>
        <v>11.674906988457751</v>
      </c>
      <c r="AS1235" s="66"/>
      <c r="AT1235" s="66"/>
      <c r="AU1235" s="66"/>
      <c r="AV1235" s="66"/>
      <c r="AW1235" s="66"/>
      <c r="AX1235" s="66"/>
      <c r="BA1235" s="19" t="s">
        <v>118</v>
      </c>
    </row>
    <row r="1236" spans="1:53" s="20" customFormat="1">
      <c r="A1236" s="3" t="s">
        <v>73</v>
      </c>
      <c r="B1236" s="5">
        <v>39462.086200000012</v>
      </c>
      <c r="C1236" s="20">
        <v>25.000085422768816</v>
      </c>
      <c r="D1236" s="3">
        <v>60.408510408510409</v>
      </c>
      <c r="E1236" s="20">
        <v>1118.675</v>
      </c>
      <c r="F1236" s="20">
        <v>15455.584652728659</v>
      </c>
      <c r="H1236" s="20">
        <v>563.23579983876857</v>
      </c>
      <c r="J1236" s="20">
        <v>1609.9064860878987</v>
      </c>
      <c r="N1236" s="20">
        <v>13282.442366801992</v>
      </c>
      <c r="AC1236" s="20">
        <v>20.329993884919617</v>
      </c>
      <c r="AE1236" s="20">
        <v>36.313601683770372</v>
      </c>
      <c r="AF1236" s="20">
        <v>278.52377622377622</v>
      </c>
      <c r="AI1236" s="29">
        <f t="shared" si="48"/>
        <v>11.140912981445689</v>
      </c>
      <c r="AS1236" s="66"/>
      <c r="AT1236" s="66"/>
      <c r="AU1236" s="66"/>
      <c r="AV1236" s="66"/>
      <c r="AW1236" s="66"/>
      <c r="AX1236" s="66"/>
      <c r="BA1236" s="19" t="s">
        <v>118</v>
      </c>
    </row>
    <row r="1237" spans="1:53" s="20" customFormat="1">
      <c r="A1237" s="3" t="s">
        <v>74</v>
      </c>
      <c r="B1237" s="5">
        <v>30331</v>
      </c>
      <c r="C1237" s="20">
        <v>0</v>
      </c>
      <c r="D1237" s="3">
        <v>100</v>
      </c>
      <c r="E1237" s="20">
        <v>1851.85</v>
      </c>
      <c r="AI1237" s="29" t="str">
        <f t="shared" si="48"/>
        <v/>
      </c>
      <c r="AS1237" s="66"/>
      <c r="AT1237" s="66"/>
      <c r="AU1237" s="66"/>
      <c r="AV1237" s="66"/>
      <c r="AW1237" s="66"/>
      <c r="AX1237" s="66"/>
      <c r="BA1237" s="19" t="s">
        <v>118</v>
      </c>
    </row>
    <row r="1238" spans="1:53" s="20" customFormat="1">
      <c r="A1238" s="3" t="s">
        <v>74</v>
      </c>
      <c r="B1238" s="5">
        <v>31792</v>
      </c>
      <c r="C1238" s="20">
        <v>4.0000854227687812</v>
      </c>
      <c r="D1238" s="3">
        <v>79.155979155979153</v>
      </c>
      <c r="E1238" s="20">
        <v>1465.85</v>
      </c>
      <c r="F1238" s="20">
        <v>1593.4691991160598</v>
      </c>
      <c r="H1238" s="20">
        <v>346.44601533582977</v>
      </c>
      <c r="J1238" s="20">
        <v>280.37840690417681</v>
      </c>
      <c r="N1238" s="20">
        <v>966.64477687605324</v>
      </c>
      <c r="AC1238" s="20">
        <v>6.9048112589042265</v>
      </c>
      <c r="AE1238" s="20">
        <v>5.4888839891211028</v>
      </c>
      <c r="AF1238" s="20">
        <v>13.274615384615384</v>
      </c>
      <c r="AI1238" s="29">
        <f t="shared" si="48"/>
        <v>3.3185829755172964</v>
      </c>
      <c r="AS1238" s="66"/>
      <c r="AT1238" s="66"/>
      <c r="AU1238" s="66"/>
      <c r="AV1238" s="66"/>
      <c r="AW1238" s="66"/>
      <c r="AX1238" s="66"/>
      <c r="BA1238" s="19" t="s">
        <v>118</v>
      </c>
    </row>
    <row r="1239" spans="1:53" s="20" customFormat="1">
      <c r="A1239" s="3" t="s">
        <v>74</v>
      </c>
      <c r="B1239" s="5">
        <v>32157.242200000001</v>
      </c>
      <c r="C1239" s="20">
        <v>5.000085422768783</v>
      </c>
      <c r="D1239" s="3">
        <v>77.767208332208341</v>
      </c>
      <c r="E1239" s="20">
        <v>1440.1320475</v>
      </c>
      <c r="F1239" s="20">
        <v>2703.7303781388568</v>
      </c>
      <c r="H1239" s="20">
        <v>409.03186110858917</v>
      </c>
      <c r="J1239" s="20">
        <v>443.12364581769651</v>
      </c>
      <c r="N1239" s="20">
        <v>1851.5748712125715</v>
      </c>
      <c r="AC1239" s="20">
        <v>8.8608290736543633</v>
      </c>
      <c r="AE1239" s="20">
        <v>8.8805922490385303</v>
      </c>
      <c r="AI1239" s="29" t="str">
        <f t="shared" si="48"/>
        <v/>
      </c>
      <c r="AS1239" s="66"/>
      <c r="AT1239" s="66"/>
      <c r="AU1239" s="66"/>
      <c r="AV1239" s="66"/>
      <c r="AW1239" s="66"/>
      <c r="AX1239" s="66"/>
      <c r="BA1239" s="19" t="s">
        <v>118</v>
      </c>
    </row>
    <row r="1240" spans="1:53" s="20" customFormat="1">
      <c r="A1240" s="3" t="s">
        <v>74</v>
      </c>
      <c r="B1240" s="5">
        <v>32522.484400000001</v>
      </c>
      <c r="C1240" s="20">
        <v>6.0000854227687848</v>
      </c>
      <c r="D1240" s="3">
        <v>77.072927072927072</v>
      </c>
      <c r="E1240" s="20">
        <v>1427.2750000000001</v>
      </c>
      <c r="F1240" s="20">
        <v>4335.9119967673441</v>
      </c>
      <c r="H1240" s="20">
        <v>488.13756513152504</v>
      </c>
      <c r="J1240" s="20">
        <v>664.13422554017347</v>
      </c>
      <c r="N1240" s="20">
        <v>3183.6402060956452</v>
      </c>
      <c r="AC1240" s="20">
        <v>10.885854377421458</v>
      </c>
      <c r="AE1240" s="20">
        <v>13.28383879043715</v>
      </c>
      <c r="AF1240" s="20">
        <v>48.78671328671328</v>
      </c>
      <c r="AI1240" s="29">
        <f t="shared" si="48"/>
        <v>8.1310031189856424</v>
      </c>
      <c r="AS1240" s="66"/>
      <c r="AT1240" s="66"/>
      <c r="AU1240" s="66"/>
      <c r="AV1240" s="66"/>
      <c r="AW1240" s="66"/>
      <c r="AX1240" s="66"/>
      <c r="BA1240" s="19" t="s">
        <v>118</v>
      </c>
    </row>
    <row r="1241" spans="1:53" s="20" customFormat="1">
      <c r="A1241" s="3" t="s">
        <v>74</v>
      </c>
      <c r="B1241" s="5">
        <v>32887.726600000002</v>
      </c>
      <c r="C1241" s="20">
        <v>7.0000854227687865</v>
      </c>
      <c r="D1241" s="3">
        <v>77.072927072927072</v>
      </c>
      <c r="E1241" s="20">
        <v>1427.2750000000001</v>
      </c>
      <c r="F1241" s="20">
        <v>6192.2994411396912</v>
      </c>
      <c r="H1241" s="20">
        <v>563.87593317685764</v>
      </c>
      <c r="J1241" s="20">
        <v>899.49937215018963</v>
      </c>
      <c r="N1241" s="20">
        <v>4728.9241358126437</v>
      </c>
      <c r="AC1241" s="20">
        <v>12.619935219502711</v>
      </c>
      <c r="AE1241" s="20">
        <v>17.853065853145935</v>
      </c>
      <c r="AI1241" s="29" t="str">
        <f t="shared" si="48"/>
        <v/>
      </c>
      <c r="AS1241" s="66"/>
      <c r="AT1241" s="66"/>
      <c r="AU1241" s="66"/>
      <c r="AV1241" s="66"/>
      <c r="AW1241" s="66"/>
      <c r="AX1241" s="66"/>
      <c r="BA1241" s="19" t="s">
        <v>118</v>
      </c>
    </row>
    <row r="1242" spans="1:53" s="20" customFormat="1">
      <c r="A1242" s="3" t="s">
        <v>74</v>
      </c>
      <c r="B1242" s="5">
        <v>33618.211000000003</v>
      </c>
      <c r="C1242" s="20">
        <v>9.0000854227687892</v>
      </c>
      <c r="D1242" s="3">
        <v>77.072927072927072</v>
      </c>
      <c r="E1242" s="20">
        <v>1427.2750000000001</v>
      </c>
      <c r="F1242" s="20">
        <v>9357.2793069105282</v>
      </c>
      <c r="H1242" s="20">
        <v>658.12128429366601</v>
      </c>
      <c r="J1242" s="20">
        <v>1262.7282910900358</v>
      </c>
      <c r="N1242" s="20">
        <v>7436.4297315268268</v>
      </c>
      <c r="AC1242" s="20">
        <v>14.945239090967405</v>
      </c>
      <c r="AE1242" s="20">
        <v>25.038268373048446</v>
      </c>
      <c r="AF1242" s="20">
        <v>121.56153846153845</v>
      </c>
      <c r="AI1242" s="29">
        <f t="shared" si="48"/>
        <v>13.50670940900261</v>
      </c>
      <c r="AS1242" s="66"/>
      <c r="AT1242" s="66"/>
      <c r="AU1242" s="66"/>
      <c r="AV1242" s="66"/>
      <c r="AW1242" s="66"/>
      <c r="AX1242" s="66"/>
      <c r="BA1242" s="19" t="s">
        <v>118</v>
      </c>
    </row>
    <row r="1243" spans="1:53" s="20" customFormat="1">
      <c r="A1243" s="3" t="s">
        <v>74</v>
      </c>
      <c r="B1243" s="5">
        <v>33983.453200000004</v>
      </c>
      <c r="C1243" s="20">
        <v>10.000085422768791</v>
      </c>
      <c r="D1243" s="3">
        <v>77.072927072927072</v>
      </c>
      <c r="E1243" s="20">
        <v>1427.2750000000001</v>
      </c>
      <c r="F1243" s="20">
        <v>11231.623904755488</v>
      </c>
      <c r="H1243" s="20">
        <v>712.22171344322453</v>
      </c>
      <c r="J1243" s="20">
        <v>1473.5528794259417</v>
      </c>
      <c r="N1243" s="20">
        <v>9045.8493118863225</v>
      </c>
      <c r="AC1243" s="20">
        <v>16.080090586719926</v>
      </c>
      <c r="AE1243" s="20">
        <v>28.98514903436088</v>
      </c>
      <c r="AF1243" s="20">
        <v>147.86223776223775</v>
      </c>
      <c r="AI1243" s="29">
        <f t="shared" si="48"/>
        <v>14.786097469285231</v>
      </c>
      <c r="AS1243" s="66"/>
      <c r="AT1243" s="66"/>
      <c r="AU1243" s="66"/>
      <c r="AV1243" s="66"/>
      <c r="AW1243" s="66"/>
      <c r="AX1243" s="66"/>
      <c r="BA1243" s="19" t="s">
        <v>118</v>
      </c>
    </row>
    <row r="1244" spans="1:53" s="20" customFormat="1">
      <c r="A1244" s="3" t="s">
        <v>74</v>
      </c>
      <c r="B1244" s="5">
        <v>34348.695400000004</v>
      </c>
      <c r="C1244" s="20">
        <v>11.000085422768793</v>
      </c>
      <c r="D1244" s="3">
        <v>74.295593730593737</v>
      </c>
      <c r="E1244" s="20">
        <v>1375.8429524999999</v>
      </c>
      <c r="F1244" s="20">
        <v>12401.459828333693</v>
      </c>
      <c r="H1244" s="20">
        <v>725.10902366985124</v>
      </c>
      <c r="J1244" s="20">
        <v>1588.7256962994911</v>
      </c>
      <c r="N1244" s="20">
        <v>10087.625108364351</v>
      </c>
      <c r="AC1244" s="20">
        <v>16.979611304103834</v>
      </c>
      <c r="AE1244" s="20">
        <v>31.15410281941406</v>
      </c>
      <c r="AF1244" s="20">
        <v>164.89720279720279</v>
      </c>
      <c r="AI1244" s="29">
        <f t="shared" si="48"/>
        <v>14.990538387628003</v>
      </c>
      <c r="AS1244" s="66"/>
      <c r="AT1244" s="66"/>
      <c r="AU1244" s="66"/>
      <c r="AV1244" s="66"/>
      <c r="AW1244" s="66"/>
      <c r="AX1244" s="66"/>
      <c r="BA1244" s="19" t="s">
        <v>118</v>
      </c>
    </row>
    <row r="1245" spans="1:53" s="20" customFormat="1">
      <c r="A1245" s="3" t="s">
        <v>74</v>
      </c>
      <c r="B1245" s="5">
        <v>35079.179800000005</v>
      </c>
      <c r="C1245" s="20">
        <v>13.000085422768796</v>
      </c>
      <c r="D1245" s="3">
        <v>72.212541647541642</v>
      </c>
      <c r="E1245" s="20">
        <v>1337.2679524999999</v>
      </c>
      <c r="F1245" s="20">
        <v>14885.546171166081</v>
      </c>
      <c r="H1245" s="20">
        <v>765.62270673300247</v>
      </c>
      <c r="J1245" s="20">
        <v>1833.7748299326238</v>
      </c>
      <c r="N1245" s="20">
        <v>12286.148634500456</v>
      </c>
      <c r="AC1245" s="20">
        <v>18.472668988866875</v>
      </c>
      <c r="AE1245" s="20">
        <v>35.840051927926496</v>
      </c>
      <c r="AF1245" s="20">
        <v>200.20769230769227</v>
      </c>
      <c r="AI1245" s="29">
        <f t="shared" si="48"/>
        <v>15.40049051962702</v>
      </c>
      <c r="AS1245" s="66"/>
      <c r="AT1245" s="66"/>
      <c r="AU1245" s="66"/>
      <c r="AV1245" s="66"/>
      <c r="AW1245" s="66"/>
      <c r="AX1245" s="66"/>
      <c r="BA1245" s="19" t="s">
        <v>118</v>
      </c>
    </row>
    <row r="1246" spans="1:53" s="20" customFormat="1">
      <c r="A1246" s="3" t="s">
        <v>74</v>
      </c>
      <c r="B1246" s="5">
        <v>35444.422000000006</v>
      </c>
      <c r="C1246" s="20">
        <v>14.000085422768798</v>
      </c>
      <c r="D1246" s="3">
        <v>72.212541647541642</v>
      </c>
      <c r="E1246" s="20">
        <v>1337.2679524999999</v>
      </c>
      <c r="F1246" s="20">
        <v>15556.589042432184</v>
      </c>
      <c r="H1246" s="20">
        <v>765.99010939848665</v>
      </c>
      <c r="J1246" s="20">
        <v>1882.0233798380928</v>
      </c>
      <c r="N1246" s="20">
        <v>12908.575553195606</v>
      </c>
      <c r="AC1246" s="20">
        <v>18.81687645529442</v>
      </c>
      <c r="AE1246" s="20">
        <v>37.188135169496988</v>
      </c>
      <c r="AF1246" s="20">
        <v>240.66993006993005</v>
      </c>
      <c r="AI1246" s="29">
        <f t="shared" si="48"/>
        <v>17.190604400064636</v>
      </c>
      <c r="AS1246" s="66"/>
      <c r="AT1246" s="66"/>
      <c r="AU1246" s="66"/>
      <c r="AV1246" s="66"/>
      <c r="AW1246" s="66"/>
      <c r="AX1246" s="66"/>
      <c r="BA1246" s="19" t="s">
        <v>118</v>
      </c>
    </row>
    <row r="1247" spans="1:53" s="20" customFormat="1">
      <c r="A1247" s="3" t="s">
        <v>74</v>
      </c>
      <c r="B1247" s="5">
        <v>35809.664200000007</v>
      </c>
      <c r="C1247" s="20">
        <v>15.000085422768798</v>
      </c>
      <c r="D1247" s="3">
        <v>70.823770823770829</v>
      </c>
      <c r="E1247" s="20">
        <v>1311.55</v>
      </c>
      <c r="F1247" s="20">
        <v>16033.547697384927</v>
      </c>
      <c r="H1247" s="20">
        <v>756.94239716303866</v>
      </c>
      <c r="J1247" s="20">
        <v>1908.1333312682134</v>
      </c>
      <c r="N1247" s="20">
        <v>13368.471968953676</v>
      </c>
      <c r="AC1247" s="20">
        <v>19.203383298086688</v>
      </c>
      <c r="AE1247" s="20">
        <v>37.98667225045444</v>
      </c>
      <c r="AF1247" s="20">
        <v>241.17972027972027</v>
      </c>
      <c r="AI1247" s="29">
        <f t="shared" si="48"/>
        <v>16.078556453660649</v>
      </c>
      <c r="AS1247" s="66"/>
      <c r="AT1247" s="66"/>
      <c r="AU1247" s="66"/>
      <c r="AV1247" s="66"/>
      <c r="AW1247" s="66"/>
      <c r="AX1247" s="66"/>
      <c r="BA1247" s="19" t="s">
        <v>118</v>
      </c>
    </row>
    <row r="1248" spans="1:53" s="20" customFormat="1">
      <c r="A1248" s="3" t="s">
        <v>74</v>
      </c>
      <c r="B1248" s="5">
        <v>36174.906400000007</v>
      </c>
      <c r="C1248" s="20">
        <v>16.000085422768802</v>
      </c>
      <c r="D1248" s="3">
        <v>70.823770823770829</v>
      </c>
      <c r="E1248" s="20">
        <v>1311.55</v>
      </c>
      <c r="F1248" s="20">
        <v>16963.801308385333</v>
      </c>
      <c r="H1248" s="20">
        <v>768.76320435666969</v>
      </c>
      <c r="J1248" s="20">
        <v>1989.3622968418845</v>
      </c>
      <c r="N1248" s="20">
        <v>14205.675807186777</v>
      </c>
      <c r="AC1248" s="20">
        <v>19.64412643987032</v>
      </c>
      <c r="AE1248" s="20">
        <v>39.75037136181372</v>
      </c>
      <c r="AF1248" s="20">
        <v>258.27762237762238</v>
      </c>
      <c r="AI1248" s="29">
        <f t="shared" si="48"/>
        <v>16.142265216289555</v>
      </c>
      <c r="AS1248" s="66"/>
      <c r="AT1248" s="66"/>
      <c r="AU1248" s="66"/>
      <c r="AV1248" s="66"/>
      <c r="AW1248" s="66"/>
      <c r="AX1248" s="66"/>
      <c r="BA1248" s="19" t="s">
        <v>118</v>
      </c>
    </row>
    <row r="1249" spans="1:53" s="20" customFormat="1">
      <c r="A1249" s="3" t="s">
        <v>74</v>
      </c>
      <c r="B1249" s="5">
        <v>36905.390800000008</v>
      </c>
      <c r="C1249" s="20">
        <v>18.000085422768805</v>
      </c>
      <c r="D1249" s="3">
        <v>67.351947916947921</v>
      </c>
      <c r="E1249" s="20">
        <v>1247.2570475</v>
      </c>
      <c r="F1249" s="20">
        <v>16994.883004095056</v>
      </c>
      <c r="H1249" s="20">
        <v>722.51134812033183</v>
      </c>
      <c r="J1249" s="20">
        <v>1935.8778788500235</v>
      </c>
      <c r="N1249" s="20">
        <v>14336.493777124701</v>
      </c>
      <c r="AC1249" s="20">
        <v>20.085131571305016</v>
      </c>
      <c r="AE1249" s="20">
        <v>39.518115434578803</v>
      </c>
      <c r="AF1249" s="20">
        <v>278.39160839160837</v>
      </c>
      <c r="AI1249" s="29">
        <f t="shared" si="48"/>
        <v>15.466127068456194</v>
      </c>
      <c r="AS1249" s="66"/>
      <c r="AT1249" s="66"/>
      <c r="AU1249" s="66"/>
      <c r="AV1249" s="66"/>
      <c r="AW1249" s="66"/>
      <c r="AX1249" s="66"/>
      <c r="BA1249" s="19" t="s">
        <v>118</v>
      </c>
    </row>
    <row r="1250" spans="1:53" s="20" customFormat="1">
      <c r="A1250" s="3" t="s">
        <v>74</v>
      </c>
      <c r="B1250" s="5">
        <v>38366.359600000011</v>
      </c>
      <c r="C1250" s="20">
        <v>22.000085422768809</v>
      </c>
      <c r="D1250" s="3">
        <v>50.687531252531258</v>
      </c>
      <c r="E1250" s="20">
        <v>938.65704750000009</v>
      </c>
      <c r="F1250" s="20">
        <v>17532.945377722994</v>
      </c>
      <c r="H1250" s="20">
        <v>648.52995417253067</v>
      </c>
      <c r="J1250" s="20">
        <v>1936.1217974750671</v>
      </c>
      <c r="N1250" s="20">
        <v>14948.293626075396</v>
      </c>
      <c r="AC1250" s="20">
        <v>22.686740871324051</v>
      </c>
      <c r="AE1250" s="20">
        <v>37.943908402237724</v>
      </c>
      <c r="AF1250" s="20">
        <v>297.75314685314686</v>
      </c>
      <c r="AI1250" s="29">
        <f t="shared" si="48"/>
        <v>13.534181396631745</v>
      </c>
      <c r="AS1250" s="66"/>
      <c r="AT1250" s="66"/>
      <c r="AU1250" s="66"/>
      <c r="AV1250" s="66"/>
      <c r="AW1250" s="66"/>
      <c r="AX1250" s="66"/>
      <c r="BA1250" s="19" t="s">
        <v>118</v>
      </c>
    </row>
    <row r="1251" spans="1:53" s="20" customFormat="1">
      <c r="A1251" s="3" t="s">
        <v>74</v>
      </c>
      <c r="B1251" s="5">
        <v>39462.086200000012</v>
      </c>
      <c r="C1251" s="20">
        <v>25.000085422768816</v>
      </c>
      <c r="D1251" s="3">
        <v>44.438375003375</v>
      </c>
      <c r="E1251" s="20">
        <v>822.93204749999995</v>
      </c>
      <c r="F1251" s="20">
        <v>16161.113459942659</v>
      </c>
      <c r="H1251" s="20">
        <v>560.71289474302898</v>
      </c>
      <c r="J1251" s="20">
        <v>1731.6428747642422</v>
      </c>
      <c r="N1251" s="20">
        <v>13868.757690435388</v>
      </c>
      <c r="AC1251" s="20">
        <v>23.171701498256411</v>
      </c>
      <c r="AE1251" s="20">
        <v>34.703295857431939</v>
      </c>
      <c r="AF1251" s="20">
        <v>319.10209790209785</v>
      </c>
      <c r="AI1251" s="29">
        <f t="shared" si="48"/>
        <v>12.764040302497358</v>
      </c>
      <c r="AS1251" s="66"/>
      <c r="AT1251" s="66"/>
      <c r="AU1251" s="66"/>
      <c r="AV1251" s="66"/>
      <c r="AW1251" s="66"/>
      <c r="AX1251" s="66"/>
      <c r="BA1251" s="19" t="s">
        <v>118</v>
      </c>
    </row>
    <row r="1252" spans="1:53" s="20" customFormat="1">
      <c r="A1252" s="3" t="s">
        <v>75</v>
      </c>
      <c r="B1252" s="5">
        <v>30331</v>
      </c>
      <c r="C1252" s="20">
        <v>0</v>
      </c>
      <c r="D1252" s="3">
        <v>100</v>
      </c>
      <c r="E1252" s="20">
        <v>1851.85</v>
      </c>
      <c r="AI1252" s="29" t="str">
        <f t="shared" si="48"/>
        <v/>
      </c>
      <c r="AS1252" s="66"/>
      <c r="AT1252" s="66"/>
      <c r="AU1252" s="66"/>
      <c r="AV1252" s="66"/>
      <c r="AW1252" s="66"/>
      <c r="AX1252" s="66"/>
      <c r="BA1252" s="19" t="s">
        <v>118</v>
      </c>
    </row>
    <row r="1253" spans="1:53" s="20" customFormat="1">
      <c r="A1253" s="3" t="s">
        <v>75</v>
      </c>
      <c r="B1253" s="5">
        <v>31792</v>
      </c>
      <c r="C1253" s="20">
        <v>4.0000854227687812</v>
      </c>
      <c r="D1253" s="3">
        <v>78.461697896697899</v>
      </c>
      <c r="E1253" s="20">
        <v>1452.9929525</v>
      </c>
      <c r="F1253" s="20">
        <v>3352.2158908401648</v>
      </c>
      <c r="H1253" s="20">
        <v>508.53996124651866</v>
      </c>
      <c r="J1253" s="20">
        <v>569.32869763972883</v>
      </c>
      <c r="N1253" s="20">
        <v>2274.3472319539173</v>
      </c>
      <c r="AC1253" s="20">
        <v>9.5366971786116341</v>
      </c>
      <c r="AE1253" s="20">
        <v>10.378877591821327</v>
      </c>
      <c r="AF1253" s="20">
        <v>28.433846153846151</v>
      </c>
      <c r="AI1253" s="29">
        <f t="shared" si="48"/>
        <v>7.1083097355867952</v>
      </c>
      <c r="AS1253" s="66"/>
      <c r="AT1253" s="66"/>
      <c r="AU1253" s="66"/>
      <c r="AV1253" s="66"/>
      <c r="AW1253" s="66"/>
      <c r="AX1253" s="66"/>
      <c r="BA1253" s="19" t="s">
        <v>118</v>
      </c>
    </row>
    <row r="1254" spans="1:53" s="20" customFormat="1">
      <c r="A1254" s="3" t="s">
        <v>75</v>
      </c>
      <c r="B1254" s="5">
        <v>32157.242200000001</v>
      </c>
      <c r="C1254" s="20">
        <v>5.000085422768783</v>
      </c>
      <c r="D1254" s="3">
        <v>78.461697896697899</v>
      </c>
      <c r="E1254" s="20">
        <v>1452.9929525</v>
      </c>
      <c r="F1254" s="20">
        <v>4978.1229308492993</v>
      </c>
      <c r="H1254" s="20">
        <v>577.99256347346659</v>
      </c>
      <c r="J1254" s="20">
        <v>790.50061146626251</v>
      </c>
      <c r="N1254" s="20">
        <v>3609.6297559095701</v>
      </c>
      <c r="AC1254" s="20">
        <v>11.33285779588163</v>
      </c>
      <c r="AE1254" s="20">
        <v>14.656601615708871</v>
      </c>
      <c r="AI1254" s="29" t="str">
        <f t="shared" si="48"/>
        <v/>
      </c>
      <c r="AS1254" s="66"/>
      <c r="AT1254" s="66"/>
      <c r="AU1254" s="66"/>
      <c r="AV1254" s="66"/>
      <c r="AW1254" s="66"/>
      <c r="AX1254" s="66"/>
      <c r="BA1254" s="19" t="s">
        <v>118</v>
      </c>
    </row>
    <row r="1255" spans="1:53" s="20" customFormat="1">
      <c r="A1255" s="3" t="s">
        <v>75</v>
      </c>
      <c r="B1255" s="5">
        <v>32522.484400000001</v>
      </c>
      <c r="C1255" s="20">
        <v>6.0000854227687848</v>
      </c>
      <c r="D1255" s="3">
        <v>78.461697896697899</v>
      </c>
      <c r="E1255" s="20">
        <v>1452.9929525</v>
      </c>
      <c r="F1255" s="20">
        <v>6896.9625784870414</v>
      </c>
      <c r="H1255" s="20">
        <v>650.62136208923971</v>
      </c>
      <c r="J1255" s="20">
        <v>1036.5791089788881</v>
      </c>
      <c r="N1255" s="20">
        <v>5209.7621074189137</v>
      </c>
      <c r="AC1255" s="20">
        <v>12.997824008646582</v>
      </c>
      <c r="AE1255" s="20">
        <v>19.279497458967473</v>
      </c>
      <c r="AF1255" s="20">
        <v>78.37342657342657</v>
      </c>
      <c r="AI1255" s="29">
        <f t="shared" si="48"/>
        <v>13.062051796132689</v>
      </c>
      <c r="AS1255" s="66"/>
      <c r="AT1255" s="66"/>
      <c r="AU1255" s="66"/>
      <c r="AV1255" s="66"/>
      <c r="AW1255" s="66"/>
      <c r="AX1255" s="66"/>
      <c r="BA1255" s="19" t="s">
        <v>118</v>
      </c>
    </row>
    <row r="1256" spans="1:53" s="20" customFormat="1">
      <c r="A1256" s="3" t="s">
        <v>75</v>
      </c>
      <c r="B1256" s="5">
        <v>32887.726600000002</v>
      </c>
      <c r="C1256" s="20">
        <v>7.0000854227687865</v>
      </c>
      <c r="D1256" s="3">
        <v>78.461697896697899</v>
      </c>
      <c r="E1256" s="20">
        <v>1452.9929525</v>
      </c>
      <c r="F1256" s="20">
        <v>8838.9106724768608</v>
      </c>
      <c r="H1256" s="20">
        <v>713.42312908343024</v>
      </c>
      <c r="J1256" s="20">
        <v>1271.8265617517204</v>
      </c>
      <c r="N1256" s="20">
        <v>6853.6609816417094</v>
      </c>
      <c r="AC1256" s="20">
        <v>14.40009180456757</v>
      </c>
      <c r="AE1256" s="20">
        <v>23.663823993114097</v>
      </c>
      <c r="AI1256" s="29" t="str">
        <f t="shared" si="48"/>
        <v/>
      </c>
      <c r="AS1256" s="66"/>
      <c r="AT1256" s="66"/>
      <c r="AU1256" s="66"/>
      <c r="AV1256" s="66"/>
      <c r="AW1256" s="66"/>
      <c r="AX1256" s="66"/>
      <c r="BA1256" s="19" t="s">
        <v>118</v>
      </c>
    </row>
    <row r="1257" spans="1:53" s="20" customFormat="1">
      <c r="A1257" s="3" t="s">
        <v>75</v>
      </c>
      <c r="B1257" s="5">
        <v>33618.211000000003</v>
      </c>
      <c r="C1257" s="20">
        <v>9.0000854227687892</v>
      </c>
      <c r="D1257" s="3">
        <v>77.767208332208341</v>
      </c>
      <c r="E1257" s="20">
        <v>1440.1320475</v>
      </c>
      <c r="F1257" s="20">
        <v>11739.037704570897</v>
      </c>
      <c r="H1257" s="20">
        <v>772.87935845556865</v>
      </c>
      <c r="J1257" s="20">
        <v>1582.5270783445235</v>
      </c>
      <c r="N1257" s="20">
        <v>9383.6312677708065</v>
      </c>
      <c r="AC1257" s="20">
        <v>16.247309630127091</v>
      </c>
      <c r="AE1257" s="20">
        <v>29.857684589663673</v>
      </c>
      <c r="AF1257" s="20">
        <v>151.83636363636364</v>
      </c>
      <c r="AI1257" s="29">
        <f t="shared" si="48"/>
        <v>16.870546945281397</v>
      </c>
      <c r="AS1257" s="66"/>
      <c r="AT1257" s="66"/>
      <c r="AU1257" s="66"/>
      <c r="AV1257" s="66"/>
      <c r="AW1257" s="66"/>
      <c r="AX1257" s="66"/>
      <c r="BA1257" s="19" t="s">
        <v>118</v>
      </c>
    </row>
    <row r="1258" spans="1:53" s="20" customFormat="1">
      <c r="A1258" s="3" t="s">
        <v>75</v>
      </c>
      <c r="B1258" s="5">
        <v>33983.453200000004</v>
      </c>
      <c r="C1258" s="20">
        <v>10.000085422768791</v>
      </c>
      <c r="D1258" s="3">
        <v>77.767208332208341</v>
      </c>
      <c r="E1258" s="20">
        <v>1440.1320475</v>
      </c>
      <c r="F1258" s="20">
        <v>13460.744544810848</v>
      </c>
      <c r="H1258" s="20">
        <v>813.97302903440664</v>
      </c>
      <c r="J1258" s="20">
        <v>1768.5799258999803</v>
      </c>
      <c r="N1258" s="20">
        <v>10878.191589876462</v>
      </c>
      <c r="AC1258" s="20">
        <v>17.169580674362049</v>
      </c>
      <c r="AE1258" s="20">
        <v>33.343607820433881</v>
      </c>
      <c r="AF1258" s="20">
        <v>175.99230769230769</v>
      </c>
      <c r="AI1258" s="29">
        <f t="shared" si="48"/>
        <v>17.599080433012894</v>
      </c>
      <c r="AS1258" s="66"/>
      <c r="AT1258" s="66"/>
      <c r="AU1258" s="66"/>
      <c r="AV1258" s="66"/>
      <c r="AW1258" s="66"/>
      <c r="AX1258" s="66"/>
      <c r="BA1258" s="19" t="s">
        <v>118</v>
      </c>
    </row>
    <row r="1259" spans="1:53" s="20" customFormat="1">
      <c r="A1259" s="3" t="s">
        <v>75</v>
      </c>
      <c r="B1259" s="5">
        <v>34348.695400000004</v>
      </c>
      <c r="C1259" s="20">
        <v>11.000085422768793</v>
      </c>
      <c r="D1259" s="3">
        <v>77.767208332208341</v>
      </c>
      <c r="E1259" s="20">
        <v>1440.1320475</v>
      </c>
      <c r="F1259" s="20">
        <v>15099.395916581572</v>
      </c>
      <c r="H1259" s="20">
        <v>849.67112924025389</v>
      </c>
      <c r="J1259" s="20">
        <v>1940.1478815135415</v>
      </c>
      <c r="N1259" s="20">
        <v>12309.576905827776</v>
      </c>
      <c r="AC1259" s="20">
        <v>17.981073710675542</v>
      </c>
      <c r="AE1259" s="20">
        <v>36.569957412593617</v>
      </c>
      <c r="AF1259" s="20">
        <v>198.97692307692307</v>
      </c>
      <c r="AI1259" s="29">
        <f t="shared" si="48"/>
        <v>18.088670717507874</v>
      </c>
      <c r="AS1259" s="66"/>
      <c r="AT1259" s="66"/>
      <c r="AU1259" s="66"/>
      <c r="AV1259" s="66"/>
      <c r="AW1259" s="66"/>
      <c r="AX1259" s="66"/>
      <c r="BA1259" s="19" t="s">
        <v>118</v>
      </c>
    </row>
    <row r="1260" spans="1:53" s="20" customFormat="1">
      <c r="A1260" s="3" t="s">
        <v>75</v>
      </c>
      <c r="B1260" s="5">
        <v>35079.179800000005</v>
      </c>
      <c r="C1260" s="20">
        <v>13.000085422768796</v>
      </c>
      <c r="D1260" s="3">
        <v>76.378645813645818</v>
      </c>
      <c r="E1260" s="20">
        <v>1414.4179525</v>
      </c>
      <c r="F1260" s="20">
        <v>17446.134777541381</v>
      </c>
      <c r="H1260" s="20">
        <v>877.52955362699072</v>
      </c>
      <c r="J1260" s="20">
        <v>2157.7074505290311</v>
      </c>
      <c r="N1260" s="20">
        <v>14410.897773385359</v>
      </c>
      <c r="AC1260" s="20">
        <v>19.200350062851641</v>
      </c>
      <c r="AE1260" s="20">
        <v>40.953115920747045</v>
      </c>
      <c r="AF1260" s="20">
        <v>232.70139860139861</v>
      </c>
      <c r="AI1260" s="29">
        <f t="shared" si="48"/>
        <v>17.899989964207265</v>
      </c>
      <c r="AS1260" s="66"/>
      <c r="AT1260" s="66"/>
      <c r="AU1260" s="66"/>
      <c r="AV1260" s="66"/>
      <c r="AW1260" s="66"/>
      <c r="AX1260" s="66"/>
      <c r="BA1260" s="19" t="s">
        <v>118</v>
      </c>
    </row>
    <row r="1261" spans="1:53" s="20" customFormat="1">
      <c r="A1261" s="3" t="s">
        <v>75</v>
      </c>
      <c r="B1261" s="5">
        <v>35444.422000000006</v>
      </c>
      <c r="C1261" s="20">
        <v>14.000085422768798</v>
      </c>
      <c r="D1261" s="3">
        <v>74.989874989874991</v>
      </c>
      <c r="E1261" s="20">
        <v>1388.7</v>
      </c>
      <c r="F1261" s="20">
        <v>17566.389579770075</v>
      </c>
      <c r="H1261" s="20">
        <v>849.87567937275367</v>
      </c>
      <c r="J1261" s="20">
        <v>2132.6986752335688</v>
      </c>
      <c r="N1261" s="20">
        <v>14583.815225163751</v>
      </c>
      <c r="AC1261" s="20">
        <v>19.418758278200833</v>
      </c>
      <c r="AE1261" s="20">
        <v>41.128440650002844</v>
      </c>
      <c r="AF1261" s="20">
        <v>264.79860139860136</v>
      </c>
      <c r="AI1261" s="29">
        <f t="shared" si="48"/>
        <v>18.914070407595563</v>
      </c>
      <c r="AS1261" s="66"/>
      <c r="AT1261" s="66"/>
      <c r="AU1261" s="66"/>
      <c r="AV1261" s="66"/>
      <c r="AW1261" s="66"/>
      <c r="AX1261" s="66"/>
      <c r="BA1261" s="19" t="s">
        <v>118</v>
      </c>
    </row>
    <row r="1262" spans="1:53" s="20" customFormat="1">
      <c r="A1262" s="3" t="s">
        <v>75</v>
      </c>
      <c r="B1262" s="5">
        <v>35809.664200000007</v>
      </c>
      <c r="C1262" s="20">
        <v>15.000085422768798</v>
      </c>
      <c r="D1262" s="3">
        <v>73.601104166104179</v>
      </c>
      <c r="E1262" s="20">
        <v>1362.9820475000001</v>
      </c>
      <c r="F1262" s="20">
        <v>17841.96767459</v>
      </c>
      <c r="H1262" s="20">
        <v>830.81756440227696</v>
      </c>
      <c r="J1262" s="20">
        <v>2130.1791402837675</v>
      </c>
      <c r="N1262" s="20">
        <v>14880.970969903956</v>
      </c>
      <c r="AC1262" s="20">
        <v>19.702748723628371</v>
      </c>
      <c r="AE1262" s="20">
        <v>41.556089201359555</v>
      </c>
      <c r="AF1262" s="20">
        <v>264.07202797202797</v>
      </c>
      <c r="AI1262" s="29">
        <f t="shared" si="48"/>
        <v>17.604701608644845</v>
      </c>
      <c r="AS1262" s="66"/>
      <c r="AT1262" s="66"/>
      <c r="AU1262" s="66"/>
      <c r="AV1262" s="66"/>
      <c r="AW1262" s="66"/>
      <c r="AX1262" s="66"/>
      <c r="BA1262" s="19" t="s">
        <v>118</v>
      </c>
    </row>
    <row r="1263" spans="1:53" s="20" customFormat="1">
      <c r="A1263" s="3" t="s">
        <v>75</v>
      </c>
      <c r="B1263" s="5">
        <v>36174.906400000007</v>
      </c>
      <c r="C1263" s="20">
        <v>16.000085422768802</v>
      </c>
      <c r="D1263" s="3">
        <v>75.68415624915626</v>
      </c>
      <c r="E1263" s="20">
        <v>1401.5570475</v>
      </c>
      <c r="F1263" s="20">
        <v>19116.01698679967</v>
      </c>
      <c r="H1263" s="20">
        <v>857.58086159568268</v>
      </c>
      <c r="J1263" s="20">
        <v>2248.0095563284094</v>
      </c>
      <c r="N1263" s="20">
        <v>16010.426568875579</v>
      </c>
      <c r="AC1263" s="20">
        <v>20.038626343495711</v>
      </c>
      <c r="AE1263" s="20">
        <v>44.201557314881697</v>
      </c>
      <c r="AF1263" s="20">
        <v>285.80069930069925</v>
      </c>
      <c r="AI1263" s="29">
        <f t="shared" si="48"/>
        <v>17.862448340056527</v>
      </c>
      <c r="AS1263" s="66"/>
      <c r="AT1263" s="66"/>
      <c r="AU1263" s="66"/>
      <c r="AV1263" s="66"/>
      <c r="AW1263" s="66"/>
      <c r="AX1263" s="66"/>
      <c r="BA1263" s="19" t="s">
        <v>118</v>
      </c>
    </row>
    <row r="1264" spans="1:53" s="20" customFormat="1">
      <c r="A1264" s="3" t="s">
        <v>75</v>
      </c>
      <c r="B1264" s="5">
        <v>36905.390800000008</v>
      </c>
      <c r="C1264" s="20">
        <v>18.000085422768805</v>
      </c>
      <c r="D1264" s="3">
        <v>72.212541647541642</v>
      </c>
      <c r="E1264" s="20">
        <v>1337.2679524999999</v>
      </c>
      <c r="F1264" s="20">
        <v>19581.76327303315</v>
      </c>
      <c r="H1264" s="20">
        <v>821.96567496520004</v>
      </c>
      <c r="J1264" s="20">
        <v>2240.1993437908122</v>
      </c>
      <c r="N1264" s="20">
        <v>16519.598254277138</v>
      </c>
      <c r="AC1264" s="20">
        <v>20.633142405724396</v>
      </c>
      <c r="AE1264" s="20">
        <v>44.713646090195404</v>
      </c>
      <c r="AF1264" s="20">
        <v>320.47762237762237</v>
      </c>
      <c r="AI1264" s="29">
        <f t="shared" si="48"/>
        <v>17.804227860621225</v>
      </c>
      <c r="AS1264" s="66"/>
      <c r="AT1264" s="66"/>
      <c r="AU1264" s="66"/>
      <c r="AV1264" s="66"/>
      <c r="AW1264" s="66"/>
      <c r="AX1264" s="66"/>
      <c r="BA1264" s="19" t="s">
        <v>118</v>
      </c>
    </row>
    <row r="1265" spans="1:53" s="20" customFormat="1">
      <c r="A1265" s="3" t="s">
        <v>75</v>
      </c>
      <c r="B1265" s="5">
        <v>38366.359600000011</v>
      </c>
      <c r="C1265" s="20">
        <v>22.000085422768809</v>
      </c>
      <c r="D1265" s="3">
        <v>59.714229149229162</v>
      </c>
      <c r="E1265" s="20">
        <v>1105.8179525</v>
      </c>
      <c r="F1265" s="20">
        <v>20061.163065494042</v>
      </c>
      <c r="H1265" s="20">
        <v>744.58171651736643</v>
      </c>
      <c r="J1265" s="20">
        <v>2209.3001943767872</v>
      </c>
      <c r="N1265" s="20">
        <v>17107.281154599888</v>
      </c>
      <c r="AC1265" s="20">
        <v>22.442425738219335</v>
      </c>
      <c r="AE1265" s="20">
        <v>43.743560226080859</v>
      </c>
      <c r="AF1265" s="20">
        <v>342.53916083916084</v>
      </c>
      <c r="AI1265" s="29">
        <f t="shared" si="48"/>
        <v>15.569901400685142</v>
      </c>
      <c r="AS1265" s="66"/>
      <c r="AT1265" s="66"/>
      <c r="AU1265" s="66"/>
      <c r="AV1265" s="66"/>
      <c r="AW1265" s="66"/>
      <c r="AX1265" s="66"/>
      <c r="BA1265" s="19" t="s">
        <v>118</v>
      </c>
    </row>
    <row r="1266" spans="1:53" s="20" customFormat="1">
      <c r="A1266" s="3" t="s">
        <v>75</v>
      </c>
      <c r="B1266" s="5">
        <v>39462.086200000012</v>
      </c>
      <c r="C1266" s="20">
        <v>25.000085422768816</v>
      </c>
      <c r="D1266" s="3">
        <v>52.770583335583346</v>
      </c>
      <c r="E1266" s="20">
        <v>977.23204750000014</v>
      </c>
      <c r="F1266" s="20">
        <v>18502.7822863824</v>
      </c>
      <c r="H1266" s="20">
        <v>644.41278876720992</v>
      </c>
      <c r="J1266" s="20">
        <v>1975.3167378342655</v>
      </c>
      <c r="N1266" s="20">
        <v>15883.052759780923</v>
      </c>
      <c r="AC1266" s="20">
        <v>22.860138254121857</v>
      </c>
      <c r="AE1266" s="20">
        <v>40.109412709716104</v>
      </c>
      <c r="AF1266" s="20">
        <v>368.04965034965034</v>
      </c>
      <c r="AI1266" s="29">
        <f t="shared" si="48"/>
        <v>14.721935710445585</v>
      </c>
      <c r="AS1266" s="66"/>
      <c r="AT1266" s="66"/>
      <c r="AU1266" s="66"/>
      <c r="AV1266" s="66"/>
      <c r="AW1266" s="66"/>
      <c r="AX1266" s="66"/>
      <c r="BA1266" s="19" t="s">
        <v>118</v>
      </c>
    </row>
    <row r="1267" spans="1:53" s="20" customFormat="1">
      <c r="A1267" s="3" t="s">
        <v>76</v>
      </c>
      <c r="B1267" s="5">
        <v>30331</v>
      </c>
      <c r="C1267" s="20">
        <v>0</v>
      </c>
      <c r="D1267" s="3">
        <v>100</v>
      </c>
      <c r="E1267" s="20">
        <v>1851.85</v>
      </c>
      <c r="AI1267" s="29" t="str">
        <f t="shared" si="48"/>
        <v/>
      </c>
      <c r="AS1267" s="66"/>
      <c r="AT1267" s="66"/>
      <c r="AU1267" s="66"/>
      <c r="AV1267" s="66"/>
      <c r="AW1267" s="66"/>
      <c r="AX1267" s="66"/>
      <c r="BA1267" s="19" t="s">
        <v>118</v>
      </c>
    </row>
    <row r="1268" spans="1:53" s="20" customFormat="1">
      <c r="A1268" s="3" t="s">
        <v>76</v>
      </c>
      <c r="B1268" s="5">
        <v>31792</v>
      </c>
      <c r="C1268" s="20">
        <v>4.0000854227687812</v>
      </c>
      <c r="D1268" s="3">
        <v>78.461697896697899</v>
      </c>
      <c r="E1268" s="20">
        <v>1452.9929525</v>
      </c>
      <c r="F1268" s="20">
        <v>433.15200057133603</v>
      </c>
      <c r="H1268" s="20">
        <v>186.49076112408525</v>
      </c>
      <c r="J1268" s="20">
        <v>22.415255646192854</v>
      </c>
      <c r="N1268" s="20">
        <v>224.24598380105795</v>
      </c>
      <c r="AC1268" s="20">
        <v>3.782093842448897</v>
      </c>
      <c r="AE1268" s="20">
        <v>1.6323715076437588</v>
      </c>
      <c r="AF1268" s="20">
        <v>2.7808391608391605</v>
      </c>
      <c r="AI1268" s="29">
        <f t="shared" si="48"/>
        <v>0.69519494384055369</v>
      </c>
      <c r="AS1268" s="66"/>
      <c r="AT1268" s="66"/>
      <c r="AU1268" s="66"/>
      <c r="AV1268" s="66"/>
      <c r="AW1268" s="66"/>
      <c r="AX1268" s="66"/>
      <c r="BA1268" s="19" t="s">
        <v>118</v>
      </c>
    </row>
    <row r="1269" spans="1:53" s="20" customFormat="1">
      <c r="A1269" s="3" t="s">
        <v>76</v>
      </c>
      <c r="B1269" s="5">
        <v>32157.242200000001</v>
      </c>
      <c r="C1269" s="20">
        <v>5.000085422768783</v>
      </c>
      <c r="D1269" s="3">
        <v>77.767208332208341</v>
      </c>
      <c r="E1269" s="20">
        <v>1440.1320475</v>
      </c>
      <c r="F1269" s="20">
        <v>928.85886167005265</v>
      </c>
      <c r="H1269" s="20">
        <v>242.57138824301995</v>
      </c>
      <c r="J1269" s="20">
        <v>65.490733318806832</v>
      </c>
      <c r="N1269" s="20">
        <v>620.79674010822589</v>
      </c>
      <c r="AC1269" s="20">
        <v>5.5157059145715177</v>
      </c>
      <c r="AE1269" s="20">
        <v>3.4410851294965896</v>
      </c>
      <c r="AI1269" s="29" t="str">
        <f t="shared" si="48"/>
        <v/>
      </c>
      <c r="AS1269" s="66"/>
      <c r="AT1269" s="66"/>
      <c r="AU1269" s="66"/>
      <c r="AV1269" s="66"/>
      <c r="AW1269" s="66"/>
      <c r="AX1269" s="66"/>
      <c r="BA1269" s="19" t="s">
        <v>118</v>
      </c>
    </row>
    <row r="1270" spans="1:53" s="20" customFormat="1">
      <c r="A1270" s="3" t="s">
        <v>76</v>
      </c>
      <c r="B1270" s="5">
        <v>32522.484400000001</v>
      </c>
      <c r="C1270" s="20">
        <v>6.0000854227687848</v>
      </c>
      <c r="D1270" s="3">
        <v>77.767208332208341</v>
      </c>
      <c r="E1270" s="20">
        <v>1440.1320475</v>
      </c>
      <c r="F1270" s="20">
        <v>1508.0468314925961</v>
      </c>
      <c r="H1270" s="20">
        <v>286.40680513599023</v>
      </c>
      <c r="J1270" s="20">
        <v>117.74137668214928</v>
      </c>
      <c r="N1270" s="20">
        <v>1103.8986496744567</v>
      </c>
      <c r="AC1270" s="20">
        <v>6.8144480451180662</v>
      </c>
      <c r="AE1270" s="20">
        <v>5.2523611616997457</v>
      </c>
      <c r="AF1270" s="20">
        <v>14.029370629370629</v>
      </c>
      <c r="AI1270" s="29">
        <f t="shared" si="48"/>
        <v>2.3381951490445063</v>
      </c>
      <c r="AS1270" s="66"/>
      <c r="AT1270" s="66"/>
      <c r="AU1270" s="66"/>
      <c r="AV1270" s="66"/>
      <c r="AW1270" s="66"/>
      <c r="AX1270" s="66"/>
      <c r="BA1270" s="19" t="s">
        <v>118</v>
      </c>
    </row>
    <row r="1271" spans="1:53" s="20" customFormat="1">
      <c r="A1271" s="3" t="s">
        <v>76</v>
      </c>
      <c r="B1271" s="5">
        <v>32887.726600000002</v>
      </c>
      <c r="C1271" s="20">
        <v>7.0000854227687865</v>
      </c>
      <c r="D1271" s="3">
        <v>76.378645813645818</v>
      </c>
      <c r="E1271" s="20">
        <v>1414.4179525</v>
      </c>
      <c r="F1271" s="20">
        <v>2349.6640725805887</v>
      </c>
      <c r="H1271" s="20">
        <v>336.37941026595809</v>
      </c>
      <c r="J1271" s="20">
        <v>197.54154633172217</v>
      </c>
      <c r="N1271" s="20">
        <v>1815.7431159829084</v>
      </c>
      <c r="AC1271" s="20">
        <v>8.2356558794332759</v>
      </c>
      <c r="AE1271" s="20">
        <v>7.5346839524209139</v>
      </c>
      <c r="AI1271" s="29" t="str">
        <f t="shared" si="48"/>
        <v/>
      </c>
      <c r="AS1271" s="66"/>
      <c r="AT1271" s="66"/>
      <c r="AU1271" s="66"/>
      <c r="AV1271" s="66"/>
      <c r="AW1271" s="66"/>
      <c r="AX1271" s="66"/>
      <c r="BA1271" s="19" t="s">
        <v>118</v>
      </c>
    </row>
    <row r="1272" spans="1:53" s="20" customFormat="1">
      <c r="A1272" s="3" t="s">
        <v>76</v>
      </c>
      <c r="B1272" s="5">
        <v>33618.211000000003</v>
      </c>
      <c r="C1272" s="20">
        <v>9.0000854227687892</v>
      </c>
      <c r="D1272" s="3">
        <v>73.601104166104179</v>
      </c>
      <c r="E1272" s="20">
        <v>1362.9820475000001</v>
      </c>
      <c r="F1272" s="20">
        <v>4016.8609531955472</v>
      </c>
      <c r="H1272" s="20">
        <v>409.25735459585786</v>
      </c>
      <c r="J1272" s="20">
        <v>354.66384671811653</v>
      </c>
      <c r="N1272" s="20">
        <v>3252.9397518815726</v>
      </c>
      <c r="AC1272" s="20">
        <v>10.342568705359797</v>
      </c>
      <c r="AE1272" s="20">
        <v>11.450853585463751</v>
      </c>
      <c r="AI1272" s="29" t="str">
        <f t="shared" ref="AI1272:AI1326" si="49">IF(AF1272&gt;0.001,AF1272/C1272,"")</f>
        <v/>
      </c>
      <c r="AS1272" s="66"/>
      <c r="AT1272" s="66"/>
      <c r="AU1272" s="66"/>
      <c r="AV1272" s="66"/>
      <c r="AW1272" s="66"/>
      <c r="AX1272" s="66"/>
      <c r="BA1272" s="19" t="s">
        <v>118</v>
      </c>
    </row>
    <row r="1273" spans="1:53" s="20" customFormat="1">
      <c r="A1273" s="3" t="s">
        <v>76</v>
      </c>
      <c r="B1273" s="5">
        <v>33983.453200000004</v>
      </c>
      <c r="C1273" s="20">
        <v>10.000085422768791</v>
      </c>
      <c r="D1273" s="3">
        <v>73.601104166104179</v>
      </c>
      <c r="E1273" s="20">
        <v>1362.9820475000001</v>
      </c>
      <c r="F1273" s="20">
        <v>5113.1719150496065</v>
      </c>
      <c r="H1273" s="20">
        <v>457.10150194357414</v>
      </c>
      <c r="J1273" s="20">
        <v>459.07373917541508</v>
      </c>
      <c r="N1273" s="20">
        <v>4196.9966739306165</v>
      </c>
      <c r="AC1273" s="20">
        <v>11.357430990714644</v>
      </c>
      <c r="AE1273" s="20">
        <v>13.808332807333858</v>
      </c>
      <c r="AI1273" s="29" t="str">
        <f t="shared" si="49"/>
        <v/>
      </c>
      <c r="AS1273" s="66"/>
      <c r="AT1273" s="66"/>
      <c r="AU1273" s="66"/>
      <c r="AV1273" s="66"/>
      <c r="AW1273" s="66"/>
      <c r="AX1273" s="66"/>
      <c r="BA1273" s="19" t="s">
        <v>118</v>
      </c>
    </row>
    <row r="1274" spans="1:53" s="20" customFormat="1">
      <c r="A1274" s="3" t="s">
        <v>76</v>
      </c>
      <c r="B1274" s="5">
        <v>34348.695400000004</v>
      </c>
      <c r="C1274" s="20">
        <v>11.000085422768793</v>
      </c>
      <c r="D1274" s="3">
        <v>71.518052083052083</v>
      </c>
      <c r="E1274" s="20">
        <v>1324.4070475000001</v>
      </c>
      <c r="F1274" s="20">
        <v>6043.832714306277</v>
      </c>
      <c r="H1274" s="20">
        <v>487.47057191265611</v>
      </c>
      <c r="J1274" s="20">
        <v>547.55926422025072</v>
      </c>
      <c r="N1274" s="20">
        <v>5008.8028781733701</v>
      </c>
      <c r="AC1274" s="20">
        <v>12.248165640973106</v>
      </c>
      <c r="AE1274" s="20">
        <v>15.60466616217567</v>
      </c>
      <c r="AF1274" s="20">
        <v>49.739160839160839</v>
      </c>
      <c r="AI1274" s="29">
        <f t="shared" si="49"/>
        <v>4.5217067802225461</v>
      </c>
      <c r="AS1274" s="66"/>
      <c r="AT1274" s="66"/>
      <c r="AU1274" s="66"/>
      <c r="AV1274" s="66"/>
      <c r="AW1274" s="66"/>
      <c r="AX1274" s="66"/>
      <c r="BA1274" s="19" t="s">
        <v>118</v>
      </c>
    </row>
    <row r="1275" spans="1:53" s="20" customFormat="1">
      <c r="A1275" s="3" t="s">
        <v>76</v>
      </c>
      <c r="B1275" s="5">
        <v>35079.179800000005</v>
      </c>
      <c r="C1275" s="20">
        <v>13.000085422768796</v>
      </c>
      <c r="D1275" s="3">
        <v>70.823770823770829</v>
      </c>
      <c r="E1275" s="20">
        <v>1311.55</v>
      </c>
      <c r="F1275" s="20">
        <v>7812.068119660953</v>
      </c>
      <c r="H1275" s="20">
        <v>547.01345327482898</v>
      </c>
      <c r="J1275" s="20">
        <v>705.93850514092344</v>
      </c>
      <c r="N1275" s="20">
        <v>6559.1161612452006</v>
      </c>
      <c r="AC1275" s="20">
        <v>13.572129874517456</v>
      </c>
      <c r="AE1275" s="20">
        <v>18.974562121224384</v>
      </c>
      <c r="AI1275" s="29" t="str">
        <f t="shared" si="49"/>
        <v/>
      </c>
      <c r="AS1275" s="66"/>
      <c r="AT1275" s="66"/>
      <c r="AU1275" s="66"/>
      <c r="AV1275" s="66"/>
      <c r="AW1275" s="66"/>
      <c r="AX1275" s="66"/>
      <c r="BA1275" s="19" t="s">
        <v>118</v>
      </c>
    </row>
    <row r="1276" spans="1:53" s="20" customFormat="1">
      <c r="A1276" s="3" t="s">
        <v>76</v>
      </c>
      <c r="B1276" s="5">
        <v>35444.422000000006</v>
      </c>
      <c r="C1276" s="20">
        <v>14.000085422768798</v>
      </c>
      <c r="D1276" s="3">
        <v>68.046437481437479</v>
      </c>
      <c r="E1276" s="20">
        <v>1260.1179525</v>
      </c>
      <c r="F1276" s="20">
        <v>8262.7959191204864</v>
      </c>
      <c r="H1276" s="20">
        <v>549.1610454280742</v>
      </c>
      <c r="J1276" s="20">
        <v>741.96704688800469</v>
      </c>
      <c r="N1276" s="20">
        <v>6971.667826804407</v>
      </c>
      <c r="AC1276" s="20">
        <v>14.085158396589925</v>
      </c>
      <c r="AE1276" s="20">
        <v>19.63475860631431</v>
      </c>
      <c r="AF1276" s="20">
        <v>93.132167832167823</v>
      </c>
      <c r="AI1276" s="29">
        <f t="shared" si="49"/>
        <v>6.6522571127104646</v>
      </c>
      <c r="AS1276" s="66"/>
      <c r="AT1276" s="66"/>
      <c r="AU1276" s="66"/>
      <c r="AV1276" s="66"/>
      <c r="AW1276" s="66"/>
      <c r="AX1276" s="66"/>
      <c r="BA1276" s="19" t="s">
        <v>118</v>
      </c>
    </row>
    <row r="1277" spans="1:53" s="20" customFormat="1">
      <c r="A1277" s="3" t="s">
        <v>76</v>
      </c>
      <c r="B1277" s="5">
        <v>35809.664200000007</v>
      </c>
      <c r="C1277" s="20">
        <v>15.000085422768798</v>
      </c>
      <c r="D1277" s="3">
        <v>66.657666657666667</v>
      </c>
      <c r="E1277" s="20">
        <v>1234.4000000000001</v>
      </c>
      <c r="F1277" s="20">
        <v>9091.450588926924</v>
      </c>
      <c r="H1277" s="20">
        <v>572.23101138367792</v>
      </c>
      <c r="J1277" s="20">
        <v>816.58624160144643</v>
      </c>
      <c r="N1277" s="20">
        <v>7702.6333359418004</v>
      </c>
      <c r="AC1277" s="20">
        <v>14.721719715351663</v>
      </c>
      <c r="AE1277" s="20">
        <v>21.011831044733366</v>
      </c>
      <c r="AF1277" s="20">
        <v>99.876223776223767</v>
      </c>
      <c r="AI1277" s="29">
        <f t="shared" si="49"/>
        <v>6.6583769999483158</v>
      </c>
      <c r="AS1277" s="66"/>
      <c r="AT1277" s="66"/>
      <c r="AU1277" s="66"/>
      <c r="AV1277" s="66"/>
      <c r="AW1277" s="66"/>
      <c r="AX1277" s="66"/>
      <c r="BA1277" s="19" t="s">
        <v>118</v>
      </c>
    </row>
    <row r="1278" spans="1:53" s="20" customFormat="1">
      <c r="A1278" s="3" t="s">
        <v>76</v>
      </c>
      <c r="B1278" s="5">
        <v>36174.906400000007</v>
      </c>
      <c r="C1278" s="20">
        <v>16.000085422768802</v>
      </c>
      <c r="D1278" s="3">
        <v>65.963385398385398</v>
      </c>
      <c r="E1278" s="20">
        <v>1221.5429525</v>
      </c>
      <c r="F1278" s="20">
        <v>9851.9287706016257</v>
      </c>
      <c r="H1278" s="20">
        <v>593.44333580347939</v>
      </c>
      <c r="J1278" s="20">
        <v>881.51384329855114</v>
      </c>
      <c r="N1278" s="20">
        <v>8376.9715914995941</v>
      </c>
      <c r="AC1278" s="20">
        <v>15.241158304551655</v>
      </c>
      <c r="AE1278" s="20">
        <v>22.286177610888032</v>
      </c>
      <c r="AF1278" s="20">
        <v>113.2965034965035</v>
      </c>
      <c r="AI1278" s="29">
        <f t="shared" si="49"/>
        <v>7.0809936636511805</v>
      </c>
      <c r="AS1278" s="66"/>
      <c r="AT1278" s="66"/>
      <c r="AU1278" s="66"/>
      <c r="AV1278" s="66"/>
      <c r="AW1278" s="66"/>
      <c r="AX1278" s="66"/>
      <c r="BA1278" s="19" t="s">
        <v>118</v>
      </c>
    </row>
    <row r="1279" spans="1:53" s="20" customFormat="1">
      <c r="A1279" s="3" t="s">
        <v>76</v>
      </c>
      <c r="B1279" s="5">
        <v>36905.390800000008</v>
      </c>
      <c r="C1279" s="20">
        <v>18.000085422768805</v>
      </c>
      <c r="D1279" s="3">
        <v>65.26889583389584</v>
      </c>
      <c r="E1279" s="20">
        <v>1208.6820475</v>
      </c>
      <c r="F1279" s="20">
        <v>11050.032967942456</v>
      </c>
      <c r="H1279" s="20">
        <v>622.70898595516007</v>
      </c>
      <c r="J1279" s="20">
        <v>972.75453256114429</v>
      </c>
      <c r="N1279" s="20">
        <v>9454.5694494261516</v>
      </c>
      <c r="AC1279" s="20">
        <v>15.996037866636632</v>
      </c>
      <c r="AE1279" s="20">
        <v>24.290016824936352</v>
      </c>
      <c r="AF1279" s="20">
        <v>137.3965034965035</v>
      </c>
      <c r="AI1279" s="29">
        <f t="shared" si="49"/>
        <v>7.633102858651263</v>
      </c>
      <c r="AS1279" s="66"/>
      <c r="AT1279" s="66"/>
      <c r="AU1279" s="66"/>
      <c r="AV1279" s="66"/>
      <c r="AW1279" s="66"/>
      <c r="AX1279" s="66"/>
      <c r="BA1279" s="19" t="s">
        <v>118</v>
      </c>
    </row>
    <row r="1280" spans="1:53" s="20" customFormat="1">
      <c r="A1280" s="3" t="s">
        <v>76</v>
      </c>
      <c r="B1280" s="5">
        <v>38366.359600000011</v>
      </c>
      <c r="C1280" s="20">
        <v>22.000085422768809</v>
      </c>
      <c r="D1280" s="3">
        <v>59.019739584739597</v>
      </c>
      <c r="E1280" s="20">
        <v>1092.9570475</v>
      </c>
      <c r="F1280" s="20">
        <v>13235.369169161248</v>
      </c>
      <c r="H1280" s="20">
        <v>663.27336339479314</v>
      </c>
      <c r="J1280" s="20">
        <v>1152.2359091762964</v>
      </c>
      <c r="N1280" s="20">
        <v>11419.859896590158</v>
      </c>
      <c r="AC1280" s="20">
        <v>17.790917984772715</v>
      </c>
      <c r="AE1280" s="20">
        <v>27.170066848490222</v>
      </c>
      <c r="AF1280" s="20">
        <v>178.81398601398601</v>
      </c>
      <c r="AI1280" s="29">
        <f t="shared" si="49"/>
        <v>8.1278768958289564</v>
      </c>
      <c r="AS1280" s="66"/>
      <c r="AT1280" s="66"/>
      <c r="AU1280" s="66"/>
      <c r="AV1280" s="66"/>
      <c r="AW1280" s="66"/>
      <c r="AX1280" s="66"/>
      <c r="BA1280" s="19" t="s">
        <v>118</v>
      </c>
    </row>
    <row r="1281" spans="1:53" s="20" customFormat="1">
      <c r="A1281" s="3" t="s">
        <v>76</v>
      </c>
      <c r="B1281" s="5">
        <v>39462.086200000012</v>
      </c>
      <c r="C1281" s="20">
        <v>25.000085422768816</v>
      </c>
      <c r="D1281" s="3">
        <v>52.076302076302085</v>
      </c>
      <c r="E1281" s="20">
        <v>964.375</v>
      </c>
      <c r="F1281" s="20">
        <v>12822.717613877829</v>
      </c>
      <c r="H1281" s="20">
        <v>609.11476306985242</v>
      </c>
      <c r="J1281" s="20">
        <v>1086.2660660019485</v>
      </c>
      <c r="N1281" s="20">
        <v>11127.336784806028</v>
      </c>
      <c r="AC1281" s="20">
        <v>18.451280300448524</v>
      </c>
      <c r="AE1281" s="20">
        <v>25.786348820637279</v>
      </c>
      <c r="AF1281" s="20">
        <v>195.52027972027972</v>
      </c>
      <c r="AI1281" s="29">
        <f t="shared" si="49"/>
        <v>7.8207844658886527</v>
      </c>
      <c r="AS1281" s="66"/>
      <c r="AT1281" s="66"/>
      <c r="AU1281" s="66"/>
      <c r="AV1281" s="66"/>
      <c r="AW1281" s="66"/>
      <c r="AX1281" s="66"/>
      <c r="BA1281" s="19" t="s">
        <v>118</v>
      </c>
    </row>
    <row r="1282" spans="1:53" s="20" customFormat="1">
      <c r="A1282" s="3" t="s">
        <v>77</v>
      </c>
      <c r="B1282" s="5">
        <v>30331</v>
      </c>
      <c r="C1282" s="20">
        <v>0</v>
      </c>
      <c r="D1282" s="3">
        <v>100</v>
      </c>
      <c r="E1282" s="20">
        <v>1851.85</v>
      </c>
      <c r="AI1282" s="29" t="str">
        <f t="shared" si="49"/>
        <v/>
      </c>
      <c r="AS1282" s="66"/>
      <c r="AT1282" s="66"/>
      <c r="AU1282" s="66"/>
      <c r="AV1282" s="66"/>
      <c r="AW1282" s="66"/>
      <c r="AX1282" s="66"/>
      <c r="BA1282" s="19" t="s">
        <v>118</v>
      </c>
    </row>
    <row r="1283" spans="1:53" s="20" customFormat="1">
      <c r="A1283" s="3" t="s">
        <v>77</v>
      </c>
      <c r="B1283" s="5">
        <v>31792</v>
      </c>
      <c r="C1283" s="20">
        <v>4.0000854227687812</v>
      </c>
      <c r="D1283" s="3">
        <v>77.072927072927072</v>
      </c>
      <c r="E1283" s="20">
        <v>1427.2750000000001</v>
      </c>
      <c r="F1283" s="20">
        <v>2108.4900843314745</v>
      </c>
      <c r="H1283" s="20">
        <v>379.02059567900739</v>
      </c>
      <c r="J1283" s="20">
        <v>207.45008178732672</v>
      </c>
      <c r="N1283" s="20">
        <v>1522.0194068651404</v>
      </c>
      <c r="AC1283" s="20">
        <v>7.6931308845664752</v>
      </c>
      <c r="AE1283" s="20">
        <v>6.6344480565379067</v>
      </c>
      <c r="AF1283" s="20">
        <v>14.970419580419579</v>
      </c>
      <c r="AI1283" s="29">
        <f t="shared" si="49"/>
        <v>3.7425249708935833</v>
      </c>
      <c r="AS1283" s="66"/>
      <c r="AT1283" s="66"/>
      <c r="AU1283" s="66"/>
      <c r="AV1283" s="66"/>
      <c r="AW1283" s="66"/>
      <c r="AX1283" s="66"/>
      <c r="BA1283" s="19" t="s">
        <v>118</v>
      </c>
    </row>
    <row r="1284" spans="1:53" s="20" customFormat="1">
      <c r="A1284" s="3" t="s">
        <v>77</v>
      </c>
      <c r="B1284" s="5">
        <v>32157.242200000001</v>
      </c>
      <c r="C1284" s="20">
        <v>5.000085422768783</v>
      </c>
      <c r="D1284" s="3">
        <v>77.072927072927072</v>
      </c>
      <c r="E1284" s="20">
        <v>1427.2750000000001</v>
      </c>
      <c r="F1284" s="20">
        <v>3480.9024835121886</v>
      </c>
      <c r="H1284" s="20">
        <v>460.82732183065639</v>
      </c>
      <c r="J1284" s="20">
        <v>362.25536123937724</v>
      </c>
      <c r="N1284" s="20">
        <v>2657.8198004421552</v>
      </c>
      <c r="AC1284" s="20">
        <v>9.4414793212488313</v>
      </c>
      <c r="AE1284" s="20">
        <v>9.9926033405169932</v>
      </c>
      <c r="AI1284" s="29" t="str">
        <f t="shared" si="49"/>
        <v/>
      </c>
      <c r="AS1284" s="66"/>
      <c r="AT1284" s="66"/>
      <c r="AU1284" s="66"/>
      <c r="AV1284" s="66"/>
      <c r="AW1284" s="66"/>
      <c r="AX1284" s="66"/>
      <c r="BA1284" s="19" t="s">
        <v>118</v>
      </c>
    </row>
    <row r="1285" spans="1:53" s="20" customFormat="1">
      <c r="A1285" s="3" t="s">
        <v>77</v>
      </c>
      <c r="B1285" s="5">
        <v>32522.484400000001</v>
      </c>
      <c r="C1285" s="20">
        <v>6.0000854227687848</v>
      </c>
      <c r="D1285" s="3">
        <v>77.072927072927072</v>
      </c>
      <c r="E1285" s="20">
        <v>1427.2750000000001</v>
      </c>
      <c r="F1285" s="20">
        <v>5130.1190419199902</v>
      </c>
      <c r="H1285" s="20">
        <v>544.9552219775137</v>
      </c>
      <c r="J1285" s="20">
        <v>549.34672192227072</v>
      </c>
      <c r="N1285" s="20">
        <v>4035.8170980202049</v>
      </c>
      <c r="AC1285" s="20">
        <v>11.007258493632097</v>
      </c>
      <c r="AE1285" s="20">
        <v>13.581786110600211</v>
      </c>
      <c r="AF1285" s="20">
        <v>46.205594405594404</v>
      </c>
      <c r="AI1285" s="29">
        <f t="shared" si="49"/>
        <v>7.700822763332007</v>
      </c>
      <c r="AS1285" s="66"/>
      <c r="AT1285" s="66"/>
      <c r="AU1285" s="66"/>
      <c r="AV1285" s="66"/>
      <c r="AW1285" s="66"/>
      <c r="AX1285" s="66"/>
      <c r="BA1285" s="19" t="s">
        <v>118</v>
      </c>
    </row>
    <row r="1286" spans="1:53" s="20" customFormat="1">
      <c r="A1286" s="3" t="s">
        <v>77</v>
      </c>
      <c r="B1286" s="5">
        <v>32887.726600000002</v>
      </c>
      <c r="C1286" s="20">
        <v>7.0000854227687865</v>
      </c>
      <c r="D1286" s="3">
        <v>77.072927072927072</v>
      </c>
      <c r="E1286" s="20">
        <v>1427.2750000000001</v>
      </c>
      <c r="F1286" s="20">
        <v>6748.3477901519127</v>
      </c>
      <c r="H1286" s="20">
        <v>616.57342188828318</v>
      </c>
      <c r="J1286" s="20">
        <v>728.24453836272789</v>
      </c>
      <c r="N1286" s="20">
        <v>5403.5298299009009</v>
      </c>
      <c r="AC1286" s="20">
        <v>12.252905659360447</v>
      </c>
      <c r="AE1286" s="20">
        <v>16.829713976065435</v>
      </c>
      <c r="AI1286" s="29" t="str">
        <f t="shared" si="49"/>
        <v/>
      </c>
      <c r="AS1286" s="66"/>
      <c r="AT1286" s="66"/>
      <c r="AU1286" s="66"/>
      <c r="AV1286" s="66"/>
      <c r="AW1286" s="66"/>
      <c r="AX1286" s="66"/>
      <c r="BA1286" s="19" t="s">
        <v>118</v>
      </c>
    </row>
    <row r="1287" spans="1:53" s="20" customFormat="1">
      <c r="A1287" s="3" t="s">
        <v>77</v>
      </c>
      <c r="B1287" s="5">
        <v>33618.211000000003</v>
      </c>
      <c r="C1287" s="20">
        <v>9.0000854227687892</v>
      </c>
      <c r="D1287" s="3">
        <v>75.68415624915626</v>
      </c>
      <c r="E1287" s="20">
        <v>1401.5570475</v>
      </c>
      <c r="F1287" s="20">
        <v>9340.9621832662542</v>
      </c>
      <c r="H1287" s="20">
        <v>706.47070262328816</v>
      </c>
      <c r="J1287" s="20">
        <v>994.14023931530357</v>
      </c>
      <c r="N1287" s="20">
        <v>7640.3512413276621</v>
      </c>
      <c r="AC1287" s="20">
        <v>14.008843377298108</v>
      </c>
      <c r="AE1287" s="20">
        <v>21.602610536744422</v>
      </c>
      <c r="AI1287" s="29" t="str">
        <f t="shared" si="49"/>
        <v/>
      </c>
      <c r="AS1287" s="66"/>
      <c r="AT1287" s="66"/>
      <c r="AU1287" s="66"/>
      <c r="AV1287" s="66"/>
      <c r="AW1287" s="66"/>
      <c r="AX1287" s="66"/>
      <c r="BA1287" s="19" t="s">
        <v>118</v>
      </c>
    </row>
    <row r="1288" spans="1:53" s="20" customFormat="1">
      <c r="A1288" s="3" t="s">
        <v>77</v>
      </c>
      <c r="B1288" s="5">
        <v>33983.453200000004</v>
      </c>
      <c r="C1288" s="20">
        <v>10.000085422768791</v>
      </c>
      <c r="D1288" s="3">
        <v>73.601104166104179</v>
      </c>
      <c r="E1288" s="20">
        <v>1362.9820475000001</v>
      </c>
      <c r="F1288" s="20">
        <v>11042.975086347033</v>
      </c>
      <c r="H1288" s="20">
        <v>765.86936818172876</v>
      </c>
      <c r="J1288" s="20">
        <v>1181.8098441065208</v>
      </c>
      <c r="N1288" s="20">
        <v>9095.2958740587819</v>
      </c>
      <c r="AC1288" s="20">
        <v>15.089133823354013</v>
      </c>
      <c r="AE1288" s="20">
        <v>24.373037293160223</v>
      </c>
      <c r="AI1288" s="29" t="str">
        <f t="shared" si="49"/>
        <v/>
      </c>
      <c r="AS1288" s="66"/>
      <c r="AT1288" s="66"/>
      <c r="AU1288" s="66"/>
      <c r="AV1288" s="66"/>
      <c r="AW1288" s="66"/>
      <c r="AX1288" s="66"/>
      <c r="BA1288" s="19" t="s">
        <v>118</v>
      </c>
    </row>
    <row r="1289" spans="1:53" s="20" customFormat="1">
      <c r="A1289" s="3" t="s">
        <v>77</v>
      </c>
      <c r="B1289" s="5">
        <v>34348.695400000004</v>
      </c>
      <c r="C1289" s="20">
        <v>11.000085422768793</v>
      </c>
      <c r="D1289" s="3">
        <v>72.90682290682291</v>
      </c>
      <c r="E1289" s="20">
        <v>1350.125</v>
      </c>
      <c r="F1289" s="20">
        <v>12549.465349378566</v>
      </c>
      <c r="H1289" s="20">
        <v>817.44198337547687</v>
      </c>
      <c r="J1289" s="20">
        <v>1337.8089498875988</v>
      </c>
      <c r="N1289" s="20">
        <v>10394.21441611549</v>
      </c>
      <c r="AC1289" s="20">
        <v>15.902789728530299</v>
      </c>
      <c r="AE1289" s="20">
        <v>26.817081337992207</v>
      </c>
      <c r="AF1289" s="20">
        <v>100.19510489510489</v>
      </c>
      <c r="AI1289" s="29">
        <f t="shared" si="49"/>
        <v>9.1085751650358677</v>
      </c>
      <c r="AS1289" s="66"/>
      <c r="AT1289" s="66"/>
      <c r="AU1289" s="66"/>
      <c r="AV1289" s="66"/>
      <c r="AW1289" s="66"/>
      <c r="AX1289" s="66"/>
      <c r="BA1289" s="19" t="s">
        <v>118</v>
      </c>
    </row>
    <row r="1290" spans="1:53" s="20" customFormat="1">
      <c r="A1290" s="3" t="s">
        <v>77</v>
      </c>
      <c r="B1290" s="5">
        <v>35079.179800000005</v>
      </c>
      <c r="C1290" s="20">
        <v>13.000085422768796</v>
      </c>
      <c r="D1290" s="3">
        <v>72.212541647541642</v>
      </c>
      <c r="E1290" s="20">
        <v>1337.2679524999999</v>
      </c>
      <c r="F1290" s="20">
        <v>15089.168211307388</v>
      </c>
      <c r="H1290" s="20">
        <v>897.15387247841079</v>
      </c>
      <c r="J1290" s="20">
        <v>1580.7029501136437</v>
      </c>
      <c r="N1290" s="20">
        <v>12611.311388715332</v>
      </c>
      <c r="AC1290" s="20">
        <v>17.133478347153279</v>
      </c>
      <c r="AE1290" s="20">
        <v>30.831908890702412</v>
      </c>
      <c r="AI1290" s="29" t="str">
        <f t="shared" si="49"/>
        <v/>
      </c>
      <c r="AS1290" s="66"/>
      <c r="AT1290" s="66"/>
      <c r="AU1290" s="66"/>
      <c r="AV1290" s="66"/>
      <c r="AW1290" s="66"/>
      <c r="AX1290" s="66"/>
      <c r="BA1290" s="19" t="s">
        <v>118</v>
      </c>
    </row>
    <row r="1291" spans="1:53" s="20" customFormat="1">
      <c r="A1291" s="3" t="s">
        <v>77</v>
      </c>
      <c r="B1291" s="5">
        <v>35444.422000000006</v>
      </c>
      <c r="C1291" s="20">
        <v>14.000085422768798</v>
      </c>
      <c r="D1291" s="3">
        <v>71.518052083052083</v>
      </c>
      <c r="E1291" s="20">
        <v>1324.4070475000001</v>
      </c>
      <c r="F1291" s="20">
        <v>15945.90946355382</v>
      </c>
      <c r="H1291" s="20">
        <v>916.38168389459133</v>
      </c>
      <c r="J1291" s="20">
        <v>1649.4707055166521</v>
      </c>
      <c r="N1291" s="20">
        <v>13380.057074142576</v>
      </c>
      <c r="AC1291" s="20">
        <v>17.572246587722681</v>
      </c>
      <c r="AE1291" s="20">
        <v>32.119365541711844</v>
      </c>
      <c r="AF1291" s="20">
        <v>182.33706293706294</v>
      </c>
      <c r="AI1291" s="29">
        <f t="shared" si="49"/>
        <v>13.023996456516057</v>
      </c>
      <c r="AS1291" s="66"/>
      <c r="AT1291" s="66"/>
      <c r="AU1291" s="66"/>
      <c r="AV1291" s="66"/>
      <c r="AW1291" s="66"/>
      <c r="AX1291" s="66"/>
      <c r="BA1291" s="19" t="s">
        <v>118</v>
      </c>
    </row>
    <row r="1292" spans="1:53" s="20" customFormat="1">
      <c r="A1292" s="3" t="s">
        <v>77</v>
      </c>
      <c r="B1292" s="5">
        <v>35809.664200000007</v>
      </c>
      <c r="C1292" s="20">
        <v>15.000085422768798</v>
      </c>
      <c r="D1292" s="3">
        <v>69.435000000000002</v>
      </c>
      <c r="E1292" s="20">
        <v>1285.8320475</v>
      </c>
      <c r="F1292" s="20">
        <v>16826.037147022358</v>
      </c>
      <c r="H1292" s="20">
        <v>934.23408338265222</v>
      </c>
      <c r="J1292" s="20">
        <v>1729.6253885833587</v>
      </c>
      <c r="N1292" s="20">
        <v>14162.177675056348</v>
      </c>
      <c r="AC1292" s="20">
        <v>18.138704296099572</v>
      </c>
      <c r="AE1292" s="20">
        <v>33.22673473678627</v>
      </c>
      <c r="AF1292" s="20">
        <v>190.62867132867132</v>
      </c>
      <c r="AI1292" s="29">
        <f t="shared" si="49"/>
        <v>12.708505715528387</v>
      </c>
      <c r="AS1292" s="66"/>
      <c r="AT1292" s="66"/>
      <c r="AU1292" s="66"/>
      <c r="AV1292" s="66"/>
      <c r="AW1292" s="66"/>
      <c r="AX1292" s="66"/>
      <c r="BA1292" s="19" t="s">
        <v>118</v>
      </c>
    </row>
    <row r="1293" spans="1:53" s="20" customFormat="1">
      <c r="A1293" s="3" t="s">
        <v>77</v>
      </c>
      <c r="B1293" s="5">
        <v>36174.906400000007</v>
      </c>
      <c r="C1293" s="20">
        <v>16.000085422768802</v>
      </c>
      <c r="D1293" s="3">
        <v>69.435000000000002</v>
      </c>
      <c r="E1293" s="20">
        <v>1285.8320475</v>
      </c>
      <c r="F1293" s="20">
        <v>17759.09973432386</v>
      </c>
      <c r="H1293" s="20">
        <v>959.50887628208443</v>
      </c>
      <c r="J1293" s="20">
        <v>1804.5964000270967</v>
      </c>
      <c r="N1293" s="20">
        <v>14994.994458014678</v>
      </c>
      <c r="AC1293" s="20">
        <v>18.52347525544911</v>
      </c>
      <c r="AE1293" s="20">
        <v>34.651343819290823</v>
      </c>
      <c r="AF1293" s="20">
        <v>208.53286713286712</v>
      </c>
      <c r="AI1293" s="29">
        <f t="shared" si="49"/>
        <v>13.033234612367506</v>
      </c>
      <c r="AS1293" s="66"/>
      <c r="AT1293" s="66"/>
      <c r="AU1293" s="66"/>
      <c r="AV1293" s="66"/>
      <c r="AW1293" s="66"/>
      <c r="AX1293" s="66"/>
      <c r="BA1293" s="19" t="s">
        <v>118</v>
      </c>
    </row>
    <row r="1294" spans="1:53" s="20" customFormat="1">
      <c r="A1294" s="3" t="s">
        <v>77</v>
      </c>
      <c r="B1294" s="5">
        <v>36905.390800000008</v>
      </c>
      <c r="C1294" s="20">
        <v>18.000085422768805</v>
      </c>
      <c r="D1294" s="3">
        <v>69.435000000000002</v>
      </c>
      <c r="E1294" s="20">
        <v>1285.8320475</v>
      </c>
      <c r="F1294" s="20">
        <v>19394.250349596361</v>
      </c>
      <c r="H1294" s="20">
        <v>1000.134439007075</v>
      </c>
      <c r="J1294" s="20">
        <v>1924.907341979381</v>
      </c>
      <c r="N1294" s="20">
        <v>16469.208568609905</v>
      </c>
      <c r="AC1294" s="20">
        <v>19.172698393708853</v>
      </c>
      <c r="AE1294" s="20">
        <v>37.122876751721492</v>
      </c>
      <c r="AF1294" s="20">
        <v>251.39020979020978</v>
      </c>
      <c r="AI1294" s="29">
        <f t="shared" si="49"/>
        <v>13.96605648727752</v>
      </c>
      <c r="AS1294" s="66"/>
      <c r="AT1294" s="66"/>
      <c r="AU1294" s="66"/>
      <c r="AV1294" s="66"/>
      <c r="AW1294" s="66"/>
      <c r="AX1294" s="66"/>
      <c r="BA1294" s="19" t="s">
        <v>118</v>
      </c>
    </row>
    <row r="1295" spans="1:53" s="20" customFormat="1">
      <c r="A1295" s="3" t="s">
        <v>77</v>
      </c>
      <c r="B1295" s="5">
        <v>38366.359600000011</v>
      </c>
      <c r="C1295" s="20">
        <v>22.000085422768809</v>
      </c>
      <c r="D1295" s="3">
        <v>62.49156249156249</v>
      </c>
      <c r="E1295" s="20">
        <v>1157.25</v>
      </c>
      <c r="F1295" s="20">
        <v>21997.481933069801</v>
      </c>
      <c r="H1295" s="20">
        <v>1046.7786911092576</v>
      </c>
      <c r="J1295" s="20">
        <v>2141.2228493011398</v>
      </c>
      <c r="N1295" s="20">
        <v>18809.480392659403</v>
      </c>
      <c r="AC1295" s="20">
        <v>20.926157168669477</v>
      </c>
      <c r="AE1295" s="20">
        <v>39.801281184414066</v>
      </c>
      <c r="AF1295" s="20">
        <v>305.06503496503495</v>
      </c>
      <c r="AI1295" s="29">
        <f t="shared" si="49"/>
        <v>13.866538656677687</v>
      </c>
      <c r="AS1295" s="66"/>
      <c r="AT1295" s="66"/>
      <c r="AU1295" s="66"/>
      <c r="AV1295" s="66"/>
      <c r="AW1295" s="66"/>
      <c r="AX1295" s="66"/>
      <c r="BA1295" s="19" t="s">
        <v>118</v>
      </c>
    </row>
    <row r="1296" spans="1:53" s="20" customFormat="1">
      <c r="A1296" s="3" t="s">
        <v>77</v>
      </c>
      <c r="B1296" s="5">
        <v>39462.086200000012</v>
      </c>
      <c r="C1296" s="20">
        <v>25.000085422768816</v>
      </c>
      <c r="D1296" s="3">
        <v>59.714229149229162</v>
      </c>
      <c r="E1296" s="20">
        <v>1105.8179525</v>
      </c>
      <c r="F1296" s="20">
        <v>23250.815097807616</v>
      </c>
      <c r="H1296" s="20">
        <v>1060.6707621558141</v>
      </c>
      <c r="J1296" s="20">
        <v>2210.5382285326023</v>
      </c>
      <c r="N1296" s="20">
        <v>19979.606107119202</v>
      </c>
      <c r="AC1296" s="20">
        <v>21.755570496371213</v>
      </c>
      <c r="AE1296" s="20">
        <v>41.10697186414663</v>
      </c>
      <c r="AF1296" s="20">
        <v>359.50909090909084</v>
      </c>
      <c r="AI1296" s="29">
        <f t="shared" si="49"/>
        <v>14.380314500112393</v>
      </c>
      <c r="AS1296" s="66"/>
      <c r="AT1296" s="66"/>
      <c r="AU1296" s="66"/>
      <c r="AV1296" s="66"/>
      <c r="AW1296" s="66"/>
      <c r="AX1296" s="66"/>
      <c r="BA1296" s="19" t="s">
        <v>118</v>
      </c>
    </row>
    <row r="1297" spans="1:53" s="20" customFormat="1">
      <c r="A1297" s="3" t="s">
        <v>78</v>
      </c>
      <c r="B1297" s="5">
        <v>30331</v>
      </c>
      <c r="C1297" s="20">
        <v>0</v>
      </c>
      <c r="D1297" s="3">
        <v>100</v>
      </c>
      <c r="E1297" s="20">
        <v>1851.85</v>
      </c>
      <c r="AI1297" s="29" t="str">
        <f t="shared" si="49"/>
        <v/>
      </c>
      <c r="AS1297" s="66"/>
      <c r="AT1297" s="66"/>
      <c r="AU1297" s="66"/>
      <c r="AV1297" s="66"/>
      <c r="AW1297" s="66"/>
      <c r="AX1297" s="66"/>
      <c r="BA1297" s="19" t="s">
        <v>118</v>
      </c>
    </row>
    <row r="1298" spans="1:53" s="20" customFormat="1">
      <c r="A1298" s="3" t="s">
        <v>78</v>
      </c>
      <c r="B1298" s="5">
        <v>31792</v>
      </c>
      <c r="C1298" s="20">
        <v>4.0000854227687812</v>
      </c>
      <c r="D1298" s="3">
        <v>73.601104166104179</v>
      </c>
      <c r="E1298" s="20">
        <v>1362.9820475000001</v>
      </c>
      <c r="F1298" s="20">
        <v>2235.6036273879886</v>
      </c>
      <c r="H1298" s="20">
        <v>381.54198974785595</v>
      </c>
      <c r="J1298" s="20">
        <v>226.40433184242821</v>
      </c>
      <c r="N1298" s="20">
        <v>1627.6573057977046</v>
      </c>
      <c r="AC1298" s="20">
        <v>8.0197727713436588</v>
      </c>
      <c r="AE1298" s="20">
        <v>6.8850192556867116</v>
      </c>
      <c r="AF1298" s="20">
        <v>16.481118881118881</v>
      </c>
      <c r="AI1298" s="29">
        <f t="shared" si="49"/>
        <v>4.1201917307333336</v>
      </c>
      <c r="AS1298" s="66"/>
      <c r="AT1298" s="66"/>
      <c r="AU1298" s="66"/>
      <c r="AV1298" s="66"/>
      <c r="AW1298" s="66"/>
      <c r="AX1298" s="66"/>
      <c r="BA1298" s="19" t="s">
        <v>118</v>
      </c>
    </row>
    <row r="1299" spans="1:53" s="20" customFormat="1">
      <c r="A1299" s="3" t="s">
        <v>78</v>
      </c>
      <c r="B1299" s="5">
        <v>32157.242200000001</v>
      </c>
      <c r="C1299" s="20">
        <v>5.000085422768783</v>
      </c>
      <c r="D1299" s="3">
        <v>74.295593730593737</v>
      </c>
      <c r="E1299" s="20">
        <v>1375.8429524999999</v>
      </c>
      <c r="F1299" s="20">
        <v>3515.3455302197935</v>
      </c>
      <c r="H1299" s="20">
        <v>455.79211469679967</v>
      </c>
      <c r="J1299" s="20">
        <v>370.03170365585532</v>
      </c>
      <c r="N1299" s="20">
        <v>2689.5217118671385</v>
      </c>
      <c r="AC1299" s="20">
        <v>9.6114032467072743</v>
      </c>
      <c r="AE1299" s="20">
        <v>9.9823629746972617</v>
      </c>
      <c r="AI1299" s="29" t="str">
        <f t="shared" si="49"/>
        <v/>
      </c>
      <c r="AS1299" s="66"/>
      <c r="AT1299" s="66"/>
      <c r="AU1299" s="66"/>
      <c r="AV1299" s="66"/>
      <c r="AW1299" s="66"/>
      <c r="AX1299" s="66"/>
      <c r="BA1299" s="19" t="s">
        <v>118</v>
      </c>
    </row>
    <row r="1300" spans="1:53" s="20" customFormat="1">
      <c r="A1300" s="3" t="s">
        <v>78</v>
      </c>
      <c r="B1300" s="5">
        <v>32522.484400000001</v>
      </c>
      <c r="C1300" s="20">
        <v>6.0000854227687848</v>
      </c>
      <c r="D1300" s="3">
        <v>74.295593730593737</v>
      </c>
      <c r="E1300" s="20">
        <v>1375.8429524999999</v>
      </c>
      <c r="F1300" s="20">
        <v>5056.7093912138416</v>
      </c>
      <c r="H1300" s="20">
        <v>532.39893355452</v>
      </c>
      <c r="J1300" s="20">
        <v>544.29504842044355</v>
      </c>
      <c r="N1300" s="20">
        <v>3980.0154092388775</v>
      </c>
      <c r="AC1300" s="20">
        <v>11.099744937119493</v>
      </c>
      <c r="AE1300" s="20">
        <v>13.313301239196765</v>
      </c>
      <c r="AF1300" s="20">
        <v>46.54195804195804</v>
      </c>
      <c r="AI1300" s="29">
        <f t="shared" si="49"/>
        <v>7.7568825712619445</v>
      </c>
      <c r="AS1300" s="66"/>
      <c r="AT1300" s="66"/>
      <c r="AU1300" s="66"/>
      <c r="AV1300" s="66"/>
      <c r="AW1300" s="66"/>
      <c r="AX1300" s="66"/>
      <c r="BA1300" s="19" t="s">
        <v>118</v>
      </c>
    </row>
    <row r="1301" spans="1:53" s="20" customFormat="1">
      <c r="A1301" s="3" t="s">
        <v>78</v>
      </c>
      <c r="B1301" s="5">
        <v>32887.726600000002</v>
      </c>
      <c r="C1301" s="20">
        <v>7.0000854227687865</v>
      </c>
      <c r="D1301" s="3">
        <v>73.601104166104179</v>
      </c>
      <c r="E1301" s="20">
        <v>1362.9820475000001</v>
      </c>
      <c r="F1301" s="20">
        <v>6678.5512807322448</v>
      </c>
      <c r="H1301" s="20">
        <v>602.46782568411561</v>
      </c>
      <c r="J1301" s="20">
        <v>726.59847074059576</v>
      </c>
      <c r="N1301" s="20">
        <v>5349.4849843075335</v>
      </c>
      <c r="AC1301" s="20">
        <v>12.41620287989806</v>
      </c>
      <c r="AE1301" s="20">
        <v>16.502837874191382</v>
      </c>
      <c r="AI1301" s="29" t="str">
        <f t="shared" si="49"/>
        <v/>
      </c>
      <c r="AS1301" s="66"/>
      <c r="AT1301" s="66"/>
      <c r="AU1301" s="66"/>
      <c r="AV1301" s="66"/>
      <c r="AW1301" s="66"/>
      <c r="AX1301" s="66"/>
      <c r="BA1301" s="19" t="s">
        <v>118</v>
      </c>
    </row>
    <row r="1302" spans="1:53" s="20" customFormat="1">
      <c r="A1302" s="3" t="s">
        <v>78</v>
      </c>
      <c r="B1302" s="5">
        <v>33618.211000000003</v>
      </c>
      <c r="C1302" s="20">
        <v>9.0000854227687892</v>
      </c>
      <c r="D1302" s="3">
        <v>70.823770823770829</v>
      </c>
      <c r="E1302" s="20">
        <v>1311.55</v>
      </c>
      <c r="F1302" s="20">
        <v>9319.3344061426596</v>
      </c>
      <c r="H1302" s="20">
        <v>691.64195327458322</v>
      </c>
      <c r="J1302" s="20">
        <v>1006.4089448139855</v>
      </c>
      <c r="N1302" s="20">
        <v>7621.2835080540899</v>
      </c>
      <c r="AC1302" s="20">
        <v>14.341440632076894</v>
      </c>
      <c r="AE1302" s="20">
        <v>21.186601968561359</v>
      </c>
      <c r="AI1302" s="29" t="str">
        <f t="shared" si="49"/>
        <v/>
      </c>
      <c r="AS1302" s="66"/>
      <c r="AT1302" s="66"/>
      <c r="AU1302" s="66"/>
      <c r="AV1302" s="66"/>
      <c r="AW1302" s="66"/>
      <c r="AX1302" s="66"/>
      <c r="BA1302" s="19" t="s">
        <v>118</v>
      </c>
    </row>
    <row r="1303" spans="1:53" s="20" customFormat="1">
      <c r="A1303" s="3" t="s">
        <v>78</v>
      </c>
      <c r="B1303" s="5">
        <v>33983.453200000004</v>
      </c>
      <c r="C1303" s="20">
        <v>10.000085422768791</v>
      </c>
      <c r="D1303" s="3">
        <v>70.823770823770829</v>
      </c>
      <c r="E1303" s="20">
        <v>1311.55</v>
      </c>
      <c r="F1303" s="20">
        <v>10971.508976357081</v>
      </c>
      <c r="H1303" s="20">
        <v>754.59694542726561</v>
      </c>
      <c r="J1303" s="20">
        <v>1182.8032012925535</v>
      </c>
      <c r="N1303" s="20">
        <v>9034.1088296372618</v>
      </c>
      <c r="AC1303" s="20">
        <v>15.265958516858916</v>
      </c>
      <c r="AE1303" s="20">
        <v>24.006226785346101</v>
      </c>
      <c r="AI1303" s="29" t="str">
        <f t="shared" si="49"/>
        <v/>
      </c>
      <c r="AS1303" s="66"/>
      <c r="AT1303" s="66"/>
      <c r="AU1303" s="66"/>
      <c r="AV1303" s="66"/>
      <c r="AW1303" s="66"/>
      <c r="AX1303" s="66"/>
      <c r="BA1303" s="19" t="s">
        <v>118</v>
      </c>
    </row>
    <row r="1304" spans="1:53" s="20" customFormat="1">
      <c r="A1304" s="3" t="s">
        <v>78</v>
      </c>
      <c r="B1304" s="5">
        <v>34348.695400000004</v>
      </c>
      <c r="C1304" s="20">
        <v>11.000085422768793</v>
      </c>
      <c r="D1304" s="3">
        <v>69.435000000000002</v>
      </c>
      <c r="E1304" s="20">
        <v>1285.8320475</v>
      </c>
      <c r="F1304" s="20">
        <v>12133.227552322265</v>
      </c>
      <c r="H1304" s="20">
        <v>787.5464311158936</v>
      </c>
      <c r="J1304" s="20">
        <v>1297.9513541617837</v>
      </c>
      <c r="N1304" s="20">
        <v>10047.729767044588</v>
      </c>
      <c r="AC1304" s="20">
        <v>15.990004726108412</v>
      </c>
      <c r="AE1304" s="20">
        <v>25.820956549580885</v>
      </c>
      <c r="AF1304" s="20">
        <v>98.916083916083906</v>
      </c>
      <c r="AI1304" s="29">
        <f t="shared" si="49"/>
        <v>8.9923014335270572</v>
      </c>
      <c r="AS1304" s="66"/>
      <c r="AT1304" s="66"/>
      <c r="AU1304" s="66"/>
      <c r="AV1304" s="66"/>
      <c r="AW1304" s="66"/>
      <c r="AX1304" s="66"/>
      <c r="BA1304" s="19" t="s">
        <v>118</v>
      </c>
    </row>
    <row r="1305" spans="1:53" s="20" customFormat="1">
      <c r="A1305" s="3" t="s">
        <v>78</v>
      </c>
      <c r="B1305" s="5">
        <v>35079.179800000005</v>
      </c>
      <c r="C1305" s="20">
        <v>13.000085422768796</v>
      </c>
      <c r="D1305" s="3">
        <v>64.574614574614571</v>
      </c>
      <c r="E1305" s="20">
        <v>1195.825</v>
      </c>
      <c r="F1305" s="20">
        <v>14171.381639115298</v>
      </c>
      <c r="H1305" s="20">
        <v>834.86215913964475</v>
      </c>
      <c r="J1305" s="20">
        <v>1501.8292892885233</v>
      </c>
      <c r="N1305" s="20">
        <v>11834.69019068713</v>
      </c>
      <c r="AC1305" s="20">
        <v>17.439761682204747</v>
      </c>
      <c r="AE1305" s="20">
        <v>28.565354450889505</v>
      </c>
      <c r="AI1305" s="29" t="str">
        <f t="shared" si="49"/>
        <v/>
      </c>
      <c r="AS1305" s="66"/>
      <c r="AT1305" s="66"/>
      <c r="AU1305" s="66"/>
      <c r="AV1305" s="66"/>
      <c r="AW1305" s="66"/>
      <c r="AX1305" s="66"/>
      <c r="BA1305" s="19" t="s">
        <v>118</v>
      </c>
    </row>
    <row r="1306" spans="1:53" s="20" customFormat="1">
      <c r="A1306" s="3" t="s">
        <v>78</v>
      </c>
      <c r="B1306" s="5">
        <v>35444.422000000006</v>
      </c>
      <c r="C1306" s="20">
        <v>14.000085422768798</v>
      </c>
      <c r="D1306" s="3">
        <v>64.574614574614571</v>
      </c>
      <c r="E1306" s="20">
        <v>1195.825</v>
      </c>
      <c r="F1306" s="20">
        <v>15000.231979476106</v>
      </c>
      <c r="H1306" s="20">
        <v>855.93933875212531</v>
      </c>
      <c r="J1306" s="20">
        <v>1566.8415442420585</v>
      </c>
      <c r="N1306" s="20">
        <v>12577.451096481922</v>
      </c>
      <c r="AC1306" s="20">
        <v>17.834119191995864</v>
      </c>
      <c r="AE1306" s="20">
        <v>29.871831801046888</v>
      </c>
      <c r="AF1306" s="20">
        <v>171.84965034965032</v>
      </c>
      <c r="AI1306" s="29">
        <f t="shared" si="49"/>
        <v>12.274900128121047</v>
      </c>
      <c r="AS1306" s="66"/>
      <c r="AT1306" s="66"/>
      <c r="AU1306" s="66"/>
      <c r="AV1306" s="66"/>
      <c r="AW1306" s="66"/>
      <c r="AX1306" s="66"/>
      <c r="BA1306" s="19" t="s">
        <v>118</v>
      </c>
    </row>
    <row r="1307" spans="1:53" s="20" customFormat="1">
      <c r="A1307" s="3" t="s">
        <v>78</v>
      </c>
      <c r="B1307" s="5">
        <v>35809.664200000007</v>
      </c>
      <c r="C1307" s="20">
        <v>15.000085422768798</v>
      </c>
      <c r="D1307" s="3">
        <v>64.574614574614571</v>
      </c>
      <c r="E1307" s="20">
        <v>1195.825</v>
      </c>
      <c r="F1307" s="20">
        <v>15852.542564680289</v>
      </c>
      <c r="H1307" s="20">
        <v>878.39889236884756</v>
      </c>
      <c r="J1307" s="20">
        <v>1634.6320762978771</v>
      </c>
      <c r="N1307" s="20">
        <v>13339.511596013563</v>
      </c>
      <c r="AC1307" s="20">
        <v>18.223693921537549</v>
      </c>
      <c r="AE1307" s="20">
        <v>31.191147367939912</v>
      </c>
      <c r="AF1307" s="20">
        <v>179.31678321678322</v>
      </c>
      <c r="AI1307" s="29">
        <f t="shared" si="49"/>
        <v>11.954384136012736</v>
      </c>
      <c r="AS1307" s="66"/>
      <c r="AT1307" s="66"/>
      <c r="AU1307" s="66"/>
      <c r="AV1307" s="66"/>
      <c r="AW1307" s="66"/>
      <c r="AX1307" s="66"/>
      <c r="BA1307" s="19" t="s">
        <v>118</v>
      </c>
    </row>
    <row r="1308" spans="1:53" s="20" customFormat="1">
      <c r="A1308" s="3" t="s">
        <v>78</v>
      </c>
      <c r="B1308" s="5">
        <v>36174.906400000007</v>
      </c>
      <c r="C1308" s="20">
        <v>16.000085422768802</v>
      </c>
      <c r="D1308" s="3">
        <v>64.574614574614571</v>
      </c>
      <c r="E1308" s="20">
        <v>1195.825</v>
      </c>
      <c r="F1308" s="20">
        <v>17290.89827431404</v>
      </c>
      <c r="H1308" s="20">
        <v>928.27561619497851</v>
      </c>
      <c r="J1308" s="20">
        <v>1776.623328744018</v>
      </c>
      <c r="N1308" s="20">
        <v>14585.999329375045</v>
      </c>
      <c r="AC1308" s="20">
        <v>18.831639991142762</v>
      </c>
      <c r="AE1308" s="20">
        <v>33.306945901112698</v>
      </c>
      <c r="AF1308" s="20">
        <v>197.68811188811188</v>
      </c>
      <c r="AI1308" s="29">
        <f t="shared" si="49"/>
        <v>12.355441028258092</v>
      </c>
      <c r="AS1308" s="66"/>
      <c r="AT1308" s="66"/>
      <c r="AU1308" s="66"/>
      <c r="AV1308" s="66"/>
      <c r="AW1308" s="66"/>
      <c r="AX1308" s="66"/>
      <c r="BA1308" s="19" t="s">
        <v>118</v>
      </c>
    </row>
    <row r="1309" spans="1:53" s="20" customFormat="1">
      <c r="A1309" s="3" t="s">
        <v>78</v>
      </c>
      <c r="B1309" s="5">
        <v>36905.390800000008</v>
      </c>
      <c r="C1309" s="20">
        <v>18.000085422768805</v>
      </c>
      <c r="D1309" s="3">
        <v>62.49156249156249</v>
      </c>
      <c r="E1309" s="20">
        <v>1157.25</v>
      </c>
      <c r="F1309" s="20">
        <v>18245.186477550418</v>
      </c>
      <c r="H1309" s="20">
        <v>936.05675688796896</v>
      </c>
      <c r="J1309" s="20">
        <v>1830.6471045492501</v>
      </c>
      <c r="N1309" s="20">
        <v>15478.482616113199</v>
      </c>
      <c r="AC1309" s="20">
        <v>19.480228774366228</v>
      </c>
      <c r="AE1309" s="20">
        <v>34.491032251723539</v>
      </c>
      <c r="AF1309" s="20">
        <v>233.97062937062938</v>
      </c>
      <c r="AI1309" s="29">
        <f t="shared" si="49"/>
        <v>12.998306612182711</v>
      </c>
      <c r="AS1309" s="66"/>
      <c r="AT1309" s="66"/>
      <c r="AU1309" s="66"/>
      <c r="AV1309" s="66"/>
      <c r="AW1309" s="66"/>
      <c r="AX1309" s="66"/>
      <c r="BA1309" s="19" t="s">
        <v>118</v>
      </c>
    </row>
    <row r="1310" spans="1:53" s="20" customFormat="1">
      <c r="A1310" s="3" t="s">
        <v>78</v>
      </c>
      <c r="B1310" s="5">
        <v>38366.359600000011</v>
      </c>
      <c r="C1310" s="20">
        <v>22.000085422768809</v>
      </c>
      <c r="D1310" s="3">
        <v>43.049812484812485</v>
      </c>
      <c r="E1310" s="20">
        <v>797.21795249999991</v>
      </c>
      <c r="F1310" s="20">
        <v>17348.505216398604</v>
      </c>
      <c r="H1310" s="20">
        <v>820.82646187594003</v>
      </c>
      <c r="J1310" s="20">
        <v>1748.0102032622551</v>
      </c>
      <c r="N1310" s="20">
        <v>14779.668551260407</v>
      </c>
      <c r="AC1310" s="20">
        <v>21.962360773484836</v>
      </c>
      <c r="AE1310" s="20">
        <v>30.201325892216051</v>
      </c>
      <c r="AF1310" s="20">
        <v>239.58041958041957</v>
      </c>
      <c r="AI1310" s="29">
        <f t="shared" si="49"/>
        <v>10.889976787656822</v>
      </c>
      <c r="AS1310" s="66"/>
      <c r="AT1310" s="66"/>
      <c r="AU1310" s="66"/>
      <c r="AV1310" s="66"/>
      <c r="AW1310" s="66"/>
      <c r="AX1310" s="66"/>
      <c r="BA1310" s="19" t="s">
        <v>118</v>
      </c>
    </row>
    <row r="1311" spans="1:53" s="20" customFormat="1">
      <c r="A1311" s="3" t="s">
        <v>78</v>
      </c>
      <c r="B1311" s="5">
        <v>39462.086200000012</v>
      </c>
      <c r="C1311" s="20">
        <v>25.000085422768816</v>
      </c>
      <c r="D1311" s="3">
        <v>36.106166671166676</v>
      </c>
      <c r="E1311" s="20">
        <v>668.6320475</v>
      </c>
      <c r="F1311" s="20">
        <v>16832.32149669695</v>
      </c>
      <c r="H1311" s="20">
        <v>766.99865091475169</v>
      </c>
      <c r="J1311" s="20">
        <v>1677.2500227380901</v>
      </c>
      <c r="N1311" s="20">
        <v>14388.072823044107</v>
      </c>
      <c r="AC1311" s="20">
        <v>23.198326555253892</v>
      </c>
      <c r="AE1311" s="20">
        <v>28.261252190931465</v>
      </c>
      <c r="AF1311" s="20">
        <v>255.97622377622378</v>
      </c>
      <c r="AI1311" s="29">
        <f t="shared" si="49"/>
        <v>10.239013965252036</v>
      </c>
      <c r="AS1311" s="66"/>
      <c r="AT1311" s="66"/>
      <c r="AU1311" s="66"/>
      <c r="AV1311" s="66"/>
      <c r="AW1311" s="66"/>
      <c r="AX1311" s="66"/>
      <c r="BA1311" s="19" t="s">
        <v>118</v>
      </c>
    </row>
    <row r="1312" spans="1:53" s="20" customFormat="1">
      <c r="A1312" s="3" t="s">
        <v>79</v>
      </c>
      <c r="B1312" s="5">
        <v>30331</v>
      </c>
      <c r="C1312" s="20">
        <v>0</v>
      </c>
      <c r="D1312" s="3">
        <v>100</v>
      </c>
      <c r="E1312" s="20">
        <v>1851.85</v>
      </c>
      <c r="AI1312" s="29" t="str">
        <f t="shared" si="49"/>
        <v/>
      </c>
      <c r="AS1312" s="66"/>
      <c r="AT1312" s="66"/>
      <c r="AU1312" s="66"/>
      <c r="AV1312" s="66"/>
      <c r="AW1312" s="66"/>
      <c r="AX1312" s="66"/>
      <c r="BA1312" s="19" t="s">
        <v>118</v>
      </c>
    </row>
    <row r="1313" spans="1:53" s="20" customFormat="1">
      <c r="A1313" s="3" t="s">
        <v>79</v>
      </c>
      <c r="B1313" s="5">
        <v>31792</v>
      </c>
      <c r="C1313" s="20">
        <v>4.0000854227687812</v>
      </c>
      <c r="D1313" s="3">
        <v>74.295593730593737</v>
      </c>
      <c r="E1313" s="20">
        <v>1375.8429524999999</v>
      </c>
      <c r="F1313" s="20">
        <v>4089.9334505941533</v>
      </c>
      <c r="H1313" s="20">
        <v>530.49085484098055</v>
      </c>
      <c r="J1313" s="20">
        <v>481.99863574651425</v>
      </c>
      <c r="N1313" s="20">
        <v>3077.4439600066585</v>
      </c>
      <c r="AC1313" s="20">
        <v>10.09908914494874</v>
      </c>
      <c r="AE1313" s="20">
        <v>11.021080435102153</v>
      </c>
      <c r="AF1313" s="20">
        <v>28.344125874125876</v>
      </c>
      <c r="AI1313" s="29">
        <f t="shared" si="49"/>
        <v>7.0858801446561666</v>
      </c>
      <c r="AS1313" s="66"/>
      <c r="AT1313" s="66"/>
      <c r="AU1313" s="66"/>
      <c r="AV1313" s="66"/>
      <c r="AW1313" s="66"/>
      <c r="AX1313" s="66"/>
      <c r="BA1313" s="19" t="s">
        <v>118</v>
      </c>
    </row>
    <row r="1314" spans="1:53" s="20" customFormat="1">
      <c r="A1314" s="3" t="s">
        <v>79</v>
      </c>
      <c r="B1314" s="5">
        <v>32157.242200000001</v>
      </c>
      <c r="C1314" s="20">
        <v>5.000085422768783</v>
      </c>
      <c r="D1314" s="3">
        <v>71.518052083052083</v>
      </c>
      <c r="E1314" s="20">
        <v>1324.4070475000001</v>
      </c>
      <c r="F1314" s="20">
        <v>6195.6094581355655</v>
      </c>
      <c r="H1314" s="20">
        <v>628.07583454612154</v>
      </c>
      <c r="J1314" s="20">
        <v>751.79021160705986</v>
      </c>
      <c r="N1314" s="20">
        <v>4815.7434119823838</v>
      </c>
      <c r="AC1314" s="20">
        <v>12.072582975170516</v>
      </c>
      <c r="AE1314" s="20">
        <v>15.16047393231176</v>
      </c>
      <c r="AI1314" s="29" t="str">
        <f t="shared" si="49"/>
        <v/>
      </c>
      <c r="AS1314" s="66"/>
      <c r="AT1314" s="66"/>
      <c r="AU1314" s="66"/>
      <c r="AV1314" s="66"/>
      <c r="AW1314" s="66"/>
      <c r="AX1314" s="66"/>
      <c r="BA1314" s="19" t="s">
        <v>118</v>
      </c>
    </row>
    <row r="1315" spans="1:53" s="20" customFormat="1">
      <c r="A1315" s="3" t="s">
        <v>79</v>
      </c>
      <c r="B1315" s="5">
        <v>32522.484400000001</v>
      </c>
      <c r="C1315" s="20">
        <v>6.0000854227687848</v>
      </c>
      <c r="D1315" s="3">
        <v>70.12948956448956</v>
      </c>
      <c r="E1315" s="20">
        <v>1298.6929525</v>
      </c>
      <c r="F1315" s="20">
        <v>8577.0637578807546</v>
      </c>
      <c r="H1315" s="20">
        <v>733.51424055735447</v>
      </c>
      <c r="J1315" s="20">
        <v>1055.2924651240505</v>
      </c>
      <c r="N1315" s="20">
        <v>6788.2570521993493</v>
      </c>
      <c r="AC1315" s="20">
        <v>13.794243966290811</v>
      </c>
      <c r="AE1315" s="20">
        <v>19.408554262026943</v>
      </c>
      <c r="AF1315" s="20">
        <v>71.69510489510489</v>
      </c>
      <c r="AI1315" s="29">
        <f t="shared" si="49"/>
        <v>11.949014029540374</v>
      </c>
      <c r="AS1315" s="66"/>
      <c r="AT1315" s="66"/>
      <c r="AU1315" s="66"/>
      <c r="AV1315" s="66"/>
      <c r="AW1315" s="66"/>
      <c r="AX1315" s="66"/>
      <c r="BA1315" s="19" t="s">
        <v>118</v>
      </c>
    </row>
    <row r="1316" spans="1:53" s="20" customFormat="1">
      <c r="A1316" s="3" t="s">
        <v>79</v>
      </c>
      <c r="B1316" s="5">
        <v>32887.726600000002</v>
      </c>
      <c r="C1316" s="20">
        <v>7.0000854227687865</v>
      </c>
      <c r="D1316" s="3">
        <v>70.12948956448956</v>
      </c>
      <c r="E1316" s="20">
        <v>1298.6929525</v>
      </c>
      <c r="F1316" s="20">
        <v>10720.138829400246</v>
      </c>
      <c r="H1316" s="20">
        <v>821.88793199569648</v>
      </c>
      <c r="J1316" s="20">
        <v>1312.7520505208936</v>
      </c>
      <c r="N1316" s="20">
        <v>8585.4988468836564</v>
      </c>
      <c r="AC1316" s="20">
        <v>15.037307080291844</v>
      </c>
      <c r="AE1316" s="20">
        <v>23.064153406689265</v>
      </c>
      <c r="AI1316" s="29" t="str">
        <f t="shared" si="49"/>
        <v/>
      </c>
      <c r="AS1316" s="66"/>
      <c r="AT1316" s="66"/>
      <c r="AU1316" s="66"/>
      <c r="AV1316" s="66"/>
      <c r="AW1316" s="66"/>
      <c r="AX1316" s="66"/>
      <c r="BA1316" s="19" t="s">
        <v>118</v>
      </c>
    </row>
    <row r="1317" spans="1:53" s="20" customFormat="1">
      <c r="A1317" s="3" t="s">
        <v>79</v>
      </c>
      <c r="B1317" s="5">
        <v>33618.211000000003</v>
      </c>
      <c r="C1317" s="20">
        <v>9.0000854227687892</v>
      </c>
      <c r="D1317" s="3">
        <v>69.435000000000002</v>
      </c>
      <c r="E1317" s="20">
        <v>1285.8320475</v>
      </c>
      <c r="F1317" s="20">
        <v>13906.665146561496</v>
      </c>
      <c r="H1317" s="20">
        <v>929.07095633693848</v>
      </c>
      <c r="J1317" s="20">
        <v>1653.5945592494368</v>
      </c>
      <c r="N1317" s="20">
        <v>11323.99963097512</v>
      </c>
      <c r="AC1317" s="20">
        <v>16.708046463733069</v>
      </c>
      <c r="AE1317" s="20">
        <v>28.192039246595982</v>
      </c>
      <c r="AI1317" s="29" t="str">
        <f t="shared" si="49"/>
        <v/>
      </c>
      <c r="AS1317" s="66"/>
      <c r="AT1317" s="66"/>
      <c r="AU1317" s="66"/>
      <c r="AV1317" s="66"/>
      <c r="AW1317" s="66"/>
      <c r="AX1317" s="66"/>
      <c r="BA1317" s="19" t="s">
        <v>118</v>
      </c>
    </row>
    <row r="1318" spans="1:53" s="20" customFormat="1">
      <c r="A1318" s="3" t="s">
        <v>79</v>
      </c>
      <c r="B1318" s="5">
        <v>33983.453200000004</v>
      </c>
      <c r="C1318" s="20">
        <v>10.000085422768791</v>
      </c>
      <c r="D1318" s="3">
        <v>68.046437481437479</v>
      </c>
      <c r="E1318" s="20">
        <v>1260.1179525</v>
      </c>
      <c r="F1318" s="20">
        <v>15790.741337463691</v>
      </c>
      <c r="H1318" s="20">
        <v>994.48639806585766</v>
      </c>
      <c r="J1318" s="20">
        <v>1869.3910238213302</v>
      </c>
      <c r="N1318" s="20">
        <v>12926.863915576503</v>
      </c>
      <c r="AC1318" s="20">
        <v>17.671299953256511</v>
      </c>
      <c r="AE1318" s="20">
        <v>30.905736188824605</v>
      </c>
      <c r="AI1318" s="29" t="str">
        <f t="shared" si="49"/>
        <v/>
      </c>
      <c r="AS1318" s="66"/>
      <c r="AT1318" s="66"/>
      <c r="AU1318" s="66"/>
      <c r="AV1318" s="66"/>
      <c r="AW1318" s="66"/>
      <c r="AX1318" s="66"/>
      <c r="BA1318" s="19" t="s">
        <v>118</v>
      </c>
    </row>
    <row r="1319" spans="1:53" s="20" customFormat="1">
      <c r="A1319" s="3" t="s">
        <v>79</v>
      </c>
      <c r="B1319" s="5">
        <v>34348.695400000004</v>
      </c>
      <c r="C1319" s="20">
        <v>11.000085422768793</v>
      </c>
      <c r="D1319" s="3">
        <v>66.657666657666667</v>
      </c>
      <c r="E1319" s="20">
        <v>1234.4000000000001</v>
      </c>
      <c r="F1319" s="20">
        <v>17275.011230086711</v>
      </c>
      <c r="H1319" s="20">
        <v>1039.4629009709449</v>
      </c>
      <c r="J1319" s="20">
        <v>2026.5908622146276</v>
      </c>
      <c r="N1319" s="20">
        <v>14208.957466901138</v>
      </c>
      <c r="AC1319" s="20">
        <v>18.435071916132536</v>
      </c>
      <c r="AE1319" s="20">
        <v>32.94856330499092</v>
      </c>
      <c r="AF1319" s="20">
        <v>131.49160839160837</v>
      </c>
      <c r="AI1319" s="29">
        <f t="shared" si="49"/>
        <v>11.953689752212041</v>
      </c>
      <c r="AS1319" s="66"/>
      <c r="AT1319" s="66"/>
      <c r="AU1319" s="66"/>
      <c r="AV1319" s="66"/>
      <c r="AW1319" s="66"/>
      <c r="AX1319" s="66"/>
      <c r="BA1319" s="19" t="s">
        <v>118</v>
      </c>
    </row>
    <row r="1320" spans="1:53" s="20" customFormat="1">
      <c r="A1320" s="3" t="s">
        <v>79</v>
      </c>
      <c r="B1320" s="5">
        <v>35079.179800000005</v>
      </c>
      <c r="C1320" s="20">
        <v>13.000085422768796</v>
      </c>
      <c r="D1320" s="3">
        <v>65.26889583389584</v>
      </c>
      <c r="E1320" s="20">
        <v>1208.6820475</v>
      </c>
      <c r="F1320" s="20">
        <v>19581.963600862025</v>
      </c>
      <c r="H1320" s="20">
        <v>1101.4198247785432</v>
      </c>
      <c r="J1320" s="20">
        <v>2236.2822974030546</v>
      </c>
      <c r="N1320" s="20">
        <v>16244.26147868043</v>
      </c>
      <c r="AC1320" s="20">
        <v>19.514642524863163</v>
      </c>
      <c r="AE1320" s="20">
        <v>36.151320785925847</v>
      </c>
      <c r="AI1320" s="29" t="str">
        <f t="shared" si="49"/>
        <v/>
      </c>
      <c r="AS1320" s="66"/>
      <c r="AT1320" s="66"/>
      <c r="AU1320" s="66"/>
      <c r="AV1320" s="66"/>
      <c r="AW1320" s="66"/>
      <c r="AX1320" s="66"/>
      <c r="BA1320" s="19" t="s">
        <v>118</v>
      </c>
    </row>
    <row r="1321" spans="1:53" s="20" customFormat="1">
      <c r="A1321" s="3" t="s">
        <v>79</v>
      </c>
      <c r="B1321" s="5">
        <v>35444.422000000006</v>
      </c>
      <c r="C1321" s="20">
        <v>14.000085422768798</v>
      </c>
      <c r="D1321" s="3">
        <v>64.574614574614571</v>
      </c>
      <c r="E1321" s="20">
        <v>1195.825</v>
      </c>
      <c r="F1321" s="20">
        <v>19426.064182435781</v>
      </c>
      <c r="H1321" s="20">
        <v>1069.171863351688</v>
      </c>
      <c r="J1321" s="20">
        <v>2159.3392269871883</v>
      </c>
      <c r="N1321" s="20">
        <v>16197.553092096907</v>
      </c>
      <c r="AC1321" s="20">
        <v>19.570744026551331</v>
      </c>
      <c r="AE1321" s="20">
        <v>35.972713500861552</v>
      </c>
      <c r="AF1321" s="20">
        <v>213.65034965034963</v>
      </c>
      <c r="AI1321" s="29">
        <f t="shared" si="49"/>
        <v>15.260646145978727</v>
      </c>
      <c r="AS1321" s="66"/>
      <c r="AT1321" s="66"/>
      <c r="AU1321" s="66"/>
      <c r="AV1321" s="66"/>
      <c r="AW1321" s="66"/>
      <c r="AX1321" s="66"/>
      <c r="BA1321" s="19" t="s">
        <v>118</v>
      </c>
    </row>
    <row r="1322" spans="1:53" s="20" customFormat="1">
      <c r="A1322" s="3" t="s">
        <v>79</v>
      </c>
      <c r="B1322" s="5">
        <v>35809.664200000007</v>
      </c>
      <c r="C1322" s="20">
        <v>15.000085422768798</v>
      </c>
      <c r="D1322" s="3">
        <v>63.185843750843759</v>
      </c>
      <c r="E1322" s="20">
        <v>1170.1070475000001</v>
      </c>
      <c r="F1322" s="20">
        <v>20325.00434644155</v>
      </c>
      <c r="H1322" s="20">
        <v>1089.1193692585152</v>
      </c>
      <c r="J1322" s="20">
        <v>2237.8687128487591</v>
      </c>
      <c r="N1322" s="20">
        <v>16998.016264334277</v>
      </c>
      <c r="AC1322" s="20">
        <v>20.080353798485191</v>
      </c>
      <c r="AE1322" s="20">
        <v>37.056057609558529</v>
      </c>
      <c r="AF1322" s="20">
        <v>214.88811188811189</v>
      </c>
      <c r="AI1322" s="29">
        <f t="shared" si="49"/>
        <v>14.325792542616512</v>
      </c>
      <c r="AS1322" s="66"/>
      <c r="AT1322" s="66"/>
      <c r="AU1322" s="66"/>
      <c r="AV1322" s="66"/>
      <c r="AW1322" s="66"/>
      <c r="AX1322" s="66"/>
      <c r="BA1322" s="19" t="s">
        <v>118</v>
      </c>
    </row>
    <row r="1323" spans="1:53" s="20" customFormat="1">
      <c r="A1323" s="3" t="s">
        <v>79</v>
      </c>
      <c r="B1323" s="5">
        <v>36174.906400000007</v>
      </c>
      <c r="C1323" s="20">
        <v>16.000085422768802</v>
      </c>
      <c r="D1323" s="3">
        <v>62.49156249156249</v>
      </c>
      <c r="E1323" s="20">
        <v>1157.25</v>
      </c>
      <c r="F1323" s="20">
        <v>21405.530248463907</v>
      </c>
      <c r="H1323" s="20">
        <v>1119.9030123651116</v>
      </c>
      <c r="J1323" s="20">
        <v>2336.2681685595567</v>
      </c>
      <c r="N1323" s="20">
        <v>17949.359067539241</v>
      </c>
      <c r="AC1323" s="20">
        <v>20.569421881851127</v>
      </c>
      <c r="AE1323" s="20">
        <v>38.455836070517897</v>
      </c>
      <c r="AF1323" s="20">
        <v>238.85174825174823</v>
      </c>
      <c r="AI1323" s="29">
        <f t="shared" si="49"/>
        <v>14.928154565465759</v>
      </c>
      <c r="AS1323" s="66"/>
      <c r="AT1323" s="66"/>
      <c r="AU1323" s="66"/>
      <c r="AV1323" s="66"/>
      <c r="AW1323" s="66"/>
      <c r="AX1323" s="66"/>
      <c r="BA1323" s="19" t="s">
        <v>118</v>
      </c>
    </row>
    <row r="1324" spans="1:53" s="20" customFormat="1">
      <c r="A1324" s="3" t="s">
        <v>79</v>
      </c>
      <c r="B1324" s="5">
        <v>36905.390800000008</v>
      </c>
      <c r="C1324" s="20">
        <v>18.000085422768805</v>
      </c>
      <c r="D1324" s="3">
        <v>62.49156249156249</v>
      </c>
      <c r="E1324" s="20">
        <v>1157.25</v>
      </c>
      <c r="F1324" s="20">
        <v>22904.015948083503</v>
      </c>
      <c r="H1324" s="20">
        <v>1153.0643456574207</v>
      </c>
      <c r="J1324" s="20">
        <v>2431.7678194504524</v>
      </c>
      <c r="N1324" s="20">
        <v>19319.18378297563</v>
      </c>
      <c r="AC1324" s="20">
        <v>21.13270640011795</v>
      </c>
      <c r="AE1324" s="20">
        <v>40.590866755820159</v>
      </c>
      <c r="AF1324" s="20">
        <v>283.10069930069932</v>
      </c>
      <c r="AI1324" s="29">
        <f t="shared" si="49"/>
        <v>15.727741988523977</v>
      </c>
      <c r="AS1324" s="66"/>
      <c r="AT1324" s="66"/>
      <c r="AU1324" s="66"/>
      <c r="AV1324" s="66"/>
      <c r="AW1324" s="66"/>
      <c r="AX1324" s="66"/>
      <c r="BA1324" s="19" t="s">
        <v>118</v>
      </c>
    </row>
    <row r="1325" spans="1:53" s="20" customFormat="1">
      <c r="A1325" s="3" t="s">
        <v>79</v>
      </c>
      <c r="B1325" s="5">
        <v>38366.359600000011</v>
      </c>
      <c r="C1325" s="20">
        <v>22.000085422768809</v>
      </c>
      <c r="D1325" s="3">
        <v>41.661041661041665</v>
      </c>
      <c r="E1325" s="20">
        <v>771.5</v>
      </c>
      <c r="F1325" s="20">
        <v>21595.980742503165</v>
      </c>
      <c r="H1325" s="20">
        <v>1024.1372563076695</v>
      </c>
      <c r="J1325" s="20">
        <v>2323.5541733837708</v>
      </c>
      <c r="N1325" s="20">
        <v>18248.289312811725</v>
      </c>
      <c r="AC1325" s="20">
        <v>24.018392164895271</v>
      </c>
      <c r="AE1325" s="20">
        <v>34.955433345107799</v>
      </c>
      <c r="AF1325" s="20">
        <v>280.4328671328671</v>
      </c>
      <c r="AI1325" s="29">
        <f t="shared" si="49"/>
        <v>12.746899011702718</v>
      </c>
      <c r="AS1325" s="66"/>
      <c r="AT1325" s="66"/>
      <c r="AU1325" s="66"/>
      <c r="AV1325" s="66"/>
      <c r="AW1325" s="66"/>
      <c r="AX1325" s="66"/>
      <c r="BA1325" s="19" t="s">
        <v>118</v>
      </c>
    </row>
    <row r="1326" spans="1:53" s="20" customFormat="1">
      <c r="A1326" s="3" t="s">
        <v>79</v>
      </c>
      <c r="B1326" s="5">
        <v>39462.086200000012</v>
      </c>
      <c r="C1326" s="20">
        <v>25.000085422768816</v>
      </c>
      <c r="D1326" s="3">
        <v>35.411885411885414</v>
      </c>
      <c r="E1326" s="20">
        <v>655.77499999999998</v>
      </c>
      <c r="F1326" s="20">
        <v>21590.653775939456</v>
      </c>
      <c r="H1326" s="20">
        <v>998.75270666650488</v>
      </c>
      <c r="J1326" s="20">
        <v>2311.4643584868227</v>
      </c>
      <c r="N1326" s="20">
        <v>18280.436710786125</v>
      </c>
      <c r="AC1326" s="20">
        <v>25.512472850766766</v>
      </c>
      <c r="AE1326" s="20">
        <v>33.523616528426118</v>
      </c>
      <c r="AF1326" s="20">
        <v>311.14335664335664</v>
      </c>
      <c r="AI1326" s="29">
        <f t="shared" si="49"/>
        <v>12.445691739916336</v>
      </c>
      <c r="AS1326" s="66"/>
      <c r="AT1326" s="66"/>
      <c r="AU1326" s="66"/>
      <c r="AV1326" s="66"/>
      <c r="AW1326" s="66"/>
      <c r="AX1326" s="66"/>
      <c r="BA1326" s="19" t="s">
        <v>118</v>
      </c>
    </row>
    <row r="1327" spans="1:53" s="20" customFormat="1">
      <c r="A1327" s="3" t="s">
        <v>72</v>
      </c>
      <c r="B1327" s="5">
        <v>32523</v>
      </c>
      <c r="C1327" s="20">
        <v>6.0014970887810879</v>
      </c>
      <c r="D1327" s="3"/>
      <c r="T1327" s="8">
        <v>0.58117864775479933</v>
      </c>
      <c r="U1327" s="8">
        <v>1.1436711041224348</v>
      </c>
      <c r="AI1327" s="29" t="str">
        <f t="shared" ref="AI1327:AI1335" si="50">IF(AH1327&gt;0.001,AH1327/C1327,"")</f>
        <v/>
      </c>
      <c r="AS1327" s="66"/>
      <c r="AT1327" s="66"/>
      <c r="AU1327" s="66"/>
      <c r="AV1327" s="66"/>
      <c r="AW1327" s="66"/>
      <c r="AX1327" s="66"/>
      <c r="BA1327" s="19" t="s">
        <v>118</v>
      </c>
    </row>
    <row r="1328" spans="1:53" s="20" customFormat="1">
      <c r="A1328" s="3" t="s">
        <v>72</v>
      </c>
      <c r="B1328" s="5">
        <v>32888.242200000001</v>
      </c>
      <c r="C1328" s="20">
        <v>7.0014970887810897</v>
      </c>
      <c r="D1328" s="3"/>
      <c r="T1328" s="8">
        <v>0.81559955563902364</v>
      </c>
      <c r="U1328" s="8">
        <v>1.5763616665446478</v>
      </c>
      <c r="AI1328" s="29" t="str">
        <f t="shared" si="50"/>
        <v/>
      </c>
      <c r="AS1328" s="66"/>
      <c r="AT1328" s="66"/>
      <c r="AU1328" s="66"/>
      <c r="AV1328" s="66"/>
      <c r="AW1328" s="66"/>
      <c r="AX1328" s="66"/>
      <c r="BA1328" s="19" t="s">
        <v>118</v>
      </c>
    </row>
    <row r="1329" spans="1:53" s="20" customFormat="1">
      <c r="A1329" s="3" t="s">
        <v>72</v>
      </c>
      <c r="B1329" s="5">
        <v>33253.484400000001</v>
      </c>
      <c r="C1329" s="20">
        <v>8.0014970887810914</v>
      </c>
      <c r="D1329" s="3"/>
      <c r="T1329" s="8">
        <v>1.0491366381354665</v>
      </c>
      <c r="U1329" s="8">
        <v>1.8603383531905817</v>
      </c>
      <c r="AI1329" s="29" t="str">
        <f t="shared" si="50"/>
        <v/>
      </c>
      <c r="AS1329" s="66"/>
      <c r="AT1329" s="66"/>
      <c r="AU1329" s="66"/>
      <c r="AV1329" s="66"/>
      <c r="AW1329" s="66"/>
      <c r="AX1329" s="66"/>
      <c r="BA1329" s="19" t="s">
        <v>118</v>
      </c>
    </row>
    <row r="1330" spans="1:53" s="20" customFormat="1">
      <c r="A1330" s="3" t="s">
        <v>72</v>
      </c>
      <c r="B1330" s="5">
        <v>33618.726600000002</v>
      </c>
      <c r="C1330" s="20">
        <v>9.0014970887810932</v>
      </c>
      <c r="D1330" s="3"/>
      <c r="T1330" s="8">
        <v>1.1790292437905647</v>
      </c>
      <c r="U1330" s="8">
        <v>2.0066868356469176</v>
      </c>
      <c r="AI1330" s="29" t="str">
        <f t="shared" si="50"/>
        <v/>
      </c>
      <c r="AS1330" s="66"/>
      <c r="AT1330" s="66"/>
      <c r="AU1330" s="66"/>
      <c r="AV1330" s="66"/>
      <c r="AW1330" s="66"/>
      <c r="AX1330" s="66"/>
      <c r="BA1330" s="19" t="s">
        <v>118</v>
      </c>
    </row>
    <row r="1331" spans="1:53" s="20" customFormat="1">
      <c r="A1331" s="3" t="s">
        <v>72</v>
      </c>
      <c r="B1331" s="5">
        <v>33983.968800000002</v>
      </c>
      <c r="C1331" s="20">
        <v>10.001497088781093</v>
      </c>
      <c r="D1331" s="3"/>
      <c r="T1331" s="8">
        <v>1.2431727765239895</v>
      </c>
      <c r="U1331" s="8">
        <v>2.1175655298749998</v>
      </c>
      <c r="AI1331" s="29" t="str">
        <f t="shared" si="50"/>
        <v/>
      </c>
      <c r="AS1331" s="66"/>
      <c r="AT1331" s="66"/>
      <c r="AU1331" s="66"/>
      <c r="AV1331" s="66"/>
      <c r="AW1331" s="66"/>
      <c r="AX1331" s="66"/>
      <c r="BA1331" s="19" t="s">
        <v>118</v>
      </c>
    </row>
    <row r="1332" spans="1:53" s="20" customFormat="1">
      <c r="A1332" s="3" t="s">
        <v>72</v>
      </c>
      <c r="B1332" s="5">
        <v>34349.211000000003</v>
      </c>
      <c r="C1332" s="20">
        <v>11.001497088781095</v>
      </c>
      <c r="D1332" s="3"/>
      <c r="T1332" s="8">
        <v>1.3789026706222007</v>
      </c>
      <c r="U1332" s="8">
        <v>2.2409965132305616</v>
      </c>
      <c r="AI1332" s="29" t="str">
        <f t="shared" si="50"/>
        <v/>
      </c>
      <c r="AS1332" s="66"/>
      <c r="AT1332" s="66"/>
      <c r="AU1332" s="66"/>
      <c r="AV1332" s="66"/>
      <c r="AW1332" s="66"/>
      <c r="AX1332" s="66"/>
      <c r="BA1332" s="19" t="s">
        <v>118</v>
      </c>
    </row>
    <row r="1333" spans="1:53" s="20" customFormat="1">
      <c r="A1333" s="3" t="s">
        <v>72</v>
      </c>
      <c r="B1333" s="5">
        <v>34714.453200000004</v>
      </c>
      <c r="C1333" s="20">
        <v>12.001497088781097</v>
      </c>
      <c r="D1333" s="3"/>
      <c r="T1333" s="8">
        <v>1.4503454909774989</v>
      </c>
      <c r="U1333" s="8">
        <v>2.3558171795173783</v>
      </c>
      <c r="AI1333" s="29" t="str">
        <f t="shared" si="50"/>
        <v/>
      </c>
      <c r="AS1333" s="66"/>
      <c r="AT1333" s="66"/>
      <c r="AU1333" s="66"/>
      <c r="AV1333" s="66"/>
      <c r="AW1333" s="66"/>
      <c r="AX1333" s="66"/>
      <c r="BA1333" s="19" t="s">
        <v>118</v>
      </c>
    </row>
    <row r="1334" spans="1:53" s="20" customFormat="1">
      <c r="A1334" s="3" t="s">
        <v>72</v>
      </c>
      <c r="B1334" s="5">
        <v>35079.695400000004</v>
      </c>
      <c r="C1334" s="20">
        <v>13.001497088781099</v>
      </c>
      <c r="D1334" s="3"/>
      <c r="T1334" s="8">
        <v>1.3419964088248308</v>
      </c>
      <c r="U1334" s="8">
        <v>2.290016111268498</v>
      </c>
      <c r="AI1334" s="29" t="str">
        <f t="shared" si="50"/>
        <v/>
      </c>
      <c r="AS1334" s="66"/>
      <c r="AT1334" s="66"/>
      <c r="AU1334" s="66"/>
      <c r="AV1334" s="66"/>
      <c r="AW1334" s="66"/>
      <c r="AX1334" s="66"/>
      <c r="BA1334" s="19" t="s">
        <v>118</v>
      </c>
    </row>
    <row r="1335" spans="1:53" s="20" customFormat="1">
      <c r="A1335" s="3" t="s">
        <v>72</v>
      </c>
      <c r="B1335" s="5">
        <v>35444.937600000005</v>
      </c>
      <c r="C1335" s="20">
        <v>14.0014970887811</v>
      </c>
      <c r="D1335" s="3"/>
      <c r="T1335" s="8">
        <v>1.5104897882919159</v>
      </c>
      <c r="U1335" s="8">
        <v>2.5905330940702003</v>
      </c>
      <c r="AI1335" s="29" t="str">
        <f t="shared" si="50"/>
        <v/>
      </c>
      <c r="AS1335" s="66"/>
      <c r="AT1335" s="66"/>
      <c r="AU1335" s="66"/>
      <c r="AV1335" s="66"/>
      <c r="AW1335" s="66"/>
      <c r="AX1335" s="66"/>
      <c r="BA1335" s="19" t="s">
        <v>118</v>
      </c>
    </row>
    <row r="1336" spans="1:53" s="20" customFormat="1">
      <c r="A1336" s="3" t="s">
        <v>72</v>
      </c>
      <c r="B1336" s="5">
        <v>35810.179800000005</v>
      </c>
      <c r="C1336" s="20">
        <v>15.001497088781102</v>
      </c>
      <c r="D1336" s="3"/>
      <c r="T1336" s="8">
        <v>1.6263469411985652</v>
      </c>
      <c r="U1336" s="8">
        <v>2.5883975942118482</v>
      </c>
      <c r="AI1336" s="29" t="str">
        <f t="shared" ref="AI1336:AI1399" si="51">IF(AH1336&gt;0.001,AH1336/C1336,"")</f>
        <v/>
      </c>
      <c r="AS1336" s="66"/>
      <c r="AT1336" s="66"/>
      <c r="AU1336" s="66"/>
      <c r="AV1336" s="66"/>
      <c r="AW1336" s="66"/>
      <c r="AX1336" s="66"/>
      <c r="BA1336" s="19" t="s">
        <v>118</v>
      </c>
    </row>
    <row r="1337" spans="1:53" s="20" customFormat="1">
      <c r="A1337" s="3" t="s">
        <v>72</v>
      </c>
      <c r="B1337" s="5">
        <v>36175.422000000006</v>
      </c>
      <c r="C1337" s="20">
        <v>16.001497088781104</v>
      </c>
      <c r="D1337" s="3"/>
      <c r="T1337" s="8">
        <v>1.4025448734557979</v>
      </c>
      <c r="U1337" s="8">
        <v>2.3910124904904841</v>
      </c>
      <c r="AI1337" s="29" t="str">
        <f t="shared" si="51"/>
        <v/>
      </c>
      <c r="AS1337" s="66"/>
      <c r="AT1337" s="66"/>
      <c r="AU1337" s="66"/>
      <c r="AV1337" s="66"/>
      <c r="AW1337" s="66"/>
      <c r="AX1337" s="66"/>
      <c r="BA1337" s="19" t="s">
        <v>118</v>
      </c>
    </row>
    <row r="1338" spans="1:53" s="20" customFormat="1">
      <c r="A1338" s="3" t="s">
        <v>72</v>
      </c>
      <c r="B1338" s="5">
        <v>36540.664200000007</v>
      </c>
      <c r="C1338" s="20">
        <v>17.001497088781104</v>
      </c>
      <c r="D1338" s="3"/>
      <c r="T1338" s="8">
        <v>1.4481540048192159</v>
      </c>
      <c r="U1338" s="8">
        <v>2.3993007410260412</v>
      </c>
      <c r="AI1338" s="29" t="str">
        <f t="shared" si="51"/>
        <v/>
      </c>
      <c r="AS1338" s="66"/>
      <c r="AT1338" s="66"/>
      <c r="AU1338" s="66"/>
      <c r="AV1338" s="66"/>
      <c r="AW1338" s="66"/>
      <c r="AX1338" s="66"/>
      <c r="BA1338" s="19" t="s">
        <v>118</v>
      </c>
    </row>
    <row r="1339" spans="1:53" s="20" customFormat="1">
      <c r="A1339" s="3" t="s">
        <v>72</v>
      </c>
      <c r="B1339" s="5">
        <v>36905.906400000007</v>
      </c>
      <c r="C1339" s="20">
        <v>18.001497088781107</v>
      </c>
      <c r="D1339" s="3"/>
      <c r="T1339" s="8">
        <v>1.8732019496496999</v>
      </c>
      <c r="U1339" s="8">
        <v>2.7776278515019466</v>
      </c>
      <c r="AI1339" s="29" t="str">
        <f t="shared" si="51"/>
        <v/>
      </c>
      <c r="AS1339" s="66"/>
      <c r="AT1339" s="66"/>
      <c r="AU1339" s="66"/>
      <c r="AV1339" s="66"/>
      <c r="AW1339" s="66"/>
      <c r="AX1339" s="66"/>
      <c r="BA1339" s="19" t="s">
        <v>118</v>
      </c>
    </row>
    <row r="1340" spans="1:53" s="20" customFormat="1">
      <c r="A1340" s="3" t="s">
        <v>72</v>
      </c>
      <c r="B1340" s="5">
        <v>37271.148600000008</v>
      </c>
      <c r="C1340" s="20">
        <v>19.001497088781107</v>
      </c>
      <c r="D1340" s="3"/>
      <c r="T1340" s="8">
        <v>1.9121802857788572</v>
      </c>
      <c r="U1340" s="8">
        <v>2.7661140966835269</v>
      </c>
      <c r="AI1340" s="29" t="str">
        <f t="shared" si="51"/>
        <v/>
      </c>
      <c r="AS1340" s="66"/>
      <c r="AT1340" s="66"/>
      <c r="AU1340" s="66"/>
      <c r="AV1340" s="66"/>
      <c r="AW1340" s="66"/>
      <c r="AX1340" s="66"/>
      <c r="BA1340" s="19" t="s">
        <v>118</v>
      </c>
    </row>
    <row r="1341" spans="1:53" s="20" customFormat="1">
      <c r="A1341" s="3" t="s">
        <v>73</v>
      </c>
      <c r="B1341" s="5">
        <v>32523</v>
      </c>
      <c r="C1341" s="20">
        <v>6.0014970887810879</v>
      </c>
      <c r="D1341" s="3"/>
      <c r="T1341" s="8">
        <v>1.8175957903481994</v>
      </c>
      <c r="U1341" s="8">
        <v>2.5105345831251058</v>
      </c>
      <c r="AI1341" s="29" t="str">
        <f t="shared" si="51"/>
        <v/>
      </c>
      <c r="AS1341" s="66"/>
      <c r="AT1341" s="66"/>
      <c r="AU1341" s="66"/>
      <c r="AV1341" s="66"/>
      <c r="AW1341" s="66"/>
      <c r="AX1341" s="66"/>
      <c r="BA1341" s="19" t="s">
        <v>118</v>
      </c>
    </row>
    <row r="1342" spans="1:53" s="20" customFormat="1">
      <c r="A1342" s="3" t="s">
        <v>73</v>
      </c>
      <c r="B1342" s="5">
        <v>32888.242200000001</v>
      </c>
      <c r="C1342" s="20">
        <v>7.0014970887810897</v>
      </c>
      <c r="D1342" s="3"/>
      <c r="T1342" s="8">
        <v>2.2611683271846421</v>
      </c>
      <c r="U1342" s="8">
        <v>3.1644421569969348</v>
      </c>
      <c r="AI1342" s="29" t="str">
        <f t="shared" si="51"/>
        <v/>
      </c>
      <c r="AS1342" s="66"/>
      <c r="AT1342" s="66"/>
      <c r="AU1342" s="66"/>
      <c r="AV1342" s="66"/>
      <c r="AW1342" s="66"/>
      <c r="AX1342" s="66"/>
      <c r="BA1342" s="19" t="s">
        <v>118</v>
      </c>
    </row>
    <row r="1343" spans="1:53" s="20" customFormat="1">
      <c r="A1343" s="3" t="s">
        <v>73</v>
      </c>
      <c r="B1343" s="5">
        <v>33253.484400000001</v>
      </c>
      <c r="C1343" s="20">
        <v>8.0014970887810914</v>
      </c>
      <c r="D1343" s="3"/>
      <c r="T1343" s="8">
        <v>2.6933049901483006</v>
      </c>
      <c r="U1343" s="8">
        <v>3.6885833574718538</v>
      </c>
      <c r="AI1343" s="29" t="str">
        <f t="shared" si="51"/>
        <v/>
      </c>
      <c r="AS1343" s="66"/>
      <c r="AT1343" s="66"/>
      <c r="AU1343" s="66"/>
      <c r="AV1343" s="66"/>
      <c r="AW1343" s="66"/>
      <c r="AX1343" s="66"/>
      <c r="BA1343" s="19" t="s">
        <v>118</v>
      </c>
    </row>
    <row r="1344" spans="1:53" s="20" customFormat="1">
      <c r="A1344" s="3" t="s">
        <v>73</v>
      </c>
      <c r="B1344" s="5">
        <v>33618.726600000002</v>
      </c>
      <c r="C1344" s="20">
        <v>9.0014970887810932</v>
      </c>
      <c r="D1344" s="3"/>
      <c r="T1344" s="8">
        <v>2.6253636668056624</v>
      </c>
      <c r="U1344" s="8">
        <v>3.6458943401271329</v>
      </c>
      <c r="AI1344" s="29" t="str">
        <f t="shared" si="51"/>
        <v/>
      </c>
      <c r="AS1344" s="66"/>
      <c r="AT1344" s="66"/>
      <c r="AU1344" s="66"/>
      <c r="AV1344" s="66"/>
      <c r="AW1344" s="66"/>
      <c r="AX1344" s="66"/>
      <c r="BA1344" s="19" t="s">
        <v>118</v>
      </c>
    </row>
    <row r="1345" spans="1:53" s="20" customFormat="1">
      <c r="A1345" s="3" t="s">
        <v>73</v>
      </c>
      <c r="B1345" s="5">
        <v>33983.968800000002</v>
      </c>
      <c r="C1345" s="20">
        <v>10.001497088781093</v>
      </c>
      <c r="D1345" s="3"/>
      <c r="T1345" s="8">
        <v>2.6541470109084893</v>
      </c>
      <c r="U1345" s="8">
        <v>3.8559597369484879</v>
      </c>
      <c r="AI1345" s="29" t="str">
        <f t="shared" si="51"/>
        <v/>
      </c>
      <c r="AS1345" s="66"/>
      <c r="AT1345" s="66"/>
      <c r="AU1345" s="66"/>
      <c r="AV1345" s="66"/>
      <c r="AW1345" s="66"/>
      <c r="AX1345" s="66"/>
      <c r="BA1345" s="19" t="s">
        <v>118</v>
      </c>
    </row>
    <row r="1346" spans="1:53" s="20" customFormat="1">
      <c r="A1346" s="3" t="s">
        <v>73</v>
      </c>
      <c r="B1346" s="5">
        <v>34349.211000000003</v>
      </c>
      <c r="C1346" s="20">
        <v>11.001497088781095</v>
      </c>
      <c r="D1346" s="3"/>
      <c r="T1346" s="8">
        <v>2.7307171225398603</v>
      </c>
      <c r="U1346" s="8">
        <v>3.8773979704544517</v>
      </c>
      <c r="AI1346" s="29" t="str">
        <f t="shared" si="51"/>
        <v/>
      </c>
      <c r="AS1346" s="66"/>
      <c r="AT1346" s="66"/>
      <c r="AU1346" s="66"/>
      <c r="AV1346" s="66"/>
      <c r="AW1346" s="66"/>
      <c r="AX1346" s="66"/>
      <c r="BA1346" s="19" t="s">
        <v>118</v>
      </c>
    </row>
    <row r="1347" spans="1:53" s="20" customFormat="1">
      <c r="A1347" s="3" t="s">
        <v>73</v>
      </c>
      <c r="B1347" s="5">
        <v>34714.453200000004</v>
      </c>
      <c r="C1347" s="20">
        <v>12.001497088781097</v>
      </c>
      <c r="D1347" s="3"/>
      <c r="T1347" s="8">
        <v>2.697036976180851</v>
      </c>
      <c r="U1347" s="8">
        <v>3.7570999621210919</v>
      </c>
      <c r="AI1347" s="29" t="str">
        <f t="shared" si="51"/>
        <v/>
      </c>
      <c r="AS1347" s="66"/>
      <c r="AT1347" s="66"/>
      <c r="AU1347" s="66"/>
      <c r="AV1347" s="66"/>
      <c r="AW1347" s="66"/>
      <c r="AX1347" s="66"/>
      <c r="BA1347" s="19" t="s">
        <v>118</v>
      </c>
    </row>
    <row r="1348" spans="1:53" s="20" customFormat="1">
      <c r="A1348" s="3" t="s">
        <v>73</v>
      </c>
      <c r="B1348" s="5">
        <v>35079.695400000004</v>
      </c>
      <c r="C1348" s="20">
        <v>13.001497088781099</v>
      </c>
      <c r="D1348" s="3"/>
      <c r="T1348" s="8">
        <v>2.5862588950181276</v>
      </c>
      <c r="U1348" s="8">
        <v>3.7380117106306043</v>
      </c>
      <c r="AI1348" s="29" t="str">
        <f t="shared" si="51"/>
        <v/>
      </c>
      <c r="AS1348" s="66"/>
      <c r="AT1348" s="66"/>
      <c r="AU1348" s="66"/>
      <c r="AV1348" s="66"/>
      <c r="AW1348" s="66"/>
      <c r="AX1348" s="66"/>
      <c r="BA1348" s="19" t="s">
        <v>118</v>
      </c>
    </row>
    <row r="1349" spans="1:53" s="20" customFormat="1">
      <c r="A1349" s="3" t="s">
        <v>73</v>
      </c>
      <c r="B1349" s="5">
        <v>35444.937600000005</v>
      </c>
      <c r="C1349" s="20">
        <v>14.0014970887811</v>
      </c>
      <c r="D1349" s="3"/>
      <c r="T1349" s="8">
        <v>2.7815848630788871</v>
      </c>
      <c r="U1349" s="8">
        <v>4.313142163681448</v>
      </c>
      <c r="AI1349" s="29" t="str">
        <f t="shared" si="51"/>
        <v/>
      </c>
      <c r="AS1349" s="66"/>
      <c r="AT1349" s="66"/>
      <c r="AU1349" s="66"/>
      <c r="AV1349" s="66"/>
      <c r="AW1349" s="66"/>
      <c r="AX1349" s="66"/>
      <c r="BA1349" s="19" t="s">
        <v>118</v>
      </c>
    </row>
    <row r="1350" spans="1:53" s="20" customFormat="1">
      <c r="A1350" s="3" t="s">
        <v>73</v>
      </c>
      <c r="B1350" s="5">
        <v>35810.179800000005</v>
      </c>
      <c r="C1350" s="20">
        <v>15.001497088781102</v>
      </c>
      <c r="D1350" s="3"/>
      <c r="T1350" s="8">
        <v>2.7580063238678503</v>
      </c>
      <c r="U1350" s="8">
        <v>3.9696640554623617</v>
      </c>
      <c r="AI1350" s="29" t="str">
        <f t="shared" si="51"/>
        <v/>
      </c>
      <c r="AS1350" s="66"/>
      <c r="AT1350" s="66"/>
      <c r="AU1350" s="66"/>
      <c r="AV1350" s="66"/>
      <c r="AW1350" s="66"/>
      <c r="AX1350" s="66"/>
      <c r="BA1350" s="19" t="s">
        <v>118</v>
      </c>
    </row>
    <row r="1351" spans="1:53" s="20" customFormat="1">
      <c r="A1351" s="3" t="s">
        <v>73</v>
      </c>
      <c r="B1351" s="5">
        <v>36175.422000000006</v>
      </c>
      <c r="C1351" s="20">
        <v>16.001497088781104</v>
      </c>
      <c r="D1351" s="3"/>
      <c r="T1351" s="8">
        <v>2.2851993987121171</v>
      </c>
      <c r="U1351" s="8">
        <v>3.4684401688317066</v>
      </c>
      <c r="AI1351" s="29" t="str">
        <f t="shared" si="51"/>
        <v/>
      </c>
      <c r="AS1351" s="66"/>
      <c r="AT1351" s="66"/>
      <c r="AU1351" s="66"/>
      <c r="AV1351" s="66"/>
      <c r="AW1351" s="66"/>
      <c r="AX1351" s="66"/>
      <c r="BA1351" s="19" t="s">
        <v>118</v>
      </c>
    </row>
    <row r="1352" spans="1:53" s="20" customFormat="1">
      <c r="A1352" s="3" t="s">
        <v>73</v>
      </c>
      <c r="B1352" s="5">
        <v>36540.664200000007</v>
      </c>
      <c r="C1352" s="20">
        <v>17.001497088781104</v>
      </c>
      <c r="D1352" s="3"/>
      <c r="T1352" s="8">
        <v>2.0965856769979534</v>
      </c>
      <c r="U1352" s="8">
        <v>2.9692239311940769</v>
      </c>
      <c r="AI1352" s="29" t="str">
        <f t="shared" si="51"/>
        <v/>
      </c>
      <c r="AS1352" s="66"/>
      <c r="AT1352" s="66"/>
      <c r="AU1352" s="66"/>
      <c r="AV1352" s="66"/>
      <c r="AW1352" s="66"/>
      <c r="AX1352" s="66"/>
      <c r="BA1352" s="19" t="s">
        <v>118</v>
      </c>
    </row>
    <row r="1353" spans="1:53" s="20" customFormat="1">
      <c r="A1353" s="3" t="s">
        <v>73</v>
      </c>
      <c r="B1353" s="5">
        <v>36905.906400000007</v>
      </c>
      <c r="C1353" s="20">
        <v>18.001497088781107</v>
      </c>
      <c r="D1353" s="3"/>
      <c r="T1353" s="8">
        <v>2.3453679133814407</v>
      </c>
      <c r="U1353" s="8">
        <v>3.3708163636884505</v>
      </c>
      <c r="AI1353" s="29" t="str">
        <f t="shared" si="51"/>
        <v/>
      </c>
      <c r="AS1353" s="66"/>
      <c r="AT1353" s="66"/>
      <c r="AU1353" s="66"/>
      <c r="AV1353" s="66"/>
      <c r="AW1353" s="66"/>
      <c r="AX1353" s="66"/>
      <c r="BA1353" s="19" t="s">
        <v>118</v>
      </c>
    </row>
    <row r="1354" spans="1:53" s="20" customFormat="1">
      <c r="A1354" s="3" t="s">
        <v>73</v>
      </c>
      <c r="B1354" s="5">
        <v>37271.148600000008</v>
      </c>
      <c r="C1354" s="20">
        <v>19.001497088781107</v>
      </c>
      <c r="D1354" s="3"/>
      <c r="T1354" s="8">
        <v>2.4432299590334834</v>
      </c>
      <c r="U1354" s="8">
        <v>3.5052331462730657</v>
      </c>
      <c r="AI1354" s="29" t="str">
        <f t="shared" si="51"/>
        <v/>
      </c>
      <c r="AS1354" s="66"/>
      <c r="AT1354" s="66"/>
      <c r="AU1354" s="66"/>
      <c r="AV1354" s="66"/>
      <c r="AW1354" s="66"/>
      <c r="AX1354" s="66"/>
      <c r="BA1354" s="19" t="s">
        <v>118</v>
      </c>
    </row>
    <row r="1355" spans="1:53" s="20" customFormat="1">
      <c r="A1355" s="3" t="s">
        <v>74</v>
      </c>
      <c r="B1355" s="5">
        <v>32523</v>
      </c>
      <c r="C1355" s="20">
        <v>6.0014970887810879</v>
      </c>
      <c r="D1355" s="3"/>
      <c r="T1355" s="8">
        <v>2.4265827256261958</v>
      </c>
      <c r="U1355" s="8">
        <v>3.0629226407647083</v>
      </c>
      <c r="AI1355" s="29" t="str">
        <f t="shared" si="51"/>
        <v/>
      </c>
      <c r="AS1355" s="66"/>
      <c r="AT1355" s="66"/>
      <c r="AU1355" s="66"/>
      <c r="AV1355" s="66"/>
      <c r="AW1355" s="66"/>
      <c r="AX1355" s="66"/>
      <c r="BA1355" s="19" t="s">
        <v>118</v>
      </c>
    </row>
    <row r="1356" spans="1:53" s="20" customFormat="1">
      <c r="A1356" s="3" t="s">
        <v>74</v>
      </c>
      <c r="B1356" s="5">
        <v>32888.242200000001</v>
      </c>
      <c r="C1356" s="20">
        <v>7.0014970887810897</v>
      </c>
      <c r="D1356" s="3"/>
      <c r="T1356" s="8">
        <v>2.8582534538243372</v>
      </c>
      <c r="U1356" s="8">
        <v>3.7364017105987735</v>
      </c>
      <c r="AI1356" s="29" t="str">
        <f t="shared" si="51"/>
        <v/>
      </c>
      <c r="AS1356" s="66"/>
      <c r="AT1356" s="66"/>
      <c r="AU1356" s="66"/>
      <c r="AV1356" s="66"/>
      <c r="AW1356" s="66"/>
      <c r="AX1356" s="66"/>
      <c r="BA1356" s="19" t="s">
        <v>118</v>
      </c>
    </row>
    <row r="1357" spans="1:53" s="20" customFormat="1">
      <c r="A1357" s="3" t="s">
        <v>74</v>
      </c>
      <c r="B1357" s="5">
        <v>33253.484400000001</v>
      </c>
      <c r="C1357" s="20">
        <v>8.0014970887810914</v>
      </c>
      <c r="D1357" s="3"/>
      <c r="T1357" s="8">
        <v>3.238047339086259</v>
      </c>
      <c r="U1357" s="8">
        <v>4.3877079408834385</v>
      </c>
      <c r="AI1357" s="29" t="str">
        <f t="shared" si="51"/>
        <v/>
      </c>
      <c r="AS1357" s="66"/>
      <c r="AT1357" s="66"/>
      <c r="AU1357" s="66"/>
      <c r="AV1357" s="66"/>
      <c r="AW1357" s="66"/>
      <c r="AX1357" s="66"/>
      <c r="BA1357" s="19" t="s">
        <v>118</v>
      </c>
    </row>
    <row r="1358" spans="1:53" s="20" customFormat="1">
      <c r="A1358" s="3" t="s">
        <v>74</v>
      </c>
      <c r="B1358" s="5">
        <v>33618.726600000002</v>
      </c>
      <c r="C1358" s="20">
        <v>9.0014970887810932</v>
      </c>
      <c r="D1358" s="3"/>
      <c r="T1358" s="8">
        <v>3.3217744677058434</v>
      </c>
      <c r="U1358" s="8">
        <v>4.7974642076146159</v>
      </c>
      <c r="AI1358" s="29" t="str">
        <f t="shared" si="51"/>
        <v/>
      </c>
      <c r="AS1358" s="66"/>
      <c r="AT1358" s="66"/>
      <c r="AU1358" s="66"/>
      <c r="AV1358" s="66"/>
      <c r="AW1358" s="66"/>
      <c r="AX1358" s="66"/>
      <c r="BA1358" s="19" t="s">
        <v>118</v>
      </c>
    </row>
    <row r="1359" spans="1:53" s="20" customFormat="1">
      <c r="A1359" s="3" t="s">
        <v>74</v>
      </c>
      <c r="B1359" s="5">
        <v>33983.968800000002</v>
      </c>
      <c r="C1359" s="20">
        <v>10.001497088781093</v>
      </c>
      <c r="D1359" s="3"/>
      <c r="T1359" s="8">
        <v>3.2104348594183203</v>
      </c>
      <c r="U1359" s="8">
        <v>4.4983668620029986</v>
      </c>
      <c r="AI1359" s="29" t="str">
        <f t="shared" si="51"/>
        <v/>
      </c>
      <c r="AS1359" s="66"/>
      <c r="AT1359" s="66"/>
      <c r="AU1359" s="66"/>
      <c r="AV1359" s="66"/>
      <c r="AW1359" s="66"/>
      <c r="AX1359" s="66"/>
      <c r="BA1359" s="19" t="s">
        <v>118</v>
      </c>
    </row>
    <row r="1360" spans="1:53" s="20" customFormat="1">
      <c r="A1360" s="3" t="s">
        <v>74</v>
      </c>
      <c r="B1360" s="5">
        <v>34349.211000000003</v>
      </c>
      <c r="C1360" s="20">
        <v>11.001497088781095</v>
      </c>
      <c r="D1360" s="3"/>
      <c r="T1360" s="8">
        <v>3.152281827036628</v>
      </c>
      <c r="U1360" s="8">
        <v>4.1068975837076129</v>
      </c>
      <c r="AI1360" s="29" t="str">
        <f t="shared" si="51"/>
        <v/>
      </c>
      <c r="AS1360" s="66"/>
      <c r="AT1360" s="66"/>
      <c r="AU1360" s="66"/>
      <c r="AV1360" s="66"/>
      <c r="AW1360" s="66"/>
      <c r="AX1360" s="66"/>
      <c r="BA1360" s="19" t="s">
        <v>118</v>
      </c>
    </row>
    <row r="1361" spans="1:53" s="20" customFormat="1">
      <c r="A1361" s="3" t="s">
        <v>74</v>
      </c>
      <c r="B1361" s="5">
        <v>34714.453200000004</v>
      </c>
      <c r="C1361" s="20">
        <v>12.001497088781097</v>
      </c>
      <c r="D1361" s="3"/>
      <c r="T1361" s="8">
        <v>3.1021204501542217</v>
      </c>
      <c r="U1361" s="8">
        <v>4.1106973570707828</v>
      </c>
      <c r="AI1361" s="29" t="str">
        <f t="shared" si="51"/>
        <v/>
      </c>
      <c r="AS1361" s="66"/>
      <c r="AT1361" s="66"/>
      <c r="AU1361" s="66"/>
      <c r="AV1361" s="66"/>
      <c r="AW1361" s="66"/>
      <c r="AX1361" s="66"/>
      <c r="BA1361" s="19" t="s">
        <v>118</v>
      </c>
    </row>
    <row r="1362" spans="1:53" s="20" customFormat="1">
      <c r="A1362" s="3" t="s">
        <v>74</v>
      </c>
      <c r="B1362" s="5">
        <v>35079.695400000004</v>
      </c>
      <c r="C1362" s="20">
        <v>13.001497088781099</v>
      </c>
      <c r="D1362" s="3"/>
      <c r="T1362" s="8">
        <v>3.0070666815211404</v>
      </c>
      <c r="U1362" s="8">
        <v>4.1608041787757157</v>
      </c>
      <c r="AI1362" s="29" t="str">
        <f t="shared" si="51"/>
        <v/>
      </c>
      <c r="AS1362" s="66"/>
      <c r="AT1362" s="66"/>
      <c r="AU1362" s="66"/>
      <c r="AV1362" s="66"/>
      <c r="AW1362" s="66"/>
      <c r="AX1362" s="66"/>
      <c r="BA1362" s="19" t="s">
        <v>118</v>
      </c>
    </row>
    <row r="1363" spans="1:53" s="20" customFormat="1">
      <c r="A1363" s="3" t="s">
        <v>74</v>
      </c>
      <c r="B1363" s="5">
        <v>35444.937600000005</v>
      </c>
      <c r="C1363" s="20">
        <v>14.0014970887811</v>
      </c>
      <c r="D1363" s="3"/>
      <c r="T1363" s="8">
        <v>3.0220403976967076</v>
      </c>
      <c r="U1363" s="8">
        <v>4.3324590923704243</v>
      </c>
      <c r="AI1363" s="29" t="str">
        <f t="shared" si="51"/>
        <v/>
      </c>
      <c r="AS1363" s="66"/>
      <c r="AT1363" s="66"/>
      <c r="AU1363" s="66"/>
      <c r="AV1363" s="66"/>
      <c r="AW1363" s="66"/>
      <c r="AX1363" s="66"/>
      <c r="BA1363" s="19" t="s">
        <v>118</v>
      </c>
    </row>
    <row r="1364" spans="1:53" s="20" customFormat="1">
      <c r="A1364" s="3" t="s">
        <v>74</v>
      </c>
      <c r="B1364" s="5">
        <v>35810.179800000005</v>
      </c>
      <c r="C1364" s="20">
        <v>15.001497088781102</v>
      </c>
      <c r="D1364" s="3"/>
      <c r="T1364" s="8">
        <v>3.4224564503961372</v>
      </c>
      <c r="U1364" s="8">
        <v>4.9036489038989819</v>
      </c>
      <c r="AI1364" s="29" t="str">
        <f t="shared" si="51"/>
        <v/>
      </c>
      <c r="AS1364" s="66"/>
      <c r="AT1364" s="66"/>
      <c r="AU1364" s="66"/>
      <c r="AV1364" s="66"/>
      <c r="AW1364" s="66"/>
      <c r="AX1364" s="66"/>
      <c r="BA1364" s="19" t="s">
        <v>118</v>
      </c>
    </row>
    <row r="1365" spans="1:53" s="20" customFormat="1">
      <c r="A1365" s="3" t="s">
        <v>74</v>
      </c>
      <c r="B1365" s="5">
        <v>36175.422000000006</v>
      </c>
      <c r="C1365" s="20">
        <v>16.001497088781104</v>
      </c>
      <c r="D1365" s="3"/>
      <c r="T1365" s="8">
        <v>3.439391744307819</v>
      </c>
      <c r="U1365" s="8">
        <v>4.6993945804513002</v>
      </c>
      <c r="AI1365" s="29" t="str">
        <f t="shared" si="51"/>
        <v/>
      </c>
      <c r="AS1365" s="66"/>
      <c r="AT1365" s="66"/>
      <c r="AU1365" s="66"/>
      <c r="AV1365" s="66"/>
      <c r="AW1365" s="66"/>
      <c r="AX1365" s="66"/>
      <c r="BA1365" s="19" t="s">
        <v>118</v>
      </c>
    </row>
    <row r="1366" spans="1:53" s="20" customFormat="1">
      <c r="A1366" s="3" t="s">
        <v>74</v>
      </c>
      <c r="B1366" s="5">
        <v>36540.664200000007</v>
      </c>
      <c r="C1366" s="20">
        <v>17.001497088781104</v>
      </c>
      <c r="D1366" s="3"/>
      <c r="T1366" s="8">
        <v>3.3336147715010553</v>
      </c>
      <c r="U1366" s="8">
        <v>4.6528072663842197</v>
      </c>
      <c r="AI1366" s="29" t="str">
        <f t="shared" si="51"/>
        <v/>
      </c>
      <c r="AS1366" s="66"/>
      <c r="AT1366" s="66"/>
      <c r="AU1366" s="66"/>
      <c r="AV1366" s="66"/>
      <c r="AW1366" s="66"/>
      <c r="AX1366" s="66"/>
      <c r="BA1366" s="19" t="s">
        <v>118</v>
      </c>
    </row>
    <row r="1367" spans="1:53" s="20" customFormat="1">
      <c r="A1367" s="3" t="s">
        <v>74</v>
      </c>
      <c r="B1367" s="5">
        <v>36905.906400000007</v>
      </c>
      <c r="C1367" s="20">
        <v>18.001497088781107</v>
      </c>
      <c r="D1367" s="3"/>
      <c r="T1367" s="8">
        <v>3.7037703869696554</v>
      </c>
      <c r="U1367" s="8">
        <v>5.6629562769171029</v>
      </c>
      <c r="AI1367" s="29" t="str">
        <f t="shared" si="51"/>
        <v/>
      </c>
      <c r="AS1367" s="66"/>
      <c r="AT1367" s="66"/>
      <c r="AU1367" s="66"/>
      <c r="AV1367" s="66"/>
      <c r="AW1367" s="66"/>
      <c r="AX1367" s="66"/>
      <c r="BA1367" s="19" t="s">
        <v>118</v>
      </c>
    </row>
    <row r="1368" spans="1:53" s="20" customFormat="1">
      <c r="A1368" s="3" t="s">
        <v>74</v>
      </c>
      <c r="B1368" s="5">
        <v>37271.148600000008</v>
      </c>
      <c r="C1368" s="20">
        <v>19.001497088781107</v>
      </c>
      <c r="D1368" s="3"/>
      <c r="T1368" s="8">
        <v>3.8691310737556459</v>
      </c>
      <c r="U1368" s="8">
        <v>5.6365685910637611</v>
      </c>
      <c r="AI1368" s="29" t="str">
        <f t="shared" si="51"/>
        <v/>
      </c>
      <c r="AS1368" s="66"/>
      <c r="AT1368" s="66"/>
      <c r="AU1368" s="66"/>
      <c r="AV1368" s="66"/>
      <c r="AW1368" s="66"/>
      <c r="AX1368" s="66"/>
      <c r="BA1368" s="19" t="s">
        <v>118</v>
      </c>
    </row>
    <row r="1369" spans="1:53" s="20" customFormat="1">
      <c r="A1369" s="3" t="s">
        <v>75</v>
      </c>
      <c r="B1369" s="5">
        <v>32523</v>
      </c>
      <c r="C1369" s="20">
        <v>6.0014970887810879</v>
      </c>
      <c r="D1369" s="3"/>
      <c r="T1369" s="8">
        <v>2.8327276748398105</v>
      </c>
      <c r="U1369" s="8">
        <v>4.008726584309219</v>
      </c>
      <c r="AI1369" s="29" t="str">
        <f t="shared" si="51"/>
        <v/>
      </c>
      <c r="AS1369" s="66"/>
      <c r="AT1369" s="66"/>
      <c r="AU1369" s="66"/>
      <c r="AV1369" s="66"/>
      <c r="AW1369" s="66"/>
      <c r="AX1369" s="66"/>
      <c r="BA1369" s="19" t="s">
        <v>118</v>
      </c>
    </row>
    <row r="1370" spans="1:53" s="20" customFormat="1">
      <c r="A1370" s="3" t="s">
        <v>75</v>
      </c>
      <c r="B1370" s="5">
        <v>32888.242200000001</v>
      </c>
      <c r="C1370" s="20">
        <v>7.0014970887810897</v>
      </c>
      <c r="D1370" s="3"/>
      <c r="T1370" s="8">
        <v>3.229908711830634</v>
      </c>
      <c r="U1370" s="8">
        <v>4.5335916271696819</v>
      </c>
      <c r="AI1370" s="29" t="str">
        <f t="shared" si="51"/>
        <v/>
      </c>
      <c r="AS1370" s="66"/>
      <c r="AT1370" s="66"/>
      <c r="AU1370" s="66"/>
      <c r="AV1370" s="66"/>
      <c r="AW1370" s="66"/>
      <c r="AX1370" s="66"/>
      <c r="BA1370" s="19" t="s">
        <v>118</v>
      </c>
    </row>
    <row r="1371" spans="1:53" s="20" customFormat="1">
      <c r="A1371" s="3" t="s">
        <v>75</v>
      </c>
      <c r="B1371" s="5">
        <v>33253.484400000001</v>
      </c>
      <c r="C1371" s="20">
        <v>8.0014970887810914</v>
      </c>
      <c r="D1371" s="3"/>
      <c r="T1371" s="8">
        <v>3.351886009950376</v>
      </c>
      <c r="U1371" s="8">
        <v>4.6468048408608382</v>
      </c>
      <c r="AI1371" s="29" t="str">
        <f t="shared" si="51"/>
        <v/>
      </c>
      <c r="AS1371" s="66"/>
      <c r="AT1371" s="66"/>
      <c r="AU1371" s="66"/>
      <c r="AV1371" s="66"/>
      <c r="AW1371" s="66"/>
      <c r="AX1371" s="66"/>
      <c r="BA1371" s="19" t="s">
        <v>118</v>
      </c>
    </row>
    <row r="1372" spans="1:53" s="20" customFormat="1">
      <c r="A1372" s="3" t="s">
        <v>75</v>
      </c>
      <c r="B1372" s="5">
        <v>33618.726600000002</v>
      </c>
      <c r="C1372" s="20">
        <v>9.0014970887810932</v>
      </c>
      <c r="D1372" s="3"/>
      <c r="T1372" s="8">
        <v>3.3061125576539268</v>
      </c>
      <c r="U1372" s="8">
        <v>4.5388209887350035</v>
      </c>
      <c r="AI1372" s="29" t="str">
        <f t="shared" si="51"/>
        <v/>
      </c>
      <c r="AS1372" s="66"/>
      <c r="AT1372" s="66"/>
      <c r="AU1372" s="66"/>
      <c r="AV1372" s="66"/>
      <c r="AW1372" s="66"/>
      <c r="AX1372" s="66"/>
      <c r="BA1372" s="19" t="s">
        <v>118</v>
      </c>
    </row>
    <row r="1373" spans="1:53" s="20" customFormat="1">
      <c r="A1373" s="3" t="s">
        <v>75</v>
      </c>
      <c r="B1373" s="5">
        <v>33983.968800000002</v>
      </c>
      <c r="C1373" s="20">
        <v>10.001497088781093</v>
      </c>
      <c r="D1373" s="3"/>
      <c r="T1373" s="8">
        <v>3.2420775308044658</v>
      </c>
      <c r="U1373" s="8">
        <v>4.5355355409203622</v>
      </c>
      <c r="AI1373" s="29" t="str">
        <f t="shared" si="51"/>
        <v/>
      </c>
      <c r="AS1373" s="66"/>
      <c r="AT1373" s="66"/>
      <c r="AU1373" s="66"/>
      <c r="AV1373" s="66"/>
      <c r="AW1373" s="66"/>
      <c r="AX1373" s="66"/>
      <c r="BA1373" s="19" t="s">
        <v>118</v>
      </c>
    </row>
    <row r="1374" spans="1:53" s="20" customFormat="1">
      <c r="A1374" s="3" t="s">
        <v>75</v>
      </c>
      <c r="B1374" s="5">
        <v>34349.211000000003</v>
      </c>
      <c r="C1374" s="20">
        <v>11.001497088781095</v>
      </c>
      <c r="D1374" s="3"/>
      <c r="T1374" s="8">
        <v>3.223863056605095</v>
      </c>
      <c r="U1374" s="8">
        <v>4.3475916208034784</v>
      </c>
      <c r="AI1374" s="29" t="str">
        <f t="shared" si="51"/>
        <v/>
      </c>
      <c r="AS1374" s="66"/>
      <c r="AT1374" s="66"/>
      <c r="AU1374" s="66"/>
      <c r="AV1374" s="66"/>
      <c r="AW1374" s="66"/>
      <c r="AX1374" s="66"/>
      <c r="BA1374" s="19" t="s">
        <v>118</v>
      </c>
    </row>
    <row r="1375" spans="1:53" s="20" customFormat="1">
      <c r="A1375" s="3" t="s">
        <v>75</v>
      </c>
      <c r="B1375" s="5">
        <v>34714.453200000004</v>
      </c>
      <c r="C1375" s="20">
        <v>12.001497088781097</v>
      </c>
      <c r="D1375" s="3"/>
      <c r="T1375" s="8">
        <v>3.0585152661550361</v>
      </c>
      <c r="U1375" s="8">
        <v>4.1483003638285076</v>
      </c>
      <c r="AI1375" s="29" t="str">
        <f t="shared" si="51"/>
        <v/>
      </c>
      <c r="AS1375" s="66"/>
      <c r="AT1375" s="66"/>
      <c r="AU1375" s="66"/>
      <c r="AV1375" s="66"/>
      <c r="AW1375" s="66"/>
      <c r="AX1375" s="66"/>
      <c r="BA1375" s="19" t="s">
        <v>118</v>
      </c>
    </row>
    <row r="1376" spans="1:53" s="20" customFormat="1">
      <c r="A1376" s="3" t="s">
        <v>75</v>
      </c>
      <c r="B1376" s="5">
        <v>35079.695400000004</v>
      </c>
      <c r="C1376" s="20">
        <v>13.001497088781099</v>
      </c>
      <c r="D1376" s="3"/>
      <c r="T1376" s="8">
        <v>2.8343042192011052</v>
      </c>
      <c r="U1376" s="8">
        <v>3.9091152250930263</v>
      </c>
      <c r="AI1376" s="29" t="str">
        <f t="shared" si="51"/>
        <v/>
      </c>
      <c r="AS1376" s="66"/>
      <c r="AT1376" s="66"/>
      <c r="AU1376" s="66"/>
      <c r="AV1376" s="66"/>
      <c r="AW1376" s="66"/>
      <c r="AX1376" s="66"/>
      <c r="BA1376" s="19" t="s">
        <v>118</v>
      </c>
    </row>
    <row r="1377" spans="1:53" s="20" customFormat="1">
      <c r="A1377" s="3" t="s">
        <v>75</v>
      </c>
      <c r="B1377" s="5">
        <v>35444.937600000005</v>
      </c>
      <c r="C1377" s="20">
        <v>14.0014970887811</v>
      </c>
      <c r="D1377" s="3"/>
      <c r="T1377" s="8">
        <v>2.9070240610646203</v>
      </c>
      <c r="U1377" s="8">
        <v>4.104447747796498</v>
      </c>
      <c r="AI1377" s="29" t="str">
        <f t="shared" si="51"/>
        <v/>
      </c>
      <c r="AS1377" s="66"/>
      <c r="AT1377" s="66"/>
      <c r="AU1377" s="66"/>
      <c r="AV1377" s="66"/>
      <c r="AW1377" s="66"/>
      <c r="AX1377" s="66"/>
      <c r="BA1377" s="19" t="s">
        <v>118</v>
      </c>
    </row>
    <row r="1378" spans="1:53" s="20" customFormat="1">
      <c r="A1378" s="3" t="s">
        <v>75</v>
      </c>
      <c r="B1378" s="5">
        <v>35810.179800000005</v>
      </c>
      <c r="C1378" s="20">
        <v>15.001497088781102</v>
      </c>
      <c r="D1378" s="3"/>
      <c r="T1378" s="8">
        <v>3.2955847994168561</v>
      </c>
      <c r="U1378" s="8">
        <v>4.5005900833654291</v>
      </c>
      <c r="AI1378" s="29" t="str">
        <f t="shared" si="51"/>
        <v/>
      </c>
      <c r="AS1378" s="66"/>
      <c r="AT1378" s="66"/>
      <c r="AU1378" s="66"/>
      <c r="AV1378" s="66"/>
      <c r="AW1378" s="66"/>
      <c r="AX1378" s="66"/>
      <c r="BA1378" s="19" t="s">
        <v>118</v>
      </c>
    </row>
    <row r="1379" spans="1:53" s="20" customFormat="1">
      <c r="A1379" s="3" t="s">
        <v>75</v>
      </c>
      <c r="B1379" s="5">
        <v>36175.422000000006</v>
      </c>
      <c r="C1379" s="20">
        <v>16.001497088781104</v>
      </c>
      <c r="D1379" s="3"/>
      <c r="T1379" s="8">
        <v>3.4088391037659274</v>
      </c>
      <c r="U1379" s="8">
        <v>4.5788714090635638</v>
      </c>
      <c r="AI1379" s="29" t="str">
        <f t="shared" si="51"/>
        <v/>
      </c>
      <c r="AS1379" s="66"/>
      <c r="AT1379" s="66"/>
      <c r="AU1379" s="66"/>
      <c r="AV1379" s="66"/>
      <c r="AW1379" s="66"/>
      <c r="AX1379" s="66"/>
      <c r="BA1379" s="19" t="s">
        <v>118</v>
      </c>
    </row>
    <row r="1380" spans="1:53" s="20" customFormat="1">
      <c r="A1380" s="3" t="s">
        <v>75</v>
      </c>
      <c r="B1380" s="5">
        <v>36540.664200000007</v>
      </c>
      <c r="C1380" s="20">
        <v>17.001497088781104</v>
      </c>
      <c r="D1380" s="3"/>
      <c r="T1380" s="8">
        <v>3.3454507908415807</v>
      </c>
      <c r="U1380" s="8">
        <v>4.3537565659427235</v>
      </c>
      <c r="AI1380" s="29" t="str">
        <f t="shared" si="51"/>
        <v/>
      </c>
      <c r="AS1380" s="66"/>
      <c r="AT1380" s="66"/>
      <c r="AU1380" s="66"/>
      <c r="AV1380" s="66"/>
      <c r="AW1380" s="66"/>
      <c r="AX1380" s="66"/>
      <c r="BA1380" s="19" t="s">
        <v>118</v>
      </c>
    </row>
    <row r="1381" spans="1:53" s="20" customFormat="1">
      <c r="A1381" s="3" t="s">
        <v>75</v>
      </c>
      <c r="B1381" s="5">
        <v>36905.906400000007</v>
      </c>
      <c r="C1381" s="20">
        <v>18.001497088781107</v>
      </c>
      <c r="D1381" s="3"/>
      <c r="T1381" s="8">
        <v>3.5926842649741055</v>
      </c>
      <c r="U1381" s="8">
        <v>4.8428289846860988</v>
      </c>
      <c r="AI1381" s="29" t="str">
        <f t="shared" si="51"/>
        <v/>
      </c>
      <c r="AS1381" s="66"/>
      <c r="AT1381" s="66"/>
      <c r="AU1381" s="66"/>
      <c r="AV1381" s="66"/>
      <c r="AW1381" s="66"/>
      <c r="AX1381" s="66"/>
      <c r="BA1381" s="19" t="s">
        <v>118</v>
      </c>
    </row>
    <row r="1382" spans="1:53" s="20" customFormat="1">
      <c r="A1382" s="3" t="s">
        <v>75</v>
      </c>
      <c r="B1382" s="5">
        <v>37271.148600000008</v>
      </c>
      <c r="C1382" s="20">
        <v>19.001497088781107</v>
      </c>
      <c r="D1382" s="3"/>
      <c r="T1382" s="8">
        <v>3.6643512711716046</v>
      </c>
      <c r="U1382" s="8">
        <v>5.3095629665233215</v>
      </c>
      <c r="AI1382" s="29" t="str">
        <f t="shared" si="51"/>
        <v/>
      </c>
      <c r="AS1382" s="66"/>
      <c r="AT1382" s="66"/>
      <c r="AU1382" s="66"/>
      <c r="AV1382" s="66"/>
      <c r="AW1382" s="66"/>
      <c r="AX1382" s="66"/>
      <c r="BA1382" s="19" t="s">
        <v>118</v>
      </c>
    </row>
    <row r="1383" spans="1:53" s="20" customFormat="1">
      <c r="A1383" s="3" t="s">
        <v>76</v>
      </c>
      <c r="B1383" s="5">
        <v>32523</v>
      </c>
      <c r="C1383" s="20">
        <v>6.0014970887810879</v>
      </c>
      <c r="D1383" s="3"/>
      <c r="T1383" s="8">
        <v>0.87198168125057707</v>
      </c>
      <c r="U1383" s="8">
        <v>1.4073328556558942</v>
      </c>
      <c r="AI1383" s="29" t="str">
        <f t="shared" si="51"/>
        <v/>
      </c>
      <c r="AS1383" s="66"/>
      <c r="AT1383" s="66"/>
      <c r="AU1383" s="66"/>
      <c r="AV1383" s="66"/>
      <c r="AW1383" s="66"/>
      <c r="AX1383" s="66"/>
      <c r="BA1383" s="19" t="s">
        <v>118</v>
      </c>
    </row>
    <row r="1384" spans="1:53" s="20" customFormat="1">
      <c r="A1384" s="3" t="s">
        <v>76</v>
      </c>
      <c r="B1384" s="5">
        <v>32888.242200000001</v>
      </c>
      <c r="C1384" s="20">
        <v>7.0014970887810897</v>
      </c>
      <c r="D1384" s="3"/>
      <c r="T1384" s="8">
        <v>1.0979664214617439</v>
      </c>
      <c r="U1384" s="8">
        <v>1.708922426223664</v>
      </c>
      <c r="AI1384" s="29" t="str">
        <f t="shared" si="51"/>
        <v/>
      </c>
      <c r="AS1384" s="66"/>
      <c r="AT1384" s="66"/>
      <c r="AU1384" s="66"/>
      <c r="AV1384" s="66"/>
      <c r="AW1384" s="66"/>
      <c r="AX1384" s="66"/>
      <c r="BA1384" s="19" t="s">
        <v>118</v>
      </c>
    </row>
    <row r="1385" spans="1:53" s="20" customFormat="1">
      <c r="A1385" s="3" t="s">
        <v>76</v>
      </c>
      <c r="B1385" s="5">
        <v>33253.484400000001</v>
      </c>
      <c r="C1385" s="20">
        <v>8.0014970887810914</v>
      </c>
      <c r="D1385" s="3"/>
      <c r="T1385" s="8">
        <v>1.3222327872192108</v>
      </c>
      <c r="U1385" s="8">
        <v>2.1429336221467472</v>
      </c>
      <c r="AI1385" s="29" t="str">
        <f t="shared" si="51"/>
        <v/>
      </c>
      <c r="AS1385" s="66"/>
      <c r="AT1385" s="66"/>
      <c r="AU1385" s="66"/>
      <c r="AV1385" s="66"/>
      <c r="AW1385" s="66"/>
      <c r="AX1385" s="66"/>
      <c r="BA1385" s="19" t="s">
        <v>118</v>
      </c>
    </row>
    <row r="1386" spans="1:53" s="20" customFormat="1">
      <c r="A1386" s="3" t="s">
        <v>76</v>
      </c>
      <c r="B1386" s="5">
        <v>33618.726600000002</v>
      </c>
      <c r="C1386" s="20">
        <v>9.0014970887810932</v>
      </c>
      <c r="D1386" s="3"/>
      <c r="T1386" s="8">
        <v>1.4059949248628878</v>
      </c>
      <c r="U1386" s="8">
        <v>2.187345421585885</v>
      </c>
      <c r="AI1386" s="29" t="str">
        <f t="shared" si="51"/>
        <v/>
      </c>
      <c r="AS1386" s="66"/>
      <c r="AT1386" s="66"/>
      <c r="AU1386" s="66"/>
      <c r="AV1386" s="66"/>
      <c r="AW1386" s="66"/>
      <c r="AX1386" s="66"/>
      <c r="BA1386" s="19" t="s">
        <v>118</v>
      </c>
    </row>
    <row r="1387" spans="1:53" s="20" customFormat="1">
      <c r="A1387" s="3" t="s">
        <v>76</v>
      </c>
      <c r="B1387" s="5">
        <v>33983.968800000002</v>
      </c>
      <c r="C1387" s="20">
        <v>10.001497088781093</v>
      </c>
      <c r="D1387" s="3"/>
      <c r="T1387" s="8">
        <v>1.3916014378069703</v>
      </c>
      <c r="U1387" s="8">
        <v>2.0679224844744222</v>
      </c>
      <c r="AI1387" s="29" t="str">
        <f t="shared" si="51"/>
        <v/>
      </c>
      <c r="AS1387" s="66"/>
      <c r="AT1387" s="66"/>
      <c r="AU1387" s="66"/>
      <c r="AV1387" s="66"/>
      <c r="AW1387" s="66"/>
      <c r="AX1387" s="66"/>
      <c r="BA1387" s="19" t="s">
        <v>118</v>
      </c>
    </row>
    <row r="1388" spans="1:53" s="20" customFormat="1">
      <c r="A1388" s="3" t="s">
        <v>76</v>
      </c>
      <c r="B1388" s="5">
        <v>34349.211000000003</v>
      </c>
      <c r="C1388" s="20">
        <v>11.001497088781095</v>
      </c>
      <c r="D1388" s="3"/>
      <c r="T1388" s="8">
        <v>1.4984510731826877</v>
      </c>
      <c r="U1388" s="8">
        <v>2.1751285810688219</v>
      </c>
      <c r="AI1388" s="29" t="str">
        <f t="shared" si="51"/>
        <v/>
      </c>
      <c r="AS1388" s="66"/>
      <c r="AT1388" s="66"/>
      <c r="AU1388" s="66"/>
      <c r="AV1388" s="66"/>
      <c r="AW1388" s="66"/>
      <c r="AX1388" s="66"/>
      <c r="BA1388" s="19" t="s">
        <v>118</v>
      </c>
    </row>
    <row r="1389" spans="1:53" s="20" customFormat="1">
      <c r="A1389" s="3" t="s">
        <v>76</v>
      </c>
      <c r="B1389" s="5">
        <v>34714.453200000004</v>
      </c>
      <c r="C1389" s="20">
        <v>12.001497088781097</v>
      </c>
      <c r="D1389" s="3"/>
      <c r="T1389" s="8">
        <v>1.511912161676094</v>
      </c>
      <c r="U1389" s="8">
        <v>2.1129980914123103</v>
      </c>
      <c r="AI1389" s="29" t="str">
        <f t="shared" si="51"/>
        <v/>
      </c>
      <c r="AS1389" s="66"/>
      <c r="AT1389" s="66"/>
      <c r="AU1389" s="66"/>
      <c r="AV1389" s="66"/>
      <c r="AW1389" s="66"/>
      <c r="AX1389" s="66"/>
      <c r="BA1389" s="19" t="s">
        <v>118</v>
      </c>
    </row>
    <row r="1390" spans="1:53" s="20" customFormat="1">
      <c r="A1390" s="3" t="s">
        <v>76</v>
      </c>
      <c r="B1390" s="5">
        <v>35079.695400000004</v>
      </c>
      <c r="C1390" s="20">
        <v>13.001497088781099</v>
      </c>
      <c r="D1390" s="3"/>
      <c r="T1390" s="8">
        <v>1.6055100955248776</v>
      </c>
      <c r="U1390" s="8">
        <v>2.2346141422018788</v>
      </c>
      <c r="AI1390" s="29" t="str">
        <f t="shared" si="51"/>
        <v/>
      </c>
      <c r="AS1390" s="66"/>
      <c r="AT1390" s="66"/>
      <c r="AU1390" s="66"/>
      <c r="AV1390" s="66"/>
      <c r="AW1390" s="66"/>
      <c r="AX1390" s="66"/>
      <c r="BA1390" s="19" t="s">
        <v>118</v>
      </c>
    </row>
    <row r="1391" spans="1:53" s="20" customFormat="1">
      <c r="A1391" s="3" t="s">
        <v>76</v>
      </c>
      <c r="B1391" s="5">
        <v>35444.937600000005</v>
      </c>
      <c r="C1391" s="20">
        <v>14.0014970887811</v>
      </c>
      <c r="D1391" s="3"/>
      <c r="T1391" s="8">
        <v>1.7410096409779761</v>
      </c>
      <c r="U1391" s="8">
        <v>2.425273040721418</v>
      </c>
      <c r="AI1391" s="29" t="str">
        <f t="shared" si="51"/>
        <v/>
      </c>
      <c r="AS1391" s="66"/>
      <c r="AT1391" s="66"/>
      <c r="AU1391" s="66"/>
      <c r="AV1391" s="66"/>
      <c r="AW1391" s="66"/>
      <c r="AX1391" s="66"/>
      <c r="BA1391" s="19" t="s">
        <v>118</v>
      </c>
    </row>
    <row r="1392" spans="1:53" s="20" customFormat="1">
      <c r="A1392" s="3" t="s">
        <v>76</v>
      </c>
      <c r="B1392" s="5">
        <v>35810.179800000005</v>
      </c>
      <c r="C1392" s="20">
        <v>15.001497088781102</v>
      </c>
      <c r="D1392" s="3"/>
      <c r="T1392" s="8">
        <v>1.6098056395010172</v>
      </c>
      <c r="U1392" s="8">
        <v>2.1017720679655842</v>
      </c>
      <c r="AI1392" s="29" t="str">
        <f t="shared" si="51"/>
        <v/>
      </c>
      <c r="AS1392" s="66"/>
      <c r="AT1392" s="66"/>
      <c r="AU1392" s="66"/>
      <c r="AV1392" s="66"/>
      <c r="AW1392" s="66"/>
      <c r="AX1392" s="66"/>
      <c r="BA1392" s="19" t="s">
        <v>118</v>
      </c>
    </row>
    <row r="1393" spans="1:53" s="20" customFormat="1">
      <c r="A1393" s="3" t="s">
        <v>76</v>
      </c>
      <c r="B1393" s="5">
        <v>36175.422000000006</v>
      </c>
      <c r="C1393" s="20">
        <v>16.001497088781104</v>
      </c>
      <c r="D1393" s="3"/>
      <c r="T1393" s="8">
        <v>1.4965464977925194</v>
      </c>
      <c r="U1393" s="8">
        <v>2.1204048660073402</v>
      </c>
      <c r="AI1393" s="29" t="str">
        <f t="shared" si="51"/>
        <v/>
      </c>
      <c r="AS1393" s="66"/>
      <c r="AT1393" s="66"/>
      <c r="AU1393" s="66"/>
      <c r="AV1393" s="66"/>
      <c r="AW1393" s="66"/>
      <c r="AX1393" s="66"/>
      <c r="BA1393" s="19" t="s">
        <v>118</v>
      </c>
    </row>
    <row r="1394" spans="1:53" s="20" customFormat="1">
      <c r="A1394" s="3" t="s">
        <v>76</v>
      </c>
      <c r="B1394" s="5">
        <v>36540.664200000007</v>
      </c>
      <c r="C1394" s="20">
        <v>17.001497088781104</v>
      </c>
      <c r="D1394" s="3"/>
      <c r="T1394" s="8">
        <v>1.5853239926279368</v>
      </c>
      <c r="U1394" s="8">
        <v>2.1465412889651416</v>
      </c>
      <c r="AI1394" s="29" t="str">
        <f t="shared" si="51"/>
        <v/>
      </c>
      <c r="AS1394" s="66"/>
      <c r="AT1394" s="66"/>
      <c r="AU1394" s="66"/>
      <c r="AV1394" s="66"/>
      <c r="AW1394" s="66"/>
      <c r="AX1394" s="66"/>
      <c r="BA1394" s="19" t="s">
        <v>118</v>
      </c>
    </row>
    <row r="1395" spans="1:53" s="20" customFormat="1">
      <c r="A1395" s="3" t="s">
        <v>76</v>
      </c>
      <c r="B1395" s="5">
        <v>36905.906400000007</v>
      </c>
      <c r="C1395" s="20">
        <v>18.001497088781107</v>
      </c>
      <c r="D1395" s="3"/>
      <c r="T1395" s="8">
        <v>1.9014829201137007</v>
      </c>
      <c r="U1395" s="8">
        <v>2.5851634121575384</v>
      </c>
      <c r="AI1395" s="29" t="str">
        <f t="shared" si="51"/>
        <v/>
      </c>
      <c r="AS1395" s="66"/>
      <c r="AT1395" s="66"/>
      <c r="AU1395" s="66"/>
      <c r="AV1395" s="66"/>
      <c r="AW1395" s="66"/>
      <c r="AX1395" s="66"/>
      <c r="BA1395" s="19" t="s">
        <v>118</v>
      </c>
    </row>
    <row r="1396" spans="1:53" s="20" customFormat="1">
      <c r="A1396" s="3" t="s">
        <v>76</v>
      </c>
      <c r="B1396" s="5">
        <v>37271.148600000008</v>
      </c>
      <c r="C1396" s="20">
        <v>19.001497088781107</v>
      </c>
      <c r="D1396" s="3"/>
      <c r="T1396" s="8">
        <v>2.0033356345035478</v>
      </c>
      <c r="U1396" s="8">
        <v>2.6702117762024966</v>
      </c>
      <c r="AI1396" s="29" t="str">
        <f t="shared" si="51"/>
        <v/>
      </c>
      <c r="AS1396" s="66"/>
      <c r="AT1396" s="66"/>
      <c r="AU1396" s="66"/>
      <c r="AV1396" s="66"/>
      <c r="AW1396" s="66"/>
      <c r="AX1396" s="66"/>
      <c r="BA1396" s="19" t="s">
        <v>118</v>
      </c>
    </row>
    <row r="1397" spans="1:53" s="20" customFormat="1">
      <c r="A1397" s="3" t="s">
        <v>77</v>
      </c>
      <c r="B1397" s="5">
        <v>32523</v>
      </c>
      <c r="C1397" s="20">
        <v>6.0014970887810879</v>
      </c>
      <c r="D1397" s="3"/>
      <c r="T1397" s="8">
        <v>1.777700607335776</v>
      </c>
      <c r="U1397" s="8">
        <v>2.4763088159180544</v>
      </c>
      <c r="AI1397" s="29" t="str">
        <f t="shared" si="51"/>
        <v/>
      </c>
      <c r="AS1397" s="66"/>
      <c r="AT1397" s="66"/>
      <c r="AU1397" s="66"/>
      <c r="AV1397" s="66"/>
      <c r="AW1397" s="66"/>
      <c r="AX1397" s="66"/>
      <c r="BA1397" s="19" t="s">
        <v>118</v>
      </c>
    </row>
    <row r="1398" spans="1:53" s="20" customFormat="1">
      <c r="A1398" s="3" t="s">
        <v>77</v>
      </c>
      <c r="B1398" s="5">
        <v>32888.242200000001</v>
      </c>
      <c r="C1398" s="20">
        <v>7.0014970887810897</v>
      </c>
      <c r="D1398" s="3"/>
      <c r="T1398" s="8">
        <v>2.1159938359238475</v>
      </c>
      <c r="U1398" s="8">
        <v>3.0130313198093961</v>
      </c>
      <c r="AI1398" s="29" t="str">
        <f t="shared" si="51"/>
        <v/>
      </c>
      <c r="AS1398" s="66"/>
      <c r="AT1398" s="66"/>
      <c r="AU1398" s="66"/>
      <c r="AV1398" s="66"/>
      <c r="AW1398" s="66"/>
      <c r="AX1398" s="66"/>
      <c r="BA1398" s="19" t="s">
        <v>118</v>
      </c>
    </row>
    <row r="1399" spans="1:53" s="20" customFormat="1">
      <c r="A1399" s="3" t="s">
        <v>77</v>
      </c>
      <c r="B1399" s="5">
        <v>33253.484400000001</v>
      </c>
      <c r="C1399" s="20">
        <v>8.0014970887810914</v>
      </c>
      <c r="D1399" s="3"/>
      <c r="T1399" s="8">
        <v>2.3277210498505534</v>
      </c>
      <c r="U1399" s="8">
        <v>3.3063466779560668</v>
      </c>
      <c r="AI1399" s="29" t="str">
        <f t="shared" si="51"/>
        <v/>
      </c>
      <c r="AS1399" s="66"/>
      <c r="AT1399" s="66"/>
      <c r="AU1399" s="66"/>
      <c r="AV1399" s="66"/>
      <c r="AW1399" s="66"/>
      <c r="AX1399" s="66"/>
      <c r="BA1399" s="19" t="s">
        <v>118</v>
      </c>
    </row>
    <row r="1400" spans="1:53" s="20" customFormat="1">
      <c r="A1400" s="3" t="s">
        <v>77</v>
      </c>
      <c r="B1400" s="5">
        <v>33618.726600000002</v>
      </c>
      <c r="C1400" s="20">
        <v>9.0014970887810932</v>
      </c>
      <c r="D1400" s="3"/>
      <c r="T1400" s="8">
        <v>2.2571737553277162</v>
      </c>
      <c r="U1400" s="8">
        <v>3.199020798385531</v>
      </c>
      <c r="AI1400" s="29" t="str">
        <f t="shared" ref="AI1400:AI1440" si="52">IF(AH1400&gt;0.001,AH1400/C1400,"")</f>
        <v/>
      </c>
      <c r="AS1400" s="66"/>
      <c r="AT1400" s="66"/>
      <c r="AU1400" s="66"/>
      <c r="AV1400" s="66"/>
      <c r="AW1400" s="66"/>
      <c r="AX1400" s="66"/>
      <c r="BA1400" s="19" t="s">
        <v>118</v>
      </c>
    </row>
    <row r="1401" spans="1:53" s="20" customFormat="1">
      <c r="A1401" s="3" t="s">
        <v>77</v>
      </c>
      <c r="B1401" s="5">
        <v>33983.968800000002</v>
      </c>
      <c r="C1401" s="20">
        <v>10.001497088781093</v>
      </c>
      <c r="D1401" s="3"/>
      <c r="T1401" s="8">
        <v>2.2738229167396127</v>
      </c>
      <c r="U1401" s="8">
        <v>3.3458656381004523</v>
      </c>
      <c r="AI1401" s="29" t="str">
        <f t="shared" si="52"/>
        <v/>
      </c>
      <c r="AS1401" s="66"/>
      <c r="AT1401" s="66"/>
      <c r="AU1401" s="66"/>
      <c r="AV1401" s="66"/>
      <c r="AW1401" s="66"/>
      <c r="AX1401" s="66"/>
      <c r="BA1401" s="19" t="s">
        <v>118</v>
      </c>
    </row>
    <row r="1402" spans="1:53" s="20" customFormat="1">
      <c r="A1402" s="3" t="s">
        <v>77</v>
      </c>
      <c r="B1402" s="5">
        <v>34349.211000000003</v>
      </c>
      <c r="C1402" s="20">
        <v>11.001497088781095</v>
      </c>
      <c r="D1402" s="3"/>
      <c r="T1402" s="8">
        <v>2.3052600046473284</v>
      </c>
      <c r="U1402" s="8">
        <v>3.1098402270824645</v>
      </c>
      <c r="AI1402" s="29" t="str">
        <f t="shared" si="52"/>
        <v/>
      </c>
      <c r="AS1402" s="66"/>
      <c r="AT1402" s="66"/>
      <c r="AU1402" s="66"/>
      <c r="AV1402" s="66"/>
      <c r="AW1402" s="66"/>
      <c r="AX1402" s="66"/>
      <c r="BA1402" s="19" t="s">
        <v>118</v>
      </c>
    </row>
    <row r="1403" spans="1:53" s="20" customFormat="1">
      <c r="A1403" s="3" t="s">
        <v>77</v>
      </c>
      <c r="B1403" s="5">
        <v>34714.453200000004</v>
      </c>
      <c r="C1403" s="20">
        <v>12.001497088781097</v>
      </c>
      <c r="D1403" s="3"/>
      <c r="T1403" s="8">
        <v>2.2094494727192284</v>
      </c>
      <c r="U1403" s="8">
        <v>2.9790244258480576</v>
      </c>
      <c r="AI1403" s="29" t="str">
        <f t="shared" si="52"/>
        <v/>
      </c>
      <c r="AS1403" s="66"/>
      <c r="AT1403" s="66"/>
      <c r="AU1403" s="66"/>
      <c r="AV1403" s="66"/>
      <c r="AW1403" s="66"/>
      <c r="AX1403" s="66"/>
      <c r="BA1403" s="19" t="s">
        <v>118</v>
      </c>
    </row>
    <row r="1404" spans="1:53" s="20" customFormat="1">
      <c r="A1404" s="3" t="s">
        <v>77</v>
      </c>
      <c r="B1404" s="5">
        <v>35079.695400000004</v>
      </c>
      <c r="C1404" s="20">
        <v>13.001497088781099</v>
      </c>
      <c r="D1404" s="3"/>
      <c r="T1404" s="8">
        <v>2.3636084457233442</v>
      </c>
      <c r="U1404" s="8">
        <v>3.251902087796307</v>
      </c>
      <c r="AI1404" s="29" t="str">
        <f t="shared" si="52"/>
        <v/>
      </c>
      <c r="AS1404" s="66"/>
      <c r="AT1404" s="66"/>
      <c r="AU1404" s="66"/>
      <c r="AV1404" s="66"/>
      <c r="AW1404" s="66"/>
      <c r="AX1404" s="66"/>
      <c r="BA1404" s="19" t="s">
        <v>118</v>
      </c>
    </row>
    <row r="1405" spans="1:53" s="20" customFormat="1">
      <c r="A1405" s="3" t="s">
        <v>77</v>
      </c>
      <c r="B1405" s="5">
        <v>35444.937600000005</v>
      </c>
      <c r="C1405" s="20">
        <v>14.0014970887811</v>
      </c>
      <c r="D1405" s="3"/>
      <c r="T1405" s="8">
        <v>2.4351727758873691</v>
      </c>
      <c r="U1405" s="8">
        <v>3.3788102839644893</v>
      </c>
      <c r="AI1405" s="29" t="str">
        <f t="shared" si="52"/>
        <v/>
      </c>
      <c r="AS1405" s="66"/>
      <c r="AT1405" s="66"/>
      <c r="AU1405" s="66"/>
      <c r="AV1405" s="66"/>
      <c r="AW1405" s="66"/>
      <c r="AX1405" s="66"/>
      <c r="BA1405" s="19" t="s">
        <v>118</v>
      </c>
    </row>
    <row r="1406" spans="1:53" s="20" customFormat="1">
      <c r="A1406" s="3" t="s">
        <v>77</v>
      </c>
      <c r="B1406" s="5">
        <v>35810.179800000005</v>
      </c>
      <c r="C1406" s="20">
        <v>15.001497088781102</v>
      </c>
      <c r="D1406" s="3"/>
      <c r="T1406" s="8">
        <v>2.2000509716417485</v>
      </c>
      <c r="U1406" s="8">
        <v>3.0197651052492529</v>
      </c>
      <c r="AI1406" s="29" t="str">
        <f t="shared" si="52"/>
        <v/>
      </c>
      <c r="AS1406" s="66"/>
      <c r="AT1406" s="66"/>
      <c r="AU1406" s="66"/>
      <c r="AV1406" s="66"/>
      <c r="AW1406" s="66"/>
      <c r="AX1406" s="66"/>
      <c r="BA1406" s="19" t="s">
        <v>118</v>
      </c>
    </row>
    <row r="1407" spans="1:53" s="20" customFormat="1">
      <c r="A1407" s="3" t="s">
        <v>77</v>
      </c>
      <c r="B1407" s="5">
        <v>36175.422000000006</v>
      </c>
      <c r="C1407" s="20">
        <v>16.001497088781104</v>
      </c>
      <c r="D1407" s="3"/>
      <c r="T1407" s="8">
        <v>1.9481638918509419</v>
      </c>
      <c r="U1407" s="8">
        <v>2.661453871128951</v>
      </c>
      <c r="AI1407" s="29" t="str">
        <f t="shared" si="52"/>
        <v/>
      </c>
      <c r="AS1407" s="66"/>
      <c r="AT1407" s="66"/>
      <c r="AU1407" s="66"/>
      <c r="AV1407" s="66"/>
      <c r="AW1407" s="66"/>
      <c r="AX1407" s="66"/>
      <c r="BA1407" s="19" t="s">
        <v>118</v>
      </c>
    </row>
    <row r="1408" spans="1:53" s="20" customFormat="1">
      <c r="A1408" s="3" t="s">
        <v>77</v>
      </c>
      <c r="B1408" s="5">
        <v>36540.664200000007</v>
      </c>
      <c r="C1408" s="20">
        <v>17.001497088781104</v>
      </c>
      <c r="D1408" s="3"/>
      <c r="T1408" s="8">
        <v>1.844267649184012</v>
      </c>
      <c r="U1408" s="8">
        <v>2.4575706034205611</v>
      </c>
      <c r="AI1408" s="29" t="str">
        <f t="shared" si="52"/>
        <v/>
      </c>
      <c r="AS1408" s="66"/>
      <c r="AT1408" s="66"/>
      <c r="AU1408" s="66"/>
      <c r="AV1408" s="66"/>
      <c r="AW1408" s="66"/>
      <c r="AX1408" s="66"/>
      <c r="BA1408" s="19" t="s">
        <v>118</v>
      </c>
    </row>
    <row r="1409" spans="1:53" s="20" customFormat="1">
      <c r="A1409" s="3" t="s">
        <v>77</v>
      </c>
      <c r="B1409" s="5">
        <v>36905.906400000007</v>
      </c>
      <c r="C1409" s="20">
        <v>18.001497088781107</v>
      </c>
      <c r="D1409" s="3"/>
      <c r="T1409" s="8">
        <v>2.1372379002352311</v>
      </c>
      <c r="U1409" s="8">
        <v>2.761356691038614</v>
      </c>
      <c r="AI1409" s="29" t="str">
        <f t="shared" si="52"/>
        <v/>
      </c>
      <c r="AS1409" s="66"/>
      <c r="AT1409" s="66"/>
      <c r="AU1409" s="66"/>
      <c r="AV1409" s="66"/>
      <c r="AW1409" s="66"/>
      <c r="AX1409" s="66"/>
      <c r="BA1409" s="19" t="s">
        <v>118</v>
      </c>
    </row>
    <row r="1410" spans="1:53" s="20" customFormat="1">
      <c r="A1410" s="3" t="s">
        <v>77</v>
      </c>
      <c r="B1410" s="5">
        <v>37271.148600000008</v>
      </c>
      <c r="C1410" s="20">
        <v>19.001497088781107</v>
      </c>
      <c r="D1410" s="3"/>
      <c r="T1410" s="8">
        <v>2.2183083215823833</v>
      </c>
      <c r="U1410" s="8">
        <v>2.8130605161717477</v>
      </c>
      <c r="AI1410" s="29" t="str">
        <f t="shared" si="52"/>
        <v/>
      </c>
      <c r="AS1410" s="66"/>
      <c r="AT1410" s="66"/>
      <c r="AU1410" s="66"/>
      <c r="AV1410" s="66"/>
      <c r="AW1410" s="66"/>
      <c r="AX1410" s="66"/>
      <c r="BA1410" s="19" t="s">
        <v>118</v>
      </c>
    </row>
    <row r="1411" spans="1:53" s="20" customFormat="1">
      <c r="A1411" s="3" t="s">
        <v>78</v>
      </c>
      <c r="B1411" s="5">
        <v>32523</v>
      </c>
      <c r="C1411" s="20">
        <v>6.0014970887810879</v>
      </c>
      <c r="D1411" s="3"/>
      <c r="T1411" s="8">
        <v>1.8716257200971484</v>
      </c>
      <c r="U1411" s="8">
        <v>2.8872415655766668</v>
      </c>
      <c r="AI1411" s="29" t="str">
        <f t="shared" si="52"/>
        <v/>
      </c>
      <c r="AS1411" s="66"/>
      <c r="AT1411" s="66"/>
      <c r="AU1411" s="66"/>
      <c r="AV1411" s="66"/>
      <c r="AW1411" s="66"/>
      <c r="AX1411" s="66"/>
      <c r="BA1411" s="19" t="s">
        <v>118</v>
      </c>
    </row>
    <row r="1412" spans="1:53" s="20" customFormat="1">
      <c r="A1412" s="3" t="s">
        <v>78</v>
      </c>
      <c r="B1412" s="5">
        <v>32888.242200000001</v>
      </c>
      <c r="C1412" s="20">
        <v>7.0014970887810897</v>
      </c>
      <c r="D1412" s="3"/>
      <c r="T1412" s="8">
        <v>2.1537413637680283</v>
      </c>
      <c r="U1412" s="8">
        <v>3.2526533729735578</v>
      </c>
      <c r="AI1412" s="29" t="str">
        <f t="shared" si="52"/>
        <v/>
      </c>
      <c r="AS1412" s="66"/>
      <c r="AT1412" s="66"/>
      <c r="AU1412" s="66"/>
      <c r="AV1412" s="66"/>
      <c r="AW1412" s="66"/>
      <c r="AX1412" s="66"/>
      <c r="BA1412" s="19" t="s">
        <v>118</v>
      </c>
    </row>
    <row r="1413" spans="1:53" s="20" customFormat="1">
      <c r="A1413" s="3" t="s">
        <v>78</v>
      </c>
      <c r="B1413" s="5">
        <v>33253.484400000001</v>
      </c>
      <c r="C1413" s="20">
        <v>8.0014970887810914</v>
      </c>
      <c r="D1413" s="3"/>
      <c r="T1413" s="8">
        <v>2.2909393931098587</v>
      </c>
      <c r="U1413" s="8">
        <v>3.5464936099236377</v>
      </c>
      <c r="AI1413" s="29" t="str">
        <f t="shared" si="52"/>
        <v/>
      </c>
      <c r="AS1413" s="66"/>
      <c r="AT1413" s="66"/>
      <c r="AU1413" s="66"/>
      <c r="AV1413" s="66"/>
      <c r="AW1413" s="66"/>
      <c r="AX1413" s="66"/>
      <c r="BA1413" s="19" t="s">
        <v>118</v>
      </c>
    </row>
    <row r="1414" spans="1:53" s="20" customFormat="1">
      <c r="A1414" s="3" t="s">
        <v>78</v>
      </c>
      <c r="B1414" s="5">
        <v>33618.726600000002</v>
      </c>
      <c r="C1414" s="20">
        <v>9.0014970887810932</v>
      </c>
      <c r="D1414" s="3"/>
      <c r="T1414" s="8">
        <v>2.1863620093646849</v>
      </c>
      <c r="U1414" s="8">
        <v>3.3765517651889647</v>
      </c>
      <c r="AI1414" s="29" t="str">
        <f t="shared" si="52"/>
        <v/>
      </c>
      <c r="AS1414" s="66"/>
      <c r="AT1414" s="66"/>
      <c r="AU1414" s="66"/>
      <c r="AV1414" s="66"/>
      <c r="AW1414" s="66"/>
      <c r="AX1414" s="66"/>
      <c r="BA1414" s="19" t="s">
        <v>118</v>
      </c>
    </row>
    <row r="1415" spans="1:53" s="20" customFormat="1">
      <c r="A1415" s="3" t="s">
        <v>78</v>
      </c>
      <c r="B1415" s="5">
        <v>33983.968800000002</v>
      </c>
      <c r="C1415" s="20">
        <v>10.001497088781093</v>
      </c>
      <c r="D1415" s="3"/>
      <c r="T1415" s="8">
        <v>2.1198841981289727</v>
      </c>
      <c r="U1415" s="8">
        <v>3.2848614013922885</v>
      </c>
      <c r="AI1415" s="29" t="str">
        <f t="shared" si="52"/>
        <v/>
      </c>
      <c r="AS1415" s="66"/>
      <c r="AT1415" s="66"/>
      <c r="AU1415" s="66"/>
      <c r="AV1415" s="66"/>
      <c r="AW1415" s="66"/>
      <c r="AX1415" s="66"/>
      <c r="BA1415" s="19" t="s">
        <v>118</v>
      </c>
    </row>
    <row r="1416" spans="1:53" s="20" customFormat="1">
      <c r="A1416" s="3" t="s">
        <v>78</v>
      </c>
      <c r="B1416" s="5">
        <v>34349.211000000003</v>
      </c>
      <c r="C1416" s="20">
        <v>11.001497088781095</v>
      </c>
      <c r="D1416" s="3"/>
      <c r="T1416" s="8">
        <v>2.184204192463052</v>
      </c>
      <c r="U1416" s="8">
        <v>3.1992015699056848</v>
      </c>
      <c r="AI1416" s="29" t="str">
        <f t="shared" si="52"/>
        <v/>
      </c>
      <c r="AS1416" s="66"/>
      <c r="AT1416" s="66"/>
      <c r="AU1416" s="66"/>
      <c r="AV1416" s="66"/>
      <c r="AW1416" s="66"/>
      <c r="AX1416" s="66"/>
      <c r="BA1416" s="19" t="s">
        <v>118</v>
      </c>
    </row>
    <row r="1417" spans="1:53" s="20" customFormat="1">
      <c r="A1417" s="3" t="s">
        <v>78</v>
      </c>
      <c r="B1417" s="5">
        <v>34714.453200000004</v>
      </c>
      <c r="C1417" s="20">
        <v>12.001497088781097</v>
      </c>
      <c r="D1417" s="3"/>
      <c r="T1417" s="8">
        <v>2.11911810739148</v>
      </c>
      <c r="U1417" s="8">
        <v>3.0606925502691316</v>
      </c>
      <c r="AI1417" s="29" t="str">
        <f t="shared" si="52"/>
        <v/>
      </c>
      <c r="AS1417" s="66"/>
      <c r="AT1417" s="66"/>
      <c r="AU1417" s="66"/>
      <c r="AV1417" s="66"/>
      <c r="AW1417" s="66"/>
      <c r="AX1417" s="66"/>
      <c r="BA1417" s="19" t="s">
        <v>118</v>
      </c>
    </row>
    <row r="1418" spans="1:53" s="20" customFormat="1">
      <c r="A1418" s="3" t="s">
        <v>78</v>
      </c>
      <c r="B1418" s="5">
        <v>35079.695400000004</v>
      </c>
      <c r="C1418" s="20">
        <v>13.001497088781099</v>
      </c>
      <c r="D1418" s="3"/>
      <c r="T1418" s="8">
        <v>2.1847524536938305</v>
      </c>
      <c r="U1418" s="8">
        <v>3.1383008263331624</v>
      </c>
      <c r="AI1418" s="29" t="str">
        <f t="shared" si="52"/>
        <v/>
      </c>
      <c r="AS1418" s="66"/>
      <c r="AT1418" s="66"/>
      <c r="AU1418" s="66"/>
      <c r="AV1418" s="66"/>
      <c r="AW1418" s="66"/>
      <c r="AX1418" s="66"/>
      <c r="BA1418" s="19" t="s">
        <v>118</v>
      </c>
    </row>
    <row r="1419" spans="1:53" s="20" customFormat="1">
      <c r="A1419" s="3" t="s">
        <v>78</v>
      </c>
      <c r="B1419" s="5">
        <v>35444.937600000005</v>
      </c>
      <c r="C1419" s="20">
        <v>14.0014970887811</v>
      </c>
      <c r="D1419" s="3"/>
      <c r="T1419" s="8">
        <v>2.2189475323005232</v>
      </c>
      <c r="U1419" s="8">
        <v>3.1693430976034427</v>
      </c>
      <c r="AI1419" s="29" t="str">
        <f t="shared" si="52"/>
        <v/>
      </c>
      <c r="AS1419" s="66"/>
      <c r="AT1419" s="66"/>
      <c r="AU1419" s="66"/>
      <c r="AV1419" s="66"/>
      <c r="AW1419" s="66"/>
      <c r="AX1419" s="66"/>
      <c r="BA1419" s="19" t="s">
        <v>118</v>
      </c>
    </row>
    <row r="1420" spans="1:53" s="20" customFormat="1">
      <c r="A1420" s="3" t="s">
        <v>78</v>
      </c>
      <c r="B1420" s="5">
        <v>35810.179800000005</v>
      </c>
      <c r="C1420" s="20">
        <v>15.001497088781102</v>
      </c>
      <c r="D1420" s="3"/>
      <c r="T1420" s="8">
        <v>2.2373550571525884</v>
      </c>
      <c r="U1420" s="8">
        <v>3.1925786019181368</v>
      </c>
      <c r="AI1420" s="29" t="str">
        <f t="shared" si="52"/>
        <v/>
      </c>
      <c r="AS1420" s="66"/>
      <c r="AT1420" s="66"/>
      <c r="AU1420" s="66"/>
      <c r="AV1420" s="66"/>
      <c r="AW1420" s="66"/>
      <c r="AX1420" s="66"/>
      <c r="BA1420" s="19" t="s">
        <v>118</v>
      </c>
    </row>
    <row r="1421" spans="1:53" s="20" customFormat="1">
      <c r="A1421" s="3" t="s">
        <v>78</v>
      </c>
      <c r="B1421" s="5">
        <v>36175.422000000006</v>
      </c>
      <c r="C1421" s="20">
        <v>16.001497088781104</v>
      </c>
      <c r="D1421" s="3"/>
      <c r="T1421" s="8">
        <v>2.4524097686203481</v>
      </c>
      <c r="U1421" s="8">
        <v>3.6599236628586165</v>
      </c>
      <c r="AI1421" s="29" t="str">
        <f t="shared" si="52"/>
        <v/>
      </c>
      <c r="AS1421" s="66"/>
      <c r="AT1421" s="66"/>
      <c r="AU1421" s="66"/>
      <c r="AV1421" s="66"/>
      <c r="AW1421" s="66"/>
      <c r="AX1421" s="66"/>
      <c r="BA1421" s="19" t="s">
        <v>118</v>
      </c>
    </row>
    <row r="1422" spans="1:53" s="20" customFormat="1">
      <c r="A1422" s="3" t="s">
        <v>78</v>
      </c>
      <c r="B1422" s="5">
        <v>36540.664200000007</v>
      </c>
      <c r="C1422" s="20">
        <v>17.001497088781104</v>
      </c>
      <c r="D1422" s="3"/>
      <c r="T1422" s="8">
        <v>2.6868483958759737</v>
      </c>
      <c r="U1422" s="8">
        <v>3.5802213210508054</v>
      </c>
      <c r="AI1422" s="29" t="str">
        <f t="shared" si="52"/>
        <v/>
      </c>
      <c r="AS1422" s="66"/>
      <c r="AT1422" s="66"/>
      <c r="AU1422" s="66"/>
      <c r="AV1422" s="66"/>
      <c r="AW1422" s="66"/>
      <c r="AX1422" s="66"/>
      <c r="BA1422" s="19" t="s">
        <v>118</v>
      </c>
    </row>
    <row r="1423" spans="1:53" s="20" customFormat="1">
      <c r="A1423" s="3" t="s">
        <v>78</v>
      </c>
      <c r="B1423" s="5">
        <v>36905.906400000007</v>
      </c>
      <c r="C1423" s="20">
        <v>18.001497088781107</v>
      </c>
      <c r="D1423" s="3"/>
      <c r="T1423" s="8">
        <v>2.8234082404132939</v>
      </c>
      <c r="U1423" s="8">
        <v>3.8156355603372818</v>
      </c>
      <c r="AI1423" s="29" t="str">
        <f t="shared" si="52"/>
        <v/>
      </c>
      <c r="AS1423" s="66"/>
      <c r="AT1423" s="66"/>
      <c r="AU1423" s="66"/>
      <c r="AV1423" s="66"/>
      <c r="AW1423" s="66"/>
      <c r="AX1423" s="66"/>
      <c r="BA1423" s="19" t="s">
        <v>118</v>
      </c>
    </row>
    <row r="1424" spans="1:53" s="20" customFormat="1">
      <c r="A1424" s="3" t="s">
        <v>78</v>
      </c>
      <c r="B1424" s="5">
        <v>37271.148600000008</v>
      </c>
      <c r="C1424" s="20">
        <v>19.001497088781107</v>
      </c>
      <c r="D1424" s="3"/>
      <c r="T1424" s="8">
        <v>2.6931052024611741</v>
      </c>
      <c r="U1424" s="8">
        <v>3.4134625460356065</v>
      </c>
      <c r="AI1424" s="29" t="str">
        <f t="shared" si="52"/>
        <v/>
      </c>
      <c r="AS1424" s="66"/>
      <c r="AT1424" s="66"/>
      <c r="AU1424" s="66"/>
      <c r="AV1424" s="66"/>
      <c r="AW1424" s="66"/>
      <c r="AX1424" s="66"/>
      <c r="BA1424" s="19" t="s">
        <v>118</v>
      </c>
    </row>
    <row r="1425" spans="1:53" s="20" customFormat="1">
      <c r="A1425" s="3" t="s">
        <v>79</v>
      </c>
      <c r="B1425" s="5">
        <v>32523</v>
      </c>
      <c r="C1425" s="20">
        <v>6.0014970887810879</v>
      </c>
      <c r="D1425" s="3"/>
      <c r="T1425" s="8">
        <v>2.3694441960917878</v>
      </c>
      <c r="U1425" s="8">
        <v>3.0882959666920256</v>
      </c>
      <c r="AI1425" s="29" t="str">
        <f t="shared" si="52"/>
        <v/>
      </c>
      <c r="AS1425" s="66"/>
      <c r="AT1425" s="66"/>
      <c r="AU1425" s="66"/>
      <c r="AV1425" s="66"/>
      <c r="AW1425" s="66"/>
      <c r="AX1425" s="66"/>
      <c r="BA1425" s="19" t="s">
        <v>118</v>
      </c>
    </row>
    <row r="1426" spans="1:53" s="20" customFormat="1">
      <c r="A1426" s="3" t="s">
        <v>79</v>
      </c>
      <c r="B1426" s="5">
        <v>32888.242200000001</v>
      </c>
      <c r="C1426" s="20">
        <v>7.0014970887810897</v>
      </c>
      <c r="D1426" s="3"/>
      <c r="T1426" s="8">
        <v>2.5692741850464254</v>
      </c>
      <c r="U1426" s="8">
        <v>3.5115735057725548</v>
      </c>
      <c r="AI1426" s="29" t="str">
        <f t="shared" si="52"/>
        <v/>
      </c>
      <c r="AS1426" s="66"/>
      <c r="AT1426" s="66"/>
      <c r="AU1426" s="66"/>
      <c r="AV1426" s="66"/>
      <c r="AW1426" s="66"/>
      <c r="AX1426" s="66"/>
      <c r="BA1426" s="19" t="s">
        <v>118</v>
      </c>
    </row>
    <row r="1427" spans="1:53" s="20" customFormat="1">
      <c r="A1427" s="3" t="s">
        <v>79</v>
      </c>
      <c r="B1427" s="5">
        <v>33253.484400000001</v>
      </c>
      <c r="C1427" s="20">
        <v>8.0014970887810914</v>
      </c>
      <c r="D1427" s="3"/>
      <c r="T1427" s="8">
        <v>2.554606045983085</v>
      </c>
      <c r="U1427" s="8">
        <v>3.609737152206367</v>
      </c>
      <c r="AI1427" s="29" t="str">
        <f t="shared" si="52"/>
        <v/>
      </c>
      <c r="AS1427" s="66"/>
      <c r="AT1427" s="66"/>
      <c r="AU1427" s="66"/>
      <c r="AV1427" s="66"/>
      <c r="AW1427" s="66"/>
      <c r="AX1427" s="66"/>
      <c r="BA1427" s="19" t="s">
        <v>118</v>
      </c>
    </row>
    <row r="1428" spans="1:53" s="20" customFormat="1">
      <c r="A1428" s="3" t="s">
        <v>79</v>
      </c>
      <c r="B1428" s="5">
        <v>33618.726600000002</v>
      </c>
      <c r="C1428" s="20">
        <v>9.0014970887810932</v>
      </c>
      <c r="D1428" s="3"/>
      <c r="T1428" s="8">
        <v>2.4542002638791187</v>
      </c>
      <c r="U1428" s="8">
        <v>3.4273198412268946</v>
      </c>
      <c r="AI1428" s="29" t="str">
        <f t="shared" si="52"/>
        <v/>
      </c>
      <c r="AS1428" s="66"/>
      <c r="AT1428" s="66"/>
      <c r="AU1428" s="66"/>
      <c r="AV1428" s="66"/>
      <c r="AW1428" s="66"/>
      <c r="AX1428" s="66"/>
      <c r="BA1428" s="19" t="s">
        <v>118</v>
      </c>
    </row>
    <row r="1429" spans="1:53" s="20" customFormat="1">
      <c r="A1429" s="3" t="s">
        <v>79</v>
      </c>
      <c r="B1429" s="5">
        <v>33983.968800000002</v>
      </c>
      <c r="C1429" s="20">
        <v>10.001497088781093</v>
      </c>
      <c r="D1429" s="3"/>
      <c r="T1429" s="8">
        <v>2.4763176191037024</v>
      </c>
      <c r="U1429" s="8">
        <v>3.3539979087022815</v>
      </c>
      <c r="AI1429" s="29" t="str">
        <f t="shared" si="52"/>
        <v/>
      </c>
      <c r="AS1429" s="66"/>
      <c r="AT1429" s="66"/>
      <c r="AU1429" s="66"/>
      <c r="AV1429" s="66"/>
      <c r="AW1429" s="66"/>
      <c r="AX1429" s="66"/>
      <c r="BA1429" s="19" t="s">
        <v>118</v>
      </c>
    </row>
    <row r="1430" spans="1:53" s="20" customFormat="1">
      <c r="A1430" s="3" t="s">
        <v>79</v>
      </c>
      <c r="B1430" s="5">
        <v>34349.211000000003</v>
      </c>
      <c r="C1430" s="20">
        <v>11.001497088781095</v>
      </c>
      <c r="D1430" s="3"/>
      <c r="T1430" s="8">
        <v>2.4617085141600272</v>
      </c>
      <c r="U1430" s="8">
        <v>3.095527916118908</v>
      </c>
      <c r="AI1430" s="29" t="str">
        <f t="shared" si="52"/>
        <v/>
      </c>
      <c r="AS1430" s="66"/>
      <c r="AT1430" s="66"/>
      <c r="AU1430" s="66"/>
      <c r="AV1430" s="66"/>
      <c r="AW1430" s="66"/>
      <c r="AX1430" s="66"/>
      <c r="BA1430" s="19" t="s">
        <v>118</v>
      </c>
    </row>
    <row r="1431" spans="1:53" s="20" customFormat="1">
      <c r="A1431" s="3" t="s">
        <v>79</v>
      </c>
      <c r="B1431" s="5">
        <v>34714.453200000004</v>
      </c>
      <c r="C1431" s="20">
        <v>12.001497088781097</v>
      </c>
      <c r="D1431" s="3"/>
      <c r="T1431" s="8">
        <v>2.3823948783896052</v>
      </c>
      <c r="U1431" s="8">
        <v>3.0734037490570061</v>
      </c>
      <c r="AI1431" s="29" t="str">
        <f t="shared" si="52"/>
        <v/>
      </c>
      <c r="AS1431" s="66"/>
      <c r="AT1431" s="66"/>
      <c r="AU1431" s="66"/>
      <c r="AV1431" s="66"/>
      <c r="AW1431" s="66"/>
      <c r="AX1431" s="66"/>
      <c r="BA1431" s="19" t="s">
        <v>118</v>
      </c>
    </row>
    <row r="1432" spans="1:53" s="20" customFormat="1">
      <c r="A1432" s="3" t="s">
        <v>79</v>
      </c>
      <c r="B1432" s="5">
        <v>35079.695400000004</v>
      </c>
      <c r="C1432" s="20">
        <v>13.001497088781099</v>
      </c>
      <c r="D1432" s="3"/>
      <c r="T1432" s="8">
        <v>2.4571103928265625</v>
      </c>
      <c r="U1432" s="8">
        <v>3.1669236272078791</v>
      </c>
      <c r="AI1432" s="29" t="str">
        <f t="shared" si="52"/>
        <v/>
      </c>
      <c r="AS1432" s="66"/>
      <c r="AT1432" s="66"/>
      <c r="AU1432" s="66"/>
      <c r="AV1432" s="66"/>
      <c r="AW1432" s="66"/>
      <c r="AX1432" s="66"/>
      <c r="BA1432" s="19" t="s">
        <v>118</v>
      </c>
    </row>
    <row r="1433" spans="1:53" s="20" customFormat="1">
      <c r="A1433" s="3" t="s">
        <v>79</v>
      </c>
      <c r="B1433" s="5">
        <v>35444.937600000005</v>
      </c>
      <c r="C1433" s="20">
        <v>14.0014970887811</v>
      </c>
      <c r="D1433" s="3"/>
      <c r="T1433" s="8">
        <v>2.4163684958890244</v>
      </c>
      <c r="U1433" s="8">
        <v>3.0647651832352412</v>
      </c>
      <c r="AI1433" s="29" t="str">
        <f t="shared" si="52"/>
        <v/>
      </c>
      <c r="AS1433" s="66"/>
      <c r="AT1433" s="66"/>
      <c r="AU1433" s="66"/>
      <c r="AV1433" s="66"/>
      <c r="AW1433" s="66"/>
      <c r="AX1433" s="66"/>
      <c r="BA1433" s="19" t="s">
        <v>118</v>
      </c>
    </row>
    <row r="1434" spans="1:53" s="20" customFormat="1">
      <c r="A1434" s="3" t="s">
        <v>79</v>
      </c>
      <c r="B1434" s="5">
        <v>35810.179800000005</v>
      </c>
      <c r="C1434" s="20">
        <v>15.001497088781102</v>
      </c>
      <c r="D1434" s="3"/>
      <c r="T1434" s="8">
        <v>2.3925209791856989</v>
      </c>
      <c r="U1434" s="8">
        <v>2.9888129265753967</v>
      </c>
      <c r="AI1434" s="29" t="str">
        <f t="shared" si="52"/>
        <v/>
      </c>
      <c r="AS1434" s="66"/>
      <c r="AT1434" s="66"/>
      <c r="AU1434" s="66"/>
      <c r="AV1434" s="66"/>
      <c r="AW1434" s="66"/>
      <c r="AX1434" s="66"/>
      <c r="BA1434" s="19" t="s">
        <v>118</v>
      </c>
    </row>
    <row r="1435" spans="1:53" s="20" customFormat="1">
      <c r="A1435" s="3" t="s">
        <v>79</v>
      </c>
      <c r="B1435" s="5">
        <v>36175.422000000006</v>
      </c>
      <c r="C1435" s="20">
        <v>16.001497088781104</v>
      </c>
      <c r="D1435" s="3"/>
      <c r="T1435" s="8">
        <v>2.5718994553713248</v>
      </c>
      <c r="U1435" s="8">
        <v>3.4361000130507162</v>
      </c>
      <c r="AI1435" s="29" t="str">
        <f t="shared" si="52"/>
        <v/>
      </c>
      <c r="AS1435" s="66"/>
      <c r="AT1435" s="66"/>
      <c r="AU1435" s="66"/>
      <c r="AV1435" s="66"/>
      <c r="AW1435" s="66"/>
      <c r="AX1435" s="66"/>
      <c r="BA1435" s="19" t="s">
        <v>118</v>
      </c>
    </row>
    <row r="1436" spans="1:53" s="20" customFormat="1">
      <c r="A1436" s="3" t="s">
        <v>79</v>
      </c>
      <c r="B1436" s="5">
        <v>36540.664200000007</v>
      </c>
      <c r="C1436" s="20">
        <v>17.001497088781104</v>
      </c>
      <c r="D1436" s="3"/>
      <c r="T1436" s="8">
        <v>2.6652210059237524</v>
      </c>
      <c r="U1436" s="8">
        <v>3.4429713648184519</v>
      </c>
      <c r="AI1436" s="29" t="str">
        <f t="shared" si="52"/>
        <v/>
      </c>
      <c r="AS1436" s="66"/>
      <c r="AT1436" s="66"/>
      <c r="AU1436" s="66"/>
      <c r="AV1436" s="66"/>
      <c r="AW1436" s="66"/>
      <c r="AX1436" s="66"/>
      <c r="BA1436" s="19" t="s">
        <v>118</v>
      </c>
    </row>
    <row r="1437" spans="1:53" s="20" customFormat="1">
      <c r="A1437" s="3" t="s">
        <v>79</v>
      </c>
      <c r="B1437" s="5">
        <v>36905.906400000007</v>
      </c>
      <c r="C1437" s="20">
        <v>18.001497088781107</v>
      </c>
      <c r="D1437" s="3"/>
      <c r="T1437" s="8">
        <v>2.930487556301109</v>
      </c>
      <c r="U1437" s="8">
        <v>4.1673846841885798</v>
      </c>
      <c r="AI1437" s="29" t="str">
        <f t="shared" si="52"/>
        <v/>
      </c>
      <c r="AS1437" s="66"/>
      <c r="AT1437" s="66"/>
      <c r="AU1437" s="66"/>
      <c r="AV1437" s="66"/>
      <c r="AW1437" s="66"/>
      <c r="AX1437" s="66"/>
      <c r="BA1437" s="19" t="s">
        <v>118</v>
      </c>
    </row>
    <row r="1438" spans="1:53" s="20" customFormat="1">
      <c r="A1438" s="3" t="s">
        <v>79</v>
      </c>
      <c r="B1438" s="5">
        <v>37271.148600000008</v>
      </c>
      <c r="C1438" s="20">
        <v>19.001497088781107</v>
      </c>
      <c r="D1438" s="3"/>
      <c r="T1438" s="8">
        <v>2.9301642868738442</v>
      </c>
      <c r="U1438" s="8">
        <v>4.1904467960491347</v>
      </c>
      <c r="AI1438" s="29" t="str">
        <f t="shared" si="52"/>
        <v/>
      </c>
      <c r="AS1438" s="66"/>
      <c r="AT1438" s="66"/>
      <c r="AU1438" s="66"/>
      <c r="AV1438" s="66"/>
      <c r="AW1438" s="66"/>
      <c r="AX1438" s="66"/>
      <c r="BA1438" s="19" t="s">
        <v>118</v>
      </c>
    </row>
    <row r="1439" spans="1:53" s="20" customFormat="1">
      <c r="A1439" s="1" t="s">
        <v>95</v>
      </c>
      <c r="B1439" s="5">
        <v>24303</v>
      </c>
      <c r="C1439" s="19">
        <v>0</v>
      </c>
      <c r="D1439" s="3">
        <v>100</v>
      </c>
      <c r="E1439" s="20">
        <v>1234</v>
      </c>
      <c r="T1439" s="8"/>
      <c r="U1439" s="8"/>
      <c r="AI1439" s="29" t="str">
        <f t="shared" si="52"/>
        <v/>
      </c>
      <c r="AS1439" s="66"/>
      <c r="AT1439" s="66"/>
      <c r="AU1439" s="66"/>
      <c r="AV1439" s="66"/>
      <c r="AW1439" s="66"/>
      <c r="AX1439" s="66"/>
      <c r="BA1439" s="19" t="s">
        <v>119</v>
      </c>
    </row>
    <row r="1440" spans="1:53" s="20" customFormat="1">
      <c r="A1440" s="1" t="s">
        <v>95</v>
      </c>
      <c r="B1440" s="5">
        <f>B$1439+365.25*C1440</f>
        <v>30000.9</v>
      </c>
      <c r="C1440" s="20">
        <v>15.6</v>
      </c>
      <c r="D1440" s="3">
        <f>E1440/E$1439*100</f>
        <v>55.024311183144249</v>
      </c>
      <c r="E1440" s="20">
        <v>679</v>
      </c>
      <c r="T1440" s="8"/>
      <c r="U1440" s="8"/>
      <c r="AI1440" s="29" t="str">
        <f t="shared" si="52"/>
        <v/>
      </c>
      <c r="AS1440" s="66"/>
      <c r="AT1440" s="66"/>
      <c r="AU1440" s="66"/>
      <c r="AV1440" s="66"/>
      <c r="AW1440" s="66"/>
      <c r="AX1440" s="66"/>
      <c r="BA1440" s="19" t="s">
        <v>119</v>
      </c>
    </row>
    <row r="1441" spans="1:53" s="20" customFormat="1">
      <c r="A1441" s="1" t="s">
        <v>95</v>
      </c>
      <c r="B1441" s="5">
        <f>B$1439+365.25*C1441</f>
        <v>35041.35</v>
      </c>
      <c r="C1441" s="20">
        <v>29.4</v>
      </c>
      <c r="D1441" s="3">
        <f>E1441/E$1439*100</f>
        <v>55.024311183144249</v>
      </c>
      <c r="E1441" s="20">
        <v>679</v>
      </c>
      <c r="F1441" s="20">
        <v>26500</v>
      </c>
      <c r="H1441" s="20">
        <v>203</v>
      </c>
      <c r="J1441" s="20">
        <v>2420</v>
      </c>
      <c r="N1441" s="20">
        <v>23870</v>
      </c>
      <c r="P1441" s="20">
        <v>3090</v>
      </c>
      <c r="T1441" s="8"/>
      <c r="U1441" s="8"/>
      <c r="V1441" s="20">
        <v>29</v>
      </c>
      <c r="AA1441" s="6">
        <v>0.12</v>
      </c>
      <c r="AB1441" s="20">
        <v>23.7</v>
      </c>
      <c r="AE1441" s="20">
        <v>39.6</v>
      </c>
      <c r="AF1441" s="20">
        <v>330</v>
      </c>
      <c r="AI1441" s="3">
        <f>AF1441/C1441</f>
        <v>11.224489795918368</v>
      </c>
      <c r="AR1441" s="20">
        <v>29</v>
      </c>
      <c r="AS1441" s="66"/>
      <c r="AT1441" s="66"/>
      <c r="AU1441" s="66"/>
      <c r="AV1441" s="66"/>
      <c r="AW1441" s="66"/>
      <c r="AX1441" s="66"/>
      <c r="BA1441" s="19" t="s">
        <v>119</v>
      </c>
    </row>
    <row r="1442" spans="1:53">
      <c r="A1442" s="1" t="s">
        <v>96</v>
      </c>
      <c r="B1442" s="5">
        <v>35200</v>
      </c>
      <c r="C1442" s="19">
        <v>0</v>
      </c>
      <c r="D1442" s="3">
        <v>100</v>
      </c>
      <c r="E1442" s="3">
        <v>1111</v>
      </c>
      <c r="AB1442" s="45">
        <v>0.3</v>
      </c>
      <c r="AC1442" s="45"/>
      <c r="AD1442" s="45"/>
      <c r="AE1442" s="45"/>
      <c r="AF1442" s="45"/>
      <c r="AS1442" s="56"/>
      <c r="AT1442" s="56"/>
      <c r="AU1442" s="56"/>
      <c r="AV1442" s="56"/>
      <c r="AW1442" s="56"/>
      <c r="AX1442" s="56"/>
      <c r="BA1442" s="19" t="s">
        <v>119</v>
      </c>
    </row>
    <row r="1443" spans="1:53">
      <c r="A1443" s="1" t="s">
        <v>96</v>
      </c>
      <c r="B1443" s="5">
        <f>B$1442+365.25*C1443</f>
        <v>35638.300000000003</v>
      </c>
      <c r="C1443" s="23">
        <v>1.2</v>
      </c>
      <c r="D1443" s="3">
        <v>99</v>
      </c>
      <c r="E1443" s="3">
        <v>1100</v>
      </c>
      <c r="AB1443" s="45">
        <v>1.5</v>
      </c>
      <c r="AC1443" s="45"/>
      <c r="AD1443" s="45"/>
      <c r="AE1443" s="45"/>
      <c r="AF1443" s="45"/>
      <c r="AS1443" s="56"/>
      <c r="AT1443" s="56"/>
      <c r="AU1443" s="56"/>
      <c r="AV1443" s="56"/>
      <c r="AW1443" s="56"/>
      <c r="AX1443" s="56"/>
      <c r="BA1443" s="19" t="s">
        <v>119</v>
      </c>
    </row>
    <row r="1444" spans="1:53">
      <c r="A1444" s="1" t="s">
        <v>96</v>
      </c>
      <c r="B1444" s="5">
        <f t="shared" ref="B1444:B1449" si="53">B$1442+365.25*C1444</f>
        <v>36076.6</v>
      </c>
      <c r="C1444" s="23">
        <v>2.4</v>
      </c>
      <c r="D1444" s="3">
        <v>99</v>
      </c>
      <c r="E1444" s="3">
        <v>1100</v>
      </c>
      <c r="AB1444" s="45">
        <v>3.5</v>
      </c>
      <c r="AC1444" s="45"/>
      <c r="AD1444" s="45"/>
      <c r="AE1444" s="45">
        <v>2.2999999999999998</v>
      </c>
      <c r="AF1444" s="45"/>
      <c r="AL1444" s="3">
        <v>8.6999999999999994E-3</v>
      </c>
      <c r="AS1444" s="56"/>
      <c r="AT1444" s="56"/>
      <c r="AU1444" s="56"/>
      <c r="AV1444" s="56"/>
      <c r="AW1444" s="56"/>
      <c r="AX1444" s="56"/>
      <c r="BA1444" s="19" t="s">
        <v>119</v>
      </c>
    </row>
    <row r="1445" spans="1:53">
      <c r="A1445" s="1" t="s">
        <v>96</v>
      </c>
      <c r="B1445" s="5">
        <f t="shared" ref="B1445" si="54">B$1442+365.25*C1445</f>
        <v>36387.0625</v>
      </c>
      <c r="C1445" s="23">
        <v>3.25</v>
      </c>
      <c r="D1445" s="3">
        <v>99</v>
      </c>
      <c r="E1445" s="3">
        <v>1100</v>
      </c>
      <c r="F1445" s="3">
        <v>2392.0000000000005</v>
      </c>
      <c r="H1445" s="3">
        <v>685.17300056721501</v>
      </c>
      <c r="J1445" s="3">
        <v>260.50141803743628</v>
      </c>
      <c r="L1445" s="3">
        <v>373.11401020986955</v>
      </c>
      <c r="M1445" s="3">
        <v>1073.2115711854794</v>
      </c>
      <c r="N1445" s="3">
        <v>1446.325581395349</v>
      </c>
      <c r="V1445" s="3">
        <v>5.4600000000000009</v>
      </c>
      <c r="AB1445" s="45"/>
      <c r="AC1445" s="45"/>
      <c r="AD1445" s="45"/>
      <c r="AE1445" s="45"/>
      <c r="AF1445" s="45"/>
      <c r="AL1445" s="3">
        <v>5.6999999999999993E-3</v>
      </c>
      <c r="AR1445" s="3">
        <v>5.4600000000000009</v>
      </c>
      <c r="AS1445" s="56"/>
      <c r="AT1445" s="56"/>
      <c r="AU1445" s="56"/>
      <c r="AV1445" s="56"/>
      <c r="AW1445" s="56"/>
      <c r="AX1445" s="56"/>
      <c r="BA1445" s="19" t="s">
        <v>119</v>
      </c>
    </row>
    <row r="1446" spans="1:53">
      <c r="A1446" s="1" t="s">
        <v>96</v>
      </c>
      <c r="B1446" s="5">
        <f t="shared" si="53"/>
        <v>36441.85</v>
      </c>
      <c r="C1446" s="23">
        <v>3.4</v>
      </c>
      <c r="D1446" s="3">
        <v>62.5</v>
      </c>
      <c r="E1446" s="3">
        <v>694</v>
      </c>
      <c r="F1446" s="3">
        <v>1719.0000000000002</v>
      </c>
      <c r="H1446" s="3">
        <v>492.39648326715837</v>
      </c>
      <c r="J1446" s="3">
        <v>187.20816789563244</v>
      </c>
      <c r="L1446" s="3">
        <v>268.13669880884862</v>
      </c>
      <c r="M1446" s="3">
        <v>771.25865002836088</v>
      </c>
      <c r="N1446" s="3">
        <v>1039.3953488372094</v>
      </c>
      <c r="V1446" s="3">
        <v>3.9299999999999997</v>
      </c>
      <c r="AB1446" s="45">
        <v>6.1000000000000005</v>
      </c>
      <c r="AC1446" s="45">
        <v>9.6999999999999993</v>
      </c>
      <c r="AD1446" s="45"/>
      <c r="AE1446" s="45">
        <v>9.6999999999999993</v>
      </c>
      <c r="AF1446" s="45">
        <v>15.813229999999999</v>
      </c>
      <c r="AI1446" s="3">
        <f t="shared" ref="AI1446:AI1448" si="55">AF1446/C1446</f>
        <v>4.6509499999999999</v>
      </c>
      <c r="AL1446" s="3">
        <v>8.8000000000000005E-3</v>
      </c>
      <c r="AR1446" s="3">
        <v>3.9299999999999997</v>
      </c>
      <c r="AS1446" s="56"/>
      <c r="AT1446" s="56"/>
      <c r="AU1446" s="56"/>
      <c r="AV1446" s="56"/>
      <c r="AW1446" s="56"/>
      <c r="AX1446" s="56"/>
      <c r="BA1446" s="19" t="s">
        <v>119</v>
      </c>
    </row>
    <row r="1447" spans="1:53">
      <c r="A1447" s="1" t="s">
        <v>96</v>
      </c>
      <c r="B1447" s="5">
        <f t="shared" si="53"/>
        <v>36807.1</v>
      </c>
      <c r="C1447" s="23">
        <v>4.4000000000000004</v>
      </c>
      <c r="D1447" s="3">
        <v>62.5</v>
      </c>
      <c r="E1447" s="3">
        <v>694</v>
      </c>
      <c r="AB1447" s="45">
        <v>8.4000000000000021</v>
      </c>
      <c r="AC1447" s="45"/>
      <c r="AD1447" s="45"/>
      <c r="AE1447" s="45">
        <v>19.2</v>
      </c>
      <c r="AF1447" s="45">
        <v>42.705189999999995</v>
      </c>
      <c r="AI1447" s="3">
        <f t="shared" si="55"/>
        <v>9.7057249999999975</v>
      </c>
      <c r="AL1447" s="3">
        <v>9.1000000000000004E-3</v>
      </c>
      <c r="AS1447" s="56"/>
      <c r="AT1447" s="56"/>
      <c r="AU1447" s="56"/>
      <c r="AV1447" s="56"/>
      <c r="AW1447" s="56"/>
      <c r="AX1447" s="56"/>
      <c r="BA1447" s="19" t="s">
        <v>119</v>
      </c>
    </row>
    <row r="1448" spans="1:53">
      <c r="A1448" s="1" t="s">
        <v>96</v>
      </c>
      <c r="B1448" s="5">
        <f t="shared" si="53"/>
        <v>37062.775000000001</v>
      </c>
      <c r="C1448" s="23">
        <v>5.0999999999999996</v>
      </c>
      <c r="D1448" s="3">
        <v>62.5</v>
      </c>
      <c r="E1448" s="3">
        <v>694</v>
      </c>
      <c r="AB1448" s="45">
        <v>9.9000000000000021</v>
      </c>
      <c r="AC1448" s="45"/>
      <c r="AD1448" s="45"/>
      <c r="AE1448" s="45">
        <v>24.2</v>
      </c>
      <c r="AF1448" s="45">
        <v>56.908689999999993</v>
      </c>
      <c r="AI1448" s="3">
        <f t="shared" si="55"/>
        <v>11.158566666666665</v>
      </c>
      <c r="AL1448" s="3">
        <v>8.199999999999999E-3</v>
      </c>
      <c r="AS1448" s="56"/>
      <c r="AT1448" s="56"/>
      <c r="AU1448" s="56"/>
      <c r="AV1448" s="56"/>
      <c r="AW1448" s="56"/>
      <c r="AX1448" s="56"/>
      <c r="BA1448" s="19" t="s">
        <v>119</v>
      </c>
    </row>
    <row r="1449" spans="1:53">
      <c r="A1449" s="1" t="s">
        <v>96</v>
      </c>
      <c r="B1449" s="5">
        <f t="shared" si="53"/>
        <v>37537.599999999999</v>
      </c>
      <c r="C1449" s="1">
        <v>6.4</v>
      </c>
      <c r="D1449" s="3">
        <v>62.5</v>
      </c>
      <c r="E1449" s="3">
        <v>694</v>
      </c>
      <c r="AB1449" s="46">
        <v>11.1</v>
      </c>
      <c r="AC1449" s="46">
        <v>18.899999999999999</v>
      </c>
      <c r="AD1449" s="46"/>
      <c r="AE1449" s="46">
        <v>27.3</v>
      </c>
      <c r="AF1449" s="46">
        <v>76.7</v>
      </c>
      <c r="AI1449" s="3">
        <f>AF1449/C1449</f>
        <v>11.984375</v>
      </c>
      <c r="AL1449" s="3">
        <v>7.8000000000000005E-3</v>
      </c>
      <c r="AS1449" s="56"/>
      <c r="AT1449" s="56"/>
      <c r="AU1449" s="56"/>
      <c r="AV1449" s="56"/>
      <c r="AW1449" s="56"/>
      <c r="AX1449" s="56"/>
      <c r="BA1449" s="19" t="s">
        <v>119</v>
      </c>
    </row>
    <row r="1450" spans="1:53">
      <c r="A1450" s="1" t="s">
        <v>97</v>
      </c>
      <c r="B1450" s="47">
        <v>36600</v>
      </c>
      <c r="C1450" s="23">
        <v>0</v>
      </c>
      <c r="D1450" s="1">
        <v>100</v>
      </c>
      <c r="E1450" s="1">
        <v>833</v>
      </c>
      <c r="AS1450" s="56"/>
      <c r="AT1450" s="56"/>
      <c r="AU1450" s="56"/>
      <c r="AV1450" s="56"/>
      <c r="AW1450" s="56"/>
      <c r="AX1450" s="56"/>
      <c r="BA1450" s="19" t="s">
        <v>119</v>
      </c>
    </row>
    <row r="1451" spans="1:53">
      <c r="A1451" s="1" t="s">
        <v>97</v>
      </c>
      <c r="B1451" s="5">
        <f>B$1450+365.25*C1451</f>
        <v>37421.8125</v>
      </c>
      <c r="C1451" s="23">
        <v>2.25</v>
      </c>
      <c r="D1451" s="1">
        <v>100</v>
      </c>
      <c r="E1451" s="1">
        <v>833</v>
      </c>
      <c r="W1451" s="43"/>
      <c r="X1451" s="43"/>
      <c r="Y1451" s="43"/>
      <c r="Z1451" s="43"/>
      <c r="AA1451" s="43"/>
      <c r="AB1451" s="46"/>
      <c r="AC1451" s="46"/>
      <c r="AD1451" s="46"/>
      <c r="AE1451" s="46"/>
      <c r="AF1451" s="46"/>
      <c r="AG1451" s="43"/>
      <c r="AH1451" s="43"/>
      <c r="AI1451" s="43"/>
      <c r="AJ1451" s="43"/>
      <c r="AS1451" s="56"/>
      <c r="AT1451" s="56"/>
      <c r="AU1451" s="56"/>
      <c r="AV1451" s="56"/>
      <c r="AW1451" s="56"/>
      <c r="AX1451" s="56"/>
      <c r="BA1451" s="19" t="s">
        <v>119</v>
      </c>
    </row>
    <row r="1452" spans="1:53">
      <c r="A1452" s="1" t="s">
        <v>97</v>
      </c>
      <c r="B1452" s="5">
        <f t="shared" ref="B1452:B1455" si="56">B$1450+365.25*C1452</f>
        <v>37798.019999999997</v>
      </c>
      <c r="C1452" s="23">
        <v>3.28</v>
      </c>
      <c r="D1452" s="1">
        <v>100</v>
      </c>
      <c r="E1452" s="1">
        <v>833</v>
      </c>
      <c r="W1452" s="43"/>
      <c r="X1452" s="43"/>
      <c r="Y1452" s="43"/>
      <c r="Z1452" s="43"/>
      <c r="AA1452" s="43"/>
      <c r="AB1452" s="46"/>
      <c r="AC1452" s="46"/>
      <c r="AD1452" s="46"/>
      <c r="AE1452" s="46"/>
      <c r="AF1452" s="46"/>
      <c r="AG1452" s="43"/>
      <c r="AH1452" s="43"/>
      <c r="AI1452" s="43"/>
      <c r="AJ1452" s="43"/>
      <c r="AS1452" s="56"/>
      <c r="AT1452" s="56"/>
      <c r="AU1452" s="56"/>
      <c r="AV1452" s="56"/>
      <c r="AW1452" s="56"/>
      <c r="AX1452" s="56"/>
      <c r="BA1452" s="19" t="s">
        <v>119</v>
      </c>
    </row>
    <row r="1453" spans="1:53">
      <c r="A1453" s="1" t="s">
        <v>97</v>
      </c>
      <c r="B1453" s="5">
        <f t="shared" si="56"/>
        <v>38981.43</v>
      </c>
      <c r="C1453" s="23">
        <v>6.52</v>
      </c>
      <c r="D1453" s="1">
        <v>100</v>
      </c>
      <c r="E1453" s="1">
        <v>833</v>
      </c>
      <c r="U1453" s="44"/>
      <c r="V1453" s="44"/>
      <c r="W1453" s="44"/>
      <c r="X1453" s="44"/>
      <c r="Y1453" s="44"/>
      <c r="Z1453" s="44"/>
      <c r="AA1453" s="44"/>
      <c r="AB1453" s="46"/>
      <c r="AC1453" s="46"/>
      <c r="AD1453" s="46"/>
      <c r="AF1453" s="46"/>
      <c r="AG1453" s="44"/>
      <c r="AH1453" s="44"/>
      <c r="AI1453" s="44"/>
      <c r="AJ1453" s="44"/>
      <c r="AS1453" s="56"/>
      <c r="AT1453" s="56"/>
      <c r="AU1453" s="56"/>
      <c r="AV1453" s="56"/>
      <c r="AW1453" s="56"/>
      <c r="AX1453" s="56"/>
      <c r="BA1453" s="19" t="s">
        <v>119</v>
      </c>
    </row>
    <row r="1454" spans="1:53">
      <c r="A1454" s="1" t="s">
        <v>97</v>
      </c>
      <c r="B1454" s="5">
        <f t="shared" si="56"/>
        <v>40712.714999999997</v>
      </c>
      <c r="C1454" s="23">
        <v>11.26</v>
      </c>
      <c r="D1454" s="1">
        <v>100</v>
      </c>
      <c r="E1454" s="1">
        <v>833</v>
      </c>
      <c r="AB1454" s="48"/>
      <c r="AC1454" s="48"/>
      <c r="AD1454" s="48"/>
      <c r="AF1454" s="48"/>
      <c r="AS1454" s="56"/>
      <c r="AT1454" s="56"/>
      <c r="AU1454" s="56"/>
      <c r="AV1454" s="56"/>
      <c r="AW1454" s="56"/>
      <c r="AX1454" s="56"/>
      <c r="BA1454" s="19" t="s">
        <v>119</v>
      </c>
    </row>
    <row r="1455" spans="1:53">
      <c r="A1455" s="1" t="s">
        <v>97</v>
      </c>
      <c r="B1455" s="5">
        <f t="shared" si="56"/>
        <v>42126.232499999998</v>
      </c>
      <c r="C1455" s="23">
        <v>15.13</v>
      </c>
      <c r="D1455" s="1">
        <v>100</v>
      </c>
      <c r="E1455" s="1">
        <v>833</v>
      </c>
      <c r="AB1455" s="48"/>
      <c r="AC1455" s="48"/>
      <c r="AD1455" s="48"/>
      <c r="AG1455" s="1"/>
      <c r="AH1455" s="48">
        <v>414.5</v>
      </c>
      <c r="AI1455" s="1"/>
      <c r="AJ1455" s="1"/>
      <c r="AS1455" s="56"/>
      <c r="AT1455" s="56"/>
      <c r="AU1455" s="56"/>
      <c r="AV1455" s="56"/>
      <c r="AW1455" s="56"/>
      <c r="AX1455" s="56"/>
      <c r="BA1455" s="19" t="s">
        <v>119</v>
      </c>
    </row>
    <row r="1456" spans="1:53">
      <c r="A1456" s="1" t="s">
        <v>98</v>
      </c>
      <c r="B1456" s="47">
        <v>37408</v>
      </c>
      <c r="C1456" s="23">
        <v>0</v>
      </c>
      <c r="D1456" s="1">
        <v>100</v>
      </c>
      <c r="E1456" s="1">
        <v>794</v>
      </c>
      <c r="AS1456" s="56"/>
      <c r="AT1456" s="56"/>
      <c r="AU1456" s="56"/>
      <c r="AV1456" s="56"/>
      <c r="AW1456" s="56"/>
      <c r="AX1456" s="56"/>
      <c r="BA1456" s="19" t="s">
        <v>119</v>
      </c>
    </row>
    <row r="1457" spans="1:53">
      <c r="A1457" s="1" t="s">
        <v>98</v>
      </c>
      <c r="B1457" s="47">
        <f>B$1456+365.25*C1457</f>
        <v>42156.25</v>
      </c>
      <c r="C1457" s="23">
        <v>13</v>
      </c>
      <c r="D1457" s="3">
        <f>E1457/E1456*100</f>
        <v>97.858942065491178</v>
      </c>
      <c r="E1457" s="1">
        <v>777</v>
      </c>
      <c r="AC1457" s="3">
        <v>23.6</v>
      </c>
      <c r="AF1457" s="3">
        <v>236</v>
      </c>
      <c r="AI1457" s="3">
        <f>AF1457/C1457</f>
        <v>18.153846153846153</v>
      </c>
      <c r="AS1457" s="56"/>
      <c r="AT1457" s="56"/>
      <c r="AU1457" s="56"/>
      <c r="AV1457" s="56"/>
      <c r="AW1457" s="56"/>
      <c r="AX1457" s="56"/>
      <c r="BA1457" s="19" t="s">
        <v>119</v>
      </c>
    </row>
    <row r="1458" spans="1:53">
      <c r="A1458" s="49" t="s">
        <v>99</v>
      </c>
      <c r="B1458" s="5">
        <v>36285</v>
      </c>
      <c r="C1458" s="23">
        <v>0</v>
      </c>
      <c r="D1458" s="1">
        <v>100</v>
      </c>
      <c r="E1458" s="19">
        <v>833.3</v>
      </c>
      <c r="AS1458" s="56"/>
      <c r="AT1458" s="56"/>
      <c r="AU1458" s="56"/>
      <c r="AV1458" s="56"/>
      <c r="AW1458" s="56"/>
      <c r="AX1458" s="56"/>
      <c r="BA1458" s="19" t="s">
        <v>119</v>
      </c>
    </row>
    <row r="1459" spans="1:53">
      <c r="A1459" s="49" t="s">
        <v>99</v>
      </c>
      <c r="B1459" s="47">
        <f>B$1458+365.25*C1459</f>
        <v>36504.15</v>
      </c>
      <c r="C1459" s="23">
        <v>0.6</v>
      </c>
      <c r="D1459" s="1">
        <v>98.3</v>
      </c>
      <c r="E1459" s="20">
        <f>E$1458*D1459/100</f>
        <v>819.13390000000004</v>
      </c>
      <c r="F1459" s="7"/>
      <c r="AB1459" s="3">
        <v>1</v>
      </c>
      <c r="AS1459" s="56"/>
      <c r="AT1459" s="56"/>
      <c r="AU1459" s="56"/>
      <c r="AV1459" s="56"/>
      <c r="AW1459" s="56"/>
      <c r="AX1459" s="56"/>
      <c r="BA1459" s="19" t="s">
        <v>119</v>
      </c>
    </row>
    <row r="1460" spans="1:53">
      <c r="A1460" s="49" t="s">
        <v>99</v>
      </c>
      <c r="B1460" s="47">
        <f t="shared" ref="B1460" si="57">B$1458+365.25*C1460</f>
        <v>37307.699999999997</v>
      </c>
      <c r="C1460" s="23">
        <v>2.8</v>
      </c>
      <c r="D1460" s="1">
        <v>97.1</v>
      </c>
      <c r="E1460" s="20">
        <f t="shared" ref="E1460:E1463" si="58">E$1458*D1460/100</f>
        <v>809.13429999999994</v>
      </c>
      <c r="F1460" s="7"/>
      <c r="AB1460" s="3">
        <v>3</v>
      </c>
      <c r="AC1460" s="3">
        <v>5.5</v>
      </c>
      <c r="AE1460" s="3">
        <v>2.2999999999999998</v>
      </c>
      <c r="AH1460" s="1">
        <v>2</v>
      </c>
      <c r="AS1460" s="56"/>
      <c r="AT1460" s="56"/>
      <c r="AU1460" s="56"/>
      <c r="AV1460" s="56"/>
      <c r="AW1460" s="56"/>
      <c r="AX1460" s="56"/>
      <c r="BA1460" s="19" t="s">
        <v>119</v>
      </c>
    </row>
    <row r="1461" spans="1:53">
      <c r="A1461" s="49" t="s">
        <v>99</v>
      </c>
      <c r="B1461" s="47">
        <f>B$1458+365.25*C1461</f>
        <v>37782.525000000001</v>
      </c>
      <c r="C1461" s="23">
        <v>4.0999999999999996</v>
      </c>
      <c r="D1461" s="1">
        <v>96.5</v>
      </c>
      <c r="E1461" s="20">
        <f t="shared" si="58"/>
        <v>804.1345</v>
      </c>
      <c r="F1461" s="7"/>
      <c r="AB1461" s="3">
        <v>8.5</v>
      </c>
      <c r="AC1461" s="3">
        <v>11.8</v>
      </c>
      <c r="AE1461" s="3">
        <v>9.5</v>
      </c>
      <c r="AH1461" s="1">
        <v>25</v>
      </c>
      <c r="AS1461" s="56"/>
      <c r="AT1461" s="56"/>
      <c r="AU1461" s="56"/>
      <c r="AV1461" s="56"/>
      <c r="AW1461" s="56"/>
      <c r="AX1461" s="56"/>
      <c r="BA1461" s="19" t="s">
        <v>119</v>
      </c>
    </row>
    <row r="1462" spans="1:53">
      <c r="A1462" s="49" t="s">
        <v>99</v>
      </c>
      <c r="B1462" s="47">
        <f>B$1458+365.25*C1462</f>
        <v>38878.275000000001</v>
      </c>
      <c r="C1462" s="23">
        <v>7.1</v>
      </c>
      <c r="D1462" s="1">
        <v>96</v>
      </c>
      <c r="E1462" s="20">
        <f t="shared" si="58"/>
        <v>799.96799999999985</v>
      </c>
      <c r="F1462" s="7"/>
      <c r="AS1462" s="56"/>
      <c r="AT1462" s="56"/>
      <c r="AU1462" s="56"/>
      <c r="AV1462" s="56"/>
      <c r="AW1462" s="56"/>
      <c r="AX1462" s="56"/>
      <c r="BA1462" s="19" t="s">
        <v>119</v>
      </c>
    </row>
    <row r="1463" spans="1:53">
      <c r="A1463" s="49" t="s">
        <v>99</v>
      </c>
      <c r="B1463" s="47">
        <f>B$1458+365.25*C1463</f>
        <v>39243.525000000001</v>
      </c>
      <c r="C1463" s="23">
        <v>8.1</v>
      </c>
      <c r="D1463" s="1">
        <v>96</v>
      </c>
      <c r="E1463" s="20">
        <f t="shared" si="58"/>
        <v>799.96799999999985</v>
      </c>
      <c r="F1463" s="7"/>
      <c r="AB1463" s="1">
        <v>15.2</v>
      </c>
      <c r="AC1463" s="3">
        <v>19.5</v>
      </c>
      <c r="AE1463" s="3">
        <v>25.2</v>
      </c>
      <c r="AH1463" s="1">
        <v>130</v>
      </c>
      <c r="AS1463" s="56"/>
      <c r="AT1463" s="56"/>
      <c r="AU1463" s="56"/>
      <c r="AV1463" s="56"/>
      <c r="AW1463" s="56"/>
      <c r="AX1463" s="56"/>
      <c r="BA1463" s="19" t="s">
        <v>119</v>
      </c>
    </row>
    <row r="1464" spans="1:53">
      <c r="A1464" s="49" t="s">
        <v>92</v>
      </c>
      <c r="B1464" s="47">
        <v>13346</v>
      </c>
      <c r="C1464" s="23">
        <v>0</v>
      </c>
      <c r="D1464" s="1">
        <v>100</v>
      </c>
      <c r="E1464" s="19">
        <v>1400</v>
      </c>
      <c r="AS1464" s="56"/>
      <c r="AT1464" s="56"/>
      <c r="AU1464" s="56"/>
      <c r="AV1464" s="56"/>
      <c r="AW1464" s="56"/>
      <c r="AX1464" s="56"/>
      <c r="BA1464" s="19" t="s">
        <v>120</v>
      </c>
    </row>
    <row r="1465" spans="1:53">
      <c r="A1465" s="49" t="s">
        <v>92</v>
      </c>
      <c r="B1465" s="47">
        <f>B$1464+365.25*C1465</f>
        <v>17729</v>
      </c>
      <c r="C1465" s="50">
        <v>12</v>
      </c>
      <c r="D1465" s="52">
        <f>E1465*100/E$1464</f>
        <v>88.928571428571431</v>
      </c>
      <c r="E1465" s="51">
        <v>1245</v>
      </c>
      <c r="AE1465" s="53">
        <v>20.09</v>
      </c>
      <c r="AF1465" s="50">
        <v>62.1</v>
      </c>
      <c r="AI1465" s="3">
        <f t="shared" ref="AI1465:AI1470" si="59">AF1465/C1465</f>
        <v>5.1749999999999998</v>
      </c>
      <c r="AS1465" s="56"/>
      <c r="AT1465" s="56"/>
      <c r="AU1465" s="56"/>
      <c r="AV1465" s="56"/>
      <c r="AW1465" s="56"/>
      <c r="AX1465" s="56"/>
      <c r="BA1465" s="19" t="s">
        <v>120</v>
      </c>
    </row>
    <row r="1466" spans="1:53">
      <c r="A1466" s="49" t="s">
        <v>92</v>
      </c>
      <c r="B1466" s="47">
        <f t="shared" ref="B1466:B1481" si="60">B$1464+365.25*C1466</f>
        <v>18459.5</v>
      </c>
      <c r="C1466" s="50">
        <v>14</v>
      </c>
      <c r="D1466" s="52">
        <f t="shared" ref="D1466:D1480" si="61">E1466*100/E$1464</f>
        <v>86.285714285714292</v>
      </c>
      <c r="E1466" s="51">
        <v>1208</v>
      </c>
      <c r="AE1466" s="53">
        <v>25.37</v>
      </c>
      <c r="AF1466" s="50">
        <v>101.7</v>
      </c>
      <c r="AI1466" s="3">
        <f t="shared" si="59"/>
        <v>7.2642857142857142</v>
      </c>
      <c r="AS1466" s="56"/>
      <c r="AT1466" s="56"/>
      <c r="AU1466" s="56"/>
      <c r="AV1466" s="56"/>
      <c r="AW1466" s="56"/>
      <c r="AX1466" s="56"/>
      <c r="BA1466" s="19" t="s">
        <v>120</v>
      </c>
    </row>
    <row r="1467" spans="1:53">
      <c r="A1467" s="49" t="s">
        <v>92</v>
      </c>
      <c r="B1467" s="47">
        <f t="shared" si="60"/>
        <v>19190</v>
      </c>
      <c r="C1467" s="50">
        <v>16</v>
      </c>
      <c r="D1467" s="52">
        <f t="shared" si="61"/>
        <v>71.5</v>
      </c>
      <c r="E1467" s="51">
        <v>1001</v>
      </c>
      <c r="AE1467" s="53">
        <v>25.11</v>
      </c>
      <c r="AF1467" s="50">
        <v>117.5</v>
      </c>
      <c r="AI1467" s="3">
        <f t="shared" si="59"/>
        <v>7.34375</v>
      </c>
      <c r="AS1467" s="56"/>
      <c r="AT1467" s="56"/>
      <c r="AU1467" s="56"/>
      <c r="AV1467" s="56"/>
      <c r="AW1467" s="56"/>
      <c r="AX1467" s="56"/>
      <c r="BA1467" s="19" t="s">
        <v>120</v>
      </c>
    </row>
    <row r="1468" spans="1:53">
      <c r="A1468" s="49" t="s">
        <v>92</v>
      </c>
      <c r="B1468" s="47">
        <f t="shared" si="60"/>
        <v>19920.5</v>
      </c>
      <c r="C1468" s="50">
        <v>18</v>
      </c>
      <c r="D1468" s="52">
        <f t="shared" si="61"/>
        <v>71.5</v>
      </c>
      <c r="E1468" s="51">
        <v>1001</v>
      </c>
      <c r="AE1468" s="53">
        <v>29.13</v>
      </c>
      <c r="AF1468" s="50">
        <v>147.4</v>
      </c>
      <c r="AI1468" s="3">
        <f t="shared" si="59"/>
        <v>8.18888888888889</v>
      </c>
      <c r="AS1468" s="56"/>
      <c r="AT1468" s="56"/>
      <c r="AU1468" s="56"/>
      <c r="AV1468" s="56"/>
      <c r="AW1468" s="56"/>
      <c r="AX1468" s="56"/>
      <c r="BA1468" s="19" t="s">
        <v>120</v>
      </c>
    </row>
    <row r="1469" spans="1:53">
      <c r="A1469" s="49" t="s">
        <v>92</v>
      </c>
      <c r="B1469" s="47">
        <f t="shared" si="60"/>
        <v>21746.75</v>
      </c>
      <c r="C1469" s="50">
        <v>23</v>
      </c>
      <c r="D1469" s="52">
        <f t="shared" si="61"/>
        <v>70.071428571428569</v>
      </c>
      <c r="E1469" s="51">
        <v>981</v>
      </c>
      <c r="AE1469" s="53">
        <v>36.11</v>
      </c>
      <c r="AF1469" s="50">
        <v>207.7</v>
      </c>
      <c r="AI1469" s="3">
        <f t="shared" si="59"/>
        <v>9.0304347826086957</v>
      </c>
      <c r="AS1469" s="56"/>
      <c r="AT1469" s="56"/>
      <c r="AU1469" s="56"/>
      <c r="AV1469" s="56"/>
      <c r="AW1469" s="56"/>
      <c r="AX1469" s="56"/>
      <c r="BA1469" s="19" t="s">
        <v>120</v>
      </c>
    </row>
    <row r="1470" spans="1:53">
      <c r="A1470" s="49" t="s">
        <v>92</v>
      </c>
      <c r="B1470" s="47">
        <f t="shared" si="60"/>
        <v>23573</v>
      </c>
      <c r="C1470" s="50">
        <v>28</v>
      </c>
      <c r="D1470" s="52">
        <f t="shared" si="61"/>
        <v>68.642857142857139</v>
      </c>
      <c r="E1470" s="51">
        <v>961</v>
      </c>
      <c r="AE1470" s="53">
        <v>42.58</v>
      </c>
      <c r="AF1470" s="50">
        <v>260.60000000000002</v>
      </c>
      <c r="AI1470" s="3">
        <f t="shared" si="59"/>
        <v>9.3071428571428587</v>
      </c>
      <c r="AS1470" s="56"/>
      <c r="AT1470" s="56"/>
      <c r="AU1470" s="56"/>
      <c r="AV1470" s="56"/>
      <c r="AW1470" s="56"/>
      <c r="AX1470" s="56"/>
      <c r="BA1470" s="19" t="s">
        <v>120</v>
      </c>
    </row>
    <row r="1471" spans="1:53">
      <c r="A1471" s="49" t="s">
        <v>92</v>
      </c>
      <c r="B1471" s="47">
        <f t="shared" si="60"/>
        <v>25034</v>
      </c>
      <c r="C1471" s="50">
        <v>32</v>
      </c>
      <c r="D1471" s="52">
        <f t="shared" si="61"/>
        <v>68.642857142857139</v>
      </c>
      <c r="E1471" s="51">
        <v>961</v>
      </c>
      <c r="AE1471" s="53">
        <v>47.52</v>
      </c>
      <c r="AF1471" s="50"/>
      <c r="AS1471" s="56"/>
      <c r="AT1471" s="56"/>
      <c r="AU1471" s="56"/>
      <c r="AV1471" s="56"/>
      <c r="AW1471" s="56"/>
      <c r="AX1471" s="56"/>
      <c r="BA1471" s="19" t="s">
        <v>120</v>
      </c>
    </row>
    <row r="1472" spans="1:53">
      <c r="A1472" s="49" t="s">
        <v>92</v>
      </c>
      <c r="B1472" s="47">
        <f t="shared" si="60"/>
        <v>25399.25</v>
      </c>
      <c r="C1472" s="50">
        <v>33</v>
      </c>
      <c r="D1472" s="52">
        <f t="shared" si="61"/>
        <v>68.642857142857139</v>
      </c>
      <c r="E1472" s="51">
        <v>961</v>
      </c>
      <c r="AE1472" s="53">
        <v>49.17</v>
      </c>
      <c r="AF1472" s="50">
        <v>337.6</v>
      </c>
      <c r="AI1472" s="3">
        <f>AF1472/C1472</f>
        <v>10.23030303030303</v>
      </c>
      <c r="AS1472" s="56"/>
      <c r="AT1472" s="56"/>
      <c r="AU1472" s="56"/>
      <c r="AV1472" s="56"/>
      <c r="AW1472" s="56"/>
      <c r="AX1472" s="56"/>
      <c r="BA1472" s="19" t="s">
        <v>120</v>
      </c>
    </row>
    <row r="1473" spans="1:53">
      <c r="A1473" s="49" t="s">
        <v>92</v>
      </c>
      <c r="B1473" s="47">
        <f t="shared" si="60"/>
        <v>26129.75</v>
      </c>
      <c r="C1473" s="50">
        <v>35</v>
      </c>
      <c r="D1473" s="52">
        <f t="shared" si="61"/>
        <v>67.428571428571431</v>
      </c>
      <c r="E1473" s="51">
        <v>944</v>
      </c>
      <c r="AE1473" s="53">
        <v>51.29</v>
      </c>
      <c r="AF1473" s="50"/>
      <c r="AS1473" s="56"/>
      <c r="AT1473" s="56"/>
      <c r="AU1473" s="56"/>
      <c r="AV1473" s="56"/>
      <c r="AW1473" s="56"/>
      <c r="AX1473" s="56"/>
      <c r="BA1473" s="19" t="s">
        <v>120</v>
      </c>
    </row>
    <row r="1474" spans="1:53">
      <c r="A1474" s="49" t="s">
        <v>92</v>
      </c>
      <c r="B1474" s="47">
        <f t="shared" si="60"/>
        <v>27225.5</v>
      </c>
      <c r="C1474" s="50">
        <v>38</v>
      </c>
      <c r="D1474" s="52">
        <f t="shared" si="61"/>
        <v>64.428571428571431</v>
      </c>
      <c r="E1474" s="51">
        <v>902</v>
      </c>
      <c r="AE1474" s="53">
        <v>54.35</v>
      </c>
      <c r="AF1474" s="50"/>
      <c r="AS1474" s="56"/>
      <c r="AT1474" s="56"/>
      <c r="AU1474" s="56"/>
      <c r="AV1474" s="56"/>
      <c r="AW1474" s="56"/>
      <c r="AX1474" s="56"/>
      <c r="BA1474" s="19" t="s">
        <v>120</v>
      </c>
    </row>
    <row r="1475" spans="1:53">
      <c r="A1475" s="49" t="s">
        <v>92</v>
      </c>
      <c r="B1475" s="47">
        <f t="shared" si="60"/>
        <v>28686.5</v>
      </c>
      <c r="C1475" s="50">
        <v>42</v>
      </c>
      <c r="D1475" s="52">
        <f t="shared" si="61"/>
        <v>60.428571428571431</v>
      </c>
      <c r="E1475" s="51">
        <v>846</v>
      </c>
      <c r="AE1475" s="53">
        <v>57.31</v>
      </c>
      <c r="AF1475" s="50">
        <v>459</v>
      </c>
      <c r="AI1475" s="3">
        <f>AF1475/C1475</f>
        <v>10.928571428571429</v>
      </c>
      <c r="AS1475" s="56"/>
      <c r="AT1475" s="56"/>
      <c r="AU1475" s="56"/>
      <c r="AV1475" s="56"/>
      <c r="AW1475" s="56"/>
      <c r="AX1475" s="56"/>
      <c r="BA1475" s="19" t="s">
        <v>120</v>
      </c>
    </row>
    <row r="1476" spans="1:53">
      <c r="A1476" s="49" t="s">
        <v>92</v>
      </c>
      <c r="B1476" s="47">
        <f t="shared" si="60"/>
        <v>30147.5</v>
      </c>
      <c r="C1476" s="50">
        <v>46</v>
      </c>
      <c r="D1476" s="52">
        <f t="shared" si="61"/>
        <v>53.714285714285715</v>
      </c>
      <c r="E1476" s="51">
        <v>752</v>
      </c>
      <c r="AE1476" s="53">
        <v>57.26</v>
      </c>
      <c r="AF1476" s="50"/>
      <c r="AS1476" s="56"/>
      <c r="AT1476" s="56"/>
      <c r="AU1476" s="56"/>
      <c r="AV1476" s="56"/>
      <c r="AW1476" s="56"/>
      <c r="AX1476" s="56"/>
      <c r="BA1476" s="19" t="s">
        <v>120</v>
      </c>
    </row>
    <row r="1477" spans="1:53">
      <c r="A1477" s="49" t="s">
        <v>92</v>
      </c>
      <c r="B1477" s="47">
        <f t="shared" si="60"/>
        <v>31608.5</v>
      </c>
      <c r="C1477" s="50">
        <v>50</v>
      </c>
      <c r="D1477" s="52">
        <f t="shared" si="61"/>
        <v>49.642857142857146</v>
      </c>
      <c r="E1477" s="51">
        <v>695</v>
      </c>
      <c r="AE1477" s="53">
        <v>58.6</v>
      </c>
      <c r="AF1477" s="50">
        <v>498.2</v>
      </c>
      <c r="AS1477" s="56"/>
      <c r="AT1477" s="56"/>
      <c r="AU1477" s="56"/>
      <c r="AV1477" s="56"/>
      <c r="AW1477" s="56"/>
      <c r="AX1477" s="56"/>
      <c r="BA1477" s="19" t="s">
        <v>120</v>
      </c>
    </row>
    <row r="1478" spans="1:53">
      <c r="A1478" s="49" t="s">
        <v>92</v>
      </c>
      <c r="B1478" s="47">
        <f t="shared" si="60"/>
        <v>32339</v>
      </c>
      <c r="C1478" s="50">
        <v>52</v>
      </c>
      <c r="D1478" s="52">
        <f t="shared" si="61"/>
        <v>49.642857142857146</v>
      </c>
      <c r="E1478" s="51">
        <v>695</v>
      </c>
      <c r="AE1478" s="53">
        <v>61.89</v>
      </c>
      <c r="AF1478" s="50"/>
      <c r="AI1478" s="3">
        <f>AF1478/C1478</f>
        <v>0</v>
      </c>
      <c r="AS1478" s="56"/>
      <c r="AT1478" s="56"/>
      <c r="AU1478" s="56"/>
      <c r="AV1478" s="56"/>
      <c r="AW1478" s="56"/>
      <c r="AX1478" s="56"/>
      <c r="BA1478" s="19" t="s">
        <v>120</v>
      </c>
    </row>
    <row r="1479" spans="1:53">
      <c r="A1479" s="49" t="s">
        <v>92</v>
      </c>
      <c r="B1479" s="47">
        <f t="shared" si="60"/>
        <v>33069.5</v>
      </c>
      <c r="C1479" s="50">
        <v>54</v>
      </c>
      <c r="D1479" s="52">
        <f t="shared" si="61"/>
        <v>47</v>
      </c>
      <c r="E1479" s="51">
        <v>658</v>
      </c>
      <c r="AE1479" s="53">
        <v>62.61</v>
      </c>
      <c r="AF1479" s="50"/>
      <c r="AS1479" s="56"/>
      <c r="AT1479" s="56"/>
      <c r="AU1479" s="56"/>
      <c r="AV1479" s="56"/>
      <c r="AW1479" s="56"/>
      <c r="AX1479" s="56"/>
      <c r="BA1479" s="19" t="s">
        <v>120</v>
      </c>
    </row>
    <row r="1480" spans="1:53">
      <c r="A1480" s="49" t="s">
        <v>92</v>
      </c>
      <c r="B1480" s="47">
        <f t="shared" si="60"/>
        <v>33800</v>
      </c>
      <c r="C1480" s="50">
        <v>56</v>
      </c>
      <c r="D1480" s="52">
        <f t="shared" si="61"/>
        <v>44.285714285714285</v>
      </c>
      <c r="E1480" s="51">
        <v>620</v>
      </c>
      <c r="AE1480" s="53">
        <v>63.27</v>
      </c>
      <c r="AF1480" s="50">
        <v>569.29999999999995</v>
      </c>
      <c r="AI1480" s="3">
        <f>AF1480/C1480</f>
        <v>10.166071428571428</v>
      </c>
      <c r="AS1480" s="56"/>
      <c r="AT1480" s="56"/>
      <c r="AU1480" s="56"/>
      <c r="AV1480" s="56"/>
      <c r="AW1480" s="56"/>
      <c r="AX1480" s="56"/>
      <c r="BA1480" s="19" t="s">
        <v>120</v>
      </c>
    </row>
    <row r="1481" spans="1:53">
      <c r="A1481" s="49" t="s">
        <v>93</v>
      </c>
      <c r="B1481" s="47">
        <f t="shared" si="60"/>
        <v>13346</v>
      </c>
      <c r="C1481" s="50">
        <v>0</v>
      </c>
      <c r="D1481" s="3">
        <v>100</v>
      </c>
      <c r="E1481" s="54">
        <v>1400</v>
      </c>
      <c r="AS1481" s="56"/>
      <c r="AT1481" s="56"/>
      <c r="AU1481" s="56"/>
      <c r="AV1481" s="56"/>
      <c r="AW1481" s="56"/>
      <c r="AX1481" s="56"/>
      <c r="BA1481" s="19" t="s">
        <v>120</v>
      </c>
    </row>
    <row r="1482" spans="1:53">
      <c r="A1482" s="49" t="s">
        <v>93</v>
      </c>
      <c r="B1482" s="47">
        <f>B$1481+365.25*C1482</f>
        <v>17729</v>
      </c>
      <c r="C1482" s="50">
        <v>12</v>
      </c>
      <c r="D1482" s="52">
        <f>E1482*100/E$1481</f>
        <v>97.571428571428569</v>
      </c>
      <c r="E1482" s="51">
        <v>1366</v>
      </c>
      <c r="AE1482" s="53">
        <v>46.05</v>
      </c>
      <c r="AF1482" s="50">
        <v>294.8</v>
      </c>
      <c r="AI1482" s="3">
        <f t="shared" ref="AI1482:AI1485" si="62">AF1482/C1482</f>
        <v>24.566666666666666</v>
      </c>
      <c r="AS1482" s="56"/>
      <c r="AT1482" s="56"/>
      <c r="AU1482" s="56"/>
      <c r="AV1482" s="56"/>
      <c r="AW1482" s="56"/>
      <c r="AX1482" s="56"/>
      <c r="BA1482" s="19" t="s">
        <v>120</v>
      </c>
    </row>
    <row r="1483" spans="1:53">
      <c r="A1483" s="49" t="s">
        <v>93</v>
      </c>
      <c r="B1483" s="47">
        <f t="shared" ref="B1483:B1505" si="63">B$1481+365.25*C1483</f>
        <v>18459.5</v>
      </c>
      <c r="C1483" s="50">
        <v>14</v>
      </c>
      <c r="D1483" s="52">
        <f t="shared" ref="D1483:D1505" si="64">E1483*100/E$1481</f>
        <v>97.571428571428569</v>
      </c>
      <c r="E1483" s="51">
        <v>1366</v>
      </c>
      <c r="AE1483" s="53">
        <v>52.46</v>
      </c>
      <c r="AF1483" s="50">
        <v>389.4</v>
      </c>
      <c r="AI1483" s="3">
        <f t="shared" si="62"/>
        <v>27.814285714285713</v>
      </c>
      <c r="AS1483" s="56"/>
      <c r="AT1483" s="56"/>
      <c r="AU1483" s="56"/>
      <c r="AV1483" s="56"/>
      <c r="AW1483" s="56"/>
      <c r="AX1483" s="56"/>
      <c r="BA1483" s="19" t="s">
        <v>120</v>
      </c>
    </row>
    <row r="1484" spans="1:53">
      <c r="A1484" s="49" t="s">
        <v>93</v>
      </c>
      <c r="B1484" s="47">
        <f t="shared" si="63"/>
        <v>19190</v>
      </c>
      <c r="C1484" s="50">
        <v>16</v>
      </c>
      <c r="D1484" s="52">
        <f t="shared" si="64"/>
        <v>68.285714285714292</v>
      </c>
      <c r="E1484" s="51">
        <v>956</v>
      </c>
      <c r="AE1484" s="53">
        <v>45.91</v>
      </c>
      <c r="AF1484" s="50">
        <v>394</v>
      </c>
      <c r="AI1484" s="3">
        <f t="shared" si="62"/>
        <v>24.625</v>
      </c>
      <c r="AS1484" s="56"/>
      <c r="AT1484" s="56"/>
      <c r="AU1484" s="56"/>
      <c r="AV1484" s="56"/>
      <c r="AW1484" s="56"/>
      <c r="AX1484" s="56"/>
      <c r="BA1484" s="19" t="s">
        <v>120</v>
      </c>
    </row>
    <row r="1485" spans="1:53">
      <c r="A1485" s="49" t="s">
        <v>93</v>
      </c>
      <c r="B1485" s="47">
        <f t="shared" si="63"/>
        <v>20285.75</v>
      </c>
      <c r="C1485" s="50">
        <v>19</v>
      </c>
      <c r="D1485" s="52">
        <f t="shared" si="64"/>
        <v>67.428571428571431</v>
      </c>
      <c r="E1485" s="51">
        <v>944</v>
      </c>
      <c r="AE1485" s="53">
        <v>51.4</v>
      </c>
      <c r="AF1485" s="50">
        <v>493</v>
      </c>
      <c r="AI1485" s="3">
        <f t="shared" si="62"/>
        <v>25.94736842105263</v>
      </c>
      <c r="AS1485" s="56"/>
      <c r="AT1485" s="56"/>
      <c r="AU1485" s="56"/>
      <c r="AV1485" s="56"/>
      <c r="AW1485" s="56"/>
      <c r="AX1485" s="56"/>
      <c r="BA1485" s="19" t="s">
        <v>120</v>
      </c>
    </row>
    <row r="1486" spans="1:53">
      <c r="A1486" s="49" t="s">
        <v>93</v>
      </c>
      <c r="B1486" s="47">
        <f t="shared" si="63"/>
        <v>21016.25</v>
      </c>
      <c r="C1486" s="50">
        <v>21</v>
      </c>
      <c r="D1486" s="52">
        <f t="shared" si="64"/>
        <v>35.142857142857146</v>
      </c>
      <c r="E1486" s="51">
        <v>492</v>
      </c>
      <c r="AE1486" s="53">
        <v>34.18</v>
      </c>
      <c r="AF1486" s="50">
        <v>349.4</v>
      </c>
      <c r="AI1486" s="3">
        <f>AF1486/C1486</f>
        <v>16.638095238095236</v>
      </c>
      <c r="AS1486" s="56"/>
      <c r="AT1486" s="56"/>
      <c r="AU1486" s="56"/>
      <c r="AV1486" s="56"/>
      <c r="AW1486" s="56"/>
      <c r="AX1486" s="56"/>
      <c r="BA1486" s="19" t="s">
        <v>120</v>
      </c>
    </row>
    <row r="1487" spans="1:53">
      <c r="A1487" s="49" t="s">
        <v>93</v>
      </c>
      <c r="B1487" s="47">
        <f t="shared" si="63"/>
        <v>21746.75</v>
      </c>
      <c r="C1487" s="50">
        <v>23</v>
      </c>
      <c r="D1487" s="52">
        <f t="shared" si="64"/>
        <v>34.214285714285715</v>
      </c>
      <c r="E1487" s="51">
        <v>479</v>
      </c>
      <c r="AE1487" s="53">
        <v>37.119999999999997</v>
      </c>
      <c r="AF1487" s="50"/>
      <c r="AS1487" s="56"/>
      <c r="AT1487" s="56"/>
      <c r="AU1487" s="56"/>
      <c r="AV1487" s="56"/>
      <c r="AW1487" s="56"/>
      <c r="AX1487" s="56"/>
      <c r="BA1487" s="19" t="s">
        <v>120</v>
      </c>
    </row>
    <row r="1488" spans="1:53">
      <c r="A1488" s="49" t="s">
        <v>93</v>
      </c>
      <c r="B1488" s="47">
        <f t="shared" si="63"/>
        <v>22477.25</v>
      </c>
      <c r="C1488" s="50">
        <v>25</v>
      </c>
      <c r="D1488" s="52">
        <f t="shared" si="64"/>
        <v>34.214285714285715</v>
      </c>
      <c r="E1488" s="51">
        <v>479</v>
      </c>
      <c r="AE1488" s="53">
        <v>40.840000000000003</v>
      </c>
      <c r="AF1488" s="50">
        <v>434.1</v>
      </c>
      <c r="AI1488" s="3">
        <f>AF1488/C1488</f>
        <v>17.364000000000001</v>
      </c>
      <c r="AS1488" s="56"/>
      <c r="AT1488" s="56"/>
      <c r="AU1488" s="56"/>
      <c r="AV1488" s="56"/>
      <c r="AW1488" s="56"/>
      <c r="AX1488" s="56"/>
      <c r="BA1488" s="19" t="s">
        <v>120</v>
      </c>
    </row>
    <row r="1489" spans="1:53">
      <c r="A1489" s="49" t="s">
        <v>93</v>
      </c>
      <c r="B1489" s="47">
        <f t="shared" si="63"/>
        <v>23573</v>
      </c>
      <c r="C1489" s="50">
        <v>28</v>
      </c>
      <c r="D1489" s="52">
        <f t="shared" si="64"/>
        <v>22.785714285714285</v>
      </c>
      <c r="E1489" s="51">
        <v>319</v>
      </c>
      <c r="AE1489" s="53">
        <v>34.18</v>
      </c>
      <c r="AF1489" s="50"/>
      <c r="AS1489" s="56"/>
      <c r="AT1489" s="56"/>
      <c r="AU1489" s="56"/>
      <c r="AV1489" s="56"/>
      <c r="AW1489" s="56"/>
      <c r="AX1489" s="56"/>
      <c r="BA1489" s="19" t="s">
        <v>120</v>
      </c>
    </row>
    <row r="1490" spans="1:53">
      <c r="A1490" s="49" t="s">
        <v>93</v>
      </c>
      <c r="B1490" s="47">
        <f t="shared" si="63"/>
        <v>24303.5</v>
      </c>
      <c r="C1490" s="50">
        <v>30</v>
      </c>
      <c r="D1490" s="52">
        <f t="shared" si="64"/>
        <v>21.857142857142858</v>
      </c>
      <c r="E1490" s="51">
        <v>306</v>
      </c>
      <c r="AE1490" s="53">
        <v>36.729999999999997</v>
      </c>
      <c r="AF1490" s="50"/>
      <c r="AS1490" s="56"/>
      <c r="AT1490" s="56"/>
      <c r="AU1490" s="56"/>
      <c r="AV1490" s="56"/>
      <c r="AW1490" s="56"/>
      <c r="AX1490" s="56"/>
      <c r="BA1490" s="19" t="s">
        <v>120</v>
      </c>
    </row>
    <row r="1491" spans="1:53">
      <c r="A1491" s="49" t="s">
        <v>93</v>
      </c>
      <c r="B1491" s="47">
        <f t="shared" si="63"/>
        <v>24668.75</v>
      </c>
      <c r="C1491" s="50">
        <v>31</v>
      </c>
      <c r="D1491" s="52">
        <f t="shared" si="64"/>
        <v>21.857142857142858</v>
      </c>
      <c r="E1491" s="51">
        <v>306</v>
      </c>
      <c r="AE1491" s="53">
        <v>38.25</v>
      </c>
      <c r="AF1491" s="50">
        <v>409.1</v>
      </c>
      <c r="AI1491" s="3">
        <f>AF1491/C1491</f>
        <v>13.196774193548388</v>
      </c>
      <c r="AS1491" s="56"/>
      <c r="AT1491" s="56"/>
      <c r="AU1491" s="56"/>
      <c r="AV1491" s="56"/>
      <c r="AW1491" s="56"/>
      <c r="AX1491" s="56"/>
      <c r="BA1491" s="19" t="s">
        <v>120</v>
      </c>
    </row>
    <row r="1492" spans="1:53">
      <c r="A1492" s="49" t="s">
        <v>93</v>
      </c>
      <c r="B1492" s="47">
        <f t="shared" si="63"/>
        <v>25399.25</v>
      </c>
      <c r="C1492" s="50">
        <v>33</v>
      </c>
      <c r="D1492" s="52">
        <f t="shared" si="64"/>
        <v>15.214285714285714</v>
      </c>
      <c r="E1492" s="51">
        <v>213</v>
      </c>
      <c r="AE1492" s="53">
        <v>31.06</v>
      </c>
      <c r="AF1492" s="50"/>
      <c r="AS1492" s="56"/>
      <c r="AT1492" s="56"/>
      <c r="AU1492" s="56"/>
      <c r="AV1492" s="56"/>
      <c r="AW1492" s="56"/>
      <c r="AX1492" s="56"/>
      <c r="BA1492" s="19" t="s">
        <v>120</v>
      </c>
    </row>
    <row r="1493" spans="1:53">
      <c r="A1493" s="49" t="s">
        <v>93</v>
      </c>
      <c r="B1493" s="47">
        <f t="shared" si="63"/>
        <v>26129.75</v>
      </c>
      <c r="C1493" s="50">
        <v>35</v>
      </c>
      <c r="D1493" s="52">
        <f t="shared" si="64"/>
        <v>15.214285714285714</v>
      </c>
      <c r="E1493" s="51">
        <v>213</v>
      </c>
      <c r="AE1493" s="53">
        <v>34.5</v>
      </c>
      <c r="AF1493" s="50"/>
      <c r="AS1493" s="56"/>
      <c r="AT1493" s="56"/>
      <c r="AU1493" s="56"/>
      <c r="AV1493" s="56"/>
      <c r="AW1493" s="56"/>
      <c r="AX1493" s="56"/>
      <c r="BA1493" s="19" t="s">
        <v>120</v>
      </c>
    </row>
    <row r="1494" spans="1:53">
      <c r="A1494" s="49" t="s">
        <v>93</v>
      </c>
      <c r="B1494" s="47">
        <f t="shared" si="63"/>
        <v>26860.25</v>
      </c>
      <c r="C1494" s="50">
        <v>37</v>
      </c>
      <c r="D1494" s="52">
        <f t="shared" si="64"/>
        <v>15.214285714285714</v>
      </c>
      <c r="E1494" s="51">
        <v>213</v>
      </c>
      <c r="AE1494" s="53">
        <v>38.479999999999997</v>
      </c>
      <c r="AF1494" s="50">
        <v>432.9</v>
      </c>
      <c r="AI1494" s="3">
        <f>AF1494/C1494</f>
        <v>11.7</v>
      </c>
      <c r="AS1494" s="56"/>
      <c r="AT1494" s="56"/>
      <c r="AU1494" s="56"/>
      <c r="AV1494" s="56"/>
      <c r="AW1494" s="56"/>
      <c r="AX1494" s="56"/>
      <c r="BA1494" s="19" t="s">
        <v>120</v>
      </c>
    </row>
    <row r="1495" spans="1:53">
      <c r="A1495" s="49" t="s">
        <v>93</v>
      </c>
      <c r="B1495" s="47">
        <f t="shared" si="63"/>
        <v>27956</v>
      </c>
      <c r="C1495" s="50">
        <v>40</v>
      </c>
      <c r="D1495" s="52">
        <f t="shared" si="64"/>
        <v>10.428571428571429</v>
      </c>
      <c r="E1495" s="51">
        <v>146</v>
      </c>
      <c r="AE1495" s="53">
        <v>30.13</v>
      </c>
      <c r="AF1495" s="50">
        <v>349.1</v>
      </c>
      <c r="AI1495" s="3">
        <f t="shared" ref="AI1495:AI1496" si="65">AF1495/C1495</f>
        <v>8.7275000000000009</v>
      </c>
      <c r="AS1495" s="56"/>
      <c r="AT1495" s="56"/>
      <c r="AU1495" s="56"/>
      <c r="AV1495" s="56"/>
      <c r="AW1495" s="56"/>
      <c r="AX1495" s="56"/>
      <c r="BA1495" s="19" t="s">
        <v>120</v>
      </c>
    </row>
    <row r="1496" spans="1:53">
      <c r="A1496" s="49" t="s">
        <v>93</v>
      </c>
      <c r="B1496" s="47">
        <f t="shared" si="63"/>
        <v>29051.75</v>
      </c>
      <c r="C1496" s="50">
        <v>43</v>
      </c>
      <c r="D1496" s="52">
        <f t="shared" si="64"/>
        <v>10.428571428571429</v>
      </c>
      <c r="E1496" s="51">
        <v>146</v>
      </c>
      <c r="AE1496" s="53">
        <v>33.35</v>
      </c>
      <c r="AF1496" s="50">
        <v>395.5</v>
      </c>
      <c r="AI1496" s="3">
        <f t="shared" si="65"/>
        <v>9.1976744186046506</v>
      </c>
      <c r="AS1496" s="56"/>
      <c r="AT1496" s="56"/>
      <c r="AU1496" s="56"/>
      <c r="AV1496" s="56"/>
      <c r="AW1496" s="56"/>
      <c r="AX1496" s="56"/>
      <c r="BA1496" s="19" t="s">
        <v>120</v>
      </c>
    </row>
    <row r="1497" spans="1:53">
      <c r="A1497" s="49" t="s">
        <v>93</v>
      </c>
      <c r="B1497" s="47">
        <f t="shared" si="63"/>
        <v>29782.25</v>
      </c>
      <c r="C1497" s="50">
        <v>45</v>
      </c>
      <c r="D1497" s="52">
        <f t="shared" si="64"/>
        <v>6.6428571428571432</v>
      </c>
      <c r="E1497" s="51">
        <v>93</v>
      </c>
      <c r="AE1497" s="53">
        <v>24.99</v>
      </c>
      <c r="AF1497" s="50"/>
      <c r="AS1497" s="56"/>
      <c r="AT1497" s="56"/>
      <c r="AU1497" s="56"/>
      <c r="AV1497" s="56"/>
      <c r="AW1497" s="56"/>
      <c r="AX1497" s="56"/>
      <c r="BA1497" s="19" t="s">
        <v>120</v>
      </c>
    </row>
    <row r="1498" spans="1:53">
      <c r="A1498" s="49" t="s">
        <v>93</v>
      </c>
      <c r="B1498" s="47">
        <f t="shared" si="63"/>
        <v>30512.75</v>
      </c>
      <c r="C1498" s="50">
        <v>47</v>
      </c>
      <c r="D1498" s="52">
        <f t="shared" si="64"/>
        <v>6.6428571428571432</v>
      </c>
      <c r="E1498" s="51">
        <v>93</v>
      </c>
      <c r="AE1498" s="53">
        <v>26.44</v>
      </c>
      <c r="AF1498" s="50">
        <v>326.2</v>
      </c>
      <c r="AI1498" s="3">
        <f t="shared" ref="AI1498:AI1499" si="66">AF1498/C1498</f>
        <v>6.9404255319148938</v>
      </c>
      <c r="AS1498" s="56"/>
      <c r="AT1498" s="56"/>
      <c r="AU1498" s="56"/>
      <c r="AV1498" s="56"/>
      <c r="AW1498" s="56"/>
      <c r="AX1498" s="56"/>
      <c r="BA1498" s="19" t="s">
        <v>120</v>
      </c>
    </row>
    <row r="1499" spans="1:53">
      <c r="A1499" s="49" t="s">
        <v>93</v>
      </c>
      <c r="B1499" s="47">
        <f t="shared" si="63"/>
        <v>31608.5</v>
      </c>
      <c r="C1499" s="50">
        <v>50</v>
      </c>
      <c r="D1499" s="52">
        <f t="shared" si="64"/>
        <v>6.6428571428571432</v>
      </c>
      <c r="E1499" s="51">
        <v>93</v>
      </c>
      <c r="AE1499" s="53">
        <v>29.04</v>
      </c>
      <c r="AF1499" s="50">
        <v>357.5</v>
      </c>
      <c r="AI1499" s="3">
        <f t="shared" si="66"/>
        <v>7.15</v>
      </c>
      <c r="AS1499" s="56"/>
      <c r="AT1499" s="56"/>
      <c r="AU1499" s="56"/>
      <c r="AV1499" s="56"/>
      <c r="AW1499" s="56"/>
      <c r="AX1499" s="56"/>
      <c r="BA1499" s="19" t="s">
        <v>120</v>
      </c>
    </row>
    <row r="1500" spans="1:53">
      <c r="A1500" s="49" t="s">
        <v>93</v>
      </c>
      <c r="B1500" s="47">
        <f t="shared" si="63"/>
        <v>32339</v>
      </c>
      <c r="C1500" s="50">
        <v>52</v>
      </c>
      <c r="D1500" s="52">
        <f t="shared" si="64"/>
        <v>6.6428571428571432</v>
      </c>
      <c r="E1500" s="51">
        <v>93</v>
      </c>
      <c r="AE1500" s="53">
        <v>30.91</v>
      </c>
      <c r="AF1500" s="50"/>
      <c r="AS1500" s="56"/>
      <c r="AT1500" s="56"/>
      <c r="AU1500" s="56"/>
      <c r="AV1500" s="56"/>
      <c r="AW1500" s="56"/>
      <c r="AX1500" s="56"/>
      <c r="BA1500" s="19" t="s">
        <v>120</v>
      </c>
    </row>
    <row r="1501" spans="1:53">
      <c r="A1501" s="49" t="s">
        <v>93</v>
      </c>
      <c r="B1501" s="47">
        <f t="shared" si="63"/>
        <v>33069.5</v>
      </c>
      <c r="C1501" s="50">
        <v>54</v>
      </c>
      <c r="D1501" s="52">
        <f t="shared" si="64"/>
        <v>6.6428571428571432</v>
      </c>
      <c r="E1501" s="51">
        <v>93</v>
      </c>
      <c r="AE1501" s="53">
        <v>32.24</v>
      </c>
      <c r="AF1501" s="50"/>
      <c r="AS1501" s="56"/>
      <c r="AT1501" s="56"/>
      <c r="AU1501" s="56"/>
      <c r="AV1501" s="56"/>
      <c r="AW1501" s="56"/>
      <c r="AX1501" s="56"/>
      <c r="BA1501" s="19" t="s">
        <v>120</v>
      </c>
    </row>
    <row r="1502" spans="1:53">
      <c r="A1502" s="49" t="s">
        <v>93</v>
      </c>
      <c r="B1502" s="47">
        <f t="shared" si="63"/>
        <v>33434.75</v>
      </c>
      <c r="C1502" s="50">
        <v>55</v>
      </c>
      <c r="D1502" s="52">
        <f t="shared" si="64"/>
        <v>6.6428571428571432</v>
      </c>
      <c r="E1502" s="51">
        <v>93</v>
      </c>
      <c r="AE1502" s="53">
        <v>32.78</v>
      </c>
      <c r="AF1502" s="50"/>
      <c r="AS1502" s="56"/>
      <c r="AT1502" s="56"/>
      <c r="AU1502" s="56"/>
      <c r="AV1502" s="56"/>
      <c r="AW1502" s="56"/>
      <c r="AX1502" s="56"/>
      <c r="BA1502" s="19" t="s">
        <v>120</v>
      </c>
    </row>
    <row r="1503" spans="1:53">
      <c r="A1503" s="49" t="s">
        <v>93</v>
      </c>
      <c r="B1503" s="47">
        <f t="shared" si="63"/>
        <v>33800</v>
      </c>
      <c r="C1503" s="50">
        <v>56</v>
      </c>
      <c r="D1503" s="52">
        <f t="shared" si="64"/>
        <v>6.6428571428571432</v>
      </c>
      <c r="E1503" s="51">
        <v>93</v>
      </c>
      <c r="AE1503" s="53">
        <v>33.54</v>
      </c>
      <c r="AF1503" s="50">
        <v>417.2</v>
      </c>
      <c r="AI1503" s="3">
        <f>AF1503/C1503</f>
        <v>7.45</v>
      </c>
      <c r="AS1503" s="56"/>
      <c r="AT1503" s="56"/>
      <c r="AU1503" s="56"/>
      <c r="AV1503" s="56"/>
      <c r="AW1503" s="56"/>
      <c r="AX1503" s="56"/>
      <c r="BA1503" s="19" t="s">
        <v>120</v>
      </c>
    </row>
    <row r="1504" spans="1:53">
      <c r="A1504" s="49" t="s">
        <v>93</v>
      </c>
      <c r="B1504" s="47">
        <f t="shared" si="63"/>
        <v>34530.5</v>
      </c>
      <c r="C1504" s="50">
        <v>58</v>
      </c>
      <c r="D1504" s="52">
        <f t="shared" si="64"/>
        <v>3.7857142857142856</v>
      </c>
      <c r="E1504" s="51">
        <v>53</v>
      </c>
      <c r="AE1504" s="53">
        <v>22.16</v>
      </c>
      <c r="AF1504" s="50"/>
      <c r="AS1504" s="56"/>
      <c r="AT1504" s="56"/>
      <c r="AU1504" s="56"/>
      <c r="AV1504" s="56"/>
      <c r="AW1504" s="56"/>
      <c r="AX1504" s="56"/>
      <c r="BA1504" s="19" t="s">
        <v>120</v>
      </c>
    </row>
    <row r="1505" spans="1:53">
      <c r="A1505" s="49" t="s">
        <v>93</v>
      </c>
      <c r="B1505" s="47">
        <f t="shared" si="63"/>
        <v>34895.75</v>
      </c>
      <c r="C1505" s="50">
        <v>59</v>
      </c>
      <c r="D1505" s="52">
        <f t="shared" si="64"/>
        <v>3.7857142857142856</v>
      </c>
      <c r="E1505" s="51">
        <v>53</v>
      </c>
      <c r="AE1505" s="53">
        <v>22.66</v>
      </c>
      <c r="AF1505" s="50">
        <v>295.8</v>
      </c>
      <c r="AI1505" s="3">
        <f>AF1505/C1505</f>
        <v>5.0135593220338981</v>
      </c>
      <c r="AS1505" s="56"/>
      <c r="AT1505" s="56"/>
      <c r="AU1505" s="56"/>
      <c r="AV1505" s="56"/>
      <c r="AW1505" s="56"/>
      <c r="AX1505" s="56"/>
      <c r="BA1505" s="19" t="s">
        <v>120</v>
      </c>
    </row>
    <row r="1506" spans="1:53">
      <c r="A1506" s="37" t="s">
        <v>4</v>
      </c>
      <c r="B1506" s="5">
        <v>30934</v>
      </c>
      <c r="Y1506">
        <v>271.81122449999998</v>
      </c>
      <c r="AS1506" s="56"/>
      <c r="AT1506" s="56"/>
      <c r="AU1506" s="56"/>
      <c r="AV1506" s="56"/>
      <c r="AW1506" s="56"/>
      <c r="AX1506" s="56"/>
    </row>
    <row r="1507" spans="1:53">
      <c r="A1507" s="37" t="s">
        <v>4</v>
      </c>
      <c r="B1507" s="5">
        <v>30955</v>
      </c>
      <c r="Y1507">
        <v>326.91326529999998</v>
      </c>
      <c r="AS1507" s="56"/>
      <c r="AT1507" s="56"/>
      <c r="AU1507" s="56"/>
      <c r="AV1507" s="56"/>
      <c r="AW1507" s="56"/>
      <c r="AX1507" s="56"/>
    </row>
    <row r="1508" spans="1:53">
      <c r="A1508" s="37" t="s">
        <v>4</v>
      </c>
      <c r="B1508" s="5">
        <v>30968</v>
      </c>
      <c r="Y1508">
        <v>348.72448980000001</v>
      </c>
      <c r="AS1508" s="56"/>
      <c r="AT1508" s="56"/>
      <c r="AU1508" s="56"/>
      <c r="AV1508" s="56"/>
      <c r="AW1508" s="56"/>
      <c r="AX1508" s="56"/>
    </row>
    <row r="1509" spans="1:53">
      <c r="A1509" s="37" t="s">
        <v>4</v>
      </c>
      <c r="B1509" s="5">
        <v>30971</v>
      </c>
      <c r="Y1509">
        <v>365.17857140000001</v>
      </c>
      <c r="AS1509" s="56"/>
      <c r="AT1509" s="56"/>
      <c r="AU1509" s="56"/>
      <c r="AV1509" s="56"/>
      <c r="AW1509" s="56"/>
      <c r="AX1509" s="56"/>
    </row>
    <row r="1510" spans="1:53">
      <c r="A1510" s="37" t="s">
        <v>4</v>
      </c>
      <c r="B1510" s="5">
        <v>30991</v>
      </c>
      <c r="Y1510">
        <v>365.17857140000001</v>
      </c>
      <c r="AS1510" s="56"/>
      <c r="AT1510" s="56"/>
      <c r="AU1510" s="56"/>
      <c r="AV1510" s="56"/>
      <c r="AW1510" s="56"/>
      <c r="AX1510" s="56"/>
    </row>
    <row r="1511" spans="1:53">
      <c r="A1511" s="37" t="s">
        <v>4</v>
      </c>
      <c r="B1511" s="5">
        <v>31002</v>
      </c>
      <c r="Y1511">
        <v>367.09183669999999</v>
      </c>
      <c r="AS1511" s="56"/>
      <c r="AT1511" s="56"/>
      <c r="AU1511" s="56"/>
      <c r="AV1511" s="56"/>
      <c r="AW1511" s="56"/>
      <c r="AX1511" s="56"/>
    </row>
    <row r="1512" spans="1:53">
      <c r="A1512" s="37" t="s">
        <v>4</v>
      </c>
      <c r="B1512" s="5">
        <v>31017</v>
      </c>
      <c r="Y1512">
        <v>333.4183673</v>
      </c>
      <c r="AS1512" s="56"/>
      <c r="AT1512" s="56"/>
      <c r="AU1512" s="56"/>
      <c r="AV1512" s="56"/>
      <c r="AW1512" s="56"/>
      <c r="AX1512" s="56"/>
    </row>
    <row r="1513" spans="1:53">
      <c r="A1513" s="37" t="s">
        <v>4</v>
      </c>
      <c r="B1513" s="5">
        <v>31031</v>
      </c>
      <c r="Y1513">
        <v>297.8316327</v>
      </c>
      <c r="AS1513" s="56"/>
      <c r="AT1513" s="56"/>
      <c r="AU1513" s="56"/>
      <c r="AV1513" s="56"/>
      <c r="AW1513" s="56"/>
      <c r="AX1513" s="56"/>
    </row>
    <row r="1514" spans="1:53">
      <c r="A1514" s="37" t="s">
        <v>4</v>
      </c>
      <c r="B1514" s="5">
        <v>31041</v>
      </c>
      <c r="Y1514">
        <v>282.14285710000001</v>
      </c>
      <c r="AS1514" s="56"/>
      <c r="AT1514" s="56"/>
      <c r="AU1514" s="56"/>
      <c r="AV1514" s="56"/>
      <c r="AW1514" s="56"/>
      <c r="AX1514" s="56"/>
    </row>
    <row r="1515" spans="1:53">
      <c r="A1515" s="37" t="s">
        <v>4</v>
      </c>
      <c r="B1515" s="5">
        <v>31056</v>
      </c>
      <c r="Y1515">
        <v>252.29591840000001</v>
      </c>
      <c r="AS1515" s="56"/>
      <c r="AT1515" s="56"/>
      <c r="AU1515" s="56"/>
      <c r="AV1515" s="56"/>
      <c r="AW1515" s="56"/>
      <c r="AX1515" s="56"/>
    </row>
    <row r="1516" spans="1:53">
      <c r="A1516" s="37" t="s">
        <v>4</v>
      </c>
      <c r="B1516" s="5">
        <v>31067</v>
      </c>
      <c r="Y1516">
        <v>222.8316327</v>
      </c>
      <c r="AS1516" s="56"/>
      <c r="AT1516" s="56"/>
      <c r="AU1516" s="56"/>
      <c r="AV1516" s="56"/>
      <c r="AW1516" s="56"/>
      <c r="AX1516" s="56"/>
    </row>
    <row r="1517" spans="1:53">
      <c r="A1517" s="37" t="s">
        <v>4</v>
      </c>
      <c r="B1517" s="5">
        <v>31078</v>
      </c>
      <c r="Y1517">
        <v>205.22959180000001</v>
      </c>
      <c r="AS1517" s="56"/>
      <c r="AT1517" s="56"/>
      <c r="AU1517" s="56"/>
      <c r="AV1517" s="56"/>
      <c r="AW1517" s="56"/>
      <c r="AX1517" s="56"/>
    </row>
    <row r="1518" spans="1:53">
      <c r="A1518" s="37" t="s">
        <v>4</v>
      </c>
      <c r="B1518" s="5">
        <v>31086</v>
      </c>
      <c r="Y1518">
        <v>193.75</v>
      </c>
      <c r="AS1518" s="56"/>
      <c r="AT1518" s="56"/>
      <c r="AU1518" s="56"/>
      <c r="AV1518" s="56"/>
      <c r="AW1518" s="56"/>
      <c r="AX1518" s="56"/>
    </row>
    <row r="1519" spans="1:53">
      <c r="A1519" s="37" t="s">
        <v>4</v>
      </c>
      <c r="B1519" s="5">
        <v>31109</v>
      </c>
      <c r="Y1519">
        <v>179.20918370000001</v>
      </c>
      <c r="AS1519" s="56"/>
      <c r="AT1519" s="56"/>
      <c r="AU1519" s="56"/>
      <c r="AV1519" s="56"/>
      <c r="AW1519" s="56"/>
      <c r="AX1519" s="56"/>
    </row>
    <row r="1520" spans="1:53">
      <c r="A1520" s="37" t="s">
        <v>4</v>
      </c>
      <c r="B1520" s="5">
        <v>31122</v>
      </c>
      <c r="Y1520">
        <v>174.6173469</v>
      </c>
      <c r="AS1520" s="56"/>
      <c r="AT1520" s="56"/>
      <c r="AU1520" s="56"/>
      <c r="AV1520" s="56"/>
      <c r="AW1520" s="56"/>
      <c r="AX1520" s="56"/>
    </row>
    <row r="1521" spans="1:50">
      <c r="A1521" s="37" t="s">
        <v>4</v>
      </c>
      <c r="B1521" s="5">
        <v>31131</v>
      </c>
      <c r="Y1521">
        <v>168.11224490000001</v>
      </c>
      <c r="AS1521" s="56"/>
      <c r="AT1521" s="56"/>
      <c r="AU1521" s="56"/>
      <c r="AV1521" s="56"/>
      <c r="AW1521" s="56"/>
      <c r="AX1521" s="56"/>
    </row>
    <row r="1522" spans="1:50">
      <c r="A1522" s="37" t="s">
        <v>4</v>
      </c>
      <c r="B1522" s="5">
        <v>31162</v>
      </c>
      <c r="Y1522">
        <v>160.45918370000001</v>
      </c>
      <c r="AS1522" s="56"/>
      <c r="AT1522" s="56"/>
      <c r="AU1522" s="56"/>
      <c r="AV1522" s="56"/>
      <c r="AW1522" s="56"/>
      <c r="AX1522" s="56"/>
    </row>
    <row r="1523" spans="1:50">
      <c r="A1523" s="37" t="s">
        <v>4</v>
      </c>
      <c r="B1523" s="5">
        <v>31169</v>
      </c>
      <c r="Y1523">
        <v>283.29081630000002</v>
      </c>
      <c r="AS1523" s="56"/>
      <c r="AT1523" s="56"/>
      <c r="AU1523" s="56"/>
      <c r="AV1523" s="56"/>
      <c r="AW1523" s="56"/>
      <c r="AX1523" s="56"/>
    </row>
    <row r="1524" spans="1:50">
      <c r="A1524" s="37" t="s">
        <v>4</v>
      </c>
      <c r="B1524" s="5">
        <v>31183</v>
      </c>
      <c r="Y1524">
        <v>251.91326530000001</v>
      </c>
      <c r="AS1524" s="56"/>
      <c r="AT1524" s="56"/>
      <c r="AU1524" s="56"/>
      <c r="AV1524" s="56"/>
      <c r="AW1524" s="56"/>
      <c r="AX1524" s="56"/>
    </row>
    <row r="1525" spans="1:50">
      <c r="A1525" s="37" t="s">
        <v>4</v>
      </c>
      <c r="B1525" s="5">
        <v>31202</v>
      </c>
      <c r="Y1525">
        <v>233.16326530000001</v>
      </c>
      <c r="AS1525" s="56"/>
      <c r="AT1525" s="56"/>
      <c r="AU1525" s="56"/>
      <c r="AV1525" s="56"/>
      <c r="AW1525" s="56"/>
      <c r="AX1525" s="56"/>
    </row>
    <row r="1526" spans="1:50">
      <c r="A1526" s="37" t="s">
        <v>4</v>
      </c>
      <c r="B1526" s="5">
        <v>31208</v>
      </c>
      <c r="Y1526">
        <v>220.5357143</v>
      </c>
      <c r="AS1526" s="56"/>
      <c r="AT1526" s="56"/>
      <c r="AU1526" s="56"/>
      <c r="AV1526" s="56"/>
      <c r="AW1526" s="56"/>
      <c r="AX1526" s="56"/>
    </row>
    <row r="1527" spans="1:50">
      <c r="A1527" s="37" t="s">
        <v>4</v>
      </c>
      <c r="B1527" s="5">
        <v>31229</v>
      </c>
      <c r="Y1527">
        <v>220.5357143</v>
      </c>
      <c r="AS1527" s="56"/>
      <c r="AT1527" s="56"/>
      <c r="AU1527" s="56"/>
      <c r="AV1527" s="56"/>
      <c r="AW1527" s="56"/>
      <c r="AX1527" s="56"/>
    </row>
    <row r="1528" spans="1:50">
      <c r="A1528" s="37" t="s">
        <v>4</v>
      </c>
      <c r="B1528" s="5">
        <v>31253</v>
      </c>
      <c r="Y1528">
        <v>222.0663265</v>
      </c>
      <c r="AS1528" s="56"/>
      <c r="AT1528" s="56"/>
      <c r="AU1528" s="56"/>
      <c r="AV1528" s="56"/>
      <c r="AW1528" s="56"/>
      <c r="AX1528" s="56"/>
    </row>
    <row r="1529" spans="1:50">
      <c r="A1529" s="37" t="s">
        <v>4</v>
      </c>
      <c r="B1529" s="5">
        <v>31265</v>
      </c>
      <c r="Y1529">
        <v>213.2653061</v>
      </c>
      <c r="AS1529" s="56"/>
      <c r="AT1529" s="56"/>
      <c r="AU1529" s="56"/>
      <c r="AV1529" s="56"/>
      <c r="AW1529" s="56"/>
      <c r="AX1529" s="56"/>
    </row>
    <row r="1530" spans="1:50">
      <c r="A1530" s="37" t="s">
        <v>4</v>
      </c>
      <c r="B1530" s="5">
        <v>31283</v>
      </c>
      <c r="Y1530">
        <v>232.78061220000001</v>
      </c>
      <c r="AS1530" s="56"/>
      <c r="AT1530" s="56"/>
      <c r="AU1530" s="56"/>
      <c r="AV1530" s="56"/>
      <c r="AW1530" s="56"/>
      <c r="AX1530" s="56"/>
    </row>
    <row r="1531" spans="1:50">
      <c r="A1531" s="37" t="s">
        <v>4</v>
      </c>
      <c r="B1531" s="5">
        <v>31321</v>
      </c>
      <c r="Y1531">
        <v>300.12755099999998</v>
      </c>
      <c r="AS1531" s="56"/>
      <c r="AT1531" s="56"/>
      <c r="AU1531" s="56"/>
      <c r="AV1531" s="56"/>
      <c r="AW1531" s="56"/>
      <c r="AX1531" s="56"/>
    </row>
    <row r="1532" spans="1:50">
      <c r="A1532" s="37" t="s">
        <v>4</v>
      </c>
      <c r="B1532" s="5">
        <v>31333</v>
      </c>
      <c r="Y1532">
        <v>287.5</v>
      </c>
      <c r="AS1532" s="56"/>
      <c r="AT1532" s="56"/>
      <c r="AU1532" s="56"/>
      <c r="AV1532" s="56"/>
      <c r="AW1532" s="56"/>
      <c r="AX1532" s="56"/>
    </row>
    <row r="1533" spans="1:50">
      <c r="A1533" s="37" t="s">
        <v>4</v>
      </c>
      <c r="B1533" s="5">
        <v>31342</v>
      </c>
      <c r="Y1533">
        <v>316.19897959999997</v>
      </c>
      <c r="AS1533" s="56"/>
      <c r="AT1533" s="56"/>
      <c r="AU1533" s="56"/>
      <c r="AV1533" s="56"/>
      <c r="AW1533" s="56"/>
      <c r="AX1533" s="56"/>
    </row>
    <row r="1534" spans="1:50">
      <c r="A1534" s="37" t="s">
        <v>4</v>
      </c>
      <c r="B1534" s="5">
        <v>31377</v>
      </c>
      <c r="Y1534">
        <v>274.10714289999999</v>
      </c>
      <c r="AS1534" s="56"/>
      <c r="AT1534" s="56"/>
      <c r="AU1534" s="56"/>
      <c r="AV1534" s="56"/>
      <c r="AW1534" s="56"/>
      <c r="AX1534" s="56"/>
    </row>
    <row r="1535" spans="1:50">
      <c r="A1535" s="37" t="s">
        <v>4</v>
      </c>
      <c r="B1535" s="5">
        <v>31384</v>
      </c>
      <c r="Y1535">
        <v>251.53061220000001</v>
      </c>
      <c r="AS1535" s="56"/>
      <c r="AT1535" s="56"/>
      <c r="AU1535" s="56"/>
      <c r="AV1535" s="56"/>
      <c r="AW1535" s="56"/>
      <c r="AX1535" s="56"/>
    </row>
    <row r="1536" spans="1:50">
      <c r="A1536" s="37" t="s">
        <v>4</v>
      </c>
      <c r="B1536" s="5">
        <v>31398</v>
      </c>
      <c r="Y1536">
        <v>239.6683673</v>
      </c>
      <c r="AS1536" s="56"/>
      <c r="AT1536" s="56"/>
      <c r="AU1536" s="56"/>
      <c r="AV1536" s="56"/>
      <c r="AW1536" s="56"/>
      <c r="AX1536" s="56"/>
    </row>
    <row r="1537" spans="1:50">
      <c r="A1537" s="37" t="s">
        <v>4</v>
      </c>
      <c r="B1537" s="5">
        <v>31409</v>
      </c>
      <c r="Y1537">
        <v>230.8673469</v>
      </c>
      <c r="AS1537" s="56"/>
      <c r="AT1537" s="56"/>
      <c r="AU1537" s="56"/>
      <c r="AV1537" s="56"/>
      <c r="AW1537" s="56"/>
      <c r="AX1537" s="56"/>
    </row>
    <row r="1538" spans="1:50">
      <c r="A1538" s="37" t="s">
        <v>4</v>
      </c>
      <c r="B1538" s="5">
        <v>31436</v>
      </c>
      <c r="Y1538">
        <v>193.3673469</v>
      </c>
      <c r="AS1538" s="56"/>
      <c r="AT1538" s="56"/>
      <c r="AU1538" s="56"/>
      <c r="AV1538" s="56"/>
      <c r="AW1538" s="56"/>
      <c r="AX1538" s="56"/>
    </row>
    <row r="1539" spans="1:50">
      <c r="A1539" s="37" t="s">
        <v>4</v>
      </c>
      <c r="B1539" s="5">
        <v>31445</v>
      </c>
      <c r="Y1539">
        <v>184.1836735</v>
      </c>
      <c r="AS1539" s="56"/>
      <c r="AT1539" s="56"/>
      <c r="AU1539" s="56"/>
      <c r="AV1539" s="56"/>
      <c r="AW1539" s="56"/>
      <c r="AX1539" s="56"/>
    </row>
    <row r="1540" spans="1:50">
      <c r="A1540" s="37" t="s">
        <v>4</v>
      </c>
      <c r="B1540" s="5">
        <v>31465</v>
      </c>
      <c r="Y1540">
        <v>185.7142857</v>
      </c>
      <c r="AS1540" s="56"/>
      <c r="AT1540" s="56"/>
      <c r="AU1540" s="56"/>
      <c r="AV1540" s="56"/>
      <c r="AW1540" s="56"/>
      <c r="AX1540" s="56"/>
    </row>
    <row r="1541" spans="1:50">
      <c r="A1541" s="37" t="s">
        <v>4</v>
      </c>
      <c r="B1541" s="5">
        <v>31478</v>
      </c>
      <c r="Y1541">
        <v>171.93877549999999</v>
      </c>
      <c r="AS1541" s="56"/>
      <c r="AT1541" s="56"/>
      <c r="AU1541" s="56"/>
      <c r="AV1541" s="56"/>
      <c r="AW1541" s="56"/>
      <c r="AX1541" s="56"/>
    </row>
    <row r="1542" spans="1:50">
      <c r="A1542" s="37" t="s">
        <v>4</v>
      </c>
      <c r="B1542" s="5">
        <v>31504</v>
      </c>
      <c r="Y1542">
        <v>164.2857143</v>
      </c>
      <c r="AS1542" s="56"/>
      <c r="AT1542" s="56"/>
      <c r="AU1542" s="56"/>
      <c r="AV1542" s="56"/>
      <c r="AW1542" s="56"/>
      <c r="AX1542" s="56"/>
    </row>
    <row r="1543" spans="1:50">
      <c r="A1543" s="37" t="s">
        <v>4</v>
      </c>
      <c r="B1543" s="5">
        <v>31520</v>
      </c>
      <c r="Y1543">
        <v>153.18877549999999</v>
      </c>
      <c r="AS1543" s="56"/>
      <c r="AT1543" s="56"/>
      <c r="AU1543" s="56"/>
      <c r="AV1543" s="56"/>
      <c r="AW1543" s="56"/>
      <c r="AX1543" s="56"/>
    </row>
    <row r="1544" spans="1:50">
      <c r="A1544" s="37" t="s">
        <v>4</v>
      </c>
      <c r="B1544" s="5">
        <v>31536</v>
      </c>
      <c r="Y1544">
        <v>153.95408159999999</v>
      </c>
      <c r="AS1544" s="56"/>
      <c r="AT1544" s="56"/>
      <c r="AU1544" s="56"/>
      <c r="AV1544" s="56"/>
      <c r="AW1544" s="56"/>
      <c r="AX1544" s="56"/>
    </row>
    <row r="1545" spans="1:50">
      <c r="A1545" s="37" t="s">
        <v>4</v>
      </c>
      <c r="B1545" s="5">
        <v>31546</v>
      </c>
      <c r="Y1545">
        <v>160.45918370000001</v>
      </c>
      <c r="AS1545" s="56"/>
      <c r="AT1545" s="56"/>
      <c r="AU1545" s="56"/>
      <c r="AV1545" s="56"/>
      <c r="AW1545" s="56"/>
      <c r="AX1545" s="56"/>
    </row>
    <row r="1546" spans="1:50">
      <c r="A1546" s="37" t="s">
        <v>4</v>
      </c>
      <c r="B1546" s="5">
        <v>31559</v>
      </c>
      <c r="Y1546">
        <v>192.6020408</v>
      </c>
      <c r="AS1546" s="56"/>
      <c r="AT1546" s="56"/>
      <c r="AU1546" s="56"/>
      <c r="AV1546" s="56"/>
      <c r="AW1546" s="56"/>
      <c r="AX1546" s="56"/>
    </row>
    <row r="1547" spans="1:50">
      <c r="A1547" s="37" t="s">
        <v>4</v>
      </c>
      <c r="B1547" s="5">
        <v>31568</v>
      </c>
      <c r="Y1547">
        <v>205.61224490000001</v>
      </c>
      <c r="AS1547" s="56"/>
      <c r="AT1547" s="56"/>
      <c r="AU1547" s="56"/>
      <c r="AV1547" s="56"/>
      <c r="AW1547" s="56"/>
      <c r="AX1547" s="56"/>
    </row>
    <row r="1548" spans="1:50">
      <c r="A1548" s="37" t="s">
        <v>4</v>
      </c>
      <c r="B1548" s="5">
        <v>31586</v>
      </c>
      <c r="Y1548">
        <v>218.62244899999999</v>
      </c>
      <c r="AS1548" s="56"/>
      <c r="AT1548" s="56"/>
      <c r="AU1548" s="56"/>
      <c r="AV1548" s="56"/>
      <c r="AW1548" s="56"/>
      <c r="AX1548" s="56"/>
    </row>
    <row r="1549" spans="1:50">
      <c r="A1549" s="37" t="s">
        <v>4</v>
      </c>
      <c r="B1549" s="5">
        <v>31598</v>
      </c>
      <c r="Y1549">
        <v>210.58673469999999</v>
      </c>
      <c r="AS1549" s="56"/>
      <c r="AT1549" s="56"/>
      <c r="AU1549" s="56"/>
      <c r="AV1549" s="56"/>
      <c r="AW1549" s="56"/>
      <c r="AX1549" s="56"/>
    </row>
    <row r="1550" spans="1:50">
      <c r="A1550" s="37" t="s">
        <v>4</v>
      </c>
      <c r="B1550" s="5">
        <v>31612</v>
      </c>
      <c r="Y1550">
        <v>197.19387760000001</v>
      </c>
      <c r="AS1550" s="56"/>
      <c r="AT1550" s="56"/>
      <c r="AU1550" s="56"/>
      <c r="AV1550" s="56"/>
      <c r="AW1550" s="56"/>
      <c r="AX1550" s="56"/>
    </row>
    <row r="1551" spans="1:50">
      <c r="A1551" s="37" t="s">
        <v>4</v>
      </c>
      <c r="B1551" s="5">
        <v>31627</v>
      </c>
      <c r="Y1551">
        <v>250.3826531</v>
      </c>
      <c r="AS1551" s="56"/>
      <c r="AT1551" s="56"/>
      <c r="AU1551" s="56"/>
      <c r="AV1551" s="56"/>
      <c r="AW1551" s="56"/>
      <c r="AX1551" s="56"/>
    </row>
    <row r="1552" spans="1:50">
      <c r="A1552" s="37" t="s">
        <v>4</v>
      </c>
      <c r="B1552" s="5">
        <v>31670</v>
      </c>
      <c r="Y1552">
        <v>296.30102040000003</v>
      </c>
      <c r="AS1552" s="56"/>
      <c r="AT1552" s="56"/>
      <c r="AU1552" s="56"/>
      <c r="AV1552" s="56"/>
      <c r="AW1552" s="56"/>
      <c r="AX1552" s="56"/>
    </row>
    <row r="1553" spans="1:50">
      <c r="A1553" s="37" t="s">
        <v>4</v>
      </c>
      <c r="B1553" s="5">
        <v>31673</v>
      </c>
      <c r="Y1553">
        <v>273.34183669999999</v>
      </c>
      <c r="AS1553" s="56"/>
      <c r="AT1553" s="56"/>
      <c r="AU1553" s="56"/>
      <c r="AV1553" s="56"/>
      <c r="AW1553" s="56"/>
      <c r="AX1553" s="56"/>
    </row>
    <row r="1554" spans="1:50">
      <c r="A1554" s="37" t="s">
        <v>4</v>
      </c>
      <c r="B1554" s="5">
        <v>31673</v>
      </c>
      <c r="Y1554">
        <v>273.34183669999999</v>
      </c>
      <c r="AS1554" s="56"/>
      <c r="AT1554" s="56"/>
      <c r="AU1554" s="56"/>
      <c r="AV1554" s="56"/>
      <c r="AW1554" s="56"/>
      <c r="AX1554" s="56"/>
    </row>
    <row r="1555" spans="1:50">
      <c r="A1555" s="37" t="s">
        <v>4</v>
      </c>
      <c r="B1555" s="5">
        <v>31706</v>
      </c>
      <c r="Y1555">
        <v>257.27040820000002</v>
      </c>
      <c r="AS1555" s="56"/>
      <c r="AT1555" s="56"/>
      <c r="AU1555" s="56"/>
      <c r="AV1555" s="56"/>
      <c r="AW1555" s="56"/>
      <c r="AX1555" s="56"/>
    </row>
    <row r="1556" spans="1:50">
      <c r="A1556" s="37" t="s">
        <v>4</v>
      </c>
      <c r="B1556" s="5">
        <v>31689</v>
      </c>
      <c r="Y1556">
        <v>269.8979592</v>
      </c>
      <c r="AS1556" s="56"/>
      <c r="AT1556" s="56"/>
      <c r="AU1556" s="56"/>
      <c r="AV1556" s="56"/>
      <c r="AW1556" s="56"/>
      <c r="AX1556" s="56"/>
    </row>
    <row r="1557" spans="1:50">
      <c r="A1557" s="37" t="s">
        <v>4</v>
      </c>
      <c r="B1557" s="5">
        <v>31721</v>
      </c>
      <c r="Y1557">
        <v>270.28061220000001</v>
      </c>
      <c r="AS1557" s="56"/>
      <c r="AT1557" s="56"/>
      <c r="AU1557" s="56"/>
      <c r="AV1557" s="56"/>
      <c r="AW1557" s="56"/>
      <c r="AX1557" s="56"/>
    </row>
    <row r="1558" spans="1:50">
      <c r="A1558" s="37" t="s">
        <v>4</v>
      </c>
      <c r="B1558" s="5">
        <v>31749</v>
      </c>
      <c r="Y1558">
        <v>251.91326530000001</v>
      </c>
      <c r="AS1558" s="56"/>
      <c r="AT1558" s="56"/>
      <c r="AU1558" s="56"/>
      <c r="AV1558" s="56"/>
      <c r="AW1558" s="56"/>
      <c r="AX1558" s="56"/>
    </row>
    <row r="1559" spans="1:50">
      <c r="A1559" s="37" t="s">
        <v>4</v>
      </c>
      <c r="B1559" s="5">
        <v>31739</v>
      </c>
      <c r="Y1559">
        <v>240.8163265</v>
      </c>
      <c r="AS1559" s="56"/>
      <c r="AT1559" s="56"/>
      <c r="AU1559" s="56"/>
      <c r="AV1559" s="56"/>
      <c r="AW1559" s="56"/>
      <c r="AX1559" s="56"/>
    </row>
    <row r="1560" spans="1:50">
      <c r="A1560" s="37" t="s">
        <v>4</v>
      </c>
      <c r="B1560" s="5">
        <v>31766</v>
      </c>
      <c r="Y1560">
        <v>225.51020410000001</v>
      </c>
      <c r="AS1560" s="56"/>
      <c r="AT1560" s="56"/>
      <c r="AU1560" s="56"/>
      <c r="AV1560" s="56"/>
      <c r="AW1560" s="56"/>
      <c r="AX1560" s="56"/>
    </row>
    <row r="1561" spans="1:50">
      <c r="A1561" s="37" t="s">
        <v>4</v>
      </c>
      <c r="B1561" s="5">
        <v>31773</v>
      </c>
      <c r="Y1561">
        <v>213.2653061</v>
      </c>
      <c r="AS1561" s="56"/>
      <c r="AT1561" s="56"/>
      <c r="AU1561" s="56"/>
      <c r="AV1561" s="56"/>
      <c r="AW1561" s="56"/>
      <c r="AX1561" s="56"/>
    </row>
    <row r="1562" spans="1:50">
      <c r="A1562" s="37" t="s">
        <v>4</v>
      </c>
      <c r="B1562" s="5">
        <v>31784</v>
      </c>
      <c r="Y1562">
        <v>188.01020410000001</v>
      </c>
      <c r="AS1562" s="56"/>
      <c r="AT1562" s="56"/>
      <c r="AU1562" s="56"/>
      <c r="AV1562" s="56"/>
      <c r="AW1562" s="56"/>
      <c r="AX1562" s="56"/>
    </row>
    <row r="1563" spans="1:50">
      <c r="A1563" s="37" t="s">
        <v>4</v>
      </c>
      <c r="B1563" s="5">
        <v>31788</v>
      </c>
      <c r="Y1563">
        <v>176.91326530000001</v>
      </c>
      <c r="AS1563" s="56"/>
      <c r="AT1563" s="56"/>
      <c r="AU1563" s="56"/>
      <c r="AV1563" s="56"/>
      <c r="AW1563" s="56"/>
      <c r="AX1563" s="56"/>
    </row>
    <row r="1564" spans="1:50">
      <c r="A1564" s="37" t="s">
        <v>4</v>
      </c>
      <c r="B1564" s="5">
        <v>31799</v>
      </c>
      <c r="Y1564">
        <v>162.37244899999999</v>
      </c>
      <c r="AS1564" s="56"/>
      <c r="AT1564" s="56"/>
      <c r="AU1564" s="56"/>
      <c r="AV1564" s="56"/>
      <c r="AW1564" s="56"/>
      <c r="AX1564" s="56"/>
    </row>
    <row r="1565" spans="1:50">
      <c r="A1565" s="37" t="s">
        <v>4</v>
      </c>
      <c r="B1565" s="5">
        <v>31832</v>
      </c>
      <c r="Y1565">
        <v>175.7653061</v>
      </c>
      <c r="AS1565" s="56"/>
      <c r="AT1565" s="56"/>
      <c r="AU1565" s="56"/>
      <c r="AV1565" s="56"/>
      <c r="AW1565" s="56"/>
      <c r="AX1565" s="56"/>
    </row>
    <row r="1566" spans="1:50">
      <c r="A1566" s="37" t="s">
        <v>4</v>
      </c>
      <c r="B1566" s="5">
        <v>31849</v>
      </c>
      <c r="Y1566">
        <v>166.9642857</v>
      </c>
      <c r="AS1566" s="56"/>
      <c r="AT1566" s="56"/>
      <c r="AU1566" s="56"/>
      <c r="AV1566" s="56"/>
      <c r="AW1566" s="56"/>
      <c r="AX1566" s="56"/>
    </row>
    <row r="1567" spans="1:50">
      <c r="A1567" s="37" t="s">
        <v>4</v>
      </c>
      <c r="B1567" s="5">
        <v>31866</v>
      </c>
      <c r="Y1567">
        <v>161.98979589999999</v>
      </c>
      <c r="AS1567" s="56"/>
      <c r="AT1567" s="56"/>
      <c r="AU1567" s="56"/>
      <c r="AV1567" s="56"/>
      <c r="AW1567" s="56"/>
      <c r="AX1567" s="56"/>
    </row>
    <row r="1568" spans="1:50">
      <c r="A1568" s="37" t="s">
        <v>4</v>
      </c>
      <c r="B1568" s="5">
        <v>31878</v>
      </c>
      <c r="Y1568">
        <v>153.18877549999999</v>
      </c>
      <c r="AS1568" s="56"/>
      <c r="AT1568" s="56"/>
      <c r="AU1568" s="56"/>
      <c r="AV1568" s="56"/>
      <c r="AW1568" s="56"/>
      <c r="AX1568" s="56"/>
    </row>
    <row r="1569" spans="1:50">
      <c r="A1569" s="37" t="s">
        <v>4</v>
      </c>
      <c r="B1569" s="5">
        <v>31889</v>
      </c>
      <c r="Y1569">
        <v>154.33673469999999</v>
      </c>
      <c r="AS1569" s="56"/>
      <c r="AT1569" s="56"/>
      <c r="AU1569" s="56"/>
      <c r="AV1569" s="56"/>
      <c r="AW1569" s="56"/>
      <c r="AX1569" s="56"/>
    </row>
    <row r="1570" spans="1:50">
      <c r="A1570" s="37" t="s">
        <v>4</v>
      </c>
      <c r="B1570" s="5">
        <v>31904</v>
      </c>
      <c r="Y1570">
        <v>159.69387760000001</v>
      </c>
      <c r="AS1570" s="56"/>
      <c r="AT1570" s="56"/>
      <c r="AU1570" s="56"/>
      <c r="AV1570" s="56"/>
      <c r="AW1570" s="56"/>
      <c r="AX1570" s="56"/>
    </row>
    <row r="1571" spans="1:50">
      <c r="A1571" s="37" t="s">
        <v>4</v>
      </c>
      <c r="B1571" s="5">
        <v>31920</v>
      </c>
      <c r="Y1571">
        <v>164.6683673</v>
      </c>
      <c r="AS1571" s="56"/>
      <c r="AT1571" s="56"/>
      <c r="AU1571" s="56"/>
      <c r="AV1571" s="56"/>
      <c r="AW1571" s="56"/>
      <c r="AX1571" s="56"/>
    </row>
    <row r="1572" spans="1:50">
      <c r="A1572" s="37" t="s">
        <v>4</v>
      </c>
      <c r="B1572" s="5">
        <v>31937</v>
      </c>
      <c r="Y1572">
        <v>163.13775509999999</v>
      </c>
      <c r="AS1572" s="56"/>
      <c r="AT1572" s="56"/>
      <c r="AU1572" s="56"/>
      <c r="AV1572" s="56"/>
      <c r="AW1572" s="56"/>
      <c r="AX1572" s="56"/>
    </row>
    <row r="1573" spans="1:50">
      <c r="A1573" s="37" t="s">
        <v>4</v>
      </c>
      <c r="B1573" s="5">
        <v>31944</v>
      </c>
      <c r="Y1573">
        <v>188.39285709999999</v>
      </c>
      <c r="AS1573" s="56"/>
      <c r="AT1573" s="56"/>
      <c r="AU1573" s="56"/>
      <c r="AV1573" s="56"/>
      <c r="AW1573" s="56"/>
      <c r="AX1573" s="56"/>
    </row>
    <row r="1574" spans="1:50">
      <c r="A1574" s="37" t="s">
        <v>4</v>
      </c>
      <c r="B1574" s="5">
        <v>31966</v>
      </c>
      <c r="Y1574">
        <v>184.5663265</v>
      </c>
      <c r="AS1574" s="56"/>
      <c r="AT1574" s="56"/>
      <c r="AU1574" s="56"/>
      <c r="AV1574" s="56"/>
      <c r="AW1574" s="56"/>
      <c r="AX1574" s="56"/>
    </row>
    <row r="1575" spans="1:50">
      <c r="A1575" s="37" t="s">
        <v>4</v>
      </c>
      <c r="B1575" s="5">
        <v>31971</v>
      </c>
      <c r="Y1575">
        <v>176.91326530000001</v>
      </c>
      <c r="AS1575" s="56"/>
      <c r="AT1575" s="56"/>
      <c r="AU1575" s="56"/>
      <c r="AV1575" s="56"/>
      <c r="AW1575" s="56"/>
      <c r="AX1575" s="56"/>
    </row>
    <row r="1576" spans="1:50">
      <c r="A1576" s="37" t="s">
        <v>4</v>
      </c>
      <c r="B1576" s="5">
        <v>31988</v>
      </c>
      <c r="Y1576">
        <v>199.87244899999999</v>
      </c>
      <c r="AS1576" s="56"/>
      <c r="AT1576" s="56"/>
      <c r="AU1576" s="56"/>
      <c r="AV1576" s="56"/>
      <c r="AW1576" s="56"/>
      <c r="AX1576" s="56"/>
    </row>
    <row r="1577" spans="1:50">
      <c r="A1577" s="37" t="s">
        <v>4</v>
      </c>
      <c r="B1577" s="5">
        <v>32002</v>
      </c>
      <c r="Y1577">
        <v>199.87244899999999</v>
      </c>
      <c r="AS1577" s="56"/>
      <c r="AT1577" s="56"/>
      <c r="AU1577" s="56"/>
      <c r="AV1577" s="56"/>
      <c r="AW1577" s="56"/>
      <c r="AX1577" s="56"/>
    </row>
    <row r="1578" spans="1:50">
      <c r="A1578" s="37" t="s">
        <v>4</v>
      </c>
      <c r="B1578" s="5">
        <v>32033</v>
      </c>
      <c r="Y1578">
        <v>194.8979592</v>
      </c>
      <c r="AS1578" s="56"/>
      <c r="AT1578" s="56"/>
      <c r="AU1578" s="56"/>
      <c r="AV1578" s="56"/>
      <c r="AW1578" s="56"/>
      <c r="AX1578" s="56"/>
    </row>
    <row r="1579" spans="1:50">
      <c r="A1579" s="37" t="s">
        <v>4</v>
      </c>
      <c r="B1579" s="5">
        <v>32045</v>
      </c>
      <c r="Y1579">
        <v>173.08673469999999</v>
      </c>
      <c r="AS1579" s="56"/>
      <c r="AT1579" s="56"/>
      <c r="AU1579" s="56"/>
      <c r="AV1579" s="56"/>
      <c r="AW1579" s="56"/>
      <c r="AX1579" s="56"/>
    </row>
    <row r="1580" spans="1:50">
      <c r="A1580" s="37" t="s">
        <v>4</v>
      </c>
      <c r="B1580" s="5">
        <v>32067</v>
      </c>
      <c r="Y1580">
        <v>158.16326530000001</v>
      </c>
      <c r="AS1580" s="56"/>
      <c r="AT1580" s="56"/>
      <c r="AU1580" s="56"/>
      <c r="AV1580" s="56"/>
      <c r="AW1580" s="56"/>
      <c r="AX1580" s="56"/>
    </row>
    <row r="1581" spans="1:50">
      <c r="A1581" s="37" t="s">
        <v>4</v>
      </c>
      <c r="B1581" s="5">
        <v>32076</v>
      </c>
      <c r="Y1581">
        <v>166.5816327</v>
      </c>
      <c r="AS1581" s="56"/>
      <c r="AT1581" s="56"/>
      <c r="AU1581" s="56"/>
      <c r="AV1581" s="56"/>
      <c r="AW1581" s="56"/>
      <c r="AX1581" s="56"/>
    </row>
    <row r="1582" spans="1:50">
      <c r="A1582" s="37" t="s">
        <v>4</v>
      </c>
      <c r="B1582" s="5">
        <v>32095</v>
      </c>
      <c r="Y1582">
        <v>167.72959180000001</v>
      </c>
      <c r="AS1582" s="56"/>
      <c r="AT1582" s="56"/>
      <c r="AU1582" s="56"/>
      <c r="AV1582" s="56"/>
      <c r="AW1582" s="56"/>
      <c r="AX1582" s="56"/>
    </row>
    <row r="1583" spans="1:50">
      <c r="A1583" s="37" t="s">
        <v>4</v>
      </c>
      <c r="B1583" s="5">
        <v>32109</v>
      </c>
      <c r="Y1583">
        <v>162.37244899999999</v>
      </c>
      <c r="AS1583" s="56"/>
      <c r="AT1583" s="56"/>
      <c r="AU1583" s="56"/>
      <c r="AV1583" s="56"/>
      <c r="AW1583" s="56"/>
      <c r="AX1583" s="56"/>
    </row>
    <row r="1584" spans="1:50">
      <c r="A1584" s="37" t="s">
        <v>4</v>
      </c>
      <c r="B1584" s="5">
        <v>32117</v>
      </c>
      <c r="Y1584">
        <v>154.33673469999999</v>
      </c>
      <c r="AS1584" s="56"/>
      <c r="AT1584" s="56"/>
      <c r="AU1584" s="56"/>
      <c r="AV1584" s="56"/>
      <c r="AW1584" s="56"/>
      <c r="AX1584" s="56"/>
    </row>
    <row r="1585" spans="1:50">
      <c r="A1585" s="37" t="s">
        <v>4</v>
      </c>
      <c r="B1585" s="5">
        <v>32133</v>
      </c>
      <c r="Y1585">
        <v>166.1989796</v>
      </c>
      <c r="AS1585" s="56"/>
      <c r="AT1585" s="56"/>
      <c r="AU1585" s="56"/>
      <c r="AV1585" s="56"/>
      <c r="AW1585" s="56"/>
      <c r="AX1585" s="56"/>
    </row>
    <row r="1586" spans="1:50">
      <c r="A1586" s="37" t="s">
        <v>4</v>
      </c>
      <c r="B1586" s="5">
        <v>32141</v>
      </c>
      <c r="Y1586">
        <v>154.33673469999999</v>
      </c>
      <c r="AS1586" s="56"/>
      <c r="AT1586" s="56"/>
      <c r="AU1586" s="56"/>
      <c r="AV1586" s="56"/>
      <c r="AW1586" s="56"/>
      <c r="AX1586" s="56"/>
    </row>
    <row r="1587" spans="1:50">
      <c r="A1587" s="37" t="s">
        <v>4</v>
      </c>
      <c r="B1587" s="5">
        <v>32168</v>
      </c>
      <c r="Y1587">
        <v>172.32142859999999</v>
      </c>
      <c r="AS1587" s="56"/>
      <c r="AT1587" s="56"/>
      <c r="AU1587" s="56"/>
      <c r="AV1587" s="56"/>
      <c r="AW1587" s="56"/>
      <c r="AX1587" s="56"/>
    </row>
    <row r="1588" spans="1:50">
      <c r="A1588" s="37" t="s">
        <v>4</v>
      </c>
      <c r="B1588" s="5">
        <v>32174</v>
      </c>
      <c r="Y1588">
        <v>155.1020408</v>
      </c>
      <c r="AS1588" s="56"/>
      <c r="AT1588" s="56"/>
      <c r="AU1588" s="56"/>
      <c r="AV1588" s="56"/>
      <c r="AW1588" s="56"/>
      <c r="AX1588" s="56"/>
    </row>
    <row r="1589" spans="1:50">
      <c r="A1589" s="37" t="s">
        <v>4</v>
      </c>
      <c r="B1589" s="5">
        <v>32195</v>
      </c>
      <c r="Y1589">
        <v>151.27551020000001</v>
      </c>
      <c r="AS1589" s="56"/>
      <c r="AT1589" s="56"/>
      <c r="AU1589" s="56"/>
      <c r="AV1589" s="56"/>
      <c r="AW1589" s="56"/>
      <c r="AX1589" s="56"/>
    </row>
    <row r="1590" spans="1:50">
      <c r="A1590" s="37" t="s">
        <v>4</v>
      </c>
      <c r="B1590" s="5">
        <v>32219</v>
      </c>
      <c r="Y1590">
        <v>151.65816330000001</v>
      </c>
      <c r="AS1590" s="56"/>
      <c r="AT1590" s="56"/>
      <c r="AU1590" s="56"/>
      <c r="AV1590" s="56"/>
      <c r="AW1590" s="56"/>
      <c r="AX1590" s="56"/>
    </row>
    <row r="1591" spans="1:50">
      <c r="A1591" s="37" t="s">
        <v>4</v>
      </c>
      <c r="B1591" s="5">
        <v>32209</v>
      </c>
      <c r="Y1591">
        <v>148.97959180000001</v>
      </c>
      <c r="AS1591" s="56"/>
      <c r="AT1591" s="56"/>
      <c r="AU1591" s="56"/>
      <c r="AV1591" s="56"/>
      <c r="AW1591" s="56"/>
      <c r="AX1591" s="56"/>
    </row>
    <row r="1592" spans="1:50">
      <c r="A1592" s="37" t="s">
        <v>4</v>
      </c>
      <c r="B1592" s="5">
        <v>32233</v>
      </c>
      <c r="Y1592">
        <v>159.31122450000001</v>
      </c>
      <c r="AS1592" s="56"/>
      <c r="AT1592" s="56"/>
      <c r="AU1592" s="56"/>
      <c r="AV1592" s="56"/>
      <c r="AW1592" s="56"/>
      <c r="AX1592" s="56"/>
    </row>
    <row r="1593" spans="1:50">
      <c r="A1593" s="37" t="s">
        <v>4</v>
      </c>
      <c r="B1593" s="5">
        <v>32249</v>
      </c>
      <c r="Y1593">
        <v>202.9336735</v>
      </c>
      <c r="AS1593" s="56"/>
      <c r="AT1593" s="56"/>
      <c r="AU1593" s="56"/>
      <c r="AV1593" s="56"/>
      <c r="AW1593" s="56"/>
      <c r="AX1593" s="56"/>
    </row>
    <row r="1594" spans="1:50">
      <c r="A1594" s="37" t="s">
        <v>4</v>
      </c>
      <c r="B1594" s="5">
        <v>32260</v>
      </c>
      <c r="Y1594">
        <v>235.45918370000001</v>
      </c>
      <c r="AS1594" s="56"/>
      <c r="AT1594" s="56"/>
      <c r="AU1594" s="56"/>
      <c r="AV1594" s="56"/>
      <c r="AW1594" s="56"/>
      <c r="AX1594" s="56"/>
    </row>
    <row r="1595" spans="1:50">
      <c r="A1595" s="37" t="s">
        <v>4</v>
      </c>
      <c r="B1595" s="5">
        <v>32276</v>
      </c>
      <c r="Y1595">
        <v>251.91326530000001</v>
      </c>
      <c r="AS1595" s="56"/>
      <c r="AT1595" s="56"/>
      <c r="AU1595" s="56"/>
      <c r="AV1595" s="56"/>
      <c r="AW1595" s="56"/>
      <c r="AX1595" s="56"/>
    </row>
    <row r="1596" spans="1:50">
      <c r="A1596" s="37" t="s">
        <v>5</v>
      </c>
      <c r="B1596" s="5">
        <v>30876</v>
      </c>
      <c r="Y1596">
        <v>214.3243243</v>
      </c>
      <c r="AS1596" s="56"/>
      <c r="AT1596" s="56"/>
      <c r="AU1596" s="56"/>
      <c r="AV1596" s="56"/>
      <c r="AW1596" s="56"/>
      <c r="AX1596" s="56"/>
    </row>
    <row r="1597" spans="1:50">
      <c r="A1597" s="37" t="s">
        <v>5</v>
      </c>
      <c r="B1597" s="5">
        <v>30887</v>
      </c>
      <c r="Y1597">
        <v>241.08108110000001</v>
      </c>
      <c r="AS1597" s="56"/>
      <c r="AT1597" s="56"/>
      <c r="AU1597" s="56"/>
      <c r="AV1597" s="56"/>
      <c r="AW1597" s="56"/>
      <c r="AX1597" s="56"/>
    </row>
    <row r="1598" spans="1:50">
      <c r="A1598" s="37" t="s">
        <v>5</v>
      </c>
      <c r="B1598" s="5">
        <v>30896</v>
      </c>
      <c r="Y1598">
        <v>309.59459459999999</v>
      </c>
      <c r="AS1598" s="56"/>
      <c r="AT1598" s="56"/>
      <c r="AU1598" s="56"/>
      <c r="AV1598" s="56"/>
      <c r="AW1598" s="56"/>
      <c r="AX1598" s="56"/>
    </row>
    <row r="1599" spans="1:50">
      <c r="A1599" s="37" t="s">
        <v>5</v>
      </c>
      <c r="B1599" s="5">
        <v>30904</v>
      </c>
      <c r="Y1599">
        <v>324.59459459999999</v>
      </c>
      <c r="AS1599" s="56"/>
      <c r="AT1599" s="56"/>
      <c r="AU1599" s="56"/>
      <c r="AV1599" s="56"/>
      <c r="AW1599" s="56"/>
      <c r="AX1599" s="56"/>
    </row>
    <row r="1600" spans="1:50">
      <c r="A1600" s="37" t="s">
        <v>5</v>
      </c>
      <c r="B1600" s="5">
        <v>30928</v>
      </c>
      <c r="Y1600">
        <v>334.3243243</v>
      </c>
      <c r="AS1600" s="56"/>
      <c r="AT1600" s="56"/>
      <c r="AU1600" s="56"/>
      <c r="AV1600" s="56"/>
      <c r="AW1600" s="56"/>
      <c r="AX1600" s="56"/>
    </row>
    <row r="1601" spans="1:50">
      <c r="A1601" s="37" t="s">
        <v>5</v>
      </c>
      <c r="B1601" s="5">
        <v>30970</v>
      </c>
      <c r="Y1601">
        <v>306.75675680000001</v>
      </c>
      <c r="AS1601" s="56"/>
      <c r="AT1601" s="56"/>
      <c r="AU1601" s="56"/>
      <c r="AV1601" s="56"/>
      <c r="AW1601" s="56"/>
      <c r="AX1601" s="56"/>
    </row>
    <row r="1602" spans="1:50">
      <c r="A1602" s="37" t="s">
        <v>5</v>
      </c>
      <c r="B1602" s="5">
        <v>30979</v>
      </c>
      <c r="Y1602">
        <v>264.18918919999999</v>
      </c>
      <c r="AS1602" s="56"/>
      <c r="AT1602" s="56"/>
      <c r="AU1602" s="56"/>
      <c r="AV1602" s="56"/>
      <c r="AW1602" s="56"/>
      <c r="AX1602" s="56"/>
    </row>
    <row r="1603" spans="1:50">
      <c r="A1603" s="37" t="s">
        <v>5</v>
      </c>
      <c r="B1603" s="5">
        <v>30995</v>
      </c>
      <c r="Y1603">
        <v>236.6216216</v>
      </c>
      <c r="AS1603" s="56"/>
      <c r="AT1603" s="56"/>
      <c r="AU1603" s="56"/>
      <c r="AV1603" s="56"/>
      <c r="AW1603" s="56"/>
      <c r="AX1603" s="56"/>
    </row>
    <row r="1604" spans="1:50">
      <c r="A1604" s="37" t="s">
        <v>5</v>
      </c>
      <c r="B1604" s="5">
        <v>31011</v>
      </c>
      <c r="Y1604">
        <v>208.24324319999999</v>
      </c>
      <c r="AS1604" s="56"/>
      <c r="AT1604" s="56"/>
      <c r="AU1604" s="56"/>
      <c r="AV1604" s="56"/>
      <c r="AW1604" s="56"/>
      <c r="AX1604" s="56"/>
    </row>
    <row r="1605" spans="1:50">
      <c r="A1605" s="37" t="s">
        <v>5</v>
      </c>
      <c r="B1605" s="5">
        <v>31021</v>
      </c>
      <c r="Y1605">
        <v>179.0540541</v>
      </c>
      <c r="AS1605" s="56"/>
      <c r="AT1605" s="56"/>
      <c r="AU1605" s="56"/>
      <c r="AV1605" s="56"/>
      <c r="AW1605" s="56"/>
      <c r="AX1605" s="56"/>
    </row>
    <row r="1606" spans="1:50">
      <c r="A1606" s="37" t="s">
        <v>5</v>
      </c>
      <c r="B1606" s="5">
        <v>31034</v>
      </c>
      <c r="Y1606">
        <v>156.3513514</v>
      </c>
      <c r="AS1606" s="56"/>
      <c r="AT1606" s="56"/>
      <c r="AU1606" s="56"/>
      <c r="AV1606" s="56"/>
      <c r="AW1606" s="56"/>
      <c r="AX1606" s="56"/>
    </row>
    <row r="1607" spans="1:50">
      <c r="A1607" s="37" t="s">
        <v>5</v>
      </c>
      <c r="B1607" s="5">
        <v>31048</v>
      </c>
      <c r="Y1607">
        <v>143.78378380000001</v>
      </c>
      <c r="AS1607" s="56"/>
      <c r="AT1607" s="56"/>
      <c r="AU1607" s="56"/>
      <c r="AV1607" s="56"/>
      <c r="AW1607" s="56"/>
      <c r="AX1607" s="56"/>
    </row>
    <row r="1608" spans="1:50">
      <c r="A1608" s="37" t="s">
        <v>5</v>
      </c>
      <c r="B1608" s="5">
        <v>31068</v>
      </c>
      <c r="Y1608">
        <v>133.6486486</v>
      </c>
      <c r="AS1608" s="56"/>
      <c r="AT1608" s="56"/>
      <c r="AU1608" s="56"/>
      <c r="AV1608" s="56"/>
      <c r="AW1608" s="56"/>
      <c r="AX1608" s="56"/>
    </row>
    <row r="1609" spans="1:50">
      <c r="A1609" s="37" t="s">
        <v>5</v>
      </c>
      <c r="B1609" s="5">
        <v>31088</v>
      </c>
      <c r="Y1609">
        <v>120.6756757</v>
      </c>
      <c r="AS1609" s="56"/>
      <c r="AT1609" s="56"/>
      <c r="AU1609" s="56"/>
      <c r="AV1609" s="56"/>
      <c r="AW1609" s="56"/>
      <c r="AX1609" s="56"/>
    </row>
    <row r="1610" spans="1:50">
      <c r="A1610" s="37" t="s">
        <v>5</v>
      </c>
      <c r="B1610" s="5">
        <v>31104</v>
      </c>
      <c r="Y1610">
        <v>119.8648649</v>
      </c>
      <c r="AS1610" s="56"/>
      <c r="AT1610" s="56"/>
      <c r="AU1610" s="56"/>
      <c r="AV1610" s="56"/>
      <c r="AW1610" s="56"/>
      <c r="AX1610" s="56"/>
    </row>
    <row r="1611" spans="1:50">
      <c r="A1611" s="37" t="s">
        <v>5</v>
      </c>
      <c r="B1611" s="5">
        <v>31120</v>
      </c>
      <c r="Y1611">
        <v>119.45945949999999</v>
      </c>
      <c r="AS1611" s="56"/>
      <c r="AT1611" s="56"/>
      <c r="AU1611" s="56"/>
      <c r="AV1611" s="56"/>
      <c r="AW1611" s="56"/>
      <c r="AX1611" s="56"/>
    </row>
    <row r="1612" spans="1:50">
      <c r="A1612" s="37" t="s">
        <v>5</v>
      </c>
      <c r="B1612" s="5">
        <v>31132</v>
      </c>
      <c r="Y1612">
        <v>307.56756760000002</v>
      </c>
      <c r="AS1612" s="56"/>
      <c r="AT1612" s="56"/>
      <c r="AU1612" s="56"/>
      <c r="AV1612" s="56"/>
      <c r="AW1612" s="56"/>
      <c r="AX1612" s="56"/>
    </row>
    <row r="1613" spans="1:50">
      <c r="A1613" s="37" t="s">
        <v>5</v>
      </c>
      <c r="B1613" s="5">
        <v>31139</v>
      </c>
      <c r="Y1613">
        <v>294.59459459999999</v>
      </c>
      <c r="AS1613" s="56"/>
      <c r="AT1613" s="56"/>
      <c r="AU1613" s="56"/>
      <c r="AV1613" s="56"/>
      <c r="AW1613" s="56"/>
      <c r="AX1613" s="56"/>
    </row>
    <row r="1614" spans="1:50">
      <c r="A1614" s="37" t="s">
        <v>5</v>
      </c>
      <c r="B1614" s="5">
        <v>31162</v>
      </c>
      <c r="Y1614">
        <v>260.13513510000001</v>
      </c>
      <c r="AS1614" s="56"/>
      <c r="AT1614" s="56"/>
      <c r="AU1614" s="56"/>
      <c r="AV1614" s="56"/>
      <c r="AW1614" s="56"/>
      <c r="AX1614" s="56"/>
    </row>
    <row r="1615" spans="1:50">
      <c r="A1615" s="37" t="s">
        <v>5</v>
      </c>
      <c r="B1615" s="5">
        <v>31167</v>
      </c>
      <c r="Y1615">
        <v>238.6486486</v>
      </c>
      <c r="AS1615" s="56"/>
      <c r="AT1615" s="56"/>
      <c r="AU1615" s="56"/>
      <c r="AV1615" s="56"/>
      <c r="AW1615" s="56"/>
      <c r="AX1615" s="56"/>
    </row>
    <row r="1616" spans="1:50">
      <c r="A1616" s="37" t="s">
        <v>5</v>
      </c>
      <c r="B1616" s="5">
        <v>31183</v>
      </c>
      <c r="Y1616">
        <v>225.6756757</v>
      </c>
      <c r="AS1616" s="56"/>
      <c r="AT1616" s="56"/>
      <c r="AU1616" s="56"/>
      <c r="AV1616" s="56"/>
      <c r="AW1616" s="56"/>
      <c r="AX1616" s="56"/>
    </row>
    <row r="1617" spans="1:50">
      <c r="A1617" s="37" t="s">
        <v>5</v>
      </c>
      <c r="B1617" s="5">
        <v>31196</v>
      </c>
      <c r="Y1617">
        <v>220.81081080000001</v>
      </c>
      <c r="AS1617" s="56"/>
      <c r="AT1617" s="56"/>
      <c r="AU1617" s="56"/>
      <c r="AV1617" s="56"/>
      <c r="AW1617" s="56"/>
      <c r="AX1617" s="56"/>
    </row>
    <row r="1618" spans="1:50">
      <c r="A1618" s="37" t="s">
        <v>5</v>
      </c>
      <c r="B1618" s="5">
        <v>31211</v>
      </c>
      <c r="Y1618">
        <v>218.3783784</v>
      </c>
      <c r="AS1618" s="56"/>
      <c r="AT1618" s="56"/>
      <c r="AU1618" s="56"/>
      <c r="AV1618" s="56"/>
      <c r="AW1618" s="56"/>
      <c r="AX1618" s="56"/>
    </row>
    <row r="1619" spans="1:50">
      <c r="A1619" s="37" t="s">
        <v>5</v>
      </c>
      <c r="B1619" s="5">
        <v>31225</v>
      </c>
      <c r="Y1619">
        <v>215.54054049999999</v>
      </c>
      <c r="AS1619" s="56"/>
      <c r="AT1619" s="56"/>
      <c r="AU1619" s="56"/>
      <c r="AV1619" s="56"/>
      <c r="AW1619" s="56"/>
      <c r="AX1619" s="56"/>
    </row>
    <row r="1620" spans="1:50">
      <c r="A1620" s="37" t="s">
        <v>5</v>
      </c>
      <c r="B1620" s="5">
        <v>31239</v>
      </c>
      <c r="Y1620">
        <v>210.27027029999999</v>
      </c>
      <c r="AS1620" s="56"/>
      <c r="AT1620" s="56"/>
      <c r="AU1620" s="56"/>
      <c r="AV1620" s="56"/>
      <c r="AW1620" s="56"/>
      <c r="AX1620" s="56"/>
    </row>
    <row r="1621" spans="1:50">
      <c r="A1621" s="37" t="s">
        <v>5</v>
      </c>
      <c r="B1621" s="5">
        <v>31256</v>
      </c>
      <c r="Y1621">
        <v>220.81081080000001</v>
      </c>
      <c r="AS1621" s="56"/>
      <c r="AT1621" s="56"/>
      <c r="AU1621" s="56"/>
      <c r="AV1621" s="56"/>
      <c r="AW1621" s="56"/>
      <c r="AX1621" s="56"/>
    </row>
    <row r="1622" spans="1:50">
      <c r="A1622" s="37" t="s">
        <v>5</v>
      </c>
      <c r="B1622" s="5">
        <v>31269</v>
      </c>
      <c r="Y1622">
        <v>207.43243240000001</v>
      </c>
      <c r="AS1622" s="56"/>
      <c r="AT1622" s="56"/>
      <c r="AU1622" s="56"/>
      <c r="AV1622" s="56"/>
      <c r="AW1622" s="56"/>
      <c r="AX1622" s="56"/>
    </row>
    <row r="1623" spans="1:50">
      <c r="A1623" s="37" t="s">
        <v>5</v>
      </c>
      <c r="B1623" s="5">
        <v>31295</v>
      </c>
      <c r="Y1623">
        <v>300.27027029999999</v>
      </c>
      <c r="AS1623" s="56"/>
      <c r="AT1623" s="56"/>
      <c r="AU1623" s="56"/>
      <c r="AV1623" s="56"/>
      <c r="AW1623" s="56"/>
      <c r="AX1623" s="56"/>
    </row>
    <row r="1624" spans="1:50">
      <c r="A1624" s="37" t="s">
        <v>5</v>
      </c>
      <c r="B1624" s="5">
        <v>31325</v>
      </c>
      <c r="Y1624">
        <v>338.37837839999997</v>
      </c>
      <c r="AS1624" s="56"/>
      <c r="AT1624" s="56"/>
      <c r="AU1624" s="56"/>
      <c r="AV1624" s="56"/>
      <c r="AW1624" s="56"/>
      <c r="AX1624" s="56"/>
    </row>
    <row r="1625" spans="1:50">
      <c r="A1625" s="37" t="s">
        <v>5</v>
      </c>
      <c r="B1625" s="5">
        <v>31309</v>
      </c>
      <c r="Y1625">
        <v>295.81081080000001</v>
      </c>
      <c r="AS1625" s="56"/>
      <c r="AT1625" s="56"/>
      <c r="AU1625" s="56"/>
      <c r="AV1625" s="56"/>
      <c r="AW1625" s="56"/>
      <c r="AX1625" s="56"/>
    </row>
    <row r="1626" spans="1:50">
      <c r="A1626" s="37" t="s">
        <v>5</v>
      </c>
      <c r="B1626" s="5">
        <v>31344</v>
      </c>
      <c r="Y1626">
        <v>290.94594590000003</v>
      </c>
      <c r="AS1626" s="56"/>
      <c r="AT1626" s="56"/>
      <c r="AU1626" s="56"/>
      <c r="AV1626" s="56"/>
      <c r="AW1626" s="56"/>
      <c r="AX1626" s="56"/>
    </row>
    <row r="1627" spans="1:50">
      <c r="A1627" s="37" t="s">
        <v>5</v>
      </c>
      <c r="B1627" s="5">
        <v>31365</v>
      </c>
      <c r="Y1627">
        <v>252.83783779999999</v>
      </c>
      <c r="AS1627" s="56"/>
      <c r="AT1627" s="56"/>
      <c r="AU1627" s="56"/>
      <c r="AV1627" s="56"/>
      <c r="AW1627" s="56"/>
      <c r="AX1627" s="56"/>
    </row>
    <row r="1628" spans="1:50">
      <c r="A1628" s="37" t="s">
        <v>5</v>
      </c>
      <c r="B1628" s="5">
        <v>31379</v>
      </c>
      <c r="Y1628">
        <v>231.75675680000001</v>
      </c>
      <c r="AS1628" s="56"/>
      <c r="AT1628" s="56"/>
      <c r="AU1628" s="56"/>
      <c r="AV1628" s="56"/>
      <c r="AW1628" s="56"/>
      <c r="AX1628" s="56"/>
    </row>
    <row r="1629" spans="1:50">
      <c r="A1629" s="37" t="s">
        <v>5</v>
      </c>
      <c r="B1629" s="5">
        <v>31398</v>
      </c>
      <c r="Y1629">
        <v>219.59459459999999</v>
      </c>
      <c r="AS1629" s="56"/>
      <c r="AT1629" s="56"/>
      <c r="AU1629" s="56"/>
      <c r="AV1629" s="56"/>
      <c r="AW1629" s="56"/>
      <c r="AX1629" s="56"/>
    </row>
    <row r="1630" spans="1:50">
      <c r="A1630" s="37" t="s">
        <v>5</v>
      </c>
      <c r="B1630" s="5">
        <v>31414</v>
      </c>
      <c r="Y1630">
        <v>174.18918919999999</v>
      </c>
      <c r="AS1630" s="56"/>
      <c r="AT1630" s="56"/>
      <c r="AU1630" s="56"/>
      <c r="AV1630" s="56"/>
      <c r="AW1630" s="56"/>
      <c r="AX1630" s="56"/>
    </row>
    <row r="1631" spans="1:50">
      <c r="A1631" s="37" t="s">
        <v>5</v>
      </c>
      <c r="B1631" s="5">
        <v>31433</v>
      </c>
      <c r="Y1631">
        <v>162.83783779999999</v>
      </c>
      <c r="AS1631" s="56"/>
      <c r="AT1631" s="56"/>
      <c r="AU1631" s="56"/>
      <c r="AV1631" s="56"/>
      <c r="AW1631" s="56"/>
      <c r="AX1631" s="56"/>
    </row>
    <row r="1632" spans="1:50">
      <c r="A1632" s="37" t="s">
        <v>5</v>
      </c>
      <c r="B1632" s="5">
        <v>31454</v>
      </c>
      <c r="Y1632">
        <v>170.13513510000001</v>
      </c>
      <c r="AS1632" s="56"/>
      <c r="AT1632" s="56"/>
      <c r="AU1632" s="56"/>
      <c r="AV1632" s="56"/>
      <c r="AW1632" s="56"/>
      <c r="AX1632" s="56"/>
    </row>
    <row r="1633" spans="1:50">
      <c r="A1633" s="37" t="s">
        <v>5</v>
      </c>
      <c r="B1633" s="5">
        <v>31466</v>
      </c>
      <c r="Y1633">
        <v>151.48648650000001</v>
      </c>
      <c r="AS1633" s="56"/>
      <c r="AT1633" s="56"/>
      <c r="AU1633" s="56"/>
      <c r="AV1633" s="56"/>
      <c r="AW1633" s="56"/>
      <c r="AX1633" s="56"/>
    </row>
    <row r="1634" spans="1:50">
      <c r="A1634" s="37" t="s">
        <v>5</v>
      </c>
      <c r="B1634" s="5">
        <v>31478</v>
      </c>
      <c r="Y1634">
        <v>148.6486486</v>
      </c>
      <c r="AS1634" s="56"/>
      <c r="AT1634" s="56"/>
      <c r="AU1634" s="56"/>
      <c r="AV1634" s="56"/>
      <c r="AW1634" s="56"/>
      <c r="AX1634" s="56"/>
    </row>
    <row r="1635" spans="1:50">
      <c r="A1635" s="37" t="s">
        <v>5</v>
      </c>
      <c r="B1635" s="5">
        <v>31488</v>
      </c>
      <c r="Y1635">
        <v>142.972973</v>
      </c>
      <c r="AS1635" s="56"/>
      <c r="AT1635" s="56"/>
      <c r="AU1635" s="56"/>
      <c r="AV1635" s="56"/>
      <c r="AW1635" s="56"/>
      <c r="AX1635" s="56"/>
    </row>
    <row r="1636" spans="1:50">
      <c r="A1636" s="37" t="s">
        <v>5</v>
      </c>
      <c r="B1636" s="5">
        <v>31551</v>
      </c>
      <c r="Y1636">
        <v>167.7027027</v>
      </c>
      <c r="AS1636" s="56"/>
      <c r="AT1636" s="56"/>
      <c r="AU1636" s="56"/>
      <c r="AV1636" s="56"/>
      <c r="AW1636" s="56"/>
      <c r="AX1636" s="56"/>
    </row>
    <row r="1637" spans="1:50">
      <c r="A1637" s="37" t="s">
        <v>5</v>
      </c>
      <c r="B1637" s="5">
        <v>31563</v>
      </c>
      <c r="Y1637">
        <v>190.81081080000001</v>
      </c>
      <c r="AS1637" s="56"/>
      <c r="AT1637" s="56"/>
      <c r="AU1637" s="56"/>
      <c r="AV1637" s="56"/>
      <c r="AW1637" s="56"/>
      <c r="AX1637" s="56"/>
    </row>
    <row r="1638" spans="1:50">
      <c r="A1638" s="37" t="s">
        <v>5</v>
      </c>
      <c r="B1638" s="5">
        <v>31574</v>
      </c>
      <c r="Y1638">
        <v>208.6486486</v>
      </c>
      <c r="AS1638" s="56"/>
      <c r="AT1638" s="56"/>
      <c r="AU1638" s="56"/>
      <c r="AV1638" s="56"/>
      <c r="AW1638" s="56"/>
      <c r="AX1638" s="56"/>
    </row>
    <row r="1639" spans="1:50">
      <c r="A1639" s="37" t="s">
        <v>5</v>
      </c>
      <c r="B1639" s="5">
        <v>31585</v>
      </c>
      <c r="Y1639">
        <v>195.27027029999999</v>
      </c>
      <c r="AS1639" s="56"/>
      <c r="AT1639" s="56"/>
      <c r="AU1639" s="56"/>
      <c r="AV1639" s="56"/>
      <c r="AW1639" s="56"/>
      <c r="AX1639" s="56"/>
    </row>
    <row r="1640" spans="1:50">
      <c r="A1640" s="37" t="s">
        <v>5</v>
      </c>
      <c r="B1640" s="5">
        <v>31611</v>
      </c>
      <c r="Y1640">
        <v>181.89189189999999</v>
      </c>
      <c r="AS1640" s="56"/>
      <c r="AT1640" s="56"/>
      <c r="AU1640" s="56"/>
      <c r="AV1640" s="56"/>
      <c r="AW1640" s="56"/>
      <c r="AX1640" s="56"/>
    </row>
    <row r="1641" spans="1:50">
      <c r="A1641" s="37" t="s">
        <v>5</v>
      </c>
      <c r="B1641" s="5">
        <v>31639</v>
      </c>
      <c r="Y1641">
        <v>269.45945949999998</v>
      </c>
      <c r="AS1641" s="56"/>
      <c r="AT1641" s="56"/>
      <c r="AU1641" s="56"/>
      <c r="AV1641" s="56"/>
      <c r="AW1641" s="56"/>
      <c r="AX1641" s="56"/>
    </row>
    <row r="1642" spans="1:50">
      <c r="A1642" s="37" t="s">
        <v>5</v>
      </c>
      <c r="B1642" s="5">
        <v>31655</v>
      </c>
      <c r="Y1642">
        <v>257.29729730000003</v>
      </c>
      <c r="AS1642" s="56"/>
      <c r="AT1642" s="56"/>
      <c r="AU1642" s="56"/>
      <c r="AV1642" s="56"/>
      <c r="AW1642" s="56"/>
      <c r="AX1642" s="56"/>
    </row>
    <row r="1643" spans="1:50">
      <c r="A1643" s="37" t="s">
        <v>5</v>
      </c>
      <c r="B1643" s="5">
        <v>31665</v>
      </c>
      <c r="Y1643">
        <v>277.56756760000002</v>
      </c>
      <c r="AS1643" s="56"/>
      <c r="AT1643" s="56"/>
      <c r="AU1643" s="56"/>
      <c r="AV1643" s="56"/>
      <c r="AW1643" s="56"/>
      <c r="AX1643" s="56"/>
    </row>
    <row r="1644" spans="1:50">
      <c r="A1644" s="37" t="s">
        <v>5</v>
      </c>
      <c r="B1644" s="5">
        <v>31682</v>
      </c>
      <c r="Y1644">
        <v>254.45945950000001</v>
      </c>
      <c r="AS1644" s="56"/>
      <c r="AT1644" s="56"/>
      <c r="AU1644" s="56"/>
      <c r="AV1644" s="56"/>
      <c r="AW1644" s="56"/>
      <c r="AX1644" s="56"/>
    </row>
    <row r="1645" spans="1:50">
      <c r="A1645" s="37" t="s">
        <v>5</v>
      </c>
      <c r="B1645" s="5">
        <v>31707</v>
      </c>
      <c r="Y1645">
        <v>236.21621619999999</v>
      </c>
      <c r="AS1645" s="56"/>
      <c r="AT1645" s="56"/>
      <c r="AU1645" s="56"/>
      <c r="AV1645" s="56"/>
      <c r="AW1645" s="56"/>
      <c r="AX1645" s="56"/>
    </row>
    <row r="1646" spans="1:50">
      <c r="A1646" s="37" t="s">
        <v>5</v>
      </c>
      <c r="B1646" s="5">
        <v>31727</v>
      </c>
      <c r="Y1646">
        <v>248.78378380000001</v>
      </c>
      <c r="AS1646" s="56"/>
      <c r="AT1646" s="56"/>
      <c r="AU1646" s="56"/>
      <c r="AV1646" s="56"/>
      <c r="AW1646" s="56"/>
      <c r="AX1646" s="56"/>
    </row>
    <row r="1647" spans="1:50">
      <c r="A1647" s="37" t="s">
        <v>5</v>
      </c>
      <c r="B1647" s="5">
        <v>31739</v>
      </c>
      <c r="Y1647">
        <v>223.6486486</v>
      </c>
      <c r="AS1647" s="56"/>
      <c r="AT1647" s="56"/>
      <c r="AU1647" s="56"/>
      <c r="AV1647" s="56"/>
      <c r="AW1647" s="56"/>
      <c r="AX1647" s="56"/>
    </row>
    <row r="1648" spans="1:50">
      <c r="A1648" s="37" t="s">
        <v>5</v>
      </c>
      <c r="B1648" s="5">
        <v>31759</v>
      </c>
      <c r="Y1648">
        <v>244.3243243</v>
      </c>
      <c r="AS1648" s="56"/>
      <c r="AT1648" s="56"/>
      <c r="AU1648" s="56"/>
      <c r="AV1648" s="56"/>
      <c r="AW1648" s="56"/>
      <c r="AX1648" s="56"/>
    </row>
    <row r="1649" spans="1:50">
      <c r="A1649" s="37" t="s">
        <v>5</v>
      </c>
      <c r="B1649" s="5">
        <v>31782</v>
      </c>
      <c r="Y1649">
        <v>204.59459459999999</v>
      </c>
      <c r="AS1649" s="56"/>
      <c r="AT1649" s="56"/>
      <c r="AU1649" s="56"/>
      <c r="AV1649" s="56"/>
      <c r="AW1649" s="56"/>
      <c r="AX1649" s="56"/>
    </row>
    <row r="1650" spans="1:50">
      <c r="A1650" s="37" t="s">
        <v>5</v>
      </c>
      <c r="B1650" s="5">
        <v>31784</v>
      </c>
      <c r="Y1650">
        <v>187.16216220000001</v>
      </c>
      <c r="AS1650" s="56"/>
      <c r="AT1650" s="56"/>
      <c r="AU1650" s="56"/>
      <c r="AV1650" s="56"/>
      <c r="AW1650" s="56"/>
      <c r="AX1650" s="56"/>
    </row>
    <row r="1651" spans="1:50">
      <c r="A1651" s="37" t="s">
        <v>5</v>
      </c>
      <c r="B1651" s="5">
        <v>31796</v>
      </c>
      <c r="Y1651">
        <v>162.83783779999999</v>
      </c>
      <c r="AS1651" s="56"/>
      <c r="AT1651" s="56"/>
      <c r="AU1651" s="56"/>
      <c r="AV1651" s="56"/>
      <c r="AW1651" s="56"/>
      <c r="AX1651" s="56"/>
    </row>
    <row r="1652" spans="1:50">
      <c r="A1652" s="37" t="s">
        <v>5</v>
      </c>
      <c r="B1652" s="5">
        <v>31806</v>
      </c>
      <c r="Y1652">
        <v>148.24324319999999</v>
      </c>
      <c r="AS1652" s="56"/>
      <c r="AT1652" s="56"/>
      <c r="AU1652" s="56"/>
      <c r="AV1652" s="56"/>
      <c r="AW1652" s="56"/>
      <c r="AX1652" s="56"/>
    </row>
    <row r="1653" spans="1:50">
      <c r="A1653" s="37" t="s">
        <v>5</v>
      </c>
      <c r="B1653" s="5">
        <v>31822</v>
      </c>
      <c r="Y1653">
        <v>136.89189189999999</v>
      </c>
      <c r="AS1653" s="56"/>
      <c r="AT1653" s="56"/>
      <c r="AU1653" s="56"/>
      <c r="AV1653" s="56"/>
      <c r="AW1653" s="56"/>
      <c r="AX1653" s="56"/>
    </row>
    <row r="1654" spans="1:50">
      <c r="A1654" s="37" t="s">
        <v>5</v>
      </c>
      <c r="B1654" s="5">
        <v>31849</v>
      </c>
      <c r="Y1654">
        <v>169.3243243</v>
      </c>
      <c r="AS1654" s="56"/>
      <c r="AT1654" s="56"/>
      <c r="AU1654" s="56"/>
      <c r="AV1654" s="56"/>
      <c r="AW1654" s="56"/>
      <c r="AX1654" s="56"/>
    </row>
    <row r="1655" spans="1:50">
      <c r="A1655" s="37" t="s">
        <v>5</v>
      </c>
      <c r="B1655" s="5">
        <v>31905</v>
      </c>
      <c r="Y1655">
        <v>134.0540541</v>
      </c>
      <c r="AS1655" s="56"/>
      <c r="AT1655" s="56"/>
      <c r="AU1655" s="56"/>
      <c r="AV1655" s="56"/>
      <c r="AW1655" s="56"/>
      <c r="AX1655" s="56"/>
    </row>
    <row r="1656" spans="1:50">
      <c r="A1656" s="37" t="s">
        <v>5</v>
      </c>
      <c r="B1656" s="5">
        <v>31880</v>
      </c>
      <c r="Y1656">
        <v>146.6216216</v>
      </c>
      <c r="AS1656" s="56"/>
      <c r="AT1656" s="56"/>
      <c r="AU1656" s="56"/>
      <c r="AV1656" s="56"/>
      <c r="AW1656" s="56"/>
      <c r="AX1656" s="56"/>
    </row>
    <row r="1657" spans="1:50">
      <c r="A1657" s="37" t="s">
        <v>5</v>
      </c>
      <c r="B1657" s="5">
        <v>31924</v>
      </c>
      <c r="Y1657">
        <v>131.21621619999999</v>
      </c>
      <c r="AS1657" s="56"/>
      <c r="AT1657" s="56"/>
      <c r="AU1657" s="56"/>
      <c r="AV1657" s="56"/>
      <c r="AW1657" s="56"/>
      <c r="AX1657" s="56"/>
    </row>
    <row r="1658" spans="1:50">
      <c r="A1658" s="37" t="s">
        <v>5</v>
      </c>
      <c r="B1658" s="5">
        <v>31937</v>
      </c>
      <c r="Y1658">
        <v>143.78378380000001</v>
      </c>
      <c r="AS1658" s="56"/>
      <c r="AT1658" s="56"/>
      <c r="AU1658" s="56"/>
      <c r="AV1658" s="56"/>
      <c r="AW1658" s="56"/>
      <c r="AX1658" s="56"/>
    </row>
    <row r="1659" spans="1:50">
      <c r="A1659" s="37" t="s">
        <v>5</v>
      </c>
      <c r="B1659" s="5">
        <v>31977</v>
      </c>
      <c r="Y1659">
        <v>166.89189189999999</v>
      </c>
      <c r="AS1659" s="56"/>
      <c r="AT1659" s="56"/>
      <c r="AU1659" s="56"/>
      <c r="AV1659" s="56"/>
      <c r="AW1659" s="56"/>
      <c r="AX1659" s="56"/>
    </row>
    <row r="1660" spans="1:50">
      <c r="A1660" s="37" t="s">
        <v>5</v>
      </c>
      <c r="B1660" s="5">
        <v>31977</v>
      </c>
      <c r="Y1660">
        <v>166.89189189999999</v>
      </c>
      <c r="AS1660" s="56"/>
      <c r="AT1660" s="56"/>
      <c r="AU1660" s="56"/>
      <c r="AV1660" s="56"/>
      <c r="AW1660" s="56"/>
      <c r="AX1660" s="56"/>
    </row>
    <row r="1661" spans="1:50">
      <c r="A1661" s="37" t="s">
        <v>5</v>
      </c>
      <c r="B1661" s="5">
        <v>31993</v>
      </c>
      <c r="Y1661">
        <v>163.24324319999999</v>
      </c>
      <c r="AS1661" s="56"/>
      <c r="AT1661" s="56"/>
      <c r="AU1661" s="56"/>
      <c r="AV1661" s="56"/>
      <c r="AW1661" s="56"/>
      <c r="AX1661" s="56"/>
    </row>
    <row r="1662" spans="1:50">
      <c r="A1662" s="37" t="s">
        <v>5</v>
      </c>
      <c r="B1662" s="5">
        <v>32012</v>
      </c>
      <c r="Y1662">
        <v>184.3243243</v>
      </c>
      <c r="AS1662" s="56"/>
      <c r="AT1662" s="56"/>
      <c r="AU1662" s="56"/>
      <c r="AV1662" s="56"/>
      <c r="AW1662" s="56"/>
      <c r="AX1662" s="56"/>
    </row>
    <row r="1663" spans="1:50">
      <c r="A1663" s="37" t="s">
        <v>5</v>
      </c>
      <c r="B1663" s="5">
        <v>32030</v>
      </c>
      <c r="Y1663">
        <v>190.81081080000001</v>
      </c>
      <c r="AS1663" s="56"/>
      <c r="AT1663" s="56"/>
      <c r="AU1663" s="56"/>
      <c r="AV1663" s="56"/>
      <c r="AW1663" s="56"/>
      <c r="AX1663" s="56"/>
    </row>
    <row r="1664" spans="1:50">
      <c r="A1664" s="37" t="s">
        <v>5</v>
      </c>
      <c r="B1664" s="5">
        <v>32085</v>
      </c>
      <c r="Y1664">
        <v>155.54054049999999</v>
      </c>
      <c r="AS1664" s="56"/>
      <c r="AT1664" s="56"/>
      <c r="AU1664" s="56"/>
      <c r="AV1664" s="56"/>
      <c r="AW1664" s="56"/>
      <c r="AX1664" s="56"/>
    </row>
    <row r="1665" spans="1:53">
      <c r="A1665" s="37" t="s">
        <v>5</v>
      </c>
      <c r="B1665" s="5">
        <v>32123</v>
      </c>
      <c r="Y1665">
        <v>155.13513510000001</v>
      </c>
      <c r="AS1665" s="56"/>
      <c r="AT1665" s="56"/>
      <c r="AU1665" s="56"/>
      <c r="AV1665" s="56"/>
      <c r="AW1665" s="56"/>
      <c r="AX1665" s="56"/>
    </row>
    <row r="1666" spans="1:53">
      <c r="A1666" s="37" t="s">
        <v>5</v>
      </c>
      <c r="B1666" s="5">
        <v>32155</v>
      </c>
      <c r="Y1666">
        <v>147.43243240000001</v>
      </c>
      <c r="AS1666" s="56"/>
      <c r="AT1666" s="56"/>
      <c r="AU1666" s="56"/>
      <c r="AV1666" s="56"/>
      <c r="AW1666" s="56"/>
      <c r="AX1666" s="56"/>
    </row>
    <row r="1667" spans="1:53">
      <c r="A1667" s="37" t="s">
        <v>5</v>
      </c>
      <c r="B1667" s="5">
        <v>32160</v>
      </c>
      <c r="Y1667">
        <v>142.16216220000001</v>
      </c>
      <c r="AS1667" s="56"/>
      <c r="AT1667" s="56"/>
      <c r="AU1667" s="56"/>
      <c r="AV1667" s="56"/>
      <c r="AW1667" s="56"/>
      <c r="AX1667" s="56"/>
    </row>
    <row r="1668" spans="1:53">
      <c r="A1668" s="37" t="s">
        <v>5</v>
      </c>
      <c r="B1668" s="5">
        <v>32179</v>
      </c>
      <c r="Y1668">
        <v>135.27027029999999</v>
      </c>
      <c r="AS1668" s="56"/>
      <c r="AT1668" s="56"/>
      <c r="AU1668" s="56"/>
      <c r="AV1668" s="56"/>
      <c r="AW1668" s="56"/>
      <c r="AX1668" s="56"/>
    </row>
    <row r="1669" spans="1:53">
      <c r="A1669" s="37" t="s">
        <v>5</v>
      </c>
      <c r="B1669" s="5">
        <v>32198</v>
      </c>
      <c r="Y1669">
        <v>137.7027027</v>
      </c>
      <c r="AS1669" s="56"/>
      <c r="AT1669" s="56"/>
      <c r="AU1669" s="56"/>
      <c r="AV1669" s="56"/>
      <c r="AW1669" s="56"/>
      <c r="AX1669" s="56"/>
    </row>
    <row r="1670" spans="1:53">
      <c r="A1670" s="37" t="s">
        <v>5</v>
      </c>
      <c r="B1670" s="5">
        <v>32066</v>
      </c>
      <c r="Y1670">
        <v>181.08108110000001</v>
      </c>
      <c r="AS1670" s="56"/>
      <c r="AT1670" s="56"/>
      <c r="AU1670" s="56"/>
      <c r="AV1670" s="56"/>
      <c r="AW1670" s="56"/>
      <c r="AX1670" s="56"/>
    </row>
    <row r="1671" spans="1:53">
      <c r="A1671" s="37" t="s">
        <v>5</v>
      </c>
      <c r="B1671" s="5">
        <v>32214</v>
      </c>
      <c r="Y1671">
        <v>149.86486489999999</v>
      </c>
      <c r="AS1671" s="56"/>
      <c r="AT1671" s="56"/>
      <c r="AU1671" s="56"/>
      <c r="AV1671" s="56"/>
      <c r="AW1671" s="56"/>
      <c r="AX1671" s="56"/>
    </row>
    <row r="1672" spans="1:53">
      <c r="A1672" s="37" t="s">
        <v>5</v>
      </c>
      <c r="B1672" s="5">
        <v>32228</v>
      </c>
      <c r="Y1672">
        <v>133.6486486</v>
      </c>
      <c r="AS1672" s="56"/>
      <c r="AT1672" s="56"/>
      <c r="AU1672" s="56"/>
      <c r="AV1672" s="56"/>
      <c r="AW1672" s="56"/>
      <c r="AX1672" s="56"/>
    </row>
    <row r="1673" spans="1:53">
      <c r="A1673" s="37" t="s">
        <v>5</v>
      </c>
      <c r="B1673" s="5">
        <v>32240</v>
      </c>
      <c r="Y1673">
        <v>130</v>
      </c>
      <c r="AS1673" s="56"/>
      <c r="AT1673" s="56"/>
      <c r="AU1673" s="56"/>
      <c r="AV1673" s="56"/>
      <c r="AW1673" s="56"/>
      <c r="AX1673" s="56"/>
    </row>
    <row r="1674" spans="1:53">
      <c r="A1674" s="37" t="s">
        <v>5</v>
      </c>
      <c r="B1674" s="5">
        <v>32269</v>
      </c>
      <c r="Y1674">
        <v>129.59459459999999</v>
      </c>
      <c r="AS1674" s="56"/>
      <c r="AT1674" s="56"/>
      <c r="AU1674" s="56"/>
      <c r="AV1674" s="56"/>
      <c r="AW1674" s="56"/>
      <c r="AX1674" s="56"/>
    </row>
    <row r="1675" spans="1:53">
      <c r="A1675" s="37" t="s">
        <v>5</v>
      </c>
      <c r="B1675" s="5">
        <v>32285</v>
      </c>
      <c r="Y1675">
        <v>142.16216220000001</v>
      </c>
      <c r="AS1675" s="56"/>
      <c r="AT1675" s="56"/>
      <c r="AU1675" s="56"/>
      <c r="AV1675" s="56"/>
      <c r="AW1675" s="56"/>
      <c r="AX1675" s="56"/>
    </row>
    <row r="1676" spans="1:53">
      <c r="A1676" s="37" t="s">
        <v>5</v>
      </c>
      <c r="B1676" s="5">
        <v>32297</v>
      </c>
      <c r="Y1676">
        <v>189.18918919999999</v>
      </c>
      <c r="AS1676" s="56"/>
      <c r="AT1676" s="56"/>
      <c r="AU1676" s="56"/>
      <c r="AV1676" s="56"/>
      <c r="AW1676" s="56"/>
      <c r="AX1676" s="56"/>
    </row>
    <row r="1677" spans="1:53">
      <c r="A1677" s="37" t="s">
        <v>5</v>
      </c>
      <c r="B1677" s="5">
        <v>32304</v>
      </c>
      <c r="Y1677">
        <v>219.18918919999999</v>
      </c>
      <c r="AS1677" s="56"/>
      <c r="AT1677" s="56"/>
      <c r="AU1677" s="56"/>
      <c r="AV1677" s="56"/>
      <c r="AW1677" s="56"/>
      <c r="AX1677" s="56"/>
    </row>
    <row r="1678" spans="1:53">
      <c r="A1678" s="37" t="s">
        <v>5</v>
      </c>
      <c r="B1678" s="5">
        <v>32335</v>
      </c>
      <c r="Y1678">
        <v>237.027027</v>
      </c>
      <c r="AS1678" s="56"/>
      <c r="AT1678" s="56"/>
      <c r="AU1678" s="56"/>
      <c r="AV1678" s="56"/>
      <c r="AW1678" s="56"/>
      <c r="AX1678" s="56"/>
    </row>
    <row r="1679" spans="1:53">
      <c r="A1679" s="57" t="s">
        <v>114</v>
      </c>
      <c r="B1679" s="58">
        <v>20621</v>
      </c>
      <c r="C1679" s="56">
        <v>0</v>
      </c>
      <c r="D1679" s="59">
        <v>100</v>
      </c>
      <c r="E1679" s="60">
        <v>1684</v>
      </c>
      <c r="F1679" s="56"/>
      <c r="G1679" s="56"/>
      <c r="H1679" s="56"/>
      <c r="I1679" s="56"/>
      <c r="J1679" s="56"/>
      <c r="K1679" s="56"/>
      <c r="L1679" s="56"/>
      <c r="M1679" s="56"/>
      <c r="N1679" s="56"/>
      <c r="O1679" s="56"/>
      <c r="P1679" s="56"/>
      <c r="Q1679" s="56"/>
      <c r="R1679" s="56"/>
      <c r="S1679" s="56"/>
      <c r="T1679" s="56"/>
      <c r="U1679" s="56"/>
      <c r="V1679" s="56"/>
      <c r="W1679" s="56"/>
      <c r="X1679" s="56"/>
      <c r="Y1679" s="56"/>
      <c r="Z1679" s="56"/>
      <c r="AA1679" s="56"/>
      <c r="AB1679" s="56"/>
      <c r="AC1679" s="56"/>
      <c r="AD1679" s="56"/>
      <c r="AE1679" s="56"/>
      <c r="AF1679" s="56"/>
      <c r="AG1679" s="56"/>
      <c r="AH1679" s="56"/>
      <c r="AI1679" s="56"/>
      <c r="AJ1679" s="56"/>
      <c r="AK1679" s="56"/>
      <c r="AL1679" s="56"/>
      <c r="AM1679" s="56"/>
      <c r="AN1679" s="56"/>
      <c r="AO1679" s="56"/>
      <c r="AP1679" s="56"/>
      <c r="AQ1679" s="56"/>
      <c r="AR1679" s="56"/>
      <c r="AS1679" s="56"/>
      <c r="AT1679" s="56"/>
      <c r="AU1679" s="56"/>
      <c r="AV1679" s="56"/>
      <c r="AW1679" s="56"/>
      <c r="AX1679" s="56"/>
      <c r="AY1679" s="56"/>
      <c r="AZ1679" s="56"/>
      <c r="BA1679" s="60" t="s">
        <v>116</v>
      </c>
    </row>
    <row r="1680" spans="1:53">
      <c r="A1680" s="57" t="s">
        <v>114</v>
      </c>
      <c r="B1680" s="58">
        <v>28686</v>
      </c>
      <c r="C1680" s="59">
        <f>(B1680-B$1679)/365.2422</f>
        <v>22.081238148275308</v>
      </c>
      <c r="D1680" s="59">
        <f>E1680*100/E$1679</f>
        <v>36.223277909738719</v>
      </c>
      <c r="E1680" s="56">
        <v>610</v>
      </c>
      <c r="F1680" s="56"/>
      <c r="G1680" s="56"/>
      <c r="H1680" s="56"/>
      <c r="I1680" s="56"/>
      <c r="J1680" s="56"/>
      <c r="K1680" s="56"/>
      <c r="L1680" s="56"/>
      <c r="M1680" s="56"/>
      <c r="N1680" s="56"/>
      <c r="O1680" s="56"/>
      <c r="P1680" s="56"/>
      <c r="Q1680" s="56"/>
      <c r="R1680" s="56"/>
      <c r="S1680" s="56"/>
      <c r="T1680" s="56"/>
      <c r="U1680" s="56"/>
      <c r="V1680" s="56"/>
      <c r="W1680" s="56"/>
      <c r="X1680" s="56"/>
      <c r="Y1680" s="56"/>
      <c r="Z1680" s="56"/>
      <c r="AA1680" s="56"/>
      <c r="AB1680" s="56">
        <v>31.7</v>
      </c>
      <c r="AC1680" s="56"/>
      <c r="AD1680" s="56"/>
      <c r="AE1680" s="56">
        <v>41.8</v>
      </c>
      <c r="AF1680" s="56"/>
      <c r="AG1680" s="56"/>
      <c r="AH1680" s="56"/>
      <c r="AI1680" s="56"/>
      <c r="AJ1680" s="56"/>
      <c r="AK1680" s="56"/>
      <c r="AL1680" s="56"/>
      <c r="AM1680" s="56"/>
      <c r="AN1680" s="56"/>
      <c r="AO1680" s="56"/>
      <c r="AP1680" s="56"/>
      <c r="AQ1680" s="56"/>
      <c r="AR1680" s="56"/>
      <c r="AS1680" s="56"/>
      <c r="AT1680" s="56"/>
      <c r="AU1680" s="56"/>
      <c r="AV1680" s="56"/>
      <c r="AW1680" s="56"/>
      <c r="AX1680" s="56"/>
      <c r="AY1680" s="56"/>
      <c r="AZ1680" s="56"/>
      <c r="BA1680" s="60" t="s">
        <v>116</v>
      </c>
    </row>
    <row r="1681" spans="1:53">
      <c r="A1681" s="57" t="s">
        <v>114</v>
      </c>
      <c r="B1681" s="58">
        <v>29417</v>
      </c>
      <c r="C1681" s="59">
        <f>(B1681-B$1679)/365.2422</f>
        <v>24.082649814287613</v>
      </c>
      <c r="D1681" s="59">
        <f>E1681*100/E$1679</f>
        <v>36.223277909738719</v>
      </c>
      <c r="E1681" s="56">
        <v>610</v>
      </c>
      <c r="F1681" s="56">
        <v>27800</v>
      </c>
      <c r="G1681" s="56"/>
      <c r="H1681" s="56">
        <v>1200</v>
      </c>
      <c r="I1681" s="56"/>
      <c r="J1681" s="56">
        <v>3200</v>
      </c>
      <c r="K1681" s="56"/>
      <c r="L1681" s="56">
        <v>2240</v>
      </c>
      <c r="M1681" s="56">
        <v>21200</v>
      </c>
      <c r="N1681" s="56">
        <f>L1681+M1681</f>
        <v>23440</v>
      </c>
      <c r="O1681" s="56"/>
      <c r="P1681" s="56"/>
      <c r="Q1681" s="56"/>
      <c r="R1681" s="56"/>
      <c r="S1681" s="56"/>
      <c r="T1681" s="56"/>
      <c r="U1681" s="56"/>
      <c r="V1681" s="56"/>
      <c r="W1681" s="56"/>
      <c r="X1681" s="56"/>
      <c r="Y1681" s="56"/>
      <c r="Z1681" s="56"/>
      <c r="AA1681" s="56"/>
      <c r="AB1681" s="56">
        <v>32</v>
      </c>
      <c r="AC1681" s="56"/>
      <c r="AD1681" s="56">
        <v>29.5</v>
      </c>
      <c r="AE1681" s="56">
        <v>45.4</v>
      </c>
      <c r="AF1681" s="56"/>
      <c r="AG1681" s="56"/>
      <c r="AH1681" s="56"/>
      <c r="AI1681" s="56"/>
      <c r="AJ1681" s="56"/>
      <c r="AK1681" s="56"/>
      <c r="AL1681" s="61">
        <v>1.1333333333333332E-2</v>
      </c>
      <c r="AM1681" s="61"/>
      <c r="AN1681" s="61">
        <v>2.1782608695652171E-3</v>
      </c>
      <c r="AO1681" s="61">
        <v>4.5733788395904441E-4</v>
      </c>
      <c r="AP1681" s="56"/>
      <c r="AQ1681" s="56"/>
      <c r="AR1681" s="56">
        <v>30.1</v>
      </c>
      <c r="AS1681" s="56">
        <v>5.86</v>
      </c>
      <c r="AT1681" s="56">
        <v>4.8600000000000003</v>
      </c>
      <c r="AU1681" s="56">
        <f>AS1681+AT1681</f>
        <v>10.72</v>
      </c>
      <c r="AV1681" s="56">
        <v>5.01</v>
      </c>
      <c r="AW1681" s="60">
        <v>0.08</v>
      </c>
      <c r="AX1681" s="60">
        <v>13.6</v>
      </c>
      <c r="AY1681" s="56"/>
      <c r="AZ1681" s="56"/>
      <c r="BA1681" s="60" t="s">
        <v>116</v>
      </c>
    </row>
    <row r="1682" spans="1:53">
      <c r="A1682" s="57" t="s">
        <v>115</v>
      </c>
      <c r="B1682" s="58">
        <v>22082</v>
      </c>
      <c r="C1682" s="56"/>
      <c r="D1682" s="59">
        <v>100</v>
      </c>
      <c r="E1682" s="60">
        <v>1684</v>
      </c>
      <c r="F1682" s="56"/>
      <c r="G1682" s="56"/>
      <c r="H1682" s="56"/>
      <c r="I1682" s="56"/>
      <c r="J1682" s="56"/>
      <c r="K1682" s="56"/>
      <c r="L1682" s="56"/>
      <c r="M1682" s="56"/>
      <c r="N1682" s="56"/>
      <c r="O1682" s="56"/>
      <c r="P1682" s="56"/>
      <c r="Q1682" s="56"/>
      <c r="R1682" s="56"/>
      <c r="S1682" s="56"/>
      <c r="T1682" s="56"/>
      <c r="U1682" s="56"/>
      <c r="V1682" s="56"/>
      <c r="W1682" s="56"/>
      <c r="X1682" s="56"/>
      <c r="Y1682" s="56"/>
      <c r="Z1682" s="56"/>
      <c r="AA1682" s="56"/>
      <c r="AB1682" s="56"/>
      <c r="AC1682" s="56"/>
      <c r="AD1682" s="56"/>
      <c r="AE1682" s="56"/>
      <c r="AF1682" s="56"/>
      <c r="AG1682" s="56"/>
      <c r="AH1682" s="56"/>
      <c r="AI1682" s="56"/>
      <c r="AJ1682" s="56"/>
      <c r="AK1682" s="56"/>
      <c r="AL1682" s="61"/>
      <c r="AM1682" s="61"/>
      <c r="AN1682" s="61"/>
      <c r="AO1682" s="61"/>
      <c r="AP1682" s="56"/>
      <c r="AQ1682" s="56"/>
      <c r="AR1682" s="56"/>
      <c r="AS1682" s="56"/>
      <c r="AT1682" s="56"/>
      <c r="AU1682" s="56"/>
      <c r="AV1682" s="56"/>
      <c r="AW1682" s="56"/>
      <c r="AX1682" s="56"/>
      <c r="AY1682" s="56"/>
      <c r="AZ1682" s="56"/>
      <c r="BA1682" s="60" t="s">
        <v>116</v>
      </c>
    </row>
    <row r="1683" spans="1:53">
      <c r="A1683" s="57" t="s">
        <v>115</v>
      </c>
      <c r="B1683" s="58">
        <v>28686</v>
      </c>
      <c r="C1683" s="59">
        <f>(B1683-B$1682)/365.2422</f>
        <v>18.081152725506527</v>
      </c>
      <c r="D1683" s="59">
        <f>E1683*100/E$1679</f>
        <v>83.135391923990497</v>
      </c>
      <c r="E1683" s="60">
        <v>1400</v>
      </c>
      <c r="F1683" s="56"/>
      <c r="G1683" s="56"/>
      <c r="H1683" s="56"/>
      <c r="I1683" s="56"/>
      <c r="J1683" s="56"/>
      <c r="K1683" s="56"/>
      <c r="L1683" s="56"/>
      <c r="M1683" s="56"/>
      <c r="N1683" s="56"/>
      <c r="O1683" s="56"/>
      <c r="P1683" s="56"/>
      <c r="Q1683" s="56"/>
      <c r="R1683" s="56"/>
      <c r="S1683" s="56"/>
      <c r="T1683" s="56"/>
      <c r="U1683" s="56"/>
      <c r="V1683" s="56"/>
      <c r="W1683" s="56"/>
      <c r="X1683" s="56"/>
      <c r="Y1683" s="56"/>
      <c r="Z1683" s="56"/>
      <c r="AA1683" s="56"/>
      <c r="AB1683" s="56">
        <v>25.5</v>
      </c>
      <c r="AC1683" s="56"/>
      <c r="AD1683" s="56"/>
      <c r="AE1683" s="56">
        <v>43.6</v>
      </c>
      <c r="AF1683" s="56"/>
      <c r="AG1683" s="56"/>
      <c r="AH1683" s="56"/>
      <c r="AI1683" s="56"/>
      <c r="AJ1683" s="56"/>
      <c r="AK1683" s="56"/>
      <c r="AL1683" s="61"/>
      <c r="AM1683" s="61"/>
      <c r="AN1683" s="61"/>
      <c r="AO1683" s="61"/>
      <c r="AP1683" s="56"/>
      <c r="AQ1683" s="56"/>
      <c r="AR1683" s="56"/>
      <c r="AS1683" s="56"/>
      <c r="AT1683" s="56"/>
      <c r="AU1683" s="56"/>
      <c r="AV1683" s="56"/>
      <c r="AW1683" s="56"/>
      <c r="AX1683" s="56"/>
      <c r="AY1683" s="56"/>
      <c r="AZ1683" s="56"/>
      <c r="BA1683" s="60" t="s">
        <v>116</v>
      </c>
    </row>
    <row r="1684" spans="1:53">
      <c r="A1684" s="57" t="s">
        <v>115</v>
      </c>
      <c r="B1684" s="58">
        <v>29417</v>
      </c>
      <c r="C1684" s="59">
        <f>(B1684-B$1682)/365.2422</f>
        <v>20.082564391518833</v>
      </c>
      <c r="D1684" s="59">
        <f>E1684*100/E$1679</f>
        <v>78.978622327790973</v>
      </c>
      <c r="E1684" s="60">
        <v>1330</v>
      </c>
      <c r="F1684" s="56">
        <v>26200</v>
      </c>
      <c r="G1684" s="56"/>
      <c r="H1684" s="56">
        <v>1490</v>
      </c>
      <c r="I1684" s="56"/>
      <c r="J1684" s="56">
        <v>3610</v>
      </c>
      <c r="K1684" s="56"/>
      <c r="L1684" s="56">
        <v>2080</v>
      </c>
      <c r="M1684" s="60">
        <v>19100</v>
      </c>
      <c r="N1684" s="56">
        <f>L1684+M1684</f>
        <v>21180</v>
      </c>
      <c r="O1684" s="56"/>
      <c r="P1684" s="56"/>
      <c r="Q1684" s="56"/>
      <c r="R1684" s="56"/>
      <c r="S1684" s="56"/>
      <c r="T1684" s="56"/>
      <c r="U1684" s="56"/>
      <c r="V1684" s="56"/>
      <c r="W1684" s="56"/>
      <c r="X1684" s="56"/>
      <c r="Y1684" s="56"/>
      <c r="Z1684" s="56"/>
      <c r="AA1684" s="56"/>
      <c r="AB1684" s="56">
        <v>26</v>
      </c>
      <c r="AC1684" s="56"/>
      <c r="AD1684" s="56">
        <v>19.899999999999999</v>
      </c>
      <c r="AE1684" s="60">
        <v>48.6</v>
      </c>
      <c r="AF1684" s="56"/>
      <c r="AG1684" s="56"/>
      <c r="AH1684" s="56"/>
      <c r="AI1684" s="56"/>
      <c r="AJ1684" s="56"/>
      <c r="AK1684" s="56"/>
      <c r="AL1684" s="61">
        <v>1.2483221476510068E-2</v>
      </c>
      <c r="AM1684" s="61"/>
      <c r="AN1684" s="61">
        <v>2.5944881889763778E-3</v>
      </c>
      <c r="AO1684" s="61">
        <v>5.6090651558073654E-4</v>
      </c>
      <c r="AP1684" s="56"/>
      <c r="AQ1684" s="56"/>
      <c r="AR1684" s="56">
        <v>38.1</v>
      </c>
      <c r="AS1684" s="60">
        <v>5.83</v>
      </c>
      <c r="AT1684" s="60">
        <v>6.05</v>
      </c>
      <c r="AU1684" s="56">
        <f>AS1684+AT1684</f>
        <v>11.879999999999999</v>
      </c>
      <c r="AV1684" s="60">
        <v>6.59</v>
      </c>
      <c r="AW1684" s="60">
        <v>1.04</v>
      </c>
      <c r="AX1684" s="60">
        <v>18.600000000000001</v>
      </c>
      <c r="AY1684" s="56"/>
      <c r="AZ1684" s="56"/>
      <c r="BA1684" s="60" t="s">
        <v>116</v>
      </c>
    </row>
    <row r="1685" spans="1:53">
      <c r="A1685" s="37"/>
    </row>
    <row r="1686" spans="1:53">
      <c r="A1686" s="37"/>
    </row>
    <row r="1687" spans="1:53">
      <c r="A1687" s="37"/>
    </row>
    <row r="1688" spans="1:53">
      <c r="A1688" s="37"/>
    </row>
    <row r="1689" spans="1:53">
      <c r="A1689" s="37"/>
    </row>
    <row r="1690" spans="1:53">
      <c r="A1690" s="37"/>
    </row>
    <row r="1691" spans="1:53">
      <c r="A1691" s="37"/>
    </row>
    <row r="1692" spans="1:53">
      <c r="A1692" s="37"/>
    </row>
    <row r="1693" spans="1:53">
      <c r="A1693" s="37"/>
      <c r="AO1693"/>
      <c r="AP1693"/>
      <c r="AQ1693"/>
      <c r="AR1693"/>
      <c r="AS1693"/>
      <c r="AT1693"/>
      <c r="AU1693"/>
      <c r="AV1693"/>
      <c r="AW1693"/>
      <c r="AX1693"/>
      <c r="AY1693"/>
      <c r="AZ1693"/>
      <c r="BA1693"/>
    </row>
    <row r="1694" spans="1:53">
      <c r="A1694" s="37"/>
      <c r="AO1694"/>
      <c r="AP1694"/>
      <c r="AQ1694"/>
      <c r="AR1694"/>
      <c r="AS1694"/>
      <c r="AT1694"/>
      <c r="AU1694"/>
      <c r="AV1694"/>
      <c r="AW1694"/>
      <c r="AX1694"/>
      <c r="AY1694"/>
      <c r="AZ1694"/>
      <c r="BA1694" s="1"/>
    </row>
    <row r="1695" spans="1:53">
      <c r="A1695" s="37"/>
      <c r="AO1695"/>
      <c r="AP1695"/>
      <c r="AQ1695"/>
      <c r="AR1695"/>
      <c r="AS1695"/>
      <c r="AT1695"/>
      <c r="AU1695"/>
      <c r="AV1695"/>
      <c r="AW1695"/>
      <c r="AX1695"/>
    </row>
    <row r="1696" spans="1:53">
      <c r="A1696" s="37"/>
      <c r="AO1696"/>
      <c r="AP1696"/>
      <c r="AQ1696"/>
      <c r="AR1696"/>
      <c r="AS1696"/>
      <c r="AT1696"/>
      <c r="AU1696"/>
      <c r="AV1696"/>
      <c r="AW1696"/>
      <c r="AX1696"/>
    </row>
    <row r="1697" spans="1:50">
      <c r="A1697" s="37"/>
      <c r="AO1697"/>
      <c r="AP1697"/>
      <c r="AQ1697"/>
      <c r="AR1697"/>
      <c r="AS1697"/>
      <c r="AT1697"/>
      <c r="AU1697"/>
      <c r="AV1697"/>
      <c r="AW1697"/>
      <c r="AX1697"/>
    </row>
    <row r="1698" spans="1:50">
      <c r="A1698" s="37"/>
      <c r="AO1698"/>
      <c r="AP1698"/>
      <c r="AQ1698"/>
      <c r="AR1698"/>
      <c r="AS1698"/>
      <c r="AT1698"/>
      <c r="AU1698"/>
      <c r="AV1698"/>
      <c r="AW1698"/>
      <c r="AX1698"/>
    </row>
    <row r="1699" spans="1:50">
      <c r="A1699" s="37"/>
      <c r="AO1699"/>
      <c r="AP1699"/>
      <c r="AQ1699"/>
      <c r="AR1699"/>
      <c r="AS1699"/>
      <c r="AT1699"/>
      <c r="AU1699"/>
      <c r="AV1699"/>
      <c r="AW1699"/>
      <c r="AX1699"/>
    </row>
    <row r="1700" spans="1:50">
      <c r="A1700" s="37"/>
      <c r="AO1700"/>
      <c r="AP1700"/>
      <c r="AQ1700"/>
      <c r="AR1700"/>
      <c r="AS1700"/>
      <c r="AT1700"/>
      <c r="AU1700"/>
      <c r="AV1700"/>
      <c r="AW1700"/>
      <c r="AX1700"/>
    </row>
    <row r="1701" spans="1:50">
      <c r="A1701" s="37"/>
      <c r="AO1701"/>
      <c r="AP1701"/>
      <c r="AQ1701"/>
      <c r="AR1701"/>
      <c r="AS1701"/>
      <c r="AT1701"/>
      <c r="AU1701"/>
      <c r="AV1701"/>
      <c r="AW1701"/>
      <c r="AX1701"/>
    </row>
    <row r="1702" spans="1:50">
      <c r="A1702" s="37"/>
      <c r="AO1702"/>
      <c r="AP1702"/>
      <c r="AQ1702"/>
      <c r="AR1702"/>
      <c r="AS1702"/>
      <c r="AT1702"/>
      <c r="AU1702"/>
      <c r="AV1702"/>
      <c r="AW1702"/>
      <c r="AX1702"/>
    </row>
    <row r="1703" spans="1:50">
      <c r="A1703" s="37"/>
      <c r="AO1703"/>
      <c r="AP1703"/>
      <c r="AQ1703"/>
      <c r="AR1703"/>
      <c r="AS1703"/>
      <c r="AT1703"/>
      <c r="AU1703"/>
      <c r="AV1703"/>
      <c r="AW1703"/>
      <c r="AX1703"/>
    </row>
    <row r="1704" spans="1:50">
      <c r="A1704" s="37"/>
      <c r="AO1704"/>
      <c r="AP1704"/>
      <c r="AQ1704"/>
      <c r="AR1704"/>
      <c r="AS1704"/>
      <c r="AT1704"/>
      <c r="AU1704"/>
      <c r="AV1704"/>
      <c r="AW1704"/>
      <c r="AX1704"/>
    </row>
    <row r="1705" spans="1:50">
      <c r="A1705" s="37"/>
      <c r="AO1705"/>
      <c r="AP1705"/>
      <c r="AQ1705"/>
      <c r="AR1705"/>
      <c r="AS1705"/>
      <c r="AT1705"/>
      <c r="AU1705"/>
      <c r="AV1705"/>
      <c r="AW1705"/>
      <c r="AX1705"/>
    </row>
    <row r="1706" spans="1:50">
      <c r="AO1706"/>
      <c r="AP1706"/>
      <c r="AQ1706"/>
      <c r="AR1706"/>
      <c r="AS1706"/>
      <c r="AT1706"/>
      <c r="AU1706"/>
      <c r="AV1706"/>
      <c r="AW1706"/>
      <c r="AX1706"/>
    </row>
    <row r="1707" spans="1:50">
      <c r="AO1707"/>
      <c r="AP1707"/>
      <c r="AQ1707"/>
      <c r="AR1707"/>
      <c r="AS1707"/>
      <c r="AT1707"/>
      <c r="AU1707"/>
      <c r="AV1707"/>
      <c r="AW1707"/>
      <c r="AX1707"/>
    </row>
    <row r="1708" spans="1:50">
      <c r="AO1708"/>
      <c r="AP1708"/>
      <c r="AQ1708"/>
      <c r="AR1708"/>
      <c r="AS1708"/>
      <c r="AT1708"/>
      <c r="AU1708"/>
      <c r="AV1708"/>
      <c r="AW1708"/>
      <c r="AX1708"/>
    </row>
  </sheetData>
  <autoFilter ref="A1:BB1684" xr:uid="{00000000-0001-0000-0600-000000000000}"/>
  <sortState xmlns:xlrd2="http://schemas.microsoft.com/office/spreadsheetml/2017/richdata2" ref="A238:BT627">
    <sortCondition ref="A268:A627"/>
    <sortCondition ref="C268:C627"/>
  </sortState>
  <phoneticPr fontId="10" type="noConversion"/>
  <pageMargins left="0.7" right="0.7" top="0.75" bottom="0.75" header="0.3" footer="0.3"/>
  <pageSetup paperSize="9" orientation="portrait" r:id="rId1"/>
  <headerFooter>
    <oddHeader>&amp;C&amp;"Aptos"&amp;12&amp;KFF0000 UNOFFICIAL&amp;1#_x000D_</oddHeader>
    <oddFooter>&amp;C_x000D_&amp;1#&amp;"Aptos"&amp;12&amp;KFF0000 UNOFFICIAL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Observed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Huth, Neil (CES, Toowoomba)</dc:creator>
  <cp:lastModifiedBy>Philip Smethurst</cp:lastModifiedBy>
  <dcterms:created xsi:type="dcterms:W3CDTF">1996-10-14T23:33:28Z</dcterms:created>
  <dcterms:modified xsi:type="dcterms:W3CDTF">2026-02-20T10:56:11Z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61d463-a7a2-4f89-972c-cb4d4e3c5dfc_Enabled">
    <vt:lpwstr>true</vt:lpwstr>
  </property>
  <property fmtid="{D5CDD505-2E9C-101B-9397-08002B2CF9AE}" pid="3" name="MSIP_Label_4f61d463-a7a2-4f89-972c-cb4d4e3c5dfc_SetDate">
    <vt:lpwstr>2026-01-02T04:54:07Z</vt:lpwstr>
  </property>
  <property fmtid="{D5CDD505-2E9C-101B-9397-08002B2CF9AE}" pid="4" name="MSIP_Label_4f61d463-a7a2-4f89-972c-cb4d4e3c5dfc_Method">
    <vt:lpwstr>Privileged</vt:lpwstr>
  </property>
  <property fmtid="{D5CDD505-2E9C-101B-9397-08002B2CF9AE}" pid="5" name="MSIP_Label_4f61d463-a7a2-4f89-972c-cb4d4e3c5dfc_Name">
    <vt:lpwstr>UNOFFICIAL</vt:lpwstr>
  </property>
  <property fmtid="{D5CDD505-2E9C-101B-9397-08002B2CF9AE}" pid="6" name="MSIP_Label_4f61d463-a7a2-4f89-972c-cb4d4e3c5dfc_SiteId">
    <vt:lpwstr>0fe05593-19ac-4f98-adbf-0375fce7f160</vt:lpwstr>
  </property>
  <property fmtid="{D5CDD505-2E9C-101B-9397-08002B2CF9AE}" pid="7" name="MSIP_Label_4f61d463-a7a2-4f89-972c-cb4d4e3c5dfc_ActionId">
    <vt:lpwstr>bf4f4614-ae6b-4361-8d91-f79d5c9d0377</vt:lpwstr>
  </property>
  <property fmtid="{D5CDD505-2E9C-101B-9397-08002B2CF9AE}" pid="8" name="MSIP_Label_4f61d463-a7a2-4f89-972c-cb4d4e3c5dfc_ContentBits">
    <vt:lpwstr>3</vt:lpwstr>
  </property>
  <property fmtid="{D5CDD505-2E9C-101B-9397-08002B2CF9AE}" pid="9" name="MSIP_Label_4f61d463-a7a2-4f89-972c-cb4d4e3c5dfc_Tag">
    <vt:lpwstr>10, 0, 1, 1</vt:lpwstr>
  </property>
</Properties>
</file>