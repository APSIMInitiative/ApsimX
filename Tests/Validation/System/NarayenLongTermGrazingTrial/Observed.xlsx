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System\NarayenLongTermGrazingTrial\"/>
    </mc:Choice>
  </mc:AlternateContent>
  <xr:revisionPtr revIDLastSave="0" documentId="13_ncr:1_{FF2263B1-FA8F-4BE2-98FA-8AE4FA18F60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Observ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I7" i="1"/>
  <c r="H7" i="1" s="1"/>
  <c r="J7" i="1"/>
  <c r="I8" i="1"/>
  <c r="H8" i="1" s="1"/>
  <c r="J8" i="1"/>
  <c r="I9" i="1"/>
  <c r="H9" i="1" s="1"/>
  <c r="J9" i="1"/>
  <c r="I10" i="1"/>
  <c r="H10" i="1" s="1"/>
  <c r="J10" i="1"/>
  <c r="I11" i="1"/>
  <c r="H11" i="1" s="1"/>
  <c r="J11" i="1"/>
  <c r="G7" i="1"/>
  <c r="G8" i="1"/>
  <c r="G9" i="1"/>
  <c r="G10" i="1"/>
  <c r="G11" i="1"/>
  <c r="F8" i="1"/>
  <c r="F9" i="1"/>
  <c r="F10" i="1"/>
  <c r="F11" i="1"/>
  <c r="F7" i="1"/>
  <c r="I3" i="1"/>
  <c r="H3" i="1" s="1"/>
  <c r="J3" i="1"/>
  <c r="I4" i="1"/>
  <c r="H4" i="1" s="1"/>
  <c r="J4" i="1"/>
  <c r="E5" i="1"/>
  <c r="I5" i="1"/>
  <c r="H5" i="1" s="1"/>
  <c r="J5" i="1"/>
  <c r="E6" i="1"/>
  <c r="H6" i="1"/>
  <c r="I6" i="1"/>
  <c r="J6" i="1"/>
  <c r="H2" i="1"/>
  <c r="J2" i="1"/>
  <c r="I2" i="1"/>
  <c r="E2" i="1"/>
</calcChain>
</file>

<file path=xl/sharedStrings.xml><?xml version="1.0" encoding="utf-8"?>
<sst xmlns="http://schemas.openxmlformats.org/spreadsheetml/2006/main" count="30" uniqueCount="13">
  <si>
    <t>SimulationName</t>
  </si>
  <si>
    <t>Clock.Today</t>
  </si>
  <si>
    <t>NarayenN0Stocking1_0</t>
  </si>
  <si>
    <t>N</t>
  </si>
  <si>
    <t>Stocking</t>
  </si>
  <si>
    <t>1_0</t>
  </si>
  <si>
    <t>Total.AboveGround.Wt</t>
  </si>
  <si>
    <t>Panicum.AboveGround.Wt</t>
  </si>
  <si>
    <t>Rhodes.AboveGround.Wt</t>
  </si>
  <si>
    <t>Total.AboveGround.N</t>
  </si>
  <si>
    <t>Panicum.AboveGround.N</t>
  </si>
  <si>
    <t>Rhodes.AboveGround.N</t>
  </si>
  <si>
    <t>NarayenN100Stocking1_0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</si>
</sst>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25" sqref="E25"/>
    </sheetView>
  </sheetViews>
  <sheetFormatPr defaultRowHeight="14.5" x14ac:dyDescent="0.35"/>
  <cols>
    <col min="1" max="1" width="22.453125" customWidth="1"/>
    <col min="2" max="2" width="10.81640625" bestFit="1" customWidth="1"/>
    <col min="5" max="5" width="20.36328125" bestFit="1" customWidth="1"/>
    <col min="6" max="6" width="23.36328125" bestFit="1" customWidth="1"/>
    <col min="7" max="7" width="22.453125" bestFit="1" customWidth="1"/>
    <col min="8" max="8" width="19.1796875" bestFit="1" customWidth="1"/>
    <col min="9" max="9" width="22.1796875" bestFit="1" customWidth="1"/>
    <col min="10" max="10" width="21.26953125" bestFit="1" customWidth="1"/>
  </cols>
  <sheetData>
    <row r="1" spans="1:10" x14ac:dyDescent="0.35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t="s">
        <v>2</v>
      </c>
      <c r="B2" s="1">
        <v>29221</v>
      </c>
      <c r="C2">
        <v>0</v>
      </c>
      <c r="D2" t="s">
        <v>5</v>
      </c>
      <c r="E2">
        <f>F2+G2</f>
        <v>500</v>
      </c>
      <c r="F2">
        <v>300</v>
      </c>
      <c r="G2">
        <v>200</v>
      </c>
      <c r="H2">
        <f>I2+J2</f>
        <v>5</v>
      </c>
      <c r="I2">
        <f>F2*0.01</f>
        <v>3</v>
      </c>
      <c r="J2">
        <f>G2*0.01</f>
        <v>2</v>
      </c>
    </row>
    <row r="3" spans="1:10" x14ac:dyDescent="0.35">
      <c r="A3" t="s">
        <v>2</v>
      </c>
      <c r="B3" s="1">
        <v>29587</v>
      </c>
      <c r="C3">
        <v>0</v>
      </c>
      <c r="D3" t="s">
        <v>5</v>
      </c>
      <c r="E3">
        <v>400</v>
      </c>
      <c r="F3">
        <v>300</v>
      </c>
      <c r="G3">
        <v>200</v>
      </c>
      <c r="H3">
        <f t="shared" ref="H3:H6" si="0">I3+J3</f>
        <v>5</v>
      </c>
      <c r="I3">
        <f t="shared" ref="I3:I6" si="1">F3*0.01</f>
        <v>3</v>
      </c>
      <c r="J3">
        <f t="shared" ref="J3:J6" si="2">G3*0.01</f>
        <v>2</v>
      </c>
    </row>
    <row r="4" spans="1:10" x14ac:dyDescent="0.35">
      <c r="A4" t="s">
        <v>2</v>
      </c>
      <c r="B4" s="1">
        <v>29952</v>
      </c>
      <c r="C4">
        <v>0</v>
      </c>
      <c r="D4" t="s">
        <v>5</v>
      </c>
      <c r="E4">
        <v>350</v>
      </c>
      <c r="F4">
        <v>200</v>
      </c>
      <c r="G4">
        <v>200</v>
      </c>
      <c r="H4">
        <f t="shared" si="0"/>
        <v>4</v>
      </c>
      <c r="I4">
        <f t="shared" si="1"/>
        <v>2</v>
      </c>
      <c r="J4">
        <f t="shared" si="2"/>
        <v>2</v>
      </c>
    </row>
    <row r="5" spans="1:10" x14ac:dyDescent="0.35">
      <c r="A5" t="s">
        <v>2</v>
      </c>
      <c r="B5" s="1">
        <v>30317</v>
      </c>
      <c r="C5">
        <v>0</v>
      </c>
      <c r="D5" t="s">
        <v>5</v>
      </c>
      <c r="E5">
        <f t="shared" ref="E5:E11" si="3">F5+G5</f>
        <v>300</v>
      </c>
      <c r="F5">
        <v>100</v>
      </c>
      <c r="G5">
        <v>200</v>
      </c>
      <c r="H5">
        <f t="shared" si="0"/>
        <v>3</v>
      </c>
      <c r="I5">
        <f t="shared" si="1"/>
        <v>1</v>
      </c>
      <c r="J5">
        <f t="shared" si="2"/>
        <v>2</v>
      </c>
    </row>
    <row r="6" spans="1:10" x14ac:dyDescent="0.35">
      <c r="A6" t="s">
        <v>2</v>
      </c>
      <c r="B6" s="1">
        <v>30682</v>
      </c>
      <c r="C6">
        <v>0</v>
      </c>
      <c r="D6" t="s">
        <v>5</v>
      </c>
      <c r="E6">
        <f t="shared" si="3"/>
        <v>350</v>
      </c>
      <c r="F6">
        <v>150</v>
      </c>
      <c r="G6">
        <v>200</v>
      </c>
      <c r="H6">
        <f t="shared" si="0"/>
        <v>3.5</v>
      </c>
      <c r="I6">
        <f t="shared" si="1"/>
        <v>1.5</v>
      </c>
      <c r="J6">
        <f t="shared" si="2"/>
        <v>2</v>
      </c>
    </row>
    <row r="7" spans="1:10" x14ac:dyDescent="0.35">
      <c r="A7" t="s">
        <v>12</v>
      </c>
      <c r="B7" s="1">
        <v>29221</v>
      </c>
      <c r="C7">
        <v>0</v>
      </c>
      <c r="D7" t="s">
        <v>5</v>
      </c>
      <c r="E7">
        <f t="shared" si="3"/>
        <v>600</v>
      </c>
      <c r="F7">
        <f>F2*1.2</f>
        <v>360</v>
      </c>
      <c r="G7">
        <f>G2*1.2</f>
        <v>240</v>
      </c>
      <c r="H7">
        <f t="shared" ref="H7:H11" si="4">I7+J7</f>
        <v>6</v>
      </c>
      <c r="I7">
        <f t="shared" ref="I7:I11" si="5">F7*0.01</f>
        <v>3.6</v>
      </c>
      <c r="J7">
        <f t="shared" ref="J7:J11" si="6">G7*0.01</f>
        <v>2.4</v>
      </c>
    </row>
    <row r="8" spans="1:10" x14ac:dyDescent="0.35">
      <c r="A8" t="s">
        <v>12</v>
      </c>
      <c r="B8" s="1">
        <v>29587</v>
      </c>
      <c r="C8">
        <v>0</v>
      </c>
      <c r="D8" t="s">
        <v>5</v>
      </c>
      <c r="E8">
        <f t="shared" si="3"/>
        <v>600</v>
      </c>
      <c r="F8">
        <f t="shared" ref="F8:G11" si="7">F3*1.2</f>
        <v>360</v>
      </c>
      <c r="G8">
        <f t="shared" si="7"/>
        <v>240</v>
      </c>
      <c r="H8">
        <f t="shared" si="4"/>
        <v>6</v>
      </c>
      <c r="I8">
        <f t="shared" si="5"/>
        <v>3.6</v>
      </c>
      <c r="J8">
        <f t="shared" si="6"/>
        <v>2.4</v>
      </c>
    </row>
    <row r="9" spans="1:10" x14ac:dyDescent="0.35">
      <c r="A9" t="s">
        <v>12</v>
      </c>
      <c r="B9" s="1">
        <v>29952</v>
      </c>
      <c r="C9">
        <v>0</v>
      </c>
      <c r="D9" t="s">
        <v>5</v>
      </c>
      <c r="E9">
        <f t="shared" si="3"/>
        <v>480</v>
      </c>
      <c r="F9">
        <f t="shared" si="7"/>
        <v>240</v>
      </c>
      <c r="G9">
        <f t="shared" si="7"/>
        <v>240</v>
      </c>
      <c r="H9">
        <f t="shared" si="4"/>
        <v>4.8</v>
      </c>
      <c r="I9">
        <f t="shared" si="5"/>
        <v>2.4</v>
      </c>
      <c r="J9">
        <f t="shared" si="6"/>
        <v>2.4</v>
      </c>
    </row>
    <row r="10" spans="1:10" x14ac:dyDescent="0.35">
      <c r="A10" t="s">
        <v>12</v>
      </c>
      <c r="B10" s="1">
        <v>30317</v>
      </c>
      <c r="C10">
        <v>0</v>
      </c>
      <c r="D10" t="s">
        <v>5</v>
      </c>
      <c r="E10">
        <f t="shared" si="3"/>
        <v>360</v>
      </c>
      <c r="F10">
        <f t="shared" si="7"/>
        <v>120</v>
      </c>
      <c r="G10">
        <f t="shared" si="7"/>
        <v>240</v>
      </c>
      <c r="H10">
        <f t="shared" si="4"/>
        <v>3.5999999999999996</v>
      </c>
      <c r="I10">
        <f t="shared" si="5"/>
        <v>1.2</v>
      </c>
      <c r="J10">
        <f t="shared" si="6"/>
        <v>2.4</v>
      </c>
    </row>
    <row r="11" spans="1:10" x14ac:dyDescent="0.35">
      <c r="A11" t="s">
        <v>12</v>
      </c>
      <c r="B11" s="1">
        <v>30682</v>
      </c>
      <c r="C11">
        <v>0</v>
      </c>
      <c r="D11" t="s">
        <v>5</v>
      </c>
      <c r="E11">
        <f t="shared" si="3"/>
        <v>420</v>
      </c>
      <c r="F11">
        <f t="shared" si="7"/>
        <v>180</v>
      </c>
      <c r="G11">
        <f t="shared" si="7"/>
        <v>240</v>
      </c>
      <c r="H11">
        <f t="shared" si="4"/>
        <v>4.2</v>
      </c>
      <c r="I11">
        <f t="shared" si="5"/>
        <v>1.8</v>
      </c>
      <c r="J11">
        <f t="shared" si="6"/>
        <v>2.4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Forest Hill)</dc:creator>
  <cp:lastModifiedBy>Huth, Neil (A&amp;F, Forest Hill)</cp:lastModifiedBy>
  <dcterms:created xsi:type="dcterms:W3CDTF">2015-06-05T18:17:20Z</dcterms:created>
  <dcterms:modified xsi:type="dcterms:W3CDTF">2026-06-03T03:25:59Z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2026-06-01T23:48:32Z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b14113bc-34cf-48e4-be33-79892e4cfd8d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